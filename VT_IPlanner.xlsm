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delijn-my.sharepoint.com/personal/37494_delijn_be/Documents/Documents/GitHub/VBA_Repository/"/>
    </mc:Choice>
  </mc:AlternateContent>
  <xr:revisionPtr revIDLastSave="1116" documentId="8_{A5FDBFDF-4CB2-4B99-8E86-CDB64E252EF2}" xr6:coauthVersionLast="47" xr6:coauthVersionMax="47" xr10:uidLastSave="{3DAF1855-B34E-4E74-AFE3-300EF05D2242}"/>
  <bookViews>
    <workbookView xWindow="-120" yWindow="-120" windowWidth="29040" windowHeight="15720" xr2:uid="{3CBAB9F1-E989-4F5A-83A2-1BD045399FD7}"/>
  </bookViews>
  <sheets>
    <sheet name="Reserveringslijst" sheetId="10" r:id="rId1"/>
    <sheet name="Sheet6" sheetId="14" r:id="rId2"/>
    <sheet name="INPUT_VTS_EXPL" sheetId="8" r:id="rId3"/>
    <sheet name="Cascading Filter" sheetId="9" r:id="rId4"/>
    <sheet name="Lookups" sheetId="11" r:id="rId5"/>
    <sheet name="Project_Medewerkers" sheetId="12" r:id="rId6"/>
    <sheet name="Stelplaats_Verantwoordelijken" sheetId="13" r:id="rId7"/>
    <sheet name="INPUT_VTS_REGIE" sheetId="3" r:id="rId8"/>
    <sheet name="Parameters" sheetId="2" r:id="rId9"/>
  </sheets>
  <functionGroups builtInGroupCount="19"/>
  <definedNames>
    <definedName name="COL_MINUS1">OFFSET(INDIRECT(ADDRESS(ROW(),COLUMN())),0,-1)</definedName>
    <definedName name="COL_MINUS2">OFFSET(INDIRECT(ADDRESS(ROW(),COLUMN())),0,-2)</definedName>
    <definedName name="CURRKEY_ENT_STELPLAATS">COL_MINUS2&amp;"#"&amp;COL_MINUS1</definedName>
    <definedName name="ExternalData_1" localSheetId="7" hidden="1">INPUT_VTS_REGIE!$B$12:$Y$2803</definedName>
    <definedName name="ExternalData_2" localSheetId="2" hidden="1">INPUT_VTS_EXPL!$D$10:$P$1631</definedName>
    <definedName name="ExternalData_2" localSheetId="7" hidden="1">INPUT_VTS_REGIE!$AC$12:$AD$2803</definedName>
    <definedName name="Lijst_Cascade1_Entiteiten">_xlfn.ANCHORARRAY('Cascading Filter'!$D$4)</definedName>
    <definedName name="Lijst_Cascade1_Stelplaatsen">_xlfn.ANCHORARRAY(_xlfn.XLOOKUP(COL_MINUS1,'Cascading Filter'!$D$4:$J$4,'Cascading Filter'!$D$5:$J$5))</definedName>
    <definedName name="Lijst_Cascade1_VTS">_xlfn.ANCHORARRAY(_xlfn.XLOOKUP(CURRKEY_ENT_STELPLAATS,'Cascading Filter'!$D$30:$CF$30,'Cascading Filter'!$D$31:$CF$31))</definedName>
    <definedName name="Lijst_Cascade2_Medewerkers">_xlfn.ANCHORARRAY(_xlfn.XLOOKUP(COL_MINUS1,'Cascading Filter'!$D$177:$J$177,'Cascading Filter'!$D$178:$J$178))</definedName>
    <definedName name="Lijst_Cascade2_Projecten">Lookup_Projects[Naam]</definedName>
    <definedName name="Lijst_DuurTijden">Lookup_DuurTijden[Duurtijd]</definedName>
    <definedName name="Lijst_Reservatie_Status">Lookup_Reserverings_Status[Naam]</definedName>
    <definedName name="Lijst_Tijden">Lookup_Tijden[TijdLijst]</definedName>
    <definedName name="Slicer_Aanvrager">#N/A</definedName>
    <definedName name="Slicer_Code_motor_euroklasse">#N/A</definedName>
    <definedName name="Slicer_Entiteit">#N/A</definedName>
    <definedName name="Slicer_Entiteit1">#N/A</definedName>
    <definedName name="Slicer_Euronorm">#N/A</definedName>
    <definedName name="Slicer_Leeftijd">#N/A</definedName>
    <definedName name="Slicer_Leeftijd1">#N/A</definedName>
    <definedName name="Slicer_Project">#N/A</definedName>
    <definedName name="Slicer_Status">#N/A</definedName>
    <definedName name="Slicer_Status1">#N/A</definedName>
    <definedName name="Slicer_Voertuigtype">#N/A</definedName>
    <definedName name="Slicer_Vt_Typ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 i="10" l="1"/>
  <c r="P15" i="10" s="1"/>
  <c r="O21" i="10"/>
  <c r="P21" i="10" s="1"/>
  <c r="O22" i="10"/>
  <c r="P22" i="10" s="1"/>
  <c r="O23" i="10"/>
  <c r="P23" i="10" s="1"/>
  <c r="O24" i="10"/>
  <c r="P24" i="10" s="1"/>
  <c r="O25" i="10"/>
  <c r="P25" i="10" s="1"/>
  <c r="O26" i="10"/>
  <c r="P26" i="10" s="1"/>
  <c r="U15" i="10"/>
  <c r="AE15" i="10" s="1" a="1"/>
  <c r="AE15" i="10" s="1"/>
  <c r="U21" i="10"/>
  <c r="AF21" i="10" s="1" a="1"/>
  <c r="AF21" i="10" s="1"/>
  <c r="U22" i="10"/>
  <c r="AD22" i="10" s="1" a="1"/>
  <c r="AD22" i="10" s="1"/>
  <c r="U23" i="10"/>
  <c r="AC23" i="10" s="1" a="1"/>
  <c r="AC23" i="10" s="1"/>
  <c r="U24" i="10"/>
  <c r="AC24" i="10" s="1" a="1"/>
  <c r="AC24" i="10" s="1"/>
  <c r="U25" i="10"/>
  <c r="AB25" i="10" s="1" a="1"/>
  <c r="AB25" i="10" s="1"/>
  <c r="U26" i="10"/>
  <c r="AC26" i="10" s="1" a="1"/>
  <c r="AC26" i="10" s="1"/>
  <c r="AG15" i="10"/>
  <c r="AG21" i="10"/>
  <c r="AG22" i="10"/>
  <c r="AG23" i="10"/>
  <c r="AG24" i="10"/>
  <c r="AG25" i="10"/>
  <c r="AG26" i="10"/>
  <c r="E8" i="13"/>
  <c r="F8" i="13"/>
  <c r="G8" i="13"/>
  <c r="H8" i="13"/>
  <c r="E4" i="13"/>
  <c r="E5" i="13"/>
  <c r="E6" i="13"/>
  <c r="E7" i="13"/>
  <c r="F7" i="13"/>
  <c r="G7" i="13"/>
  <c r="H7" i="13"/>
  <c r="G4" i="13"/>
  <c r="G5" i="13"/>
  <c r="G6" i="13"/>
  <c r="F4" i="13"/>
  <c r="F5" i="13"/>
  <c r="F6" i="13"/>
  <c r="H6" i="13"/>
  <c r="O16" i="10"/>
  <c r="P16" i="10" s="1"/>
  <c r="U16" i="10"/>
  <c r="AF16" i="10" s="1" a="1"/>
  <c r="AF16" i="10" s="1"/>
  <c r="AG16" i="10"/>
  <c r="O17" i="10"/>
  <c r="P17" i="10" s="1"/>
  <c r="O18" i="10"/>
  <c r="P18" i="10" s="1"/>
  <c r="O19" i="10"/>
  <c r="P19" i="10" s="1"/>
  <c r="O20" i="10"/>
  <c r="P20" i="10" s="1"/>
  <c r="U20" i="10"/>
  <c r="AF20" i="10" s="1" a="1"/>
  <c r="AF20" i="10" s="1"/>
  <c r="AG20" i="10"/>
  <c r="U19" i="10"/>
  <c r="AA19" i="10" s="1" a="1"/>
  <c r="AA19" i="10" s="1"/>
  <c r="AG19" i="10"/>
  <c r="E13" i="10" a="1"/>
  <c r="E13" i="10" s="1"/>
  <c r="AG17" i="10"/>
  <c r="AG18" i="10"/>
  <c r="H4" i="13"/>
  <c r="H5" i="13"/>
  <c r="U17" i="10"/>
  <c r="AA17" i="10" s="1" a="1"/>
  <c r="AA17" i="10" s="1"/>
  <c r="U18" i="10"/>
  <c r="AA18" i="10" s="1" a="1"/>
  <c r="AA18" i="10" s="1"/>
  <c r="D177" i="9" a="1"/>
  <c r="D177" i="9" s="1"/>
  <c r="D178" i="9" s="1" a="1"/>
  <c r="D178" i="9" s="1"/>
  <c r="H178" i="9" a="1"/>
  <c r="H178" i="9" s="1"/>
  <c r="I178" i="9" a="1"/>
  <c r="I178" i="9" s="1"/>
  <c r="J178" i="9" a="1"/>
  <c r="J178" i="9" s="1"/>
  <c r="BT31" i="9" a="1"/>
  <c r="BT31" i="9" s="1"/>
  <c r="BU31" i="9" a="1"/>
  <c r="BU31" i="9" s="1"/>
  <c r="BV31" i="9" a="1"/>
  <c r="BV31" i="9" s="1"/>
  <c r="BW31" i="9" a="1"/>
  <c r="BW31" i="9" s="1"/>
  <c r="BX31" i="9" a="1"/>
  <c r="BX31" i="9" s="1"/>
  <c r="BY31" i="9" a="1"/>
  <c r="BY31" i="9" s="1"/>
  <c r="BZ31" i="9" a="1"/>
  <c r="BZ31" i="9" s="1"/>
  <c r="CA31" i="9" a="1"/>
  <c r="CA31" i="9" s="1"/>
  <c r="CB31" i="9" a="1"/>
  <c r="CB31" i="9" s="1"/>
  <c r="CC31" i="9" a="1"/>
  <c r="CC31" i="9" s="1"/>
  <c r="CD31" i="9" a="1"/>
  <c r="CD31" i="9" s="1"/>
  <c r="CE31" i="9" a="1"/>
  <c r="CE31" i="9" s="1"/>
  <c r="CF31" i="9" a="1"/>
  <c r="CF31" i="9" s="1"/>
  <c r="CG31" i="9" a="1"/>
  <c r="CG31" i="9" s="1"/>
  <c r="CH31" i="9" a="1"/>
  <c r="CH31" i="9" s="1"/>
  <c r="CI31" i="9" a="1"/>
  <c r="CI31" i="9" s="1"/>
  <c r="CJ31" i="9" a="1"/>
  <c r="CJ31" i="9" s="1"/>
  <c r="CK31" i="9" a="1"/>
  <c r="CK31" i="9" s="1"/>
  <c r="CL31" i="9" a="1"/>
  <c r="CL31" i="9" s="1"/>
  <c r="CM31" i="9" a="1"/>
  <c r="CM31" i="9" s="1"/>
  <c r="CN31" i="9" a="1"/>
  <c r="CN31" i="9" s="1"/>
  <c r="CO31" i="9" a="1"/>
  <c r="CO31" i="9" s="1"/>
  <c r="CP31" i="9" a="1"/>
  <c r="CP31" i="9" s="1"/>
  <c r="CQ31" i="9" a="1"/>
  <c r="CQ31" i="9" s="1"/>
  <c r="CR31" i="9" a="1"/>
  <c r="CR31" i="9" s="1"/>
  <c r="CS31" i="9" a="1"/>
  <c r="CS31" i="9" s="1"/>
  <c r="CT31" i="9" a="1"/>
  <c r="CT31" i="9" s="1"/>
  <c r="CU31" i="9" a="1"/>
  <c r="CU31" i="9" s="1"/>
  <c r="CV31" i="9" a="1"/>
  <c r="CV31" i="9" s="1"/>
  <c r="CW31" i="9" a="1"/>
  <c r="CW31" i="9" s="1"/>
  <c r="CX31" i="9" a="1"/>
  <c r="CX31" i="9" s="1"/>
  <c r="CY31" i="9" a="1"/>
  <c r="CY31" i="9" s="1"/>
  <c r="CZ31" i="9" a="1"/>
  <c r="CZ31" i="9" s="1"/>
  <c r="DA31" i="9" a="1"/>
  <c r="DA31" i="9" s="1"/>
  <c r="DB31" i="9" a="1"/>
  <c r="DB31" i="9" s="1"/>
  <c r="DC31" i="9" a="1"/>
  <c r="DC31" i="9" s="1"/>
  <c r="DD31" i="9" a="1"/>
  <c r="DD31" i="9" s="1"/>
  <c r="DE31" i="9" a="1"/>
  <c r="DE31" i="9" s="1"/>
  <c r="D30" i="9" a="1"/>
  <c r="D30" i="9" s="1"/>
  <c r="D31" i="9" s="1" a="1"/>
  <c r="D31" i="9" s="1"/>
  <c r="I23" i="9"/>
  <c r="D4" i="9" a="1"/>
  <c r="D4" i="9" s="1"/>
  <c r="D5" i="9" s="1" a="1"/>
  <c r="D5" i="9" s="1"/>
  <c r="B11" i="3"/>
  <c r="D9" i="8"/>
  <c r="D22" i="2"/>
  <c r="B22" i="2" s="1"/>
  <c r="B23" i="2"/>
  <c r="B24" i="2"/>
  <c r="B25" i="2"/>
  <c r="B27" i="2"/>
  <c r="B28" i="2"/>
  <c r="B29" i="2"/>
  <c r="B31" i="2"/>
  <c r="B33" i="2"/>
  <c r="B34" i="2"/>
  <c r="B35" i="2"/>
  <c r="B37" i="2"/>
  <c r="B38" i="2"/>
  <c r="B39" i="2"/>
  <c r="B42" i="2"/>
  <c r="D36" i="2"/>
  <c r="B36" i="2" s="1"/>
  <c r="D30" i="2"/>
  <c r="D32" i="2" s="1"/>
  <c r="B32" i="2" s="1"/>
  <c r="D26" i="2"/>
  <c r="B26" i="2" s="1"/>
  <c r="B18" i="2"/>
  <c r="B17" i="2"/>
  <c r="C3" i="2"/>
  <c r="C1" i="2"/>
  <c r="G22" i="9" a="1"/>
  <c r="I27" i="9" a="1"/>
  <c r="G21" i="9" a="1"/>
  <c r="Y16" i="10" l="1"/>
  <c r="W24" i="10"/>
  <c r="Y21" i="10"/>
  <c r="W21" i="10"/>
  <c r="W15" i="10"/>
  <c r="Y25" i="10"/>
  <c r="Y24" i="10"/>
  <c r="W19" i="10"/>
  <c r="Y23" i="10"/>
  <c r="Y22" i="10"/>
  <c r="W23" i="10"/>
  <c r="W22" i="10"/>
  <c r="X25" i="10"/>
  <c r="X23" i="10"/>
  <c r="X22" i="10"/>
  <c r="W17" i="10"/>
  <c r="X21" i="10"/>
  <c r="Y15" i="10"/>
  <c r="X26" i="10"/>
  <c r="X15" i="10"/>
  <c r="X20" i="10"/>
  <c r="W25" i="10"/>
  <c r="X24" i="10"/>
  <c r="W26" i="10"/>
  <c r="Y26" i="10"/>
  <c r="AF26" i="10" a="1"/>
  <c r="AF26" i="10" s="1"/>
  <c r="AD24" i="10" a="1"/>
  <c r="AD24" i="10" s="1"/>
  <c r="AB22" i="10" a="1"/>
  <c r="AB22" i="10" s="1"/>
  <c r="AA15" i="10" a="1"/>
  <c r="AA15" i="10" s="1"/>
  <c r="AB21" i="10" a="1"/>
  <c r="AB21" i="10" s="1"/>
  <c r="AF23" i="10" a="1"/>
  <c r="AF23" i="10" s="1"/>
  <c r="AE22" i="10" a="1"/>
  <c r="AE22" i="10" s="1"/>
  <c r="AD21" i="10" a="1"/>
  <c r="AD21" i="10" s="1"/>
  <c r="AC15" i="10" a="1"/>
  <c r="AC15" i="10" s="1"/>
  <c r="AA25" i="10" a="1"/>
  <c r="AA25" i="10" s="1"/>
  <c r="AF22" i="10" a="1"/>
  <c r="AF22" i="10" s="1"/>
  <c r="AD15" i="10" a="1"/>
  <c r="AD15" i="10" s="1"/>
  <c r="AB26" i="10" a="1"/>
  <c r="AB26" i="10" s="1"/>
  <c r="AA24" i="10" a="1"/>
  <c r="AA24" i="10" s="1"/>
  <c r="AF15" i="10" a="1"/>
  <c r="AF15" i="10" s="1"/>
  <c r="AD26" i="10" a="1"/>
  <c r="AD26" i="10" s="1"/>
  <c r="AC25" i="10" a="1"/>
  <c r="AC25" i="10" s="1"/>
  <c r="AA22" i="10" a="1"/>
  <c r="AA22" i="10" s="1"/>
  <c r="AE25" i="10" a="1"/>
  <c r="AE25" i="10" s="1"/>
  <c r="AB15" i="10" a="1"/>
  <c r="AB15" i="10" s="1"/>
  <c r="AF25" i="10" a="1"/>
  <c r="AF25" i="10" s="1"/>
  <c r="AE24" i="10" a="1"/>
  <c r="AE24" i="10" s="1"/>
  <c r="AD23" i="10" a="1"/>
  <c r="AD23" i="10" s="1"/>
  <c r="AC22" i="10" a="1"/>
  <c r="AC22" i="10" s="1"/>
  <c r="AF24" i="10" a="1"/>
  <c r="AF24" i="10" s="1"/>
  <c r="AE23" i="10" a="1"/>
  <c r="AE23" i="10" s="1"/>
  <c r="AC21" i="10" a="1"/>
  <c r="AC21" i="10" s="1"/>
  <c r="AA26" i="10" a="1"/>
  <c r="AA26" i="10" s="1"/>
  <c r="AE21" i="10" a="1"/>
  <c r="AE21" i="10" s="1"/>
  <c r="AA23" i="10" a="1"/>
  <c r="AA23" i="10" s="1"/>
  <c r="AB24" i="10" a="1"/>
  <c r="AB24" i="10" s="1"/>
  <c r="AE26" i="10" a="1"/>
  <c r="AE26" i="10" s="1"/>
  <c r="AD25" i="10" a="1"/>
  <c r="AD25" i="10" s="1"/>
  <c r="AB23" i="10" a="1"/>
  <c r="AB23" i="10" s="1"/>
  <c r="AA21" i="10" a="1"/>
  <c r="AA21" i="10" s="1"/>
  <c r="Y18" i="10"/>
  <c r="X16" i="10"/>
  <c r="W16" i="10"/>
  <c r="Y17" i="10"/>
  <c r="Y20" i="10"/>
  <c r="W20" i="10"/>
  <c r="AD16" i="10" a="1"/>
  <c r="AD16" i="10" s="1"/>
  <c r="AC16" i="10" a="1"/>
  <c r="AC16" i="10" s="1"/>
  <c r="AB16" i="10" a="1"/>
  <c r="AB16" i="10" s="1"/>
  <c r="AA16" i="10" a="1"/>
  <c r="AA16" i="10" s="1"/>
  <c r="AE16" i="10" a="1"/>
  <c r="AE16" i="10" s="1"/>
  <c r="AC20" i="10" a="1"/>
  <c r="AC20" i="10" s="1"/>
  <c r="AE20" i="10" a="1"/>
  <c r="AE20" i="10" s="1"/>
  <c r="AD20" i="10" a="1"/>
  <c r="AD20" i="10" s="1"/>
  <c r="AB20" i="10" a="1"/>
  <c r="AB20" i="10" s="1"/>
  <c r="AA20" i="10" a="1"/>
  <c r="AA20" i="10" s="1"/>
  <c r="W18" i="10"/>
  <c r="X19" i="10"/>
  <c r="X18" i="10"/>
  <c r="X17" i="10"/>
  <c r="Y19" i="10"/>
  <c r="I13" i="10"/>
  <c r="AE19" i="10" a="1"/>
  <c r="AE19" i="10" s="1"/>
  <c r="AF19" i="10" a="1"/>
  <c r="AF19" i="10" s="1"/>
  <c r="AC19" i="10" a="1"/>
  <c r="AC19" i="10" s="1"/>
  <c r="AB19" i="10" a="1"/>
  <c r="AB19" i="10" s="1"/>
  <c r="AD19" i="10" a="1"/>
  <c r="AD19" i="10" s="1"/>
  <c r="AF18" i="10" a="1"/>
  <c r="AF18" i="10" s="1"/>
  <c r="AF17" i="10" a="1"/>
  <c r="AF17" i="10" s="1"/>
  <c r="AE18" i="10" a="1"/>
  <c r="AE18" i="10" s="1"/>
  <c r="AE17" i="10" a="1"/>
  <c r="AE17" i="10" s="1"/>
  <c r="AC18" i="10" a="1"/>
  <c r="AC18" i="10" s="1"/>
  <c r="AD18" i="10" a="1"/>
  <c r="AD18" i="10" s="1"/>
  <c r="AD17" i="10" a="1"/>
  <c r="AD17" i="10" s="1"/>
  <c r="AC17" i="10" a="1"/>
  <c r="AC17" i="10" s="1"/>
  <c r="AB18" i="10" a="1"/>
  <c r="AB18" i="10" s="1"/>
  <c r="AB17" i="10" a="1"/>
  <c r="AB17" i="10" s="1"/>
  <c r="M31" i="9" a="1"/>
  <c r="M31" i="9" s="1"/>
  <c r="BH31" i="9" a="1"/>
  <c r="BH31" i="9" s="1"/>
  <c r="BF31" i="9" a="1"/>
  <c r="BF31" i="9" s="1"/>
  <c r="AP31" i="9" a="1"/>
  <c r="AP31" i="9" s="1"/>
  <c r="Z31" i="9" a="1"/>
  <c r="Z31" i="9" s="1"/>
  <c r="J31" i="9" a="1"/>
  <c r="J31" i="9" s="1"/>
  <c r="AS31" i="9" a="1"/>
  <c r="AS31" i="9" s="1"/>
  <c r="Y31" i="9" a="1"/>
  <c r="Y31" i="9" s="1"/>
  <c r="I31" i="9" a="1"/>
  <c r="I31" i="9" s="1"/>
  <c r="BP31" i="9" a="1"/>
  <c r="BP31" i="9" s="1"/>
  <c r="AC31" i="9" a="1"/>
  <c r="AC31" i="9" s="1"/>
  <c r="AB31" i="9" a="1"/>
  <c r="AB31" i="9" s="1"/>
  <c r="BG31" i="9" a="1"/>
  <c r="BG31" i="9" s="1"/>
  <c r="K31" i="9" a="1"/>
  <c r="K31" i="9" s="1"/>
  <c r="BD31" i="9" a="1"/>
  <c r="BD31" i="9" s="1"/>
  <c r="AN31" i="9" a="1"/>
  <c r="AN31" i="9" s="1"/>
  <c r="X31" i="9" a="1"/>
  <c r="X31" i="9" s="1"/>
  <c r="H31" i="9" a="1"/>
  <c r="H31" i="9" s="1"/>
  <c r="BS31" i="9" a="1"/>
  <c r="BS31" i="9" s="1"/>
  <c r="BC31" i="9" a="1"/>
  <c r="BC31" i="9" s="1"/>
  <c r="AM31" i="9" a="1"/>
  <c r="AM31" i="9" s="1"/>
  <c r="W31" i="9" a="1"/>
  <c r="W31" i="9" s="1"/>
  <c r="G31" i="9" a="1"/>
  <c r="G31" i="9" s="1"/>
  <c r="AX31" i="9" a="1"/>
  <c r="AX31" i="9" s="1"/>
  <c r="BI31" i="9" a="1"/>
  <c r="BI31" i="9" s="1"/>
  <c r="L31" i="9" a="1"/>
  <c r="L31" i="9" s="1"/>
  <c r="AQ31" i="9" a="1"/>
  <c r="AQ31" i="9" s="1"/>
  <c r="BE31" i="9" a="1"/>
  <c r="BE31" i="9" s="1"/>
  <c r="BR31" i="9" a="1"/>
  <c r="BR31" i="9" s="1"/>
  <c r="BB31" i="9" a="1"/>
  <c r="BB31" i="9" s="1"/>
  <c r="AL31" i="9" a="1"/>
  <c r="AL31" i="9" s="1"/>
  <c r="V31" i="9" a="1"/>
  <c r="V31" i="9" s="1"/>
  <c r="F31" i="9" a="1"/>
  <c r="F31" i="9" s="1"/>
  <c r="AR31" i="9" a="1"/>
  <c r="AR31" i="9" s="1"/>
  <c r="AA31" i="9" a="1"/>
  <c r="AA31" i="9" s="1"/>
  <c r="AO31" i="9" a="1"/>
  <c r="AO31" i="9" s="1"/>
  <c r="BQ31" i="9" a="1"/>
  <c r="BQ31" i="9" s="1"/>
  <c r="BA31" i="9" a="1"/>
  <c r="BA31" i="9" s="1"/>
  <c r="AK31" i="9" a="1"/>
  <c r="AK31" i="9" s="1"/>
  <c r="U31" i="9" a="1"/>
  <c r="U31" i="9" s="1"/>
  <c r="E31" i="9" a="1"/>
  <c r="E31" i="9" s="1"/>
  <c r="AZ31" i="9" a="1"/>
  <c r="AZ31" i="9" s="1"/>
  <c r="AJ31" i="9" a="1"/>
  <c r="AJ31" i="9" s="1"/>
  <c r="T31" i="9" a="1"/>
  <c r="T31" i="9" s="1"/>
  <c r="BO31" i="9" a="1"/>
  <c r="BO31" i="9" s="1"/>
  <c r="AY31" i="9" a="1"/>
  <c r="AY31" i="9" s="1"/>
  <c r="AI31" i="9" a="1"/>
  <c r="AI31" i="9" s="1"/>
  <c r="S31" i="9" a="1"/>
  <c r="S31" i="9" s="1"/>
  <c r="BN31" i="9" a="1"/>
  <c r="BN31" i="9" s="1"/>
  <c r="AH31" i="9" a="1"/>
  <c r="AH31" i="9" s="1"/>
  <c r="AW31" i="9" a="1"/>
  <c r="AW31" i="9" s="1"/>
  <c r="Q31" i="9" a="1"/>
  <c r="Q31" i="9" s="1"/>
  <c r="AF31" i="9" a="1"/>
  <c r="AF31" i="9" s="1"/>
  <c r="BK31" i="9" a="1"/>
  <c r="BK31" i="9" s="1"/>
  <c r="AU31" i="9" a="1"/>
  <c r="AU31" i="9" s="1"/>
  <c r="AE31" i="9" a="1"/>
  <c r="AE31" i="9" s="1"/>
  <c r="O31" i="9" a="1"/>
  <c r="O31" i="9" s="1"/>
  <c r="G178" i="9" a="1"/>
  <c r="G178" i="9" s="1"/>
  <c r="R31" i="9" a="1"/>
  <c r="R31" i="9" s="1"/>
  <c r="BM31" i="9" a="1"/>
  <c r="BM31" i="9" s="1"/>
  <c r="AG31" i="9" a="1"/>
  <c r="AG31" i="9" s="1"/>
  <c r="BL31" i="9" a="1"/>
  <c r="BL31" i="9" s="1"/>
  <c r="AV31" i="9" a="1"/>
  <c r="AV31" i="9" s="1"/>
  <c r="P31" i="9" a="1"/>
  <c r="P31" i="9" s="1"/>
  <c r="BJ31" i="9" a="1"/>
  <c r="BJ31" i="9" s="1"/>
  <c r="AT31" i="9" a="1"/>
  <c r="AT31" i="9" s="1"/>
  <c r="AD31" i="9" a="1"/>
  <c r="AD31" i="9" s="1"/>
  <c r="N31" i="9" a="1"/>
  <c r="N31" i="9" s="1"/>
  <c r="F178" i="9" a="1"/>
  <c r="F178" i="9" s="1"/>
  <c r="E178" i="9" a="1"/>
  <c r="E178" i="9" s="1"/>
  <c r="G22" i="9"/>
  <c r="J5" i="9" a="1"/>
  <c r="J5" i="9" s="1"/>
  <c r="I5" i="9" a="1"/>
  <c r="I5" i="9" s="1"/>
  <c r="H5" i="9" a="1"/>
  <c r="H5" i="9" s="1"/>
  <c r="G5" i="9" a="1"/>
  <c r="G5" i="9" s="1"/>
  <c r="F5" i="9" a="1"/>
  <c r="F5" i="9" s="1"/>
  <c r="E5" i="9" a="1"/>
  <c r="E5" i="9" s="1"/>
  <c r="I27" i="9"/>
  <c r="G21" i="9"/>
  <c r="D41" i="2"/>
  <c r="B41" i="2" s="1"/>
  <c r="D40" i="2"/>
  <c r="B40" i="2" s="1"/>
  <c r="B30" i="2"/>
  <c r="E183" i="9" a="1"/>
  <c r="E183"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267C94-DD40-46B4-86D8-9927A839BCD3}" keepAlive="1" name="Query - fn_AddColEx" description="Connection to the 'fn_AddColEx' query in the workbook." type="5" refreshedVersion="0" background="1">
    <dbPr connection="Provider=Microsoft.Mashup.OleDb.1;Data Source=$Workbook$;Location=fn_AddColEx;Extended Properties=&quot;&quot;" command="SELECT * FROM [fn_AddColEx]"/>
  </connection>
  <connection id="2" xr16:uid="{B60912FE-2BD1-4C80-A0CB-7836C1BFEB26}" keepAlive="1" name="Query - fn_GetTableObj" description="Connection to the 'fn_GetTableObj' query in the workbook." type="5" refreshedVersion="0" background="1">
    <dbPr connection="Provider=Microsoft.Mashup.OleDb.1;Data Source=$Workbook$;Location=fn_GetTableObj;Extended Properties=&quot;&quot;" command="SELECT * FROM [fn_GetTableObj]"/>
  </connection>
  <connection id="3" xr16:uid="{5266CB45-B7CB-40BE-BD91-333B1989C4D7}" keepAlive="1" name="Query - GetParameter" description="Connection to the 'GetParameter' query in the workbook." type="5" refreshedVersion="0" background="1">
    <dbPr connection="Provider=Microsoft.Mashup.OleDb.1;Data Source=$Workbook$;Location=GetParameter;Extended Properties=&quot;&quot;" command="SELECT * FROM [GetParameter]"/>
  </connection>
  <connection id="4" xr16:uid="{A17476CB-4335-409D-9D8D-05A158D69399}" keepAlive="1" name="Query - INPUT_VTS_EXPL" description="Connection to the 'INPUT_VTS_EXPL' query in the workbook." type="5" refreshedVersion="8" background="1" saveData="1">
    <dbPr connection="Provider=Microsoft.Mashup.OleDb.1;Data Source=$Workbook$;Location=INPUT_VTS_EXPL;Extended Properties=&quot;&quot;" command="SELECT * FROM [INPUT_VTS_EXPL]"/>
  </connection>
  <connection id="5" xr16:uid="{FF544808-C48D-4C21-A26D-0171929E61DA}" keepAlive="1" name="Query - INPUT_VTS_REGIE" description="Connection to the 'INPUT_VTS_REGIE' query in the workbook." type="5" refreshedVersion="8" background="1" saveData="1">
    <dbPr connection="Provider=Microsoft.Mashup.OleDb.1;Data Source=$Workbook$;Location=INPUT_VTS_REGIE;Extended Properties=&quot;&quot;" command="SELECT * FROM [INPUT_VTS_REGIE]"/>
  </connection>
  <connection id="6" xr16:uid="{C43539C6-3ECD-471F-B2C2-D4BB702B26CE}" keepAlive="1" name="Query - INPUT_VTS_REGIE_DT" description="Connection to the 'INPUT_VTS_REGIE_DT' query in the workbook." type="5" refreshedVersion="8" background="1" saveData="1">
    <dbPr connection="Provider=Microsoft.Mashup.OleDb.1;Data Source=$Workbook$;Location=INPUT_VTS_REGIE_DT;Extended Properties=&quot;&quot;" command="SELECT * FROM [INPUT_VTS_REGIE_DT]"/>
  </connection>
  <connection id="7" xr16:uid="{F0489129-DFA9-4BB0-A49C-5B827C6A18F6}" keepAlive="1" name="Query - Tab_Parameters" description="Connection to the 'Tab_Parameters' query in the workbook." type="5" refreshedVersion="0" background="1">
    <dbPr connection="Provider=Microsoft.Mashup.OleDb.1;Data Source=$Workbook$;Location=Tab_Parameters;Extended Properties=&quot;&quot;" command="SELECT * FROM [Tab_Paramet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79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futureMetadata>
  <cellMetadata count="1">
    <bk>
      <rc t="1" v="0"/>
    </bk>
  </cellMetadata>
  <valueMetadata count="27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valueMetadata>
</metadata>
</file>

<file path=xl/sharedStrings.xml><?xml version="1.0" encoding="utf-8"?>
<sst xmlns="http://schemas.openxmlformats.org/spreadsheetml/2006/main" count="62303" uniqueCount="3959">
  <si>
    <t>C:\Users\Gebruiker\OneDrive - DeLijn\</t>
  </si>
  <si>
    <t>Refresh</t>
  </si>
  <si>
    <t>Item_Name</t>
  </si>
  <si>
    <t>Refresh status</t>
  </si>
  <si>
    <t>Order</t>
  </si>
  <si>
    <t>RelocateBefore_Refresh</t>
  </si>
  <si>
    <t>INPUT_TABLEAU</t>
  </si>
  <si>
    <t>Last refresh : 15-09-23 09:21:04</t>
  </si>
  <si>
    <t>INPUT_OSCAR_DATA</t>
  </si>
  <si>
    <t>Last refresh : 15-09-23 09:21:07</t>
  </si>
  <si>
    <t>INPUT_OC_LIJST</t>
  </si>
  <si>
    <t>Last refresh : 15-09-23 09:21:09</t>
  </si>
  <si>
    <t>INPUT_OC_LIJST_DT</t>
  </si>
  <si>
    <t>Last refresh : 15-09-23 09:21:11</t>
  </si>
  <si>
    <t>INPUT_VOERTUIGVERDELING</t>
  </si>
  <si>
    <t>Last refresh : 15-09-23 09:21:12</t>
  </si>
  <si>
    <t>INPUT_VOERTUIGVERDELING_DT2</t>
  </si>
  <si>
    <t>Last refresh : 15-09-23 09:21:14</t>
  </si>
  <si>
    <t>INPUT_VT_Configs</t>
  </si>
  <si>
    <t>Last refresh : 15-09-23 09:21:16</t>
  </si>
  <si>
    <t>INPUT_VT_Configs_DT</t>
  </si>
  <si>
    <t>Last refresh : 15-09-23 09:21:18</t>
  </si>
  <si>
    <t>Analyse_Uitgevoerd</t>
  </si>
  <si>
    <t>Analyse_Uitgevoerd_Per_VTType</t>
  </si>
  <si>
    <t>Default</t>
  </si>
  <si>
    <t>Local folder ID</t>
  </si>
  <si>
    <t>Local folder path</t>
  </si>
  <si>
    <t>HOME_MACHINE</t>
  </si>
  <si>
    <t>LAPTOP</t>
  </si>
  <si>
    <t>C:\Users\lucva\OneDrive - DeLijn\</t>
  </si>
  <si>
    <t>Parameter</t>
  </si>
  <si>
    <t>Value</t>
  </si>
  <si>
    <t>Commentaar</t>
  </si>
  <si>
    <t>BASE_LOCAL_FOLDER</t>
  </si>
  <si>
    <t>Via E1 gezet (E1 wordt in macro opgehaald)</t>
  </si>
  <si>
    <t>CURRENT_FILE_FOLDER</t>
  </si>
  <si>
    <t>CURRENT_FILE_NAME</t>
  </si>
  <si>
    <t>CURRENT_FILE_PATH</t>
  </si>
  <si>
    <t>https://delijn-my.sharepoint.com/personal/37494_delijn_be/Documents/Documents/VT_IPlan/</t>
  </si>
  <si>
    <t>VT_Iplanner.xlsm</t>
  </si>
  <si>
    <t>BASE_WEB_FOLDER</t>
  </si>
  <si>
    <t>Current file</t>
  </si>
  <si>
    <t>Input files</t>
  </si>
  <si>
    <t>INPUT_SUB_FOLDER</t>
  </si>
  <si>
    <t>INPUT_FILE_NAME_VTS_REGIE</t>
  </si>
  <si>
    <t>INPUT_FILE_NAME_VTS_EXPL</t>
  </si>
  <si>
    <t>Input/</t>
  </si>
  <si>
    <t>INPUT_SUB_FOLDER_PATH</t>
  </si>
  <si>
    <t>Voertuigen_Regie_06092023.xlsx</t>
  </si>
  <si>
    <t>Voertuigen_Exploitanten_06092023.xlsx</t>
  </si>
  <si>
    <t>INPUT_FILE_PATH_VTS_REGIE</t>
  </si>
  <si>
    <t>INPUT_FILE_PATH_VTS_EXPL</t>
  </si>
  <si>
    <t>Link</t>
  </si>
  <si>
    <t>Base folders</t>
  </si>
  <si>
    <t>Vt Nummer</t>
  </si>
  <si>
    <t>Code motor euroklasse</t>
  </si>
  <si>
    <t>Stelplaats Code</t>
  </si>
  <si>
    <t>Stelplaats</t>
  </si>
  <si>
    <t>Stelplaats OC Code</t>
  </si>
  <si>
    <t>Stelplaats OC</t>
  </si>
  <si>
    <t>Datum eerste gebruik</t>
  </si>
  <si>
    <t>Entiteitsnummer</t>
  </si>
  <si>
    <t>Entiteit</t>
  </si>
  <si>
    <t>Bestelnummer</t>
  </si>
  <si>
    <t>Flag lage vloer</t>
  </si>
  <si>
    <t>Flag roetfilter</t>
  </si>
  <si>
    <t>Flag halte aankondiging systeem</t>
  </si>
  <si>
    <t>Flag rolstoel verankering</t>
  </si>
  <si>
    <t>Flag oprijplaat aanwezig</t>
  </si>
  <si>
    <t>Aantal voertuigen</t>
  </si>
  <si>
    <t>Counter</t>
  </si>
  <si>
    <t>Datum Rapport</t>
  </si>
  <si>
    <t>Code voertuig status</t>
  </si>
  <si>
    <t>Onbekend</t>
  </si>
  <si>
    <t>?</t>
  </si>
  <si>
    <t>Niet Beschikbaar</t>
  </si>
  <si>
    <t>J</t>
  </si>
  <si>
    <t>125</t>
  </si>
  <si>
    <t>153</t>
  </si>
  <si>
    <t>4</t>
  </si>
  <si>
    <t>130</t>
  </si>
  <si>
    <t>145</t>
  </si>
  <si>
    <t>5</t>
  </si>
  <si>
    <t>142</t>
  </si>
  <si>
    <t>118</t>
  </si>
  <si>
    <t>143</t>
  </si>
  <si>
    <t>112</t>
  </si>
  <si>
    <t>141</t>
  </si>
  <si>
    <t>2</t>
  </si>
  <si>
    <t>154</t>
  </si>
  <si>
    <t>1</t>
  </si>
  <si>
    <t>133</t>
  </si>
  <si>
    <t>155</t>
  </si>
  <si>
    <t>150</t>
  </si>
  <si>
    <t>116</t>
  </si>
  <si>
    <t>N</t>
  </si>
  <si>
    <t>128</t>
  </si>
  <si>
    <t>152</t>
  </si>
  <si>
    <t>9</t>
  </si>
  <si>
    <t>0E</t>
  </si>
  <si>
    <t>126</t>
  </si>
  <si>
    <t>3</t>
  </si>
  <si>
    <t>124</t>
  </si>
  <si>
    <t>111</t>
  </si>
  <si>
    <t>131</t>
  </si>
  <si>
    <t>144</t>
  </si>
  <si>
    <t>120</t>
  </si>
  <si>
    <t>129</t>
  </si>
  <si>
    <t>115</t>
  </si>
  <si>
    <t>114</t>
  </si>
  <si>
    <t>151</t>
  </si>
  <si>
    <t>148</t>
  </si>
  <si>
    <t>122</t>
  </si>
  <si>
    <t>113</t>
  </si>
  <si>
    <t>123</t>
  </si>
  <si>
    <t>147</t>
  </si>
  <si>
    <t>146</t>
  </si>
  <si>
    <t>121</t>
  </si>
  <si>
    <t>119</t>
  </si>
  <si>
    <t>TODAY</t>
  </si>
  <si>
    <t>Vt Type</t>
  </si>
  <si>
    <t>Vt Sub Type</t>
  </si>
  <si>
    <t>Vt Omschrijving</t>
  </si>
  <si>
    <t>Leeftijd</t>
  </si>
  <si>
    <t>Voertuignummer</t>
  </si>
  <si>
    <t>Voertuigtype</t>
  </si>
  <si>
    <t>Leverancier</t>
  </si>
  <si>
    <t>Model</t>
  </si>
  <si>
    <t>Euronorm</t>
  </si>
  <si>
    <t>Datum eerste inschrijving</t>
  </si>
  <si>
    <t>Type gebruik</t>
  </si>
  <si>
    <t>Status</t>
  </si>
  <si>
    <t>Eigenaar</t>
  </si>
  <si>
    <t>Nummerplaat</t>
  </si>
  <si>
    <t>111054</t>
  </si>
  <si>
    <t>Standaard</t>
  </si>
  <si>
    <t>Jonckheere</t>
  </si>
  <si>
    <t>Euro3</t>
  </si>
  <si>
    <t>Steun</t>
  </si>
  <si>
    <t>Uitgerust</t>
  </si>
  <si>
    <t>B&amp;C nv</t>
  </si>
  <si>
    <t>HKM854</t>
  </si>
  <si>
    <t>441857</t>
  </si>
  <si>
    <t>Mercedes</t>
  </si>
  <si>
    <t>Citaro</t>
  </si>
  <si>
    <t>Reserve</t>
  </si>
  <si>
    <t>VBM nv</t>
  </si>
  <si>
    <t>1NCE912</t>
  </si>
  <si>
    <t>605-043</t>
  </si>
  <si>
    <t>Van Hool</t>
  </si>
  <si>
    <t>A360</t>
  </si>
  <si>
    <t>Mattheesen Ch. BV.</t>
  </si>
  <si>
    <t>1KFG886</t>
  </si>
  <si>
    <t>400934</t>
  </si>
  <si>
    <t>K.A.V. BV.</t>
  </si>
  <si>
    <t>TDX812</t>
  </si>
  <si>
    <t>110335</t>
  </si>
  <si>
    <t>geen inzet</t>
  </si>
  <si>
    <t>TFZ154</t>
  </si>
  <si>
    <t>331125</t>
  </si>
  <si>
    <t>Cars Lux bvba</t>
  </si>
  <si>
    <t>TJU984</t>
  </si>
  <si>
    <t>222323</t>
  </si>
  <si>
    <t>A360 new</t>
  </si>
  <si>
    <t>Te vervangen</t>
  </si>
  <si>
    <t>Waaslandia Autobussen BV.</t>
  </si>
  <si>
    <t>1KPE627</t>
  </si>
  <si>
    <t>222322</t>
  </si>
  <si>
    <t>1KPE567</t>
  </si>
  <si>
    <t>110825</t>
  </si>
  <si>
    <t>Kruger Autobus BV.</t>
  </si>
  <si>
    <t>1XCG890</t>
  </si>
  <si>
    <t>110613</t>
  </si>
  <si>
    <t xml:space="preserve">Van Hool </t>
  </si>
  <si>
    <t>TPF099</t>
  </si>
  <si>
    <t>220455</t>
  </si>
  <si>
    <t>Euro4</t>
  </si>
  <si>
    <t>Lijn</t>
  </si>
  <si>
    <t>Ganda Cars NV</t>
  </si>
  <si>
    <t>BHL878</t>
  </si>
  <si>
    <t>221313</t>
  </si>
  <si>
    <t>VDL</t>
  </si>
  <si>
    <t xml:space="preserve">Transit 2000 </t>
  </si>
  <si>
    <t>Coach Partners Oost-Vlaanderen nv</t>
  </si>
  <si>
    <t>1FPK287</t>
  </si>
  <si>
    <t>110433</t>
  </si>
  <si>
    <t>Van Rompaye nv</t>
  </si>
  <si>
    <t>TTX505</t>
  </si>
  <si>
    <t>648-016</t>
  </si>
  <si>
    <t>Klein Brabant Autobussen NV</t>
  </si>
  <si>
    <t>3238P</t>
  </si>
  <si>
    <t>678-063</t>
  </si>
  <si>
    <t>a 360 new</t>
  </si>
  <si>
    <t>Intratours BVBA</t>
  </si>
  <si>
    <t>964P2</t>
  </si>
  <si>
    <t>550614</t>
  </si>
  <si>
    <t>Verleyen Autobus nv</t>
  </si>
  <si>
    <t>XPN540</t>
  </si>
  <si>
    <t>440707</t>
  </si>
  <si>
    <t>Transit 2000</t>
  </si>
  <si>
    <t>Bronckaers Autobusbedrijf nv</t>
  </si>
  <si>
    <t>TWV514</t>
  </si>
  <si>
    <t>220337</t>
  </si>
  <si>
    <t>transit 2000-b7rle</t>
  </si>
  <si>
    <t>Van Hoorebeke &amp; Zoon bvba</t>
  </si>
  <si>
    <t>TWN392</t>
  </si>
  <si>
    <t>111827</t>
  </si>
  <si>
    <t>De Schelde Autobus nv</t>
  </si>
  <si>
    <t>TWL794</t>
  </si>
  <si>
    <t>678-066</t>
  </si>
  <si>
    <t>TWL789</t>
  </si>
  <si>
    <t>220456</t>
  </si>
  <si>
    <t>CGG579</t>
  </si>
  <si>
    <t>605-044</t>
  </si>
  <si>
    <t>2CPK144</t>
  </si>
  <si>
    <t>221443</t>
  </si>
  <si>
    <t>De Decker nv</t>
  </si>
  <si>
    <t>VAE058</t>
  </si>
  <si>
    <t>678-064</t>
  </si>
  <si>
    <t>VAE057</t>
  </si>
  <si>
    <t>642-035</t>
  </si>
  <si>
    <t>Evobus 0530</t>
  </si>
  <si>
    <t>De Valk Reizen nv</t>
  </si>
  <si>
    <t>2BKE194</t>
  </si>
  <si>
    <t>220857</t>
  </si>
  <si>
    <t>Volvo</t>
  </si>
  <si>
    <t>B7RLE/Transit2000</t>
  </si>
  <si>
    <t>Geenens NV</t>
  </si>
  <si>
    <t>VHX258</t>
  </si>
  <si>
    <t>649-012</t>
  </si>
  <si>
    <t>De Meibloem nv</t>
  </si>
  <si>
    <t>VES949</t>
  </si>
  <si>
    <t>440304</t>
  </si>
  <si>
    <t>VMG452</t>
  </si>
  <si>
    <t>440214</t>
  </si>
  <si>
    <t>VPF257</t>
  </si>
  <si>
    <t>441203</t>
  </si>
  <si>
    <t>VPA850</t>
  </si>
  <si>
    <t>442060</t>
  </si>
  <si>
    <t>Euro5</t>
  </si>
  <si>
    <t>Mebis G. &amp; C° Autobusbedrijf NV</t>
  </si>
  <si>
    <t>VRQ728</t>
  </si>
  <si>
    <t>110340</t>
  </si>
  <si>
    <t>1KCB348</t>
  </si>
  <si>
    <t>220457</t>
  </si>
  <si>
    <t>VQD019</t>
  </si>
  <si>
    <t>550615</t>
  </si>
  <si>
    <t>XPP058</t>
  </si>
  <si>
    <t>441873</t>
  </si>
  <si>
    <t>1NCF128</t>
  </si>
  <si>
    <t>440721</t>
  </si>
  <si>
    <t>VUI634</t>
  </si>
  <si>
    <t>440724</t>
  </si>
  <si>
    <t>VUI633</t>
  </si>
  <si>
    <t>676-049</t>
  </si>
  <si>
    <t>1BAF984</t>
  </si>
  <si>
    <t>441774</t>
  </si>
  <si>
    <t>1NCF156</t>
  </si>
  <si>
    <t>440633</t>
  </si>
  <si>
    <t>1UMG353</t>
  </si>
  <si>
    <t>441944</t>
  </si>
  <si>
    <t>Cintral nv</t>
  </si>
  <si>
    <t>XAH365</t>
  </si>
  <si>
    <t>331218</t>
  </si>
  <si>
    <t>De Reys Autobussen nv</t>
  </si>
  <si>
    <t>XCQ024</t>
  </si>
  <si>
    <t>309738</t>
  </si>
  <si>
    <t xml:space="preserve">Citaro O 530 </t>
  </si>
  <si>
    <t>Modern Toerisme nv</t>
  </si>
  <si>
    <t>XEH059</t>
  </si>
  <si>
    <t>111146</t>
  </si>
  <si>
    <t>A360H</t>
  </si>
  <si>
    <t>XHY836</t>
  </si>
  <si>
    <t>119949</t>
  </si>
  <si>
    <t>XHY851</t>
  </si>
  <si>
    <t>111845</t>
  </si>
  <si>
    <t>XHY844</t>
  </si>
  <si>
    <t>110343</t>
  </si>
  <si>
    <t>XKA485</t>
  </si>
  <si>
    <t>111244</t>
  </si>
  <si>
    <t>XKX131</t>
  </si>
  <si>
    <t>119947</t>
  </si>
  <si>
    <t>XKX124</t>
  </si>
  <si>
    <t>442237</t>
  </si>
  <si>
    <t>Melotte R. &amp; C° Autobusdiensten nv</t>
  </si>
  <si>
    <t>XNF481</t>
  </si>
  <si>
    <t>203102</t>
  </si>
  <si>
    <t>XNK693</t>
  </si>
  <si>
    <t>331219</t>
  </si>
  <si>
    <t>XMW439</t>
  </si>
  <si>
    <t>222427</t>
  </si>
  <si>
    <t>YBV157</t>
  </si>
  <si>
    <t>110516</t>
  </si>
  <si>
    <t>XQX345</t>
  </si>
  <si>
    <t>110517</t>
  </si>
  <si>
    <t>A 360 new</t>
  </si>
  <si>
    <t>XQX349</t>
  </si>
  <si>
    <t>222025</t>
  </si>
  <si>
    <t>1KPD960</t>
  </si>
  <si>
    <t>110519</t>
  </si>
  <si>
    <t>XQX337</t>
  </si>
  <si>
    <t>110518</t>
  </si>
  <si>
    <t>1FFU691</t>
  </si>
  <si>
    <t>110514</t>
  </si>
  <si>
    <t>XQX344</t>
  </si>
  <si>
    <t>110515</t>
  </si>
  <si>
    <t>XQX351</t>
  </si>
  <si>
    <t>104802</t>
  </si>
  <si>
    <t>Citaro O 530 LE</t>
  </si>
  <si>
    <t>XQC199</t>
  </si>
  <si>
    <t>637-026</t>
  </si>
  <si>
    <t>1XRT529</t>
  </si>
  <si>
    <t>637-027</t>
  </si>
  <si>
    <t>1YEJ113</t>
  </si>
  <si>
    <t>221107</t>
  </si>
  <si>
    <t>B7RLE</t>
  </si>
  <si>
    <t>Sylvae Tours NV</t>
  </si>
  <si>
    <t>XSF707</t>
  </si>
  <si>
    <t>304013</t>
  </si>
  <si>
    <t xml:space="preserve">Citaro LE </t>
  </si>
  <si>
    <t>Flanders Bus NV</t>
  </si>
  <si>
    <t>473CAX</t>
  </si>
  <si>
    <t>440216</t>
  </si>
  <si>
    <t>XRH712</t>
  </si>
  <si>
    <t>440302</t>
  </si>
  <si>
    <t>XRH713</t>
  </si>
  <si>
    <t>303701</t>
  </si>
  <si>
    <t>XSG924</t>
  </si>
  <si>
    <t>442169</t>
  </si>
  <si>
    <t>1TBS693</t>
  </si>
  <si>
    <t>331473</t>
  </si>
  <si>
    <t>XSN380</t>
  </si>
  <si>
    <t>111248</t>
  </si>
  <si>
    <t>XSU649</t>
  </si>
  <si>
    <t>303253</t>
  </si>
  <si>
    <t>XTB139</t>
  </si>
  <si>
    <t>303252</t>
  </si>
  <si>
    <t>XTB141</t>
  </si>
  <si>
    <t>303254</t>
  </si>
  <si>
    <t>XTB138</t>
  </si>
  <si>
    <t>111251</t>
  </si>
  <si>
    <t>XTB142</t>
  </si>
  <si>
    <t>676-048</t>
  </si>
  <si>
    <t>Euro2</t>
  </si>
  <si>
    <t>XTB145</t>
  </si>
  <si>
    <t>302974</t>
  </si>
  <si>
    <t>XTD136</t>
  </si>
  <si>
    <t>303150</t>
  </si>
  <si>
    <t>XTM031</t>
  </si>
  <si>
    <t>442063</t>
  </si>
  <si>
    <t>XTR511</t>
  </si>
  <si>
    <t>618-045</t>
  </si>
  <si>
    <t>De Voeght A. &amp; C° bvba</t>
  </si>
  <si>
    <t>XUG958</t>
  </si>
  <si>
    <t>112113</t>
  </si>
  <si>
    <t>Marcel Cars BVBA</t>
  </si>
  <si>
    <t>4126P</t>
  </si>
  <si>
    <t>303456</t>
  </si>
  <si>
    <t>XUJ616</t>
  </si>
  <si>
    <t>331058</t>
  </si>
  <si>
    <t>XYB566</t>
  </si>
  <si>
    <t>220458</t>
  </si>
  <si>
    <t>HBR992</t>
  </si>
  <si>
    <t>303359</t>
  </si>
  <si>
    <t>XYB563</t>
  </si>
  <si>
    <t>111857</t>
  </si>
  <si>
    <t>XYB565</t>
  </si>
  <si>
    <t>641-061</t>
  </si>
  <si>
    <t>XWS002</t>
  </si>
  <si>
    <t>611-074</t>
  </si>
  <si>
    <t>2CTP988</t>
  </si>
  <si>
    <t>440882</t>
  </si>
  <si>
    <t>Heidebloem nv</t>
  </si>
  <si>
    <t>XWS227</t>
  </si>
  <si>
    <t>618-046</t>
  </si>
  <si>
    <t>XWS229</t>
  </si>
  <si>
    <t>442238</t>
  </si>
  <si>
    <t>XXS363</t>
  </si>
  <si>
    <t>302979</t>
  </si>
  <si>
    <t>MAN</t>
  </si>
  <si>
    <t>Lion's City A21</t>
  </si>
  <si>
    <t>YAF250</t>
  </si>
  <si>
    <t>303706</t>
  </si>
  <si>
    <t>Citaro 0530 LE</t>
  </si>
  <si>
    <t>XZA608</t>
  </si>
  <si>
    <t>100993</t>
  </si>
  <si>
    <t>De Duinen nv</t>
  </si>
  <si>
    <t>DDU216</t>
  </si>
  <si>
    <t>111444</t>
  </si>
  <si>
    <t>XZA897</t>
  </si>
  <si>
    <t>550314</t>
  </si>
  <si>
    <t>Coach Partners West-Vlaanderen nv</t>
  </si>
  <si>
    <t>XYQ435</t>
  </si>
  <si>
    <t>502603</t>
  </si>
  <si>
    <t>YAN669</t>
  </si>
  <si>
    <t>502602</t>
  </si>
  <si>
    <t>XYQ436</t>
  </si>
  <si>
    <t>330701</t>
  </si>
  <si>
    <t>Van Mullem &amp; Zonen BVBA</t>
  </si>
  <si>
    <t>9605P</t>
  </si>
  <si>
    <t>330702</t>
  </si>
  <si>
    <t>1DUX130</t>
  </si>
  <si>
    <t>220338</t>
  </si>
  <si>
    <t>YBE041</t>
  </si>
  <si>
    <t>441970</t>
  </si>
  <si>
    <t>1HGB944</t>
  </si>
  <si>
    <t>303082</t>
  </si>
  <si>
    <t>YBE926</t>
  </si>
  <si>
    <t>111862</t>
  </si>
  <si>
    <t>XXJ694</t>
  </si>
  <si>
    <t>111861</t>
  </si>
  <si>
    <t>XXJ693</t>
  </si>
  <si>
    <t>440752</t>
  </si>
  <si>
    <t>1URH305</t>
  </si>
  <si>
    <t>441237</t>
  </si>
  <si>
    <t>1UWU397</t>
  </si>
  <si>
    <t>058-086</t>
  </si>
  <si>
    <t>1VDH189</t>
  </si>
  <si>
    <t>010-063</t>
  </si>
  <si>
    <t>Evobus Mercedes</t>
  </si>
  <si>
    <t>O 530 Citaro LE</t>
  </si>
  <si>
    <t>De Polder Bus nv</t>
  </si>
  <si>
    <t>1SBA901</t>
  </si>
  <si>
    <t>010-062</t>
  </si>
  <si>
    <t>1SBA917</t>
  </si>
  <si>
    <t>550616</t>
  </si>
  <si>
    <t>NL273</t>
  </si>
  <si>
    <t>XYS922</t>
  </si>
  <si>
    <t>441945</t>
  </si>
  <si>
    <t>YAD445</t>
  </si>
  <si>
    <t>110723</t>
  </si>
  <si>
    <t>Comfort Cars nv</t>
  </si>
  <si>
    <t>YDP669</t>
  </si>
  <si>
    <t>110722</t>
  </si>
  <si>
    <t>A600 new</t>
  </si>
  <si>
    <t>YDP667</t>
  </si>
  <si>
    <t>603-034</t>
  </si>
  <si>
    <t>2AVV905</t>
  </si>
  <si>
    <t>440985</t>
  </si>
  <si>
    <t>YDV313</t>
  </si>
  <si>
    <t>110346</t>
  </si>
  <si>
    <t>YGA848</t>
  </si>
  <si>
    <t>614-035</t>
  </si>
  <si>
    <t>YGA853</t>
  </si>
  <si>
    <t>616-046</t>
  </si>
  <si>
    <t>transcity 2000</t>
  </si>
  <si>
    <t>2DWW865</t>
  </si>
  <si>
    <t>221315</t>
  </si>
  <si>
    <t>1FPK259</t>
  </si>
  <si>
    <t>440731</t>
  </si>
  <si>
    <t>YDX975</t>
  </si>
  <si>
    <t>671-018</t>
  </si>
  <si>
    <t>Muylaert NV</t>
  </si>
  <si>
    <t>YDH139</t>
  </si>
  <si>
    <t>440230</t>
  </si>
  <si>
    <t>YDY246</t>
  </si>
  <si>
    <t>110826</t>
  </si>
  <si>
    <t>1XDV245</t>
  </si>
  <si>
    <t>331564</t>
  </si>
  <si>
    <t>YGW080</t>
  </si>
  <si>
    <t>111865</t>
  </si>
  <si>
    <t>YGW079</t>
  </si>
  <si>
    <t>110349</t>
  </si>
  <si>
    <t>YHP452</t>
  </si>
  <si>
    <t>550248</t>
  </si>
  <si>
    <t>Deceuninck Auto's NV</t>
  </si>
  <si>
    <t>YGZ767</t>
  </si>
  <si>
    <t>550433</t>
  </si>
  <si>
    <t>Lenoir NV</t>
  </si>
  <si>
    <t>YGS426</t>
  </si>
  <si>
    <t>110348</t>
  </si>
  <si>
    <t>YHQ950</t>
  </si>
  <si>
    <t>112119</t>
  </si>
  <si>
    <t>1RHH459</t>
  </si>
  <si>
    <t>442335</t>
  </si>
  <si>
    <t>1SCK314</t>
  </si>
  <si>
    <t>671-021</t>
  </si>
  <si>
    <t>2DUS385</t>
  </si>
  <si>
    <t>671-020</t>
  </si>
  <si>
    <t>2DSV319</t>
  </si>
  <si>
    <t>441811</t>
  </si>
  <si>
    <t>1SCF878</t>
  </si>
  <si>
    <t>642-039</t>
  </si>
  <si>
    <t>2DWM276</t>
  </si>
  <si>
    <t>441947</t>
  </si>
  <si>
    <t>YLY946</t>
  </si>
  <si>
    <t>441946</t>
  </si>
  <si>
    <t>YLY944</t>
  </si>
  <si>
    <t>550148</t>
  </si>
  <si>
    <t>Transcity 2000</t>
  </si>
  <si>
    <t>Gruson Autobus NV</t>
  </si>
  <si>
    <t>YMK492</t>
  </si>
  <si>
    <t>441216</t>
  </si>
  <si>
    <t>YLK750</t>
  </si>
  <si>
    <t>440634</t>
  </si>
  <si>
    <t>YLK749</t>
  </si>
  <si>
    <t>112222</t>
  </si>
  <si>
    <t>YNH410</t>
  </si>
  <si>
    <t>112216</t>
  </si>
  <si>
    <t>YNG621</t>
  </si>
  <si>
    <t>112214</t>
  </si>
  <si>
    <t>YNG516</t>
  </si>
  <si>
    <t>442334</t>
  </si>
  <si>
    <t>1VLS632</t>
  </si>
  <si>
    <t>440323</t>
  </si>
  <si>
    <t>1EAQ218</t>
  </si>
  <si>
    <t>441948</t>
  </si>
  <si>
    <t>YLL166</t>
  </si>
  <si>
    <t>550710</t>
  </si>
  <si>
    <t>Mandel Car NV</t>
  </si>
  <si>
    <t>YHF100</t>
  </si>
  <si>
    <t>440330</t>
  </si>
  <si>
    <t>1EAQ232</t>
  </si>
  <si>
    <t>112218</t>
  </si>
  <si>
    <t>YNR550</t>
  </si>
  <si>
    <t>112221</t>
  </si>
  <si>
    <t>YPH737</t>
  </si>
  <si>
    <t>112226</t>
  </si>
  <si>
    <t>YPN003</t>
  </si>
  <si>
    <t>104817</t>
  </si>
  <si>
    <t>YPN007</t>
  </si>
  <si>
    <t>441878</t>
  </si>
  <si>
    <t>1NCF218</t>
  </si>
  <si>
    <t>302978</t>
  </si>
  <si>
    <t>YQB598</t>
  </si>
  <si>
    <t>112231</t>
  </si>
  <si>
    <t>YQT479</t>
  </si>
  <si>
    <t>112232</t>
  </si>
  <si>
    <t>YQT477</t>
  </si>
  <si>
    <t>112228</t>
  </si>
  <si>
    <t>YQT484</t>
  </si>
  <si>
    <t>112233</t>
  </si>
  <si>
    <t>YQT474</t>
  </si>
  <si>
    <t>112238</t>
  </si>
  <si>
    <t>YRJ590</t>
  </si>
  <si>
    <t>112236</t>
  </si>
  <si>
    <t>1LGH683</t>
  </si>
  <si>
    <t>112237</t>
  </si>
  <si>
    <t>YRJ589</t>
  </si>
  <si>
    <t>112230</t>
  </si>
  <si>
    <t>YRJ593</t>
  </si>
  <si>
    <t>442239</t>
  </si>
  <si>
    <t>YRJ579</t>
  </si>
  <si>
    <t>112239</t>
  </si>
  <si>
    <t>YRK584</t>
  </si>
  <si>
    <t>112234</t>
  </si>
  <si>
    <t>YRK579</t>
  </si>
  <si>
    <t>112235</t>
  </si>
  <si>
    <t>YRK586</t>
  </si>
  <si>
    <t>105178</t>
  </si>
  <si>
    <t xml:space="preserve">A360H </t>
  </si>
  <si>
    <t>YRL150</t>
  </si>
  <si>
    <t>105177</t>
  </si>
  <si>
    <t>YRL149</t>
  </si>
  <si>
    <t>111510</t>
  </si>
  <si>
    <t>De Reys &amp; Zn bvba</t>
  </si>
  <si>
    <t>045P3</t>
  </si>
  <si>
    <t>110350</t>
  </si>
  <si>
    <t>YQV549</t>
  </si>
  <si>
    <t>304255</t>
  </si>
  <si>
    <t>NL273 LIONS CITY</t>
  </si>
  <si>
    <t>YRW836</t>
  </si>
  <si>
    <t>674-066</t>
  </si>
  <si>
    <t>YRX469</t>
  </si>
  <si>
    <t>304006</t>
  </si>
  <si>
    <t>YRG103</t>
  </si>
  <si>
    <t>304003</t>
  </si>
  <si>
    <t>YRG105</t>
  </si>
  <si>
    <t>304005</t>
  </si>
  <si>
    <t>YRG104</t>
  </si>
  <si>
    <t>644-084</t>
  </si>
  <si>
    <t>2ALS833</t>
  </si>
  <si>
    <t>135-008</t>
  </si>
  <si>
    <t>Coach Partners Brabant nv</t>
  </si>
  <si>
    <t>2ABF252</t>
  </si>
  <si>
    <t>613-025</t>
  </si>
  <si>
    <t>2CTL703</t>
  </si>
  <si>
    <t>110436</t>
  </si>
  <si>
    <t>YTC281</t>
  </si>
  <si>
    <t>110435</t>
  </si>
  <si>
    <t>YTC280</t>
  </si>
  <si>
    <t>111266</t>
  </si>
  <si>
    <t>YTC329</t>
  </si>
  <si>
    <t>104-025</t>
  </si>
  <si>
    <t>2AUL381</t>
  </si>
  <si>
    <t>105481</t>
  </si>
  <si>
    <t>1EAC141</t>
  </si>
  <si>
    <t>303811</t>
  </si>
  <si>
    <t>YPW017</t>
  </si>
  <si>
    <t>105479</t>
  </si>
  <si>
    <t>1EAC189</t>
  </si>
  <si>
    <t>303810</t>
  </si>
  <si>
    <t>YPM487</t>
  </si>
  <si>
    <t>105480</t>
  </si>
  <si>
    <t>1EAC099</t>
  </si>
  <si>
    <t>502701</t>
  </si>
  <si>
    <t>Gino Tours NV</t>
  </si>
  <si>
    <t>1STJ610</t>
  </si>
  <si>
    <t>644-076</t>
  </si>
  <si>
    <t>1XKR088</t>
  </si>
  <si>
    <t>330707</t>
  </si>
  <si>
    <t>YTM396</t>
  </si>
  <si>
    <t>330705</t>
  </si>
  <si>
    <t>YTR620</t>
  </si>
  <si>
    <t>111423</t>
  </si>
  <si>
    <t>YTS589</t>
  </si>
  <si>
    <t>441779</t>
  </si>
  <si>
    <t>1NCF244</t>
  </si>
  <si>
    <t>401280</t>
  </si>
  <si>
    <t>1NCF232</t>
  </si>
  <si>
    <t>220760</t>
  </si>
  <si>
    <t>Citaro LE</t>
  </si>
  <si>
    <t>YUW799</t>
  </si>
  <si>
    <t>401281</t>
  </si>
  <si>
    <t>1NCF251</t>
  </si>
  <si>
    <t>111426</t>
  </si>
  <si>
    <t>YTU706</t>
  </si>
  <si>
    <t>331220</t>
  </si>
  <si>
    <t>MB Citaro Le</t>
  </si>
  <si>
    <t>YTU983</t>
  </si>
  <si>
    <t>111445</t>
  </si>
  <si>
    <t>YTU984</t>
  </si>
  <si>
    <t>401282</t>
  </si>
  <si>
    <t>1NCF253</t>
  </si>
  <si>
    <t>303930</t>
  </si>
  <si>
    <t>XVY761</t>
  </si>
  <si>
    <t>440735</t>
  </si>
  <si>
    <t>YUQ748</t>
  </si>
  <si>
    <t>303932</t>
  </si>
  <si>
    <t>YWC038</t>
  </si>
  <si>
    <t>303931</t>
  </si>
  <si>
    <t>YWC046</t>
  </si>
  <si>
    <t>303933</t>
  </si>
  <si>
    <t>YWC039</t>
  </si>
  <si>
    <t>303934</t>
  </si>
  <si>
    <t>YWC045</t>
  </si>
  <si>
    <t>303935</t>
  </si>
  <si>
    <t>YWC109</t>
  </si>
  <si>
    <t>303936</t>
  </si>
  <si>
    <t>YWC108</t>
  </si>
  <si>
    <t>401283</t>
  </si>
  <si>
    <t>1NCF262</t>
  </si>
  <si>
    <t>551083</t>
  </si>
  <si>
    <t>1STU885</t>
  </si>
  <si>
    <t>220341</t>
  </si>
  <si>
    <t>YWX451</t>
  </si>
  <si>
    <t>330817</t>
  </si>
  <si>
    <t>Autobussen P. Van Mullem</t>
  </si>
  <si>
    <t>YXC457</t>
  </si>
  <si>
    <t>610-077</t>
  </si>
  <si>
    <t>2AGT568</t>
  </si>
  <si>
    <t>111279</t>
  </si>
  <si>
    <t>YWU446</t>
  </si>
  <si>
    <t>119980</t>
  </si>
  <si>
    <t>YWU165</t>
  </si>
  <si>
    <t>111178</t>
  </si>
  <si>
    <t>Scania</t>
  </si>
  <si>
    <t>YWU164</t>
  </si>
  <si>
    <t>111181</t>
  </si>
  <si>
    <t>YWU445</t>
  </si>
  <si>
    <t>111065</t>
  </si>
  <si>
    <t>YXV315</t>
  </si>
  <si>
    <t>110437</t>
  </si>
  <si>
    <t>BKY101</t>
  </si>
  <si>
    <t>110438</t>
  </si>
  <si>
    <t>GRH633</t>
  </si>
  <si>
    <t>440426</t>
  </si>
  <si>
    <t>EVOBUS</t>
  </si>
  <si>
    <t>CITARO</t>
  </si>
  <si>
    <t>D.B. Traffic bvba</t>
  </si>
  <si>
    <t>1RXR065</t>
  </si>
  <si>
    <t>674-065</t>
  </si>
  <si>
    <t>2BRQ337</t>
  </si>
  <si>
    <t>110294</t>
  </si>
  <si>
    <t>YZP146</t>
  </si>
  <si>
    <t>110295</t>
  </si>
  <si>
    <t>YZP149</t>
  </si>
  <si>
    <t>222351</t>
  </si>
  <si>
    <t>1KPE433</t>
  </si>
  <si>
    <t>621-088</t>
  </si>
  <si>
    <t>2DPM193</t>
  </si>
  <si>
    <t>442240</t>
  </si>
  <si>
    <t>722ALA</t>
  </si>
  <si>
    <t>441516</t>
  </si>
  <si>
    <t>723ALA</t>
  </si>
  <si>
    <t>220461</t>
  </si>
  <si>
    <t>150AJI</t>
  </si>
  <si>
    <t>302857</t>
  </si>
  <si>
    <t>A360H new</t>
  </si>
  <si>
    <t>070AML</t>
  </si>
  <si>
    <t>119983</t>
  </si>
  <si>
    <t>930AMN</t>
  </si>
  <si>
    <t>331184</t>
  </si>
  <si>
    <t>929AMN</t>
  </si>
  <si>
    <t>301885</t>
  </si>
  <si>
    <t>142ATH</t>
  </si>
  <si>
    <t>221486</t>
  </si>
  <si>
    <t>141ATH</t>
  </si>
  <si>
    <t>221487</t>
  </si>
  <si>
    <t>826ASU</t>
  </si>
  <si>
    <t>110353</t>
  </si>
  <si>
    <t>292AUA</t>
  </si>
  <si>
    <t>330221</t>
  </si>
  <si>
    <t>A330</t>
  </si>
  <si>
    <t>5647P</t>
  </si>
  <si>
    <t>656-052</t>
  </si>
  <si>
    <t>Vanhool</t>
  </si>
  <si>
    <t>A330 New</t>
  </si>
  <si>
    <t>1RFV850</t>
  </si>
  <si>
    <t>650-064</t>
  </si>
  <si>
    <t>1RFV839</t>
  </si>
  <si>
    <t>550817</t>
  </si>
  <si>
    <t>Parmentier Autobus NV</t>
  </si>
  <si>
    <t>919AVA</t>
  </si>
  <si>
    <t>330709</t>
  </si>
  <si>
    <t>1DUW778</t>
  </si>
  <si>
    <t>105640</t>
  </si>
  <si>
    <t>005AWE</t>
  </si>
  <si>
    <t>105641</t>
  </si>
  <si>
    <t>631AWE</t>
  </si>
  <si>
    <t>105642</t>
  </si>
  <si>
    <t>633AWE</t>
  </si>
  <si>
    <t>105644</t>
  </si>
  <si>
    <t xml:space="preserve">Citaro </t>
  </si>
  <si>
    <t>630AWE</t>
  </si>
  <si>
    <t>105643</t>
  </si>
  <si>
    <t>634AWE</t>
  </si>
  <si>
    <t>618-035</t>
  </si>
  <si>
    <t>2AGT559</t>
  </si>
  <si>
    <t>674-062</t>
  </si>
  <si>
    <t>2AGT584</t>
  </si>
  <si>
    <t>110827</t>
  </si>
  <si>
    <t>1XDV236</t>
  </si>
  <si>
    <t>550764</t>
  </si>
  <si>
    <t>HUW136</t>
  </si>
  <si>
    <t>550763</t>
  </si>
  <si>
    <t>HUW129</t>
  </si>
  <si>
    <t>331483</t>
  </si>
  <si>
    <t>398BLH</t>
  </si>
  <si>
    <t>674-060</t>
  </si>
  <si>
    <t>TRANSIT</t>
  </si>
  <si>
    <t>582BRJ</t>
  </si>
  <si>
    <t>442179</t>
  </si>
  <si>
    <t>Dony Autobus nv</t>
  </si>
  <si>
    <t>1FBG427</t>
  </si>
  <si>
    <t>112114</t>
  </si>
  <si>
    <t>DMR284</t>
  </si>
  <si>
    <t>304395</t>
  </si>
  <si>
    <t>337BXP</t>
  </si>
  <si>
    <t>304393</t>
  </si>
  <si>
    <t>334BXP</t>
  </si>
  <si>
    <t>304394</t>
  </si>
  <si>
    <t>336BXP</t>
  </si>
  <si>
    <t>304391</t>
  </si>
  <si>
    <t>332BXP</t>
  </si>
  <si>
    <t>304392</t>
  </si>
  <si>
    <t>333BXP</t>
  </si>
  <si>
    <t>302858</t>
  </si>
  <si>
    <t>095BWC</t>
  </si>
  <si>
    <t>441517</t>
  </si>
  <si>
    <t>1CJG786</t>
  </si>
  <si>
    <t>220462</t>
  </si>
  <si>
    <t>265BZR</t>
  </si>
  <si>
    <t>442242</t>
  </si>
  <si>
    <t>1NPR044</t>
  </si>
  <si>
    <t>222428</t>
  </si>
  <si>
    <t>1ADK466</t>
  </si>
  <si>
    <t>110355</t>
  </si>
  <si>
    <t>1FHX738</t>
  </si>
  <si>
    <t>302685</t>
  </si>
  <si>
    <t>1ABV451</t>
  </si>
  <si>
    <t>309784</t>
  </si>
  <si>
    <t>1ABV444</t>
  </si>
  <si>
    <t>331487</t>
  </si>
  <si>
    <t>1ABW365</t>
  </si>
  <si>
    <t>303986</t>
  </si>
  <si>
    <t>1ABW360</t>
  </si>
  <si>
    <t>110990</t>
  </si>
  <si>
    <t>1AFD977</t>
  </si>
  <si>
    <t>110991</t>
  </si>
  <si>
    <t>1AFD967</t>
  </si>
  <si>
    <t>300692</t>
  </si>
  <si>
    <t>Lion's City</t>
  </si>
  <si>
    <t>1FWM234</t>
  </si>
  <si>
    <t>550523</t>
  </si>
  <si>
    <t>Demuynck &amp; Vansteelandt NV</t>
  </si>
  <si>
    <t>1AGL371</t>
  </si>
  <si>
    <t>309788</t>
  </si>
  <si>
    <t>1AGL378</t>
  </si>
  <si>
    <t>621-090</t>
  </si>
  <si>
    <t>2DRG909</t>
  </si>
  <si>
    <t>550766</t>
  </si>
  <si>
    <t>VDL Citea</t>
  </si>
  <si>
    <t>1ATB202</t>
  </si>
  <si>
    <t>652-023</t>
  </si>
  <si>
    <t>Citea</t>
  </si>
  <si>
    <t>1WTW448</t>
  </si>
  <si>
    <t>221198</t>
  </si>
  <si>
    <t>1AVB039</t>
  </si>
  <si>
    <t>441315</t>
  </si>
  <si>
    <t>De Wilg BVBA</t>
  </si>
  <si>
    <t>1AWH294</t>
  </si>
  <si>
    <t>441314</t>
  </si>
  <si>
    <t>1AWG299</t>
  </si>
  <si>
    <t>330263</t>
  </si>
  <si>
    <t>S.T.A.C.A. NV</t>
  </si>
  <si>
    <t>1NEN719</t>
  </si>
  <si>
    <t>330262</t>
  </si>
  <si>
    <t>1NEH799</t>
  </si>
  <si>
    <t>442180</t>
  </si>
  <si>
    <t>1BBQ216</t>
  </si>
  <si>
    <t>330366</t>
  </si>
  <si>
    <t>1NDV465</t>
  </si>
  <si>
    <t>330364</t>
  </si>
  <si>
    <t>1NDV141</t>
  </si>
  <si>
    <t>330368</t>
  </si>
  <si>
    <t>1NDV516</t>
  </si>
  <si>
    <t>300693</t>
  </si>
  <si>
    <t>1FWM251</t>
  </si>
  <si>
    <t>550434</t>
  </si>
  <si>
    <t>Citaro 0530LE</t>
  </si>
  <si>
    <t>1BIN374</t>
  </si>
  <si>
    <t>440229</t>
  </si>
  <si>
    <t>Irisbus</t>
  </si>
  <si>
    <t>Irisbus Crossway</t>
  </si>
  <si>
    <t>1BIQ276</t>
  </si>
  <si>
    <t>304254</t>
  </si>
  <si>
    <t>1BKI735</t>
  </si>
  <si>
    <t>304251</t>
  </si>
  <si>
    <t>1BKI856</t>
  </si>
  <si>
    <t>304253</t>
  </si>
  <si>
    <t>1BKI746</t>
  </si>
  <si>
    <t>304252</t>
  </si>
  <si>
    <t>1BKI752</t>
  </si>
  <si>
    <t>330373</t>
  </si>
  <si>
    <t>O530</t>
  </si>
  <si>
    <t>1NFZ635</t>
  </si>
  <si>
    <t>440421</t>
  </si>
  <si>
    <t>1BPM219</t>
  </si>
  <si>
    <t>330374</t>
  </si>
  <si>
    <t>1NEJ001</t>
  </si>
  <si>
    <t>110620</t>
  </si>
  <si>
    <t>1XCG911</t>
  </si>
  <si>
    <t>550435</t>
  </si>
  <si>
    <t>1BRC133</t>
  </si>
  <si>
    <t>330375</t>
  </si>
  <si>
    <t>1NDV488</t>
  </si>
  <si>
    <t>303325</t>
  </si>
  <si>
    <t>Lions city A21</t>
  </si>
  <si>
    <t>1BSB274</t>
  </si>
  <si>
    <t>110992</t>
  </si>
  <si>
    <t>1BSC689</t>
  </si>
  <si>
    <t>550250</t>
  </si>
  <si>
    <t>1BRY820</t>
  </si>
  <si>
    <t>669-020</t>
  </si>
  <si>
    <t>Lion's city A21</t>
  </si>
  <si>
    <t>De Hauwere nv</t>
  </si>
  <si>
    <t>1BRV057</t>
  </si>
  <si>
    <t>401286</t>
  </si>
  <si>
    <t>1BTA829</t>
  </si>
  <si>
    <t>222429</t>
  </si>
  <si>
    <t>1BTA765</t>
  </si>
  <si>
    <t>111075</t>
  </si>
  <si>
    <t>1BTO855</t>
  </si>
  <si>
    <t>220463</t>
  </si>
  <si>
    <t>1BUS534</t>
  </si>
  <si>
    <t>110359</t>
  </si>
  <si>
    <t>1BVM928</t>
  </si>
  <si>
    <t>110440</t>
  </si>
  <si>
    <t>1CCV648</t>
  </si>
  <si>
    <t>110439</t>
  </si>
  <si>
    <t>1CCV664</t>
  </si>
  <si>
    <t>309718</t>
  </si>
  <si>
    <t>b7rle</t>
  </si>
  <si>
    <t>1CDD063</t>
  </si>
  <si>
    <t>330227</t>
  </si>
  <si>
    <t>1CKT422</t>
  </si>
  <si>
    <t>309723</t>
  </si>
  <si>
    <t>1CMH934</t>
  </si>
  <si>
    <t>663-016</t>
  </si>
  <si>
    <t>2BDA712</t>
  </si>
  <si>
    <t>611-059</t>
  </si>
  <si>
    <t>citea</t>
  </si>
  <si>
    <t>1XAQ133</t>
  </si>
  <si>
    <t>440422</t>
  </si>
  <si>
    <t>1CPS808</t>
  </si>
  <si>
    <t>441518</t>
  </si>
  <si>
    <t>1CPZ325</t>
  </si>
  <si>
    <t>550617</t>
  </si>
  <si>
    <t>1CTZ620</t>
  </si>
  <si>
    <t>440988</t>
  </si>
  <si>
    <t>1CUM853</t>
  </si>
  <si>
    <t>110360</t>
  </si>
  <si>
    <t>evobus 0530</t>
  </si>
  <si>
    <t>1DHZ968</t>
  </si>
  <si>
    <t>331528</t>
  </si>
  <si>
    <t>1DJV887</t>
  </si>
  <si>
    <t>330829</t>
  </si>
  <si>
    <t>1DJV890</t>
  </si>
  <si>
    <t>441519</t>
  </si>
  <si>
    <t>1DMA756</t>
  </si>
  <si>
    <t>112115</t>
  </si>
  <si>
    <t>1DQY458</t>
  </si>
  <si>
    <t>440552</t>
  </si>
  <si>
    <t>Mercedes Evobus</t>
  </si>
  <si>
    <t/>
  </si>
  <si>
    <t>Afgekeurd</t>
  </si>
  <si>
    <t>De Morgenstond Autocars</t>
  </si>
  <si>
    <t>1RCY381</t>
  </si>
  <si>
    <t>Citaro 0530 Le</t>
  </si>
  <si>
    <t>103-014</t>
  </si>
  <si>
    <t>2ATG131</t>
  </si>
  <si>
    <t>221763</t>
  </si>
  <si>
    <t>Weyn Achiel &amp; Zonen nv</t>
  </si>
  <si>
    <t>1DSL066</t>
  </si>
  <si>
    <t>110361</t>
  </si>
  <si>
    <t>1DTB490</t>
  </si>
  <si>
    <t>550309</t>
  </si>
  <si>
    <t>1DTD163</t>
  </si>
  <si>
    <t>550310</t>
  </si>
  <si>
    <t>1DTC934</t>
  </si>
  <si>
    <t>550311</t>
  </si>
  <si>
    <t>1DTC953</t>
  </si>
  <si>
    <t>550312</t>
  </si>
  <si>
    <t>1DTD166</t>
  </si>
  <si>
    <t>110297</t>
  </si>
  <si>
    <t>1DTS157</t>
  </si>
  <si>
    <t>440535</t>
  </si>
  <si>
    <t>1DTR899</t>
  </si>
  <si>
    <t>110296</t>
  </si>
  <si>
    <t>1DTS137</t>
  </si>
  <si>
    <t>440547</t>
  </si>
  <si>
    <t>1RDT586</t>
  </si>
  <si>
    <t>614-043</t>
  </si>
  <si>
    <t>2BCJ167</t>
  </si>
  <si>
    <t>440989</t>
  </si>
  <si>
    <t>1DTW665</t>
  </si>
  <si>
    <t>551086</t>
  </si>
  <si>
    <t>0530le</t>
  </si>
  <si>
    <t>1SUE854</t>
  </si>
  <si>
    <t>440548</t>
  </si>
  <si>
    <t>1REE835</t>
  </si>
  <si>
    <t>608-056</t>
  </si>
  <si>
    <t>1WVB253</t>
  </si>
  <si>
    <t>220158</t>
  </si>
  <si>
    <t>Ferry Cars NV</t>
  </si>
  <si>
    <t>1EAZ238</t>
  </si>
  <si>
    <t>220159</t>
  </si>
  <si>
    <t>1EAZ206</t>
  </si>
  <si>
    <t>101645</t>
  </si>
  <si>
    <t xml:space="preserve">Evobus </t>
  </si>
  <si>
    <t>1ECD457</t>
  </si>
  <si>
    <t>220864</t>
  </si>
  <si>
    <t>1ECU920</t>
  </si>
  <si>
    <t>550149</t>
  </si>
  <si>
    <t>1EEM713</t>
  </si>
  <si>
    <t>440550</t>
  </si>
  <si>
    <t>1RFP301</t>
  </si>
  <si>
    <t>614-041</t>
  </si>
  <si>
    <t>2BCJ193</t>
  </si>
  <si>
    <t>614-044</t>
  </si>
  <si>
    <t>2BCJ150</t>
  </si>
  <si>
    <t>550713</t>
  </si>
  <si>
    <t>1EKG447</t>
  </si>
  <si>
    <t>330916</t>
  </si>
  <si>
    <t>De Vlinder bvba</t>
  </si>
  <si>
    <t>1ELK589</t>
  </si>
  <si>
    <t>440991</t>
  </si>
  <si>
    <t>1ERK010</t>
  </si>
  <si>
    <t>330832</t>
  </si>
  <si>
    <t>1EVI258</t>
  </si>
  <si>
    <t>330830</t>
  </si>
  <si>
    <t>1EVI244</t>
  </si>
  <si>
    <t>330831</t>
  </si>
  <si>
    <t>1EVI278</t>
  </si>
  <si>
    <t>644-087</t>
  </si>
  <si>
    <t>LION'S CITY</t>
  </si>
  <si>
    <t>Goedgekeurd</t>
  </si>
  <si>
    <t>2CRY959</t>
  </si>
  <si>
    <t>221133</t>
  </si>
  <si>
    <t>1EYQ573</t>
  </si>
  <si>
    <t>551166</t>
  </si>
  <si>
    <t>Katriva nv</t>
  </si>
  <si>
    <t>1EYZ838</t>
  </si>
  <si>
    <t>221134</t>
  </si>
  <si>
    <t>1EZJ313</t>
  </si>
  <si>
    <t>111446</t>
  </si>
  <si>
    <t>1FMY523</t>
  </si>
  <si>
    <t>304017</t>
  </si>
  <si>
    <t>O530LE</t>
  </si>
  <si>
    <t>1FAH435</t>
  </si>
  <si>
    <t>331224</t>
  </si>
  <si>
    <t>1FAH441</t>
  </si>
  <si>
    <t>304016</t>
  </si>
  <si>
    <t>1FBR938</t>
  </si>
  <si>
    <t>441891</t>
  </si>
  <si>
    <t>SLE120.310</t>
  </si>
  <si>
    <t>1FCN752</t>
  </si>
  <si>
    <t>331361</t>
  </si>
  <si>
    <t>1FDE639</t>
  </si>
  <si>
    <t>442068</t>
  </si>
  <si>
    <t>1FDB710</t>
  </si>
  <si>
    <t>442069</t>
  </si>
  <si>
    <t>1FDB759</t>
  </si>
  <si>
    <t>221764</t>
  </si>
  <si>
    <t>1FDG331</t>
  </si>
  <si>
    <t>331360</t>
  </si>
  <si>
    <t>1FDE634</t>
  </si>
  <si>
    <t>441894</t>
  </si>
  <si>
    <t>1FDO620</t>
  </si>
  <si>
    <t>442070</t>
  </si>
  <si>
    <t>1FDO630</t>
  </si>
  <si>
    <t>441520</t>
  </si>
  <si>
    <t>1FDN813</t>
  </si>
  <si>
    <t>441892</t>
  </si>
  <si>
    <t>1FDN784</t>
  </si>
  <si>
    <t>441893</t>
  </si>
  <si>
    <t>1FDN794</t>
  </si>
  <si>
    <t>550151</t>
  </si>
  <si>
    <t>1FFC759</t>
  </si>
  <si>
    <t>550150</t>
  </si>
  <si>
    <t>1FFC751</t>
  </si>
  <si>
    <t>221243</t>
  </si>
  <si>
    <t>1FHZ556</t>
  </si>
  <si>
    <t>220162</t>
  </si>
  <si>
    <t>1FJC739</t>
  </si>
  <si>
    <t>220622</t>
  </si>
  <si>
    <t>Egmont Autobusuitbating BVBA</t>
  </si>
  <si>
    <t>1FJC941</t>
  </si>
  <si>
    <t>220161</t>
  </si>
  <si>
    <t>1FJC751</t>
  </si>
  <si>
    <t>220623</t>
  </si>
  <si>
    <t>1FJC924</t>
  </si>
  <si>
    <t>222223</t>
  </si>
  <si>
    <t>Seys - Coopman BVBA</t>
  </si>
  <si>
    <t>1FJC788</t>
  </si>
  <si>
    <t>550436</t>
  </si>
  <si>
    <t>1FJC901</t>
  </si>
  <si>
    <t>303097</t>
  </si>
  <si>
    <t>1FJE343</t>
  </si>
  <si>
    <t>111512</t>
  </si>
  <si>
    <t>Lion's City NL283</t>
  </si>
  <si>
    <t>1FJD967</t>
  </si>
  <si>
    <t>304115</t>
  </si>
  <si>
    <t>1FJG859</t>
  </si>
  <si>
    <t>302998</t>
  </si>
  <si>
    <t>1FJE357</t>
  </si>
  <si>
    <t>304018</t>
  </si>
  <si>
    <t>1FKO427</t>
  </si>
  <si>
    <t>303728</t>
  </si>
  <si>
    <t>1FKU266</t>
  </si>
  <si>
    <t>440258</t>
  </si>
  <si>
    <t>1FKU163</t>
  </si>
  <si>
    <t>111431</t>
  </si>
  <si>
    <t>0530LE</t>
  </si>
  <si>
    <t>1FKU249</t>
  </si>
  <si>
    <t>111429</t>
  </si>
  <si>
    <t>1FKU259</t>
  </si>
  <si>
    <t>304019</t>
  </si>
  <si>
    <t>1KFG402</t>
  </si>
  <si>
    <t>440256</t>
  </si>
  <si>
    <t>1FKU172</t>
  </si>
  <si>
    <t>551088</t>
  </si>
  <si>
    <t>1SYH973</t>
  </si>
  <si>
    <t>551089</t>
  </si>
  <si>
    <t>1STJ576</t>
  </si>
  <si>
    <t>551090</t>
  </si>
  <si>
    <t>1SUY217</t>
  </si>
  <si>
    <t>658-104</t>
  </si>
  <si>
    <t>2BMW928</t>
  </si>
  <si>
    <t>603-035</t>
  </si>
  <si>
    <t>2BPH636</t>
  </si>
  <si>
    <t>222224</t>
  </si>
  <si>
    <t>1FKY380</t>
  </si>
  <si>
    <t>550251</t>
  </si>
  <si>
    <t>Transit</t>
  </si>
  <si>
    <t>1FLL983</t>
  </si>
  <si>
    <t>550252</t>
  </si>
  <si>
    <t>1FLL989</t>
  </si>
  <si>
    <t>304133</t>
  </si>
  <si>
    <t>1FMU264</t>
  </si>
  <si>
    <t>440759</t>
  </si>
  <si>
    <t>1FMP133</t>
  </si>
  <si>
    <t>110363</t>
  </si>
  <si>
    <t>1FMQ578</t>
  </si>
  <si>
    <t>303821</t>
  </si>
  <si>
    <t>1FMP126</t>
  </si>
  <si>
    <t>442171</t>
  </si>
  <si>
    <t>O 530</t>
  </si>
  <si>
    <t>1FNH216</t>
  </si>
  <si>
    <t>550714</t>
  </si>
  <si>
    <t>1FNH322</t>
  </si>
  <si>
    <t>658-105</t>
  </si>
  <si>
    <t>2BQP673</t>
  </si>
  <si>
    <t>330383</t>
  </si>
  <si>
    <t>1NEH842</t>
  </si>
  <si>
    <t>303730</t>
  </si>
  <si>
    <t>1FOC036</t>
  </si>
  <si>
    <t>440364</t>
  </si>
  <si>
    <t>1FOC140</t>
  </si>
  <si>
    <t>440773</t>
  </si>
  <si>
    <t>1FOC175</t>
  </si>
  <si>
    <t>440365</t>
  </si>
  <si>
    <t>1FOC148</t>
  </si>
  <si>
    <t>440763</t>
  </si>
  <si>
    <t>1FOC205</t>
  </si>
  <si>
    <t>441266</t>
  </si>
  <si>
    <t>1FOC210</t>
  </si>
  <si>
    <t>442172</t>
  </si>
  <si>
    <t>O530 LE</t>
  </si>
  <si>
    <t>1FOC132</t>
  </si>
  <si>
    <t>330385</t>
  </si>
  <si>
    <t>Lion 's city NL283</t>
  </si>
  <si>
    <t>1NEN682</t>
  </si>
  <si>
    <t>330377</t>
  </si>
  <si>
    <t>1NFZ619</t>
  </si>
  <si>
    <t>401295</t>
  </si>
  <si>
    <t>1FOJ924</t>
  </si>
  <si>
    <t>110521</t>
  </si>
  <si>
    <t>1FOP164</t>
  </si>
  <si>
    <t>110522</t>
  </si>
  <si>
    <t>1FOP196</t>
  </si>
  <si>
    <t>110523</t>
  </si>
  <si>
    <t>1FOP161</t>
  </si>
  <si>
    <t>110524</t>
  </si>
  <si>
    <t>1FOP199</t>
  </si>
  <si>
    <t>330834</t>
  </si>
  <si>
    <t>1FOY482</t>
  </si>
  <si>
    <t>330835</t>
  </si>
  <si>
    <t>1FOY518</t>
  </si>
  <si>
    <t>110993</t>
  </si>
  <si>
    <t>1BSJ021</t>
  </si>
  <si>
    <t>330387</t>
  </si>
  <si>
    <t>1NEH678</t>
  </si>
  <si>
    <t>110994</t>
  </si>
  <si>
    <t>1FPV181</t>
  </si>
  <si>
    <t>110626</t>
  </si>
  <si>
    <t>1FQB613</t>
  </si>
  <si>
    <t>110625</t>
  </si>
  <si>
    <t>1FQB610</t>
  </si>
  <si>
    <t>330386</t>
  </si>
  <si>
    <t>1NFZ673</t>
  </si>
  <si>
    <t>441950</t>
  </si>
  <si>
    <t>1FQO572</t>
  </si>
  <si>
    <t>441267</t>
  </si>
  <si>
    <t>1FQO559</t>
  </si>
  <si>
    <t>440672</t>
  </si>
  <si>
    <t>1FQO611</t>
  </si>
  <si>
    <t>441949</t>
  </si>
  <si>
    <t>1FQO826</t>
  </si>
  <si>
    <t>441951</t>
  </si>
  <si>
    <t>1FQO594</t>
  </si>
  <si>
    <t>110627</t>
  </si>
  <si>
    <t>1FQP165</t>
  </si>
  <si>
    <t>330910</t>
  </si>
  <si>
    <t>1FQU140</t>
  </si>
  <si>
    <t>400962</t>
  </si>
  <si>
    <t>1FRT945</t>
  </si>
  <si>
    <t>303336</t>
  </si>
  <si>
    <t>1FRS148</t>
  </si>
  <si>
    <t>303438</t>
  </si>
  <si>
    <t>1FSG465</t>
  </si>
  <si>
    <t>110664</t>
  </si>
  <si>
    <t>1FRX830</t>
  </si>
  <si>
    <t>303337</t>
  </si>
  <si>
    <t>1FSG427</t>
  </si>
  <si>
    <t>222432</t>
  </si>
  <si>
    <t>1FSG189</t>
  </si>
  <si>
    <t>222331</t>
  </si>
  <si>
    <t>1KSJ397</t>
  </si>
  <si>
    <t>222330</t>
  </si>
  <si>
    <t>1KSJ383</t>
  </si>
  <si>
    <t>330389</t>
  </si>
  <si>
    <t>1NEH742</t>
  </si>
  <si>
    <t>110566</t>
  </si>
  <si>
    <t>1FRX826</t>
  </si>
  <si>
    <t>303439</t>
  </si>
  <si>
    <t>1FSG518</t>
  </si>
  <si>
    <t>110995</t>
  </si>
  <si>
    <t>1FRX835</t>
  </si>
  <si>
    <t>110565</t>
  </si>
  <si>
    <t>1FRX822</t>
  </si>
  <si>
    <t>330388</t>
  </si>
  <si>
    <t>1NEH661</t>
  </si>
  <si>
    <t>105431</t>
  </si>
  <si>
    <t>1FRX825</t>
  </si>
  <si>
    <t>221765</t>
  </si>
  <si>
    <t>1FSO720</t>
  </si>
  <si>
    <t>550950</t>
  </si>
  <si>
    <t>Van Coillie nv</t>
  </si>
  <si>
    <t>1FSO934</t>
  </si>
  <si>
    <t>551167</t>
  </si>
  <si>
    <t>1FSO785</t>
  </si>
  <si>
    <t>550952</t>
  </si>
  <si>
    <t>1FSO864</t>
  </si>
  <si>
    <t>550951</t>
  </si>
  <si>
    <t>1FSO898</t>
  </si>
  <si>
    <t>551169</t>
  </si>
  <si>
    <t>1FSO794</t>
  </si>
  <si>
    <t>551168</t>
  </si>
  <si>
    <t>1FSO916</t>
  </si>
  <si>
    <t>550618</t>
  </si>
  <si>
    <t>1FSO876</t>
  </si>
  <si>
    <t>302967</t>
  </si>
  <si>
    <t>1FTH440</t>
  </si>
  <si>
    <t>302960</t>
  </si>
  <si>
    <t>1FTH457</t>
  </si>
  <si>
    <t>303062</t>
  </si>
  <si>
    <t>1FTH495</t>
  </si>
  <si>
    <t>302961</t>
  </si>
  <si>
    <t>1FTH482</t>
  </si>
  <si>
    <t>220769</t>
  </si>
  <si>
    <t>1FTL999</t>
  </si>
  <si>
    <t>221316</t>
  </si>
  <si>
    <t>1FPK298</t>
  </si>
  <si>
    <t>300656</t>
  </si>
  <si>
    <t>1FUL549</t>
  </si>
  <si>
    <t>550526</t>
  </si>
  <si>
    <t>Euro6</t>
  </si>
  <si>
    <t>1JHB430</t>
  </si>
  <si>
    <t>220163</t>
  </si>
  <si>
    <t>1FUX996</t>
  </si>
  <si>
    <t>440994</t>
  </si>
  <si>
    <t>1FVG757</t>
  </si>
  <si>
    <t>330392</t>
  </si>
  <si>
    <t>1NEH780</t>
  </si>
  <si>
    <t>442071</t>
  </si>
  <si>
    <t>1FUY508</t>
  </si>
  <si>
    <t>440992</t>
  </si>
  <si>
    <t>1FVG743</t>
  </si>
  <si>
    <t>330391</t>
  </si>
  <si>
    <t>1NFZ691</t>
  </si>
  <si>
    <t>221517</t>
  </si>
  <si>
    <t>Van De Voorde bvba</t>
  </si>
  <si>
    <t>1FUY857</t>
  </si>
  <si>
    <t>440993</t>
  </si>
  <si>
    <t>1FVG751</t>
  </si>
  <si>
    <t>330394</t>
  </si>
  <si>
    <t>1NEN773</t>
  </si>
  <si>
    <t>330390</t>
  </si>
  <si>
    <t>1NEJ012</t>
  </si>
  <si>
    <t>330393</t>
  </si>
  <si>
    <t>1NFZ657</t>
  </si>
  <si>
    <t>304117</t>
  </si>
  <si>
    <t>Lion's city nl 283</t>
  </si>
  <si>
    <t>1FVI116</t>
  </si>
  <si>
    <t>503001</t>
  </si>
  <si>
    <t>Man</t>
  </si>
  <si>
    <t>1FUX996DUMMY</t>
  </si>
  <si>
    <t>550438</t>
  </si>
  <si>
    <t>1FUY115</t>
  </si>
  <si>
    <t>221317</t>
  </si>
  <si>
    <t>Lion's city</t>
  </si>
  <si>
    <t>1FPK249</t>
  </si>
  <si>
    <t>110442</t>
  </si>
  <si>
    <t>1FVO368</t>
  </si>
  <si>
    <t>110441</t>
  </si>
  <si>
    <t>1FVO367</t>
  </si>
  <si>
    <t>441521</t>
  </si>
  <si>
    <t>1FVP171</t>
  </si>
  <si>
    <t>331540</t>
  </si>
  <si>
    <t>1FVP542</t>
  </si>
  <si>
    <t>119880</t>
  </si>
  <si>
    <t>1FVO511</t>
  </si>
  <si>
    <t>111434</t>
  </si>
  <si>
    <t>1FVW509</t>
  </si>
  <si>
    <t>303063</t>
  </si>
  <si>
    <t>1FWG735</t>
  </si>
  <si>
    <t>221318</t>
  </si>
  <si>
    <t>1FPK270</t>
  </si>
  <si>
    <t>331466</t>
  </si>
  <si>
    <t>1FWG716</t>
  </si>
  <si>
    <t>302665</t>
  </si>
  <si>
    <t xml:space="preserve">MAN </t>
  </si>
  <si>
    <t>1FWG719</t>
  </si>
  <si>
    <t>331464</t>
  </si>
  <si>
    <t>1FWG721</t>
  </si>
  <si>
    <t>300657</t>
  </si>
  <si>
    <t>1EUS460</t>
  </si>
  <si>
    <t>221518</t>
  </si>
  <si>
    <t>1FWY106</t>
  </si>
  <si>
    <t>550818</t>
  </si>
  <si>
    <t>o530Le</t>
  </si>
  <si>
    <t>1FXG558</t>
  </si>
  <si>
    <t>220344</t>
  </si>
  <si>
    <t>1FXO644</t>
  </si>
  <si>
    <t>221319</t>
  </si>
  <si>
    <t>1FPK265</t>
  </si>
  <si>
    <t>119879</t>
  </si>
  <si>
    <t>1FXU323</t>
  </si>
  <si>
    <t>110724</t>
  </si>
  <si>
    <t>1GAK617</t>
  </si>
  <si>
    <t>102517</t>
  </si>
  <si>
    <t>1GAK623</t>
  </si>
  <si>
    <t>102117</t>
  </si>
  <si>
    <t>a360</t>
  </si>
  <si>
    <t>Oostmalle Cars NV</t>
  </si>
  <si>
    <t>1GAK630</t>
  </si>
  <si>
    <t>102116</t>
  </si>
  <si>
    <t>1GAK634</t>
  </si>
  <si>
    <t>550953</t>
  </si>
  <si>
    <t>1FXZ103</t>
  </si>
  <si>
    <t>550313</t>
  </si>
  <si>
    <t>1GAF588</t>
  </si>
  <si>
    <t>550524</t>
  </si>
  <si>
    <t>1GAG613</t>
  </si>
  <si>
    <t>551170</t>
  </si>
  <si>
    <t>1FXZ114</t>
  </si>
  <si>
    <t>550525</t>
  </si>
  <si>
    <t>1GBB394</t>
  </si>
  <si>
    <t>550819</t>
  </si>
  <si>
    <t>o530LE</t>
  </si>
  <si>
    <t>1GBX474</t>
  </si>
  <si>
    <t>331590</t>
  </si>
  <si>
    <t>1LKH449</t>
  </si>
  <si>
    <t>303360</t>
  </si>
  <si>
    <t>1GCB441</t>
  </si>
  <si>
    <t>330395</t>
  </si>
  <si>
    <t>1NEH649</t>
  </si>
  <si>
    <t>330328</t>
  </si>
  <si>
    <t>1NEH642</t>
  </si>
  <si>
    <t>111513</t>
  </si>
  <si>
    <t>1GDH051</t>
  </si>
  <si>
    <t>330297</t>
  </si>
  <si>
    <t>1NEH750</t>
  </si>
  <si>
    <t>674-059</t>
  </si>
  <si>
    <t>CITEA</t>
  </si>
  <si>
    <t>1WVB882</t>
  </si>
  <si>
    <t>550253</t>
  </si>
  <si>
    <t>1GFH761</t>
  </si>
  <si>
    <t>221320</t>
  </si>
  <si>
    <t>1FPK309</t>
  </si>
  <si>
    <t>441952</t>
  </si>
  <si>
    <t>1GNC689</t>
  </si>
  <si>
    <t>442173</t>
  </si>
  <si>
    <t>1GNM298</t>
  </si>
  <si>
    <t>119881</t>
  </si>
  <si>
    <t>1GPM966</t>
  </si>
  <si>
    <t>220770</t>
  </si>
  <si>
    <t>1GPQ789</t>
  </si>
  <si>
    <t>221766</t>
  </si>
  <si>
    <t>KUB4x2</t>
  </si>
  <si>
    <t>1GPM072</t>
  </si>
  <si>
    <t>442329</t>
  </si>
  <si>
    <t>1GPN048</t>
  </si>
  <si>
    <t>442330</t>
  </si>
  <si>
    <t>1GPN124</t>
  </si>
  <si>
    <t>220971</t>
  </si>
  <si>
    <t>M323</t>
  </si>
  <si>
    <t>1GPQ750</t>
  </si>
  <si>
    <t>441701</t>
  </si>
  <si>
    <t>1GPN209</t>
  </si>
  <si>
    <t>442331</t>
  </si>
  <si>
    <t>1GPN087</t>
  </si>
  <si>
    <t>401296</t>
  </si>
  <si>
    <t>1GPN157</t>
  </si>
  <si>
    <t>441702</t>
  </si>
  <si>
    <t>1GPN183</t>
  </si>
  <si>
    <t>304020</t>
  </si>
  <si>
    <t>1HCV270</t>
  </si>
  <si>
    <t>204201</t>
  </si>
  <si>
    <t>Rebex bvba</t>
  </si>
  <si>
    <t>1HDH401</t>
  </si>
  <si>
    <t>204202</t>
  </si>
  <si>
    <t>1HDH402</t>
  </si>
  <si>
    <t>671-016</t>
  </si>
  <si>
    <t>2BBU578</t>
  </si>
  <si>
    <t>440286</t>
  </si>
  <si>
    <t>1HDX652</t>
  </si>
  <si>
    <t>440775</t>
  </si>
  <si>
    <t>1HDX657</t>
  </si>
  <si>
    <t>220626</t>
  </si>
  <si>
    <t>1HEH263</t>
  </si>
  <si>
    <t>204205</t>
  </si>
  <si>
    <t>1HLG739</t>
  </si>
  <si>
    <t>204207</t>
  </si>
  <si>
    <t>1HLG692</t>
  </si>
  <si>
    <t>204204</t>
  </si>
  <si>
    <t>1HLG714</t>
  </si>
  <si>
    <t>204206</t>
  </si>
  <si>
    <t>1HLG759</t>
  </si>
  <si>
    <t>106386</t>
  </si>
  <si>
    <t>Citywide LE</t>
  </si>
  <si>
    <t>1HLL931</t>
  </si>
  <si>
    <t>106302</t>
  </si>
  <si>
    <t>1HLN109</t>
  </si>
  <si>
    <t>106303</t>
  </si>
  <si>
    <t>1HLN186</t>
  </si>
  <si>
    <t>106385</t>
  </si>
  <si>
    <t>1HLL908</t>
  </si>
  <si>
    <t>106304</t>
  </si>
  <si>
    <t>1HLN197</t>
  </si>
  <si>
    <t>440689</t>
  </si>
  <si>
    <t>1HLK618</t>
  </si>
  <si>
    <t>614-046</t>
  </si>
  <si>
    <t>2DPP892</t>
  </si>
  <si>
    <t>304504</t>
  </si>
  <si>
    <t>1HNY565</t>
  </si>
  <si>
    <t>304501</t>
  </si>
  <si>
    <t>1HPD019</t>
  </si>
  <si>
    <t>304502</t>
  </si>
  <si>
    <t>1HPD103</t>
  </si>
  <si>
    <t>304503</t>
  </si>
  <si>
    <t>1HPD429</t>
  </si>
  <si>
    <t>551091</t>
  </si>
  <si>
    <t>1SSR750</t>
  </si>
  <si>
    <t>221321</t>
  </si>
  <si>
    <t>1FPK300</t>
  </si>
  <si>
    <t>330819</t>
  </si>
  <si>
    <t>1HSJ966</t>
  </si>
  <si>
    <t>330720</t>
  </si>
  <si>
    <t>1HSJ981</t>
  </si>
  <si>
    <t>106269</t>
  </si>
  <si>
    <t>1HTE023</t>
  </si>
  <si>
    <t>106268</t>
  </si>
  <si>
    <t>1LCE321</t>
  </si>
  <si>
    <t>106272</t>
  </si>
  <si>
    <t>1HUT826</t>
  </si>
  <si>
    <t>106271</t>
  </si>
  <si>
    <t>1HUT834</t>
  </si>
  <si>
    <t>106270</t>
  </si>
  <si>
    <t>1HUT844</t>
  </si>
  <si>
    <t>331235</t>
  </si>
  <si>
    <t>1HXU680</t>
  </si>
  <si>
    <t>106473</t>
  </si>
  <si>
    <t>1JAD829</t>
  </si>
  <si>
    <t>652-024</t>
  </si>
  <si>
    <t>VDL Bus &amp; Coach</t>
  </si>
  <si>
    <t>1WTW392</t>
  </si>
  <si>
    <t>304603</t>
  </si>
  <si>
    <t>Teyssen nv</t>
  </si>
  <si>
    <t>1JER898</t>
  </si>
  <si>
    <t>304602</t>
  </si>
  <si>
    <t>1JER907</t>
  </si>
  <si>
    <t>304605</t>
  </si>
  <si>
    <t>1JER883</t>
  </si>
  <si>
    <t>304601</t>
  </si>
  <si>
    <t>1JER913</t>
  </si>
  <si>
    <t>304604</t>
  </si>
  <si>
    <t>1JER889</t>
  </si>
  <si>
    <t>221767</t>
  </si>
  <si>
    <t>Citywide</t>
  </si>
  <si>
    <t>1JFF675</t>
  </si>
  <si>
    <t>442072</t>
  </si>
  <si>
    <t>1JFH186</t>
  </si>
  <si>
    <t>220875</t>
  </si>
  <si>
    <t>SCANIA</t>
  </si>
  <si>
    <t>1JFF743</t>
  </si>
  <si>
    <t>440996</t>
  </si>
  <si>
    <t>1JFF556</t>
  </si>
  <si>
    <t>112246</t>
  </si>
  <si>
    <t>1JFF303</t>
  </si>
  <si>
    <t>442332</t>
  </si>
  <si>
    <t>1JFF452</t>
  </si>
  <si>
    <t>110205</t>
  </si>
  <si>
    <t>1JFF351</t>
  </si>
  <si>
    <t>441803</t>
  </si>
  <si>
    <t xml:space="preserve">Citywide LE </t>
  </si>
  <si>
    <t>1JFF626</t>
  </si>
  <si>
    <t>331364</t>
  </si>
  <si>
    <t>1JFF480</t>
  </si>
  <si>
    <t>220776</t>
  </si>
  <si>
    <t>1JFF706</t>
  </si>
  <si>
    <t>550153</t>
  </si>
  <si>
    <t>1JFF538</t>
  </si>
  <si>
    <t>303736</t>
  </si>
  <si>
    <t>1JFJ147</t>
  </si>
  <si>
    <t>441953</t>
  </si>
  <si>
    <t>1JFJ150</t>
  </si>
  <si>
    <t>441522</t>
  </si>
  <si>
    <t>1JFX595</t>
  </si>
  <si>
    <t>441523</t>
  </si>
  <si>
    <t>1JFX578</t>
  </si>
  <si>
    <t>500115</t>
  </si>
  <si>
    <t>1JGG323</t>
  </si>
  <si>
    <t>106474</t>
  </si>
  <si>
    <t>1JHA354</t>
  </si>
  <si>
    <t>551171</t>
  </si>
  <si>
    <t>1JGS843</t>
  </si>
  <si>
    <t>442073</t>
  </si>
  <si>
    <t>1JJA627</t>
  </si>
  <si>
    <t>441524</t>
  </si>
  <si>
    <t>1JJA660</t>
  </si>
  <si>
    <t>401204</t>
  </si>
  <si>
    <t>1JJA743</t>
  </si>
  <si>
    <t>551172</t>
  </si>
  <si>
    <t>1JJA775</t>
  </si>
  <si>
    <t>303109</t>
  </si>
  <si>
    <t>1JKD430</t>
  </si>
  <si>
    <t>303110</t>
  </si>
  <si>
    <t>1JKD453</t>
  </si>
  <si>
    <t>221412</t>
  </si>
  <si>
    <t>1JKD380</t>
  </si>
  <si>
    <t>303314</t>
  </si>
  <si>
    <t>1JKD477</t>
  </si>
  <si>
    <t>111203</t>
  </si>
  <si>
    <t>1JKC998</t>
  </si>
  <si>
    <t>331016</t>
  </si>
  <si>
    <t>1VBS038</t>
  </si>
  <si>
    <t>221411</t>
  </si>
  <si>
    <t>Citywede LE</t>
  </si>
  <si>
    <t>1JKD401</t>
  </si>
  <si>
    <t>111101</t>
  </si>
  <si>
    <t>City le wide</t>
  </si>
  <si>
    <t>1JKD362</t>
  </si>
  <si>
    <t>111804</t>
  </si>
  <si>
    <t>1JKD072</t>
  </si>
  <si>
    <t>303215</t>
  </si>
  <si>
    <t>1JKD509</t>
  </si>
  <si>
    <t>119908</t>
  </si>
  <si>
    <t>1JKD179</t>
  </si>
  <si>
    <t>119905</t>
  </si>
  <si>
    <t>1JKD102</t>
  </si>
  <si>
    <t>111102</t>
  </si>
  <si>
    <t>1JKD263</t>
  </si>
  <si>
    <t>111807</t>
  </si>
  <si>
    <t>1JKD137</t>
  </si>
  <si>
    <t>111806</t>
  </si>
  <si>
    <t>1JKD038</t>
  </si>
  <si>
    <t>331117</t>
  </si>
  <si>
    <t>1JKD217</t>
  </si>
  <si>
    <t>331118</t>
  </si>
  <si>
    <t>1JKD237</t>
  </si>
  <si>
    <t>221122</t>
  </si>
  <si>
    <t>1JKX926</t>
  </si>
  <si>
    <t>221123</t>
  </si>
  <si>
    <t>1VDQ202</t>
  </si>
  <si>
    <t>550527</t>
  </si>
  <si>
    <t>1JLC815</t>
  </si>
  <si>
    <t>106475</t>
  </si>
  <si>
    <t>1JLN155</t>
  </si>
  <si>
    <t>110576</t>
  </si>
  <si>
    <t>1JPF652</t>
  </si>
  <si>
    <t>110828</t>
  </si>
  <si>
    <t>1XEF656</t>
  </si>
  <si>
    <t>330855</t>
  </si>
  <si>
    <t>1JPP979</t>
  </si>
  <si>
    <t>331557</t>
  </si>
  <si>
    <t>1JPP991</t>
  </si>
  <si>
    <t>331558</t>
  </si>
  <si>
    <t>1JPP917</t>
  </si>
  <si>
    <t>330856</t>
  </si>
  <si>
    <t>1JPP969</t>
  </si>
  <si>
    <t>301843</t>
  </si>
  <si>
    <t>1JPR008</t>
  </si>
  <si>
    <t>301841</t>
  </si>
  <si>
    <t>1JPP930</t>
  </si>
  <si>
    <t>110829</t>
  </si>
  <si>
    <t>1XEF680</t>
  </si>
  <si>
    <t>222334</t>
  </si>
  <si>
    <t>1KPE735</t>
  </si>
  <si>
    <t>105179</t>
  </si>
  <si>
    <t>1JUJ557</t>
  </si>
  <si>
    <t>330925</t>
  </si>
  <si>
    <t>1JUK748</t>
  </si>
  <si>
    <t>222333</t>
  </si>
  <si>
    <t>1KPE473</t>
  </si>
  <si>
    <t>111245</t>
  </si>
  <si>
    <t>1KDF388</t>
  </si>
  <si>
    <t>610-070</t>
  </si>
  <si>
    <t>scania</t>
  </si>
  <si>
    <t>1WQU008</t>
  </si>
  <si>
    <t>610-069</t>
  </si>
  <si>
    <t>1WPT714</t>
  </si>
  <si>
    <t>330722</t>
  </si>
  <si>
    <t>1KED861</t>
  </si>
  <si>
    <t>330249</t>
  </si>
  <si>
    <t>1KEF156</t>
  </si>
  <si>
    <t>330645</t>
  </si>
  <si>
    <t>nl273</t>
  </si>
  <si>
    <t>1KEG037</t>
  </si>
  <si>
    <t>301842</t>
  </si>
  <si>
    <t>1KEF967</t>
  </si>
  <si>
    <t>304153</t>
  </si>
  <si>
    <t>1KEF375</t>
  </si>
  <si>
    <t>301844</t>
  </si>
  <si>
    <t>1KEF986</t>
  </si>
  <si>
    <t>331551</t>
  </si>
  <si>
    <t>1KEF367</t>
  </si>
  <si>
    <t>330646</t>
  </si>
  <si>
    <t>1KEG078</t>
  </si>
  <si>
    <t>330648</t>
  </si>
  <si>
    <t>1KEF135</t>
  </si>
  <si>
    <t>304154</t>
  </si>
  <si>
    <t>1KEG011</t>
  </si>
  <si>
    <t>330650</t>
  </si>
  <si>
    <t>1KEF370</t>
  </si>
  <si>
    <t>330247</t>
  </si>
  <si>
    <t>1KEF139</t>
  </si>
  <si>
    <t>330652</t>
  </si>
  <si>
    <t>1KEF146</t>
  </si>
  <si>
    <t>221322</t>
  </si>
  <si>
    <t>1KKX362</t>
  </si>
  <si>
    <t>221129</t>
  </si>
  <si>
    <t>1KLD688</t>
  </si>
  <si>
    <t>221128</t>
  </si>
  <si>
    <t>1KLD695</t>
  </si>
  <si>
    <t>221127</t>
  </si>
  <si>
    <t>1KLZ258</t>
  </si>
  <si>
    <t>300605</t>
  </si>
  <si>
    <t>1KPC139</t>
  </si>
  <si>
    <t>644-085</t>
  </si>
  <si>
    <t>2AXH993</t>
  </si>
  <si>
    <t>502801</t>
  </si>
  <si>
    <t>1KTF239</t>
  </si>
  <si>
    <t>502905</t>
  </si>
  <si>
    <t>1KTF238</t>
  </si>
  <si>
    <t>110932</t>
  </si>
  <si>
    <t>1KUE133</t>
  </si>
  <si>
    <t>110933</t>
  </si>
  <si>
    <t>1KUE157</t>
  </si>
  <si>
    <t>110931</t>
  </si>
  <si>
    <t>1KUE150</t>
  </si>
  <si>
    <t>330908</t>
  </si>
  <si>
    <t>1KUG053</t>
  </si>
  <si>
    <t>303506</t>
  </si>
  <si>
    <t>1NEH603</t>
  </si>
  <si>
    <t>440394</t>
  </si>
  <si>
    <t>1KXC397</t>
  </si>
  <si>
    <t>303504</t>
  </si>
  <si>
    <t>1NEH630</t>
  </si>
  <si>
    <t>303837</t>
  </si>
  <si>
    <t>1KXC430</t>
  </si>
  <si>
    <t>442194</t>
  </si>
  <si>
    <t>1KXC438</t>
  </si>
  <si>
    <t>442193</t>
  </si>
  <si>
    <t>1KXC434</t>
  </si>
  <si>
    <t>303505</t>
  </si>
  <si>
    <t>1NEJ019</t>
  </si>
  <si>
    <t>440395</t>
  </si>
  <si>
    <t>1LAG416</t>
  </si>
  <si>
    <t>440350</t>
  </si>
  <si>
    <t>1LAG454</t>
  </si>
  <si>
    <t>304368</t>
  </si>
  <si>
    <t>1LBN129</t>
  </si>
  <si>
    <t>112118</t>
  </si>
  <si>
    <t>IVECO</t>
  </si>
  <si>
    <t>crossway low entry</t>
  </si>
  <si>
    <t>1LCJ004</t>
  </si>
  <si>
    <t>110678</t>
  </si>
  <si>
    <t>1LDV036</t>
  </si>
  <si>
    <t>110577</t>
  </si>
  <si>
    <t>1LDV024</t>
  </si>
  <si>
    <t>110830</t>
  </si>
  <si>
    <t>1XCG848</t>
  </si>
  <si>
    <t>111514</t>
  </si>
  <si>
    <t>1LEH744</t>
  </si>
  <si>
    <t>304370</t>
  </si>
  <si>
    <t>1LER405</t>
  </si>
  <si>
    <t>304369</t>
  </si>
  <si>
    <t>1LER410</t>
  </si>
  <si>
    <t>304372</t>
  </si>
  <si>
    <t>1LHP770</t>
  </si>
  <si>
    <t>440902</t>
  </si>
  <si>
    <t>1RGP807</t>
  </si>
  <si>
    <t>105647</t>
  </si>
  <si>
    <t>1RNP209</t>
  </si>
  <si>
    <t>330859</t>
  </si>
  <si>
    <t>1LNP373</t>
  </si>
  <si>
    <t>330730</t>
  </si>
  <si>
    <t>1LNP357</t>
  </si>
  <si>
    <t>102118</t>
  </si>
  <si>
    <t>1LRV356</t>
  </si>
  <si>
    <t>102119</t>
  </si>
  <si>
    <t>1LRV365</t>
  </si>
  <si>
    <t>222537</t>
  </si>
  <si>
    <t>1KPD923</t>
  </si>
  <si>
    <t>222536</t>
  </si>
  <si>
    <t>1LRV170</t>
  </si>
  <si>
    <t>222435</t>
  </si>
  <si>
    <t>1LRV189</t>
  </si>
  <si>
    <t>502605</t>
  </si>
  <si>
    <t>1LTN571</t>
  </si>
  <si>
    <t>621-086</t>
  </si>
  <si>
    <t>2DPK865</t>
  </si>
  <si>
    <t>111515</t>
  </si>
  <si>
    <t>Crossway LE</t>
  </si>
  <si>
    <t>1NAF441</t>
  </si>
  <si>
    <t>550768</t>
  </si>
  <si>
    <t>Iveco</t>
  </si>
  <si>
    <t>1NAT432</t>
  </si>
  <si>
    <t>550769</t>
  </si>
  <si>
    <t>1NER329</t>
  </si>
  <si>
    <t>303537</t>
  </si>
  <si>
    <t>1NPA654</t>
  </si>
  <si>
    <t>330339</t>
  </si>
  <si>
    <t>1NRU764</t>
  </si>
  <si>
    <t>330338</t>
  </si>
  <si>
    <t>1NRU776</t>
  </si>
  <si>
    <t>674-058</t>
  </si>
  <si>
    <t>1WTY695</t>
  </si>
  <si>
    <t>301849</t>
  </si>
  <si>
    <t>1NSB400</t>
  </si>
  <si>
    <t>330340</t>
  </si>
  <si>
    <t>1NSB388</t>
  </si>
  <si>
    <t>330350</t>
  </si>
  <si>
    <t>1NTC346</t>
  </si>
  <si>
    <t>330353</t>
  </si>
  <si>
    <t>1NUR601</t>
  </si>
  <si>
    <t>330251</t>
  </si>
  <si>
    <t>1NUR636</t>
  </si>
  <si>
    <t>442133</t>
  </si>
  <si>
    <t>1NUN945</t>
  </si>
  <si>
    <t>303739</t>
  </si>
  <si>
    <t>1NUN920</t>
  </si>
  <si>
    <t>301856</t>
  </si>
  <si>
    <t>1NUR666</t>
  </si>
  <si>
    <t>330352</t>
  </si>
  <si>
    <t>1NUR619</t>
  </si>
  <si>
    <t>442134</t>
  </si>
  <si>
    <t>1NUX149</t>
  </si>
  <si>
    <t>331366</t>
  </si>
  <si>
    <t>1PBJ132</t>
  </si>
  <si>
    <t>331368</t>
  </si>
  <si>
    <t>1PBJ243</t>
  </si>
  <si>
    <t>331367</t>
  </si>
  <si>
    <t>1PBJ190</t>
  </si>
  <si>
    <t>301858</t>
  </si>
  <si>
    <t>1PDX356</t>
  </si>
  <si>
    <t>301857</t>
  </si>
  <si>
    <t>1PGB016</t>
  </si>
  <si>
    <t>110725</t>
  </si>
  <si>
    <t>1PHF432</t>
  </si>
  <si>
    <t>110726</t>
  </si>
  <si>
    <t>1PHF459</t>
  </si>
  <si>
    <t>304804</t>
  </si>
  <si>
    <t>1PHX105</t>
  </si>
  <si>
    <t>304803</t>
  </si>
  <si>
    <t>1PHX085</t>
  </si>
  <si>
    <t>304802</t>
  </si>
  <si>
    <t>1PHX069</t>
  </si>
  <si>
    <t>304805</t>
  </si>
  <si>
    <t>1PHX428</t>
  </si>
  <si>
    <t>304801</t>
  </si>
  <si>
    <t>1PHX052</t>
  </si>
  <si>
    <t>301860</t>
  </si>
  <si>
    <t>1PKZ822</t>
  </si>
  <si>
    <t>330833</t>
  </si>
  <si>
    <t>1PKZ968</t>
  </si>
  <si>
    <t>330732</t>
  </si>
  <si>
    <t>1PKZ999</t>
  </si>
  <si>
    <t>330734</t>
  </si>
  <si>
    <t>1PKZ946</t>
  </si>
  <si>
    <t>401114</t>
  </si>
  <si>
    <t>1PNX796</t>
  </si>
  <si>
    <t>220466</t>
  </si>
  <si>
    <t>1PRG085</t>
  </si>
  <si>
    <t>221111</t>
  </si>
  <si>
    <t>1PRF683</t>
  </si>
  <si>
    <t>440546</t>
  </si>
  <si>
    <t>citaro</t>
  </si>
  <si>
    <t>1PTD957</t>
  </si>
  <si>
    <t>401019</t>
  </si>
  <si>
    <t>1PTE558</t>
  </si>
  <si>
    <t>401111</t>
  </si>
  <si>
    <t>1PTE738</t>
  </si>
  <si>
    <t>401016</t>
  </si>
  <si>
    <t>1PTE416</t>
  </si>
  <si>
    <t>401113</t>
  </si>
  <si>
    <t xml:space="preserve">Mercedes </t>
  </si>
  <si>
    <t>1PTE459</t>
  </si>
  <si>
    <t>629-049</t>
  </si>
  <si>
    <t>1PTE612</t>
  </si>
  <si>
    <t>672-034</t>
  </si>
  <si>
    <t>1YUD367</t>
  </si>
  <si>
    <t>672-035</t>
  </si>
  <si>
    <t>1YVB864</t>
  </si>
  <si>
    <t>330265</t>
  </si>
  <si>
    <t>1RBZ479</t>
  </si>
  <si>
    <t>330261</t>
  </si>
  <si>
    <t>1RBZ455</t>
  </si>
  <si>
    <t>330369</t>
  </si>
  <si>
    <t>1RCP482</t>
  </si>
  <si>
    <t>330367</t>
  </si>
  <si>
    <t>1RCP506</t>
  </si>
  <si>
    <t>330259</t>
  </si>
  <si>
    <t>1RCP543</t>
  </si>
  <si>
    <t>301880</t>
  </si>
  <si>
    <t>1RDK812</t>
  </si>
  <si>
    <t>220628</t>
  </si>
  <si>
    <t>1RHT999</t>
  </si>
  <si>
    <t>220629</t>
  </si>
  <si>
    <t>1RHU244</t>
  </si>
  <si>
    <t>220167</t>
  </si>
  <si>
    <t>1RHT872</t>
  </si>
  <si>
    <t>220166</t>
  </si>
  <si>
    <t>1RHT937</t>
  </si>
  <si>
    <t>550715</t>
  </si>
  <si>
    <t>1RJB246</t>
  </si>
  <si>
    <t>441318</t>
  </si>
  <si>
    <t>1RJZ644</t>
  </si>
  <si>
    <t>440424</t>
  </si>
  <si>
    <t>1RJZ555</t>
  </si>
  <si>
    <t>440425</t>
  </si>
  <si>
    <t>1RJZ610</t>
  </si>
  <si>
    <t>110443</t>
  </si>
  <si>
    <t>1RRF830</t>
  </si>
  <si>
    <t>110444</t>
  </si>
  <si>
    <t>1RSN207</t>
  </si>
  <si>
    <t>441955</t>
  </si>
  <si>
    <t>1RSN149</t>
  </si>
  <si>
    <t>551093</t>
  </si>
  <si>
    <t>1SZR458</t>
  </si>
  <si>
    <t>442135</t>
  </si>
  <si>
    <t>1SCV522</t>
  </si>
  <si>
    <t>221126</t>
  </si>
  <si>
    <t>Daily Crossway</t>
  </si>
  <si>
    <t>1SDG365</t>
  </si>
  <si>
    <t>221124</t>
  </si>
  <si>
    <t>1SEE774</t>
  </si>
  <si>
    <t>304022</t>
  </si>
  <si>
    <t>1SFE939</t>
  </si>
  <si>
    <t>551094</t>
  </si>
  <si>
    <t>1SHA594</t>
  </si>
  <si>
    <t>551095</t>
  </si>
  <si>
    <t>1SHD587</t>
  </si>
  <si>
    <t>302407</t>
  </si>
  <si>
    <t>A21</t>
  </si>
  <si>
    <t>1SKL909</t>
  </si>
  <si>
    <t>302425</t>
  </si>
  <si>
    <t>1SKN015</t>
  </si>
  <si>
    <t>442136</t>
  </si>
  <si>
    <t>1SNS599</t>
  </si>
  <si>
    <t>300660</t>
  </si>
  <si>
    <t>1SRE504</t>
  </si>
  <si>
    <t>300659</t>
  </si>
  <si>
    <t>1SRE483</t>
  </si>
  <si>
    <t>300658</t>
  </si>
  <si>
    <t>1SRE455</t>
  </si>
  <si>
    <t>304023</t>
  </si>
  <si>
    <t>1STB422</t>
  </si>
  <si>
    <t>551096</t>
  </si>
  <si>
    <t>1STB345</t>
  </si>
  <si>
    <t>303740</t>
  </si>
  <si>
    <t>CITARO LE</t>
  </si>
  <si>
    <t>1STE279</t>
  </si>
  <si>
    <t>303841</t>
  </si>
  <si>
    <t>1STE266</t>
  </si>
  <si>
    <t>220168</t>
  </si>
  <si>
    <t>1STZ661</t>
  </si>
  <si>
    <t>330271</t>
  </si>
  <si>
    <t>1STU953</t>
  </si>
  <si>
    <t>330272</t>
  </si>
  <si>
    <t>1STU941</t>
  </si>
  <si>
    <t>330661</t>
  </si>
  <si>
    <t>1SUE224</t>
  </si>
  <si>
    <t>221118</t>
  </si>
  <si>
    <t>1SYK145</t>
  </si>
  <si>
    <t>221119</t>
  </si>
  <si>
    <t>1SYK155</t>
  </si>
  <si>
    <t>Ebusco</t>
  </si>
  <si>
    <t>2.1</t>
  </si>
  <si>
    <t>2APX715</t>
  </si>
  <si>
    <t>656-063</t>
  </si>
  <si>
    <t>204209</t>
  </si>
  <si>
    <t>1SZH178</t>
  </si>
  <si>
    <t>303676</t>
  </si>
  <si>
    <t>1TAJ921</t>
  </si>
  <si>
    <t>303679</t>
  </si>
  <si>
    <t>1TAJ929</t>
  </si>
  <si>
    <t>303842</t>
  </si>
  <si>
    <t>1TAG385</t>
  </si>
  <si>
    <t>111443</t>
  </si>
  <si>
    <t>1TAG379</t>
  </si>
  <si>
    <t>220563</t>
  </si>
  <si>
    <t>1TCR362</t>
  </si>
  <si>
    <t>442137</t>
  </si>
  <si>
    <t>1TDF269</t>
  </si>
  <si>
    <t>442138</t>
  </si>
  <si>
    <t>1TDE980</t>
  </si>
  <si>
    <t>440760</t>
  </si>
  <si>
    <t>1TDE797</t>
  </si>
  <si>
    <t>096-022</t>
  </si>
  <si>
    <t>1VKX420</t>
  </si>
  <si>
    <t>096-023</t>
  </si>
  <si>
    <t>1WXH407</t>
  </si>
  <si>
    <t>551097</t>
  </si>
  <si>
    <t>1TDT676</t>
  </si>
  <si>
    <t>330931</t>
  </si>
  <si>
    <t>1TDX315</t>
  </si>
  <si>
    <t>222227</t>
  </si>
  <si>
    <t>1TEB426</t>
  </si>
  <si>
    <t>550439</t>
  </si>
  <si>
    <t>Crossway low entry</t>
  </si>
  <si>
    <t>1TEB448</t>
  </si>
  <si>
    <t>550822</t>
  </si>
  <si>
    <t>Lion's City NL</t>
  </si>
  <si>
    <t>1THK680</t>
  </si>
  <si>
    <t>550821</t>
  </si>
  <si>
    <t>1THK633</t>
  </si>
  <si>
    <t>442140</t>
  </si>
  <si>
    <t>1TJA514</t>
  </si>
  <si>
    <t>442139</t>
  </si>
  <si>
    <t>1TJA578</t>
  </si>
  <si>
    <t>440303</t>
  </si>
  <si>
    <t>1TJA420</t>
  </si>
  <si>
    <t>632-067</t>
  </si>
  <si>
    <t>2EAE105</t>
  </si>
  <si>
    <t>220630</t>
  </si>
  <si>
    <t>Crossway</t>
  </si>
  <si>
    <t>1TMC952</t>
  </si>
  <si>
    <t>550316</t>
  </si>
  <si>
    <t>.</t>
  </si>
  <si>
    <t>1TNA835</t>
  </si>
  <si>
    <t>662-028</t>
  </si>
  <si>
    <t>CITEA SLE-120/310</t>
  </si>
  <si>
    <t>1XFL852</t>
  </si>
  <si>
    <t>662-029</t>
  </si>
  <si>
    <t>Citea SLE120/310</t>
  </si>
  <si>
    <t>1XFL784</t>
  </si>
  <si>
    <t>550716</t>
  </si>
  <si>
    <t>1TPD583</t>
  </si>
  <si>
    <t>550528</t>
  </si>
  <si>
    <t>1TRB493</t>
  </si>
  <si>
    <t>550529</t>
  </si>
  <si>
    <t>1TRB569</t>
  </si>
  <si>
    <t>111091</t>
  </si>
  <si>
    <t>Lion's City NL 283</t>
  </si>
  <si>
    <t>1TSD825</t>
  </si>
  <si>
    <t>111090</t>
  </si>
  <si>
    <t>1TSH234</t>
  </si>
  <si>
    <t>442336</t>
  </si>
  <si>
    <t>1TSD849</t>
  </si>
  <si>
    <t>442337</t>
  </si>
  <si>
    <t>1TSD782</t>
  </si>
  <si>
    <t>442075</t>
  </si>
  <si>
    <t>1TSH302</t>
  </si>
  <si>
    <t>119892</t>
  </si>
  <si>
    <t>1TSH197</t>
  </si>
  <si>
    <t>220777</t>
  </si>
  <si>
    <t>1TSD700</t>
  </si>
  <si>
    <t>220778</t>
  </si>
  <si>
    <t>1TSD723</t>
  </si>
  <si>
    <t>441526</t>
  </si>
  <si>
    <t>1TSD896</t>
  </si>
  <si>
    <t>220981</t>
  </si>
  <si>
    <t>MAN LIONS CITY</t>
  </si>
  <si>
    <t>1TSD658</t>
  </si>
  <si>
    <t>220982</t>
  </si>
  <si>
    <t>1TSD761</t>
  </si>
  <si>
    <t>220983</t>
  </si>
  <si>
    <t>1TSD791</t>
  </si>
  <si>
    <t>440905</t>
  </si>
  <si>
    <t>MAN Lion's City NL283</t>
  </si>
  <si>
    <t>1TSD967</t>
  </si>
  <si>
    <t>440906</t>
  </si>
  <si>
    <t>1TSH251</t>
  </si>
  <si>
    <t>220880</t>
  </si>
  <si>
    <t>LIONS CITY</t>
  </si>
  <si>
    <t>1TSD742</t>
  </si>
  <si>
    <t>010-064</t>
  </si>
  <si>
    <t>1TSD937</t>
  </si>
  <si>
    <t>551173</t>
  </si>
  <si>
    <t>1TSD886</t>
  </si>
  <si>
    <t>550255</t>
  </si>
  <si>
    <t>1TSH322</t>
  </si>
  <si>
    <t>401212</t>
  </si>
  <si>
    <t>1TRV995</t>
  </si>
  <si>
    <t>111093</t>
  </si>
  <si>
    <t>1TSX477</t>
  </si>
  <si>
    <t>331562</t>
  </si>
  <si>
    <t>Lions City</t>
  </si>
  <si>
    <t>1TSX622</t>
  </si>
  <si>
    <t>551174</t>
  </si>
  <si>
    <t>MAN Lion's City</t>
  </si>
  <si>
    <t>1TSX449</t>
  </si>
  <si>
    <t>303220</t>
  </si>
  <si>
    <t>1TTR459</t>
  </si>
  <si>
    <t>111516</t>
  </si>
  <si>
    <t>1TTC899</t>
  </si>
  <si>
    <t>550823</t>
  </si>
  <si>
    <t>MAN Truck &amp; Bus</t>
  </si>
  <si>
    <t>Man Lion's City NL283</t>
  </si>
  <si>
    <t>1TTS722</t>
  </si>
  <si>
    <t>550154</t>
  </si>
  <si>
    <t>1TTL104</t>
  </si>
  <si>
    <t>442076</t>
  </si>
  <si>
    <t>1TTY123</t>
  </si>
  <si>
    <t>551175</t>
  </si>
  <si>
    <t>1TTY093</t>
  </si>
  <si>
    <t>220879</t>
  </si>
  <si>
    <t>1TUF403</t>
  </si>
  <si>
    <t>441525</t>
  </si>
  <si>
    <t>LION'S CITY NL 283</t>
  </si>
  <si>
    <t>1TUF406</t>
  </si>
  <si>
    <t>221323</t>
  </si>
  <si>
    <t>CITEA SLE</t>
  </si>
  <si>
    <t>1TUD326</t>
  </si>
  <si>
    <t>550256</t>
  </si>
  <si>
    <t>1TUB742</t>
  </si>
  <si>
    <t>550317</t>
  </si>
  <si>
    <t>1TUD268</t>
  </si>
  <si>
    <t>550318</t>
  </si>
  <si>
    <t>1TUD544</t>
  </si>
  <si>
    <t>550319</t>
  </si>
  <si>
    <t>1TUD520</t>
  </si>
  <si>
    <t>609-010</t>
  </si>
  <si>
    <t>MAN lion's city</t>
  </si>
  <si>
    <t>1TUU048</t>
  </si>
  <si>
    <t>440907</t>
  </si>
  <si>
    <t>1TUU034</t>
  </si>
  <si>
    <t>221770</t>
  </si>
  <si>
    <t>MAN Truck &amp; Bus NV</t>
  </si>
  <si>
    <t>1TUU063</t>
  </si>
  <si>
    <t>220984</t>
  </si>
  <si>
    <t>1TUT953</t>
  </si>
  <si>
    <t>111094</t>
  </si>
  <si>
    <t>1TUT983</t>
  </si>
  <si>
    <t>110206</t>
  </si>
  <si>
    <t>1TUT997</t>
  </si>
  <si>
    <t>550676</t>
  </si>
  <si>
    <t>1TUU014</t>
  </si>
  <si>
    <t>550770</t>
  </si>
  <si>
    <t>1TVK349</t>
  </si>
  <si>
    <t>221771</t>
  </si>
  <si>
    <t>1TWR644</t>
  </si>
  <si>
    <t>442077</t>
  </si>
  <si>
    <t>1TWR678</t>
  </si>
  <si>
    <t>119923</t>
  </si>
  <si>
    <t>1UBN578</t>
  </si>
  <si>
    <t>119921</t>
  </si>
  <si>
    <t>1UCQ552</t>
  </si>
  <si>
    <t>221422</t>
  </si>
  <si>
    <t>1UCQ559</t>
  </si>
  <si>
    <t>110683</t>
  </si>
  <si>
    <t>1UFL526</t>
  </si>
  <si>
    <t>222538</t>
  </si>
  <si>
    <t>1UFL491</t>
  </si>
  <si>
    <t>110584</t>
  </si>
  <si>
    <t>1UFL551</t>
  </si>
  <si>
    <t>222439</t>
  </si>
  <si>
    <t>1UFL475</t>
  </si>
  <si>
    <t>110585</t>
  </si>
  <si>
    <t>1UFL586</t>
  </si>
  <si>
    <t>110831</t>
  </si>
  <si>
    <t>1XJD303</t>
  </si>
  <si>
    <t>221774</t>
  </si>
  <si>
    <t>1UGB207</t>
  </si>
  <si>
    <t>331563</t>
  </si>
  <si>
    <t>1UGB354</t>
  </si>
  <si>
    <t>110934</t>
  </si>
  <si>
    <t>1UGE939</t>
  </si>
  <si>
    <t>221772</t>
  </si>
  <si>
    <t>1UGH308</t>
  </si>
  <si>
    <t>221773</t>
  </si>
  <si>
    <t>1UGH339</t>
  </si>
  <si>
    <t>441528</t>
  </si>
  <si>
    <t>LIONS CITY NL 283</t>
  </si>
  <si>
    <t>1UGH367</t>
  </si>
  <si>
    <t>110590</t>
  </si>
  <si>
    <t>1UGE777</t>
  </si>
  <si>
    <t>105487</t>
  </si>
  <si>
    <t>1UGE864</t>
  </si>
  <si>
    <t>110586</t>
  </si>
  <si>
    <t>1UGE830</t>
  </si>
  <si>
    <t>110589</t>
  </si>
  <si>
    <t>1UGE912</t>
  </si>
  <si>
    <t>110588</t>
  </si>
  <si>
    <t>1UGE893</t>
  </si>
  <si>
    <t>550680</t>
  </si>
  <si>
    <t>1UGH392</t>
  </si>
  <si>
    <t>614-045</t>
  </si>
  <si>
    <t>2BQG359</t>
  </si>
  <si>
    <t>110208</t>
  </si>
  <si>
    <t>1UHW112</t>
  </si>
  <si>
    <t>221775</t>
  </si>
  <si>
    <t>1UHW146</t>
  </si>
  <si>
    <t>550978</t>
  </si>
  <si>
    <t>1UHW168</t>
  </si>
  <si>
    <t>551177</t>
  </si>
  <si>
    <t>1UHW202</t>
  </si>
  <si>
    <t>550684</t>
  </si>
  <si>
    <t>1UHW469</t>
  </si>
  <si>
    <t>550679</t>
  </si>
  <si>
    <t>1UHW346</t>
  </si>
  <si>
    <t>550155</t>
  </si>
  <si>
    <t>1UHW269</t>
  </si>
  <si>
    <t>550156</t>
  </si>
  <si>
    <t>1UHW297</t>
  </si>
  <si>
    <t>550982</t>
  </si>
  <si>
    <t>1UHW497</t>
  </si>
  <si>
    <t>331525</t>
  </si>
  <si>
    <t>1UJL003</t>
  </si>
  <si>
    <t>301833</t>
  </si>
  <si>
    <t>1UJL009</t>
  </si>
  <si>
    <t>220564</t>
  </si>
  <si>
    <t>MAN TRUCK &amp; BUS NV</t>
  </si>
  <si>
    <t>LION'S CITY NL283</t>
  </si>
  <si>
    <t>1UJU658</t>
  </si>
  <si>
    <t>221424</t>
  </si>
  <si>
    <t>1UJN513</t>
  </si>
  <si>
    <t>400964</t>
  </si>
  <si>
    <t>1ULA050</t>
  </si>
  <si>
    <t>222541</t>
  </si>
  <si>
    <t>1ULA097</t>
  </si>
  <si>
    <t>222640</t>
  </si>
  <si>
    <t>1UGE978</t>
  </si>
  <si>
    <t>550530</t>
  </si>
  <si>
    <t>1ULL688</t>
  </si>
  <si>
    <t>044-071</t>
  </si>
  <si>
    <t>LION'S City NL 283</t>
  </si>
  <si>
    <t>1UMC089</t>
  </si>
  <si>
    <t>550981</t>
  </si>
  <si>
    <t>1UMD548</t>
  </si>
  <si>
    <t>441813</t>
  </si>
  <si>
    <t>1UHW233</t>
  </si>
  <si>
    <t>550983</t>
  </si>
  <si>
    <t>1UMU533</t>
  </si>
  <si>
    <t>221427</t>
  </si>
  <si>
    <t>1UPG590</t>
  </si>
  <si>
    <t>111828</t>
  </si>
  <si>
    <t>1UPG949</t>
  </si>
  <si>
    <t>442080</t>
  </si>
  <si>
    <t>1UNT012</t>
  </si>
  <si>
    <t>610-073</t>
  </si>
  <si>
    <t>1WRN491</t>
  </si>
  <si>
    <t>220985</t>
  </si>
  <si>
    <t>1UQB100</t>
  </si>
  <si>
    <t>220986</t>
  </si>
  <si>
    <t>MAN LIONS CITY NL 283</t>
  </si>
  <si>
    <t>1UQB126</t>
  </si>
  <si>
    <t>610-071</t>
  </si>
  <si>
    <t>1WRN507</t>
  </si>
  <si>
    <t>221248</t>
  </si>
  <si>
    <t>A 360 H</t>
  </si>
  <si>
    <t>1UQL019</t>
  </si>
  <si>
    <t>111126</t>
  </si>
  <si>
    <t>1URF345</t>
  </si>
  <si>
    <t>111830</t>
  </si>
  <si>
    <t>1URN677</t>
  </si>
  <si>
    <t>111831</t>
  </si>
  <si>
    <t>1URP689</t>
  </si>
  <si>
    <t>119929</t>
  </si>
  <si>
    <t>1URP705</t>
  </si>
  <si>
    <t>111232</t>
  </si>
  <si>
    <t>1URS873</t>
  </si>
  <si>
    <t>304135</t>
  </si>
  <si>
    <t>01</t>
  </si>
  <si>
    <t>MULTIO1</t>
  </si>
  <si>
    <t>304136</t>
  </si>
  <si>
    <t>MULTIO2</t>
  </si>
  <si>
    <t>550685</t>
  </si>
  <si>
    <t>1UUL355</t>
  </si>
  <si>
    <t>550686</t>
  </si>
  <si>
    <t>1UUL390</t>
  </si>
  <si>
    <t>550688</t>
  </si>
  <si>
    <t>1UUL332</t>
  </si>
  <si>
    <t>550687</t>
  </si>
  <si>
    <t>1UUL402</t>
  </si>
  <si>
    <t>203970</t>
  </si>
  <si>
    <t>1UXN084</t>
  </si>
  <si>
    <t>062-024</t>
  </si>
  <si>
    <t>403E1</t>
  </si>
  <si>
    <t>1UXV601</t>
  </si>
  <si>
    <t>550689</t>
  </si>
  <si>
    <t>1VAF289</t>
  </si>
  <si>
    <t>062-025</t>
  </si>
  <si>
    <t>VDL Citea SLE 120/280</t>
  </si>
  <si>
    <t>1VBJ140</t>
  </si>
  <si>
    <t>062-026</t>
  </si>
  <si>
    <t>VDL Citea SLE</t>
  </si>
  <si>
    <t>1VBJ163</t>
  </si>
  <si>
    <t>055-013</t>
  </si>
  <si>
    <t>1VCC326</t>
  </si>
  <si>
    <t>050-058</t>
  </si>
  <si>
    <t>1VDL737</t>
  </si>
  <si>
    <t>056-047</t>
  </si>
  <si>
    <t>1VDL772</t>
  </si>
  <si>
    <t>010-061</t>
  </si>
  <si>
    <t>1VDL212</t>
  </si>
  <si>
    <t>021-059</t>
  </si>
  <si>
    <t>Lyon's City</t>
  </si>
  <si>
    <t>1VDS841</t>
  </si>
  <si>
    <t>021-058</t>
  </si>
  <si>
    <t>1VDS845</t>
  </si>
  <si>
    <t>021-060</t>
  </si>
  <si>
    <t>1VDS828</t>
  </si>
  <si>
    <t>023-050</t>
  </si>
  <si>
    <t>1VDS819</t>
  </si>
  <si>
    <t>023-052</t>
  </si>
  <si>
    <t>1VDS810</t>
  </si>
  <si>
    <t>055-014</t>
  </si>
  <si>
    <t>Crosway LE</t>
  </si>
  <si>
    <t>1VEU410</t>
  </si>
  <si>
    <t>060-032</t>
  </si>
  <si>
    <t>Evobus</t>
  </si>
  <si>
    <t>citaro LE</t>
  </si>
  <si>
    <t>1VEY152</t>
  </si>
  <si>
    <t>023-051</t>
  </si>
  <si>
    <t>1VFS446</t>
  </si>
  <si>
    <t>023-053</t>
  </si>
  <si>
    <t>1VFS514</t>
  </si>
  <si>
    <t>023-054</t>
  </si>
  <si>
    <t>1VFS497</t>
  </si>
  <si>
    <t>605-032</t>
  </si>
  <si>
    <t>1VFS466</t>
  </si>
  <si>
    <t>605-033</t>
  </si>
  <si>
    <t>1VFS480</t>
  </si>
  <si>
    <t>021-062</t>
  </si>
  <si>
    <t>1VGV905</t>
  </si>
  <si>
    <t>021-061</t>
  </si>
  <si>
    <t>1VGV935</t>
  </si>
  <si>
    <t>041-050</t>
  </si>
  <si>
    <t>1VGZ442</t>
  </si>
  <si>
    <t>041-051</t>
  </si>
  <si>
    <t>1VGZ465</t>
  </si>
  <si>
    <t>041-053</t>
  </si>
  <si>
    <t>1VGZ481</t>
  </si>
  <si>
    <t>041-052</t>
  </si>
  <si>
    <t>1VGZ507</t>
  </si>
  <si>
    <t>021-063</t>
  </si>
  <si>
    <t>1VGW015</t>
  </si>
  <si>
    <t>039-032</t>
  </si>
  <si>
    <t>1VGZ404</t>
  </si>
  <si>
    <t>039-033</t>
  </si>
  <si>
    <t>1VGZ388</t>
  </si>
  <si>
    <t>605-035</t>
  </si>
  <si>
    <t>1VGV971</t>
  </si>
  <si>
    <t>605-034</t>
  </si>
  <si>
    <t>1VGV996</t>
  </si>
  <si>
    <t>058-087</t>
  </si>
  <si>
    <t>MERCEDES</t>
  </si>
  <si>
    <t>1VHG603</t>
  </si>
  <si>
    <t>045-087</t>
  </si>
  <si>
    <t>1VHZ799</t>
  </si>
  <si>
    <t>058-090</t>
  </si>
  <si>
    <t>1VHZ532</t>
  </si>
  <si>
    <t>058-088</t>
  </si>
  <si>
    <t>1VHZ555</t>
  </si>
  <si>
    <t>058-091</t>
  </si>
  <si>
    <t>1VHZ579</t>
  </si>
  <si>
    <t>021-065</t>
  </si>
  <si>
    <t>1VHV467</t>
  </si>
  <si>
    <t>021-064</t>
  </si>
  <si>
    <t>1VHV487</t>
  </si>
  <si>
    <t>037-022</t>
  </si>
  <si>
    <t>LE HYBRIDE</t>
  </si>
  <si>
    <t>1VHZ612</t>
  </si>
  <si>
    <t>015-038</t>
  </si>
  <si>
    <t>MAN Truck&amp;Bus</t>
  </si>
  <si>
    <t xml:space="preserve">LION CITY </t>
  </si>
  <si>
    <t>1VJB336</t>
  </si>
  <si>
    <t>037-023</t>
  </si>
  <si>
    <t>1VLB817</t>
  </si>
  <si>
    <t>016-033</t>
  </si>
  <si>
    <t>1VJB386</t>
  </si>
  <si>
    <t>604-024</t>
  </si>
  <si>
    <t>MAN Tuck &amp; Bus NV</t>
  </si>
  <si>
    <t>1VJB364</t>
  </si>
  <si>
    <t>058-089</t>
  </si>
  <si>
    <t>1VJN714</t>
  </si>
  <si>
    <t>023-055</t>
  </si>
  <si>
    <t>1VKB729</t>
  </si>
  <si>
    <t>023-056</t>
  </si>
  <si>
    <t>1VKB750</t>
  </si>
  <si>
    <t>023-057</t>
  </si>
  <si>
    <t>1VKB776</t>
  </si>
  <si>
    <t>023-058</t>
  </si>
  <si>
    <t>1VKB801</t>
  </si>
  <si>
    <t>045-088</t>
  </si>
  <si>
    <t>1VKN792</t>
  </si>
  <si>
    <t>045-089</t>
  </si>
  <si>
    <t>1VLB794</t>
  </si>
  <si>
    <t>058-092</t>
  </si>
  <si>
    <t>1VLB834</t>
  </si>
  <si>
    <t>603-029</t>
  </si>
  <si>
    <t>1VLB846</t>
  </si>
  <si>
    <t>045-090</t>
  </si>
  <si>
    <t>1VLF782</t>
  </si>
  <si>
    <t>621-085</t>
  </si>
  <si>
    <t>2DPK852</t>
  </si>
  <si>
    <t>078-049</t>
  </si>
  <si>
    <t>1VNG588</t>
  </si>
  <si>
    <t>041-055</t>
  </si>
  <si>
    <t>1VPW603</t>
  </si>
  <si>
    <t>018-031</t>
  </si>
  <si>
    <t>1VPV723</t>
  </si>
  <si>
    <t>010-065</t>
  </si>
  <si>
    <t>1VPV854</t>
  </si>
  <si>
    <t>604-025</t>
  </si>
  <si>
    <t>1VPV833</t>
  </si>
  <si>
    <t>608-053</t>
  </si>
  <si>
    <t>1VPV804</t>
  </si>
  <si>
    <t>652-029</t>
  </si>
  <si>
    <t>1VQF885</t>
  </si>
  <si>
    <t>042-032</t>
  </si>
  <si>
    <t>1VQC517</t>
  </si>
  <si>
    <t>052-021</t>
  </si>
  <si>
    <t>1VQC541</t>
  </si>
  <si>
    <t>010-066</t>
  </si>
  <si>
    <t>1VQC562</t>
  </si>
  <si>
    <t>652-030</t>
  </si>
  <si>
    <t>Lions city</t>
  </si>
  <si>
    <t>1VQF915</t>
  </si>
  <si>
    <t>018-032</t>
  </si>
  <si>
    <t>1VRN244</t>
  </si>
  <si>
    <t>010-068</t>
  </si>
  <si>
    <t>1VRN264</t>
  </si>
  <si>
    <t>074-056</t>
  </si>
  <si>
    <t>1VRZ686</t>
  </si>
  <si>
    <t>028-012</t>
  </si>
  <si>
    <t>evobus</t>
  </si>
  <si>
    <t>1VSJ485</t>
  </si>
  <si>
    <t>029-045</t>
  </si>
  <si>
    <t>Mercedes Benz</t>
  </si>
  <si>
    <t>Citaro LE hybrid</t>
  </si>
  <si>
    <t>1VSF194</t>
  </si>
  <si>
    <t>010-067</t>
  </si>
  <si>
    <t>1VSF045</t>
  </si>
  <si>
    <t>041-056</t>
  </si>
  <si>
    <t>1VSF072</t>
  </si>
  <si>
    <t>039-034</t>
  </si>
  <si>
    <t>1VSW216</t>
  </si>
  <si>
    <t>061-012</t>
  </si>
  <si>
    <t>1VTT600</t>
  </si>
  <si>
    <t>063-014</t>
  </si>
  <si>
    <t>1VUG402</t>
  </si>
  <si>
    <t>066-011</t>
  </si>
  <si>
    <t>1VUE158</t>
  </si>
  <si>
    <t>078-050</t>
  </si>
  <si>
    <t>Citywide LE Hybride</t>
  </si>
  <si>
    <t>1VUK852</t>
  </si>
  <si>
    <t>011-054</t>
  </si>
  <si>
    <t>1VUH658</t>
  </si>
  <si>
    <t>608-054</t>
  </si>
  <si>
    <t>1VUH635</t>
  </si>
  <si>
    <t>660-037</t>
  </si>
  <si>
    <t>MAN Truck en Bus NV</t>
  </si>
  <si>
    <t>MAN Lion's City NL 283</t>
  </si>
  <si>
    <t>1VUT316</t>
  </si>
  <si>
    <t>011-055</t>
  </si>
  <si>
    <t>1VVB559</t>
  </si>
  <si>
    <t>634-020</t>
  </si>
  <si>
    <t>Citaro LE Hybrid</t>
  </si>
  <si>
    <t>1WAW705</t>
  </si>
  <si>
    <t>034-019</t>
  </si>
  <si>
    <t>1WAW649</t>
  </si>
  <si>
    <t>634-022</t>
  </si>
  <si>
    <t>1WAW768</t>
  </si>
  <si>
    <t>634-021</t>
  </si>
  <si>
    <t>1WAW803</t>
  </si>
  <si>
    <t>013-024</t>
  </si>
  <si>
    <t>lion's city NL283</t>
  </si>
  <si>
    <t>1WBS002</t>
  </si>
  <si>
    <t>628-017</t>
  </si>
  <si>
    <t>2CKE076</t>
  </si>
  <si>
    <t>016-034</t>
  </si>
  <si>
    <t>1WBZ398</t>
  </si>
  <si>
    <t>089-024</t>
  </si>
  <si>
    <t>1WCP390</t>
  </si>
  <si>
    <t>027-024</t>
  </si>
  <si>
    <t>1WCY952</t>
  </si>
  <si>
    <t>639-035</t>
  </si>
  <si>
    <t>1WCY717</t>
  </si>
  <si>
    <t>607-021</t>
  </si>
  <si>
    <t>1WCY903</t>
  </si>
  <si>
    <t>674-057</t>
  </si>
  <si>
    <t>1WDN394</t>
  </si>
  <si>
    <t>639-036</t>
  </si>
  <si>
    <t>1WDN344</t>
  </si>
  <si>
    <t>660-036</t>
  </si>
  <si>
    <t>Citaro LE hybride</t>
  </si>
  <si>
    <t>1WDW919</t>
  </si>
  <si>
    <t>615-039</t>
  </si>
  <si>
    <t>LION CITY NL283</t>
  </si>
  <si>
    <t>1WEP107</t>
  </si>
  <si>
    <t>616-035</t>
  </si>
  <si>
    <t>1WEP073</t>
  </si>
  <si>
    <t>614-033</t>
  </si>
  <si>
    <t>1WFN086</t>
  </si>
  <si>
    <t>623-059</t>
  </si>
  <si>
    <t>1WFN028</t>
  </si>
  <si>
    <t>623-060</t>
  </si>
  <si>
    <t>1WFN047</t>
  </si>
  <si>
    <t>614-034</t>
  </si>
  <si>
    <t>1WFN067</t>
  </si>
  <si>
    <t>615-040</t>
  </si>
  <si>
    <t>1WGB579</t>
  </si>
  <si>
    <t>616-036</t>
  </si>
  <si>
    <t>1WGB536</t>
  </si>
  <si>
    <t>603-030</t>
  </si>
  <si>
    <t>CITARO LE HYBRID</t>
  </si>
  <si>
    <t>1WGF595</t>
  </si>
  <si>
    <t>676-036</t>
  </si>
  <si>
    <t>1WGW242</t>
  </si>
  <si>
    <t>676-035</t>
  </si>
  <si>
    <t>1WGW367</t>
  </si>
  <si>
    <t>678-051</t>
  </si>
  <si>
    <t>1WGW291</t>
  </si>
  <si>
    <t>678-052</t>
  </si>
  <si>
    <t>1WGW446</t>
  </si>
  <si>
    <t>680-038</t>
  </si>
  <si>
    <t>1WGW587</t>
  </si>
  <si>
    <t>678-055</t>
  </si>
  <si>
    <t>1WGW639</t>
  </si>
  <si>
    <t>678-054</t>
  </si>
  <si>
    <t>1WGW566</t>
  </si>
  <si>
    <t>683-021</t>
  </si>
  <si>
    <t>1WGW624</t>
  </si>
  <si>
    <t>678-053</t>
  </si>
  <si>
    <t>1WGW652</t>
  </si>
  <si>
    <t>676-037</t>
  </si>
  <si>
    <t>1WGW673</t>
  </si>
  <si>
    <t>676-038</t>
  </si>
  <si>
    <t>1WGW664</t>
  </si>
  <si>
    <t>103-013</t>
  </si>
  <si>
    <t>Crossway Low Entry</t>
  </si>
  <si>
    <t>1VUE249</t>
  </si>
  <si>
    <t>623-061</t>
  </si>
  <si>
    <t>1WHL184</t>
  </si>
  <si>
    <t>660-035</t>
  </si>
  <si>
    <t>1WJF276</t>
  </si>
  <si>
    <t>664-039</t>
  </si>
  <si>
    <t>Mercedes-Benz</t>
  </si>
  <si>
    <t>Citaro LE Hybride</t>
  </si>
  <si>
    <t>1WKW377</t>
  </si>
  <si>
    <t>603-031</t>
  </si>
  <si>
    <t>1WKX427</t>
  </si>
  <si>
    <t>658-094</t>
  </si>
  <si>
    <t>1WKX361</t>
  </si>
  <si>
    <t>658-095</t>
  </si>
  <si>
    <t>1WKX407</t>
  </si>
  <si>
    <t>618-034</t>
  </si>
  <si>
    <t>1WKR422</t>
  </si>
  <si>
    <t>632-061</t>
  </si>
  <si>
    <t>CITARO LE HYBRIDE</t>
  </si>
  <si>
    <t>1WKX321</t>
  </si>
  <si>
    <t>632-062</t>
  </si>
  <si>
    <t>1WKX247</t>
  </si>
  <si>
    <t>632-060</t>
  </si>
  <si>
    <t>1WLM459</t>
  </si>
  <si>
    <t>645-093</t>
  </si>
  <si>
    <t>1WLN111</t>
  </si>
  <si>
    <t>645-094</t>
  </si>
  <si>
    <t>1WLN310</t>
  </si>
  <si>
    <t>645-095</t>
  </si>
  <si>
    <t>1WLN391</t>
  </si>
  <si>
    <t>632-063</t>
  </si>
  <si>
    <t>1WLM372</t>
  </si>
  <si>
    <t>644-072</t>
  </si>
  <si>
    <t>1WMM372</t>
  </si>
  <si>
    <t>605-048</t>
  </si>
  <si>
    <t>2EAH153</t>
  </si>
  <si>
    <t>652-022</t>
  </si>
  <si>
    <t>1WQW536</t>
  </si>
  <si>
    <t>627-025</t>
  </si>
  <si>
    <t>1WQW574</t>
  </si>
  <si>
    <t>683-022</t>
  </si>
  <si>
    <t>1WRE752</t>
  </si>
  <si>
    <t>683-023</t>
  </si>
  <si>
    <t>1WRE779</t>
  </si>
  <si>
    <t>676-039</t>
  </si>
  <si>
    <t>1WRE814</t>
  </si>
  <si>
    <t>676-040</t>
  </si>
  <si>
    <t>1WRE892</t>
  </si>
  <si>
    <t>676-041</t>
  </si>
  <si>
    <t>1WRE909</t>
  </si>
  <si>
    <t>678-056</t>
  </si>
  <si>
    <t>1WRE874</t>
  </si>
  <si>
    <t>648-013</t>
  </si>
  <si>
    <t>1WRF002</t>
  </si>
  <si>
    <t>683-024</t>
  </si>
  <si>
    <t>1WRE979</t>
  </si>
  <si>
    <t>669-014</t>
  </si>
  <si>
    <t>Iveco France</t>
  </si>
  <si>
    <t>1WRS232</t>
  </si>
  <si>
    <t>1WSL986</t>
  </si>
  <si>
    <t>678-057</t>
  </si>
  <si>
    <t>1WRT751</t>
  </si>
  <si>
    <t>643-021</t>
  </si>
  <si>
    <t>1WSC151</t>
  </si>
  <si>
    <t>671-014</t>
  </si>
  <si>
    <t>643-022</t>
  </si>
  <si>
    <t>1WSM288</t>
  </si>
  <si>
    <t>671-015</t>
  </si>
  <si>
    <t>1WSM012</t>
  </si>
  <si>
    <t>644-073</t>
  </si>
  <si>
    <t>1WSM329</t>
  </si>
  <si>
    <t>644-074</t>
  </si>
  <si>
    <t>1WSM210</t>
  </si>
  <si>
    <t>668-015</t>
  </si>
  <si>
    <t>IVECO BUS</t>
  </si>
  <si>
    <t>CROSSWAY LOW ENTRY</t>
  </si>
  <si>
    <t>1WTN674</t>
  </si>
  <si>
    <t>661-013</t>
  </si>
  <si>
    <t>1WXT650</t>
  </si>
  <si>
    <t>643-023</t>
  </si>
  <si>
    <t>1XAH667</t>
  </si>
  <si>
    <t>605-038</t>
  </si>
  <si>
    <t>1XDN717</t>
  </si>
  <si>
    <t>605-037</t>
  </si>
  <si>
    <t>1XDN740</t>
  </si>
  <si>
    <t>614-038</t>
  </si>
  <si>
    <t>1XDN787</t>
  </si>
  <si>
    <t>614-037</t>
  </si>
  <si>
    <t>1XDN769</t>
  </si>
  <si>
    <t>104-023</t>
  </si>
  <si>
    <t>CITEA LOW ENTRY</t>
  </si>
  <si>
    <t>1XFE139</t>
  </si>
  <si>
    <t>104-024</t>
  </si>
  <si>
    <t>1XFE156</t>
  </si>
  <si>
    <t>686-036</t>
  </si>
  <si>
    <t xml:space="preserve">CITEA </t>
  </si>
  <si>
    <t>1XFE158</t>
  </si>
  <si>
    <t>669-015</t>
  </si>
  <si>
    <t>1XGU534</t>
  </si>
  <si>
    <t>646-052</t>
  </si>
  <si>
    <t>1XGY028</t>
  </si>
  <si>
    <t>655-015</t>
  </si>
  <si>
    <t>1XGX790</t>
  </si>
  <si>
    <t>669-016</t>
  </si>
  <si>
    <t>1XHH332</t>
  </si>
  <si>
    <t>664-040</t>
  </si>
  <si>
    <t>Iveco Bus</t>
  </si>
  <si>
    <t>1XHL254</t>
  </si>
  <si>
    <t>621-075</t>
  </si>
  <si>
    <t>1XHH649</t>
  </si>
  <si>
    <t>621-074</t>
  </si>
  <si>
    <t>1XHH691</t>
  </si>
  <si>
    <t>621-076</t>
  </si>
  <si>
    <t>1XHH672</t>
  </si>
  <si>
    <t>637-024</t>
  </si>
  <si>
    <t>1XRS688</t>
  </si>
  <si>
    <t>642-033</t>
  </si>
  <si>
    <t>1XRR766</t>
  </si>
  <si>
    <t>610-075</t>
  </si>
  <si>
    <t>LION's City NL 283</t>
  </si>
  <si>
    <t>1XRR772</t>
  </si>
  <si>
    <t>607-022</t>
  </si>
  <si>
    <t>1XRR754</t>
  </si>
  <si>
    <t>637-025</t>
  </si>
  <si>
    <t>1XRU068</t>
  </si>
  <si>
    <t>696-025</t>
  </si>
  <si>
    <t>1XRT925</t>
  </si>
  <si>
    <t>669-017</t>
  </si>
  <si>
    <t>1XRW299</t>
  </si>
  <si>
    <t>644-078</t>
  </si>
  <si>
    <t>1XRX229</t>
  </si>
  <si>
    <t>644-079</t>
  </si>
  <si>
    <t>1XRX235</t>
  </si>
  <si>
    <t>658-100</t>
  </si>
  <si>
    <t>1XSY344</t>
  </si>
  <si>
    <t>604-026</t>
  </si>
  <si>
    <t>Man Truck en Bus NV</t>
  </si>
  <si>
    <t>1XWE015</t>
  </si>
  <si>
    <t>689-025</t>
  </si>
  <si>
    <t>1XWW255</t>
  </si>
  <si>
    <t>607-023</t>
  </si>
  <si>
    <t>1XXB204</t>
  </si>
  <si>
    <t>641-057</t>
  </si>
  <si>
    <t>1XXB227</t>
  </si>
  <si>
    <t>604-027</t>
  </si>
  <si>
    <t>1XXB198</t>
  </si>
  <si>
    <t>607-024</t>
  </si>
  <si>
    <t>1XXB240</t>
  </si>
  <si>
    <t>611-064</t>
  </si>
  <si>
    <t>1XXB223</t>
  </si>
  <si>
    <t>642-034</t>
  </si>
  <si>
    <t>1XXB254</t>
  </si>
  <si>
    <t>611-065</t>
  </si>
  <si>
    <t>1XXB229</t>
  </si>
  <si>
    <t>639-037</t>
  </si>
  <si>
    <t>1XXB247</t>
  </si>
  <si>
    <t>616-037</t>
  </si>
  <si>
    <t>1XXB191</t>
  </si>
  <si>
    <t>628-015</t>
  </si>
  <si>
    <t>1XXB262</t>
  </si>
  <si>
    <t>628-013</t>
  </si>
  <si>
    <t>1XXB236</t>
  </si>
  <si>
    <t>628-014</t>
  </si>
  <si>
    <t>1XXB233</t>
  </si>
  <si>
    <t>604-029</t>
  </si>
  <si>
    <t>1XXB213</t>
  </si>
  <si>
    <t>623-063</t>
  </si>
  <si>
    <t>1XXL711</t>
  </si>
  <si>
    <t>621-077</t>
  </si>
  <si>
    <t>1XXL615</t>
  </si>
  <si>
    <t>621-082</t>
  </si>
  <si>
    <t>1YDR069</t>
  </si>
  <si>
    <t>621-078</t>
  </si>
  <si>
    <t>1YDR059</t>
  </si>
  <si>
    <t>621-081</t>
  </si>
  <si>
    <t>1YDR083</t>
  </si>
  <si>
    <t>672-033</t>
  </si>
  <si>
    <t>1YEL285</t>
  </si>
  <si>
    <t>672-032</t>
  </si>
  <si>
    <t>citaro le</t>
  </si>
  <si>
    <t>1YEL290</t>
  </si>
  <si>
    <t>672-031</t>
  </si>
  <si>
    <t>1YEL295</t>
  </si>
  <si>
    <t>629-046</t>
  </si>
  <si>
    <t>1YEL260</t>
  </si>
  <si>
    <t>629-047</t>
  </si>
  <si>
    <t>MERCEDES BENZ</t>
  </si>
  <si>
    <t>1YEL267</t>
  </si>
  <si>
    <t>629-048</t>
  </si>
  <si>
    <t>1YEL276</t>
  </si>
  <si>
    <t>689-026</t>
  </si>
  <si>
    <t>1YFD819</t>
  </si>
  <si>
    <t>623-064</t>
  </si>
  <si>
    <t>1YEZ296</t>
  </si>
  <si>
    <t>605-041</t>
  </si>
  <si>
    <t>1YEZ325</t>
  </si>
  <si>
    <t>646-053</t>
  </si>
  <si>
    <t>1YQT775</t>
  </si>
  <si>
    <t>643-024</t>
  </si>
  <si>
    <t>1YQT856</t>
  </si>
  <si>
    <t>658-102</t>
  </si>
  <si>
    <t>1YRG652</t>
  </si>
  <si>
    <t>658-103</t>
  </si>
  <si>
    <t>1YRG618</t>
  </si>
  <si>
    <t>632-065</t>
  </si>
  <si>
    <t>1YRG929</t>
  </si>
  <si>
    <t>620-015</t>
  </si>
  <si>
    <t>1YSF463</t>
  </si>
  <si>
    <t>678-060</t>
  </si>
  <si>
    <t>1YWC811</t>
  </si>
  <si>
    <t>689-027</t>
  </si>
  <si>
    <t>1YWM182</t>
  </si>
  <si>
    <t>615-043</t>
  </si>
  <si>
    <t>MAN Truck &amp; Bus SE</t>
  </si>
  <si>
    <t>2AED715</t>
  </si>
  <si>
    <t>674-061</t>
  </si>
  <si>
    <t>2AED777</t>
  </si>
  <si>
    <t>643-026</t>
  </si>
  <si>
    <t>2AFD105</t>
  </si>
  <si>
    <t>672-036</t>
  </si>
  <si>
    <t>2AFJ994</t>
  </si>
  <si>
    <t>672-037</t>
  </si>
  <si>
    <t>2AFK005</t>
  </si>
  <si>
    <t>668-017</t>
  </si>
  <si>
    <t>2AFX693</t>
  </si>
  <si>
    <t>643-028</t>
  </si>
  <si>
    <t>2AFX365</t>
  </si>
  <si>
    <t>656-061</t>
  </si>
  <si>
    <t>2.2</t>
  </si>
  <si>
    <t>2AGP187</t>
  </si>
  <si>
    <t>620-017</t>
  </si>
  <si>
    <t>2AGN725</t>
  </si>
  <si>
    <t>656-058</t>
  </si>
  <si>
    <t>2AGP174</t>
  </si>
  <si>
    <t>656-057</t>
  </si>
  <si>
    <t>2AGP158</t>
  </si>
  <si>
    <t>656-053</t>
  </si>
  <si>
    <t>2AGP154</t>
  </si>
  <si>
    <t>656-056</t>
  </si>
  <si>
    <t>2AGP148</t>
  </si>
  <si>
    <t>656-062</t>
  </si>
  <si>
    <t>2AGP191</t>
  </si>
  <si>
    <t>656-055</t>
  </si>
  <si>
    <t>2AGP199</t>
  </si>
  <si>
    <t>656-059</t>
  </si>
  <si>
    <t>2AGP181</t>
  </si>
  <si>
    <t>656-060</t>
  </si>
  <si>
    <t>2AGP185</t>
  </si>
  <si>
    <t>656-054</t>
  </si>
  <si>
    <t>2AGP176</t>
  </si>
  <si>
    <t>620-016</t>
  </si>
  <si>
    <t>2AHJ365</t>
  </si>
  <si>
    <t>696-026</t>
  </si>
  <si>
    <t>2AJY007</t>
  </si>
  <si>
    <t>644-082</t>
  </si>
  <si>
    <t>2AKC840</t>
  </si>
  <si>
    <t>644-083</t>
  </si>
  <si>
    <t>2AKC910</t>
  </si>
  <si>
    <t>644-081</t>
  </si>
  <si>
    <t>2AKC756</t>
  </si>
  <si>
    <t>629-050</t>
  </si>
  <si>
    <t>2AKE676</t>
  </si>
  <si>
    <t>629-051</t>
  </si>
  <si>
    <t>2AKE661</t>
  </si>
  <si>
    <t>602-044</t>
  </si>
  <si>
    <t>2AKC019</t>
  </si>
  <si>
    <t>689-028</t>
  </si>
  <si>
    <t>2AKU714</t>
  </si>
  <si>
    <t>674-063</t>
  </si>
  <si>
    <t>2ALJ692</t>
  </si>
  <si>
    <t>618-036</t>
  </si>
  <si>
    <t>Lion's City 12</t>
  </si>
  <si>
    <t>2ALJ651</t>
  </si>
  <si>
    <t>627-026</t>
  </si>
  <si>
    <t>2ALV905</t>
  </si>
  <si>
    <t>672-038</t>
  </si>
  <si>
    <t>2ANB879</t>
  </si>
  <si>
    <t>629-052</t>
  </si>
  <si>
    <t>2ANB787</t>
  </si>
  <si>
    <t>646-054</t>
  </si>
  <si>
    <t>2ANY224</t>
  </si>
  <si>
    <t>696-027</t>
  </si>
  <si>
    <t>2APM982</t>
  </si>
  <si>
    <t>639-038</t>
  </si>
  <si>
    <t>2APK677</t>
  </si>
  <si>
    <t>602-048</t>
  </si>
  <si>
    <t>2AQE058</t>
  </si>
  <si>
    <t>602-050</t>
  </si>
  <si>
    <t>2AQE101</t>
  </si>
  <si>
    <t>602-049</t>
  </si>
  <si>
    <t>2AQY861</t>
  </si>
  <si>
    <t>615-044</t>
  </si>
  <si>
    <t>Man Truck &amp; Bus NV</t>
  </si>
  <si>
    <t>MAN Lion City NL 283</t>
  </si>
  <si>
    <t>2ASP690</t>
  </si>
  <si>
    <t>611-068</t>
  </si>
  <si>
    <t>2ASP765</t>
  </si>
  <si>
    <t>615-048</t>
  </si>
  <si>
    <t>2CJM414</t>
  </si>
  <si>
    <t>131-011</t>
  </si>
  <si>
    <t>2ASX351</t>
  </si>
  <si>
    <t>678-061</t>
  </si>
  <si>
    <t>2ATD212</t>
  </si>
  <si>
    <t>678-062</t>
  </si>
  <si>
    <t>2ATB803</t>
  </si>
  <si>
    <t>683-027</t>
  </si>
  <si>
    <t>2ATB857</t>
  </si>
  <si>
    <t>676-044</t>
  </si>
  <si>
    <t>2ATB835</t>
  </si>
  <si>
    <t>676-045</t>
  </si>
  <si>
    <t>2ATB873</t>
  </si>
  <si>
    <t>676-046</t>
  </si>
  <si>
    <t>2ATB889</t>
  </si>
  <si>
    <t>604-028</t>
  </si>
  <si>
    <t>2AUW653</t>
  </si>
  <si>
    <t>616-039</t>
  </si>
  <si>
    <t>2AUW628</t>
  </si>
  <si>
    <t>639-039</t>
  </si>
  <si>
    <t>2AUW608</t>
  </si>
  <si>
    <t>616-040</t>
  </si>
  <si>
    <t>2AUW655</t>
  </si>
  <si>
    <t>615-045</t>
  </si>
  <si>
    <t xml:space="preserve">LION'S CITY </t>
  </si>
  <si>
    <t>2AUW646</t>
  </si>
  <si>
    <t>666-012</t>
  </si>
  <si>
    <t>2AVL734</t>
  </si>
  <si>
    <t>666-013</t>
  </si>
  <si>
    <t>CITARO HYBRID</t>
  </si>
  <si>
    <t>2AVL637</t>
  </si>
  <si>
    <t>663-015</t>
  </si>
  <si>
    <t>2AVP663</t>
  </si>
  <si>
    <t>611-069</t>
  </si>
  <si>
    <t>2BCU544</t>
  </si>
  <si>
    <t>611-070</t>
  </si>
  <si>
    <t>2BCU536</t>
  </si>
  <si>
    <t>616-041</t>
  </si>
  <si>
    <t>MAN Lion's City H8ABK</t>
  </si>
  <si>
    <t>2BCU514</t>
  </si>
  <si>
    <t>652-026</t>
  </si>
  <si>
    <t>2CNQ636</t>
  </si>
  <si>
    <t>618-038</t>
  </si>
  <si>
    <t>Lion's City 12 (NL 280)</t>
  </si>
  <si>
    <t>2BDF915</t>
  </si>
  <si>
    <t>680-040</t>
  </si>
  <si>
    <t>eCitaro</t>
  </si>
  <si>
    <t>2BEM028</t>
  </si>
  <si>
    <t>623-065</t>
  </si>
  <si>
    <t>2BEF039</t>
  </si>
  <si>
    <t>669-018</t>
  </si>
  <si>
    <t>2BEP725</t>
  </si>
  <si>
    <t>607-026</t>
  </si>
  <si>
    <t>2BFC843</t>
  </si>
  <si>
    <t>618-039</t>
  </si>
  <si>
    <t>2BGF628</t>
  </si>
  <si>
    <t>618-040</t>
  </si>
  <si>
    <t>2BGF649</t>
  </si>
  <si>
    <t>618-041</t>
  </si>
  <si>
    <t>2BGF666</t>
  </si>
  <si>
    <t>611-071</t>
  </si>
  <si>
    <t>Lion's City NL 12 280</t>
  </si>
  <si>
    <t>2BHA877</t>
  </si>
  <si>
    <t>683-028</t>
  </si>
  <si>
    <t>Lion'sCity 12</t>
  </si>
  <si>
    <t>2BKB010</t>
  </si>
  <si>
    <t>614-042</t>
  </si>
  <si>
    <t>2BKA576</t>
  </si>
  <si>
    <t>621-083</t>
  </si>
  <si>
    <t>2BKA562</t>
  </si>
  <si>
    <t>660-040</t>
  </si>
  <si>
    <t>Lion's City 12 E NL370</t>
  </si>
  <si>
    <t>2BKC832</t>
  </si>
  <si>
    <t>605-042</t>
  </si>
  <si>
    <t>2BKJ894</t>
  </si>
  <si>
    <t>678-065</t>
  </si>
  <si>
    <t>2BNM532</t>
  </si>
  <si>
    <t>671-017</t>
  </si>
  <si>
    <t>2BTL455</t>
  </si>
  <si>
    <t>668-018</t>
  </si>
  <si>
    <t>2CFQ378</t>
  </si>
  <si>
    <t>610-078</t>
  </si>
  <si>
    <t>Lion's City 12 E</t>
  </si>
  <si>
    <t>2CGR506</t>
  </si>
  <si>
    <t>610-079</t>
  </si>
  <si>
    <t>2CGR519</t>
  </si>
  <si>
    <t>618-042</t>
  </si>
  <si>
    <t>2CGR539</t>
  </si>
  <si>
    <t>618-043</t>
  </si>
  <si>
    <t>2CGX804</t>
  </si>
  <si>
    <t>674-067</t>
  </si>
  <si>
    <t>2CHJ626</t>
  </si>
  <si>
    <t>608-064</t>
  </si>
  <si>
    <t>2CHJ653</t>
  </si>
  <si>
    <t>608-065</t>
  </si>
  <si>
    <t>2CHW938</t>
  </si>
  <si>
    <t>608-066</t>
  </si>
  <si>
    <t>2CJL286</t>
  </si>
  <si>
    <t>615-047</t>
  </si>
  <si>
    <t>2CJL304</t>
  </si>
  <si>
    <t>639-041</t>
  </si>
  <si>
    <t>Lion's city 12E</t>
  </si>
  <si>
    <t>2CJW204</t>
  </si>
  <si>
    <t>611-072</t>
  </si>
  <si>
    <t>2CJW185</t>
  </si>
  <si>
    <t>608-067</t>
  </si>
  <si>
    <t>2CJW317</t>
  </si>
  <si>
    <t>639-042</t>
  </si>
  <si>
    <t>2CJT112</t>
  </si>
  <si>
    <t>608-068</t>
  </si>
  <si>
    <t>2CJW170</t>
  </si>
  <si>
    <t>639-043</t>
  </si>
  <si>
    <t>2CJW280</t>
  </si>
  <si>
    <t>639-044</t>
  </si>
  <si>
    <t>2CJW295</t>
  </si>
  <si>
    <t>608-069</t>
  </si>
  <si>
    <t>2CKE114</t>
  </si>
  <si>
    <t>608-070</t>
  </si>
  <si>
    <t>2CLT996</t>
  </si>
  <si>
    <t>608-071</t>
  </si>
  <si>
    <t>2CLU026</t>
  </si>
  <si>
    <t>608-072</t>
  </si>
  <si>
    <t>2CLU043</t>
  </si>
  <si>
    <t>608-073</t>
  </si>
  <si>
    <t>2CMT548</t>
  </si>
  <si>
    <t>608-074</t>
  </si>
  <si>
    <t>2CMT579</t>
  </si>
  <si>
    <t>103-015</t>
  </si>
  <si>
    <t>2CNK410</t>
  </si>
  <si>
    <t>649-013</t>
  </si>
  <si>
    <t>2CNM701</t>
  </si>
  <si>
    <t>610-080</t>
  </si>
  <si>
    <t>2CPK934</t>
  </si>
  <si>
    <t>664-042</t>
  </si>
  <si>
    <t>2CQS508</t>
  </si>
  <si>
    <t>639-045</t>
  </si>
  <si>
    <t>2CRX621</t>
  </si>
  <si>
    <t>615-049</t>
  </si>
  <si>
    <t>2CRX612</t>
  </si>
  <si>
    <t>621-087</t>
  </si>
  <si>
    <t>Lion's City 12E</t>
  </si>
  <si>
    <t>2DPK873</t>
  </si>
  <si>
    <t>648-017</t>
  </si>
  <si>
    <t>2CVG588</t>
  </si>
  <si>
    <t>613-026</t>
  </si>
  <si>
    <t>Lion City 12</t>
  </si>
  <si>
    <t>2CWF068</t>
  </si>
  <si>
    <t>669-019</t>
  </si>
  <si>
    <t>Lion's City 12 E (NL 367)</t>
  </si>
  <si>
    <t>2CXD548</t>
  </si>
  <si>
    <t>621-084</t>
  </si>
  <si>
    <t>A12</t>
  </si>
  <si>
    <t>2DKU392</t>
  </si>
  <si>
    <t>664-043</t>
  </si>
  <si>
    <t>LIONS CITY 12E</t>
  </si>
  <si>
    <t>2DQJ442</t>
  </si>
  <si>
    <t>664-044</t>
  </si>
  <si>
    <t>Euro1</t>
  </si>
  <si>
    <t>2DQJ458</t>
  </si>
  <si>
    <t>664-045</t>
  </si>
  <si>
    <t>2DQJ473</t>
  </si>
  <si>
    <t>675-006</t>
  </si>
  <si>
    <t>Mercedes ( Evobus )</t>
  </si>
  <si>
    <t>Lievijns Autobussen BVBA</t>
  </si>
  <si>
    <t>2DPX260</t>
  </si>
  <si>
    <t>643-029</t>
  </si>
  <si>
    <t>2DPX240</t>
  </si>
  <si>
    <t>646-056</t>
  </si>
  <si>
    <t>2DPX199</t>
  </si>
  <si>
    <t>647-017</t>
  </si>
  <si>
    <t>2DPX136</t>
  </si>
  <si>
    <t>655-016</t>
  </si>
  <si>
    <t>2DPX222</t>
  </si>
  <si>
    <t>605-047</t>
  </si>
  <si>
    <t>Lion's City E</t>
  </si>
  <si>
    <t>2DQW070</t>
  </si>
  <si>
    <t>610-081</t>
  </si>
  <si>
    <t>2DRT027</t>
  </si>
  <si>
    <t>610-082</t>
  </si>
  <si>
    <t>2DRT044</t>
  </si>
  <si>
    <t>608-075</t>
  </si>
  <si>
    <t>2DSB443</t>
  </si>
  <si>
    <t>608-076</t>
  </si>
  <si>
    <t>2DSB469</t>
  </si>
  <si>
    <t>635-043</t>
  </si>
  <si>
    <t>2DRT005</t>
  </si>
  <si>
    <t>621-091</t>
  </si>
  <si>
    <t>2DRR471</t>
  </si>
  <si>
    <t>635-048</t>
  </si>
  <si>
    <t>2DSB516</t>
  </si>
  <si>
    <t>635-044</t>
  </si>
  <si>
    <t>2DSB494</t>
  </si>
  <si>
    <t>671-019</t>
  </si>
  <si>
    <t>2DSG029</t>
  </si>
  <si>
    <t>610-090</t>
  </si>
  <si>
    <t>2DTY266</t>
  </si>
  <si>
    <t>610-092</t>
  </si>
  <si>
    <t>2DTY286</t>
  </si>
  <si>
    <t>610-093</t>
  </si>
  <si>
    <t>2DTY319</t>
  </si>
  <si>
    <t>610-083</t>
  </si>
  <si>
    <t>2DTH815</t>
  </si>
  <si>
    <t>610-084</t>
  </si>
  <si>
    <t>2DTX636</t>
  </si>
  <si>
    <t>635-046</t>
  </si>
  <si>
    <t>2DTH836</t>
  </si>
  <si>
    <t>635-047</t>
  </si>
  <si>
    <t>2DTY196</t>
  </si>
  <si>
    <t>611-075</t>
  </si>
  <si>
    <t>2DTY250</t>
  </si>
  <si>
    <t>608-077</t>
  </si>
  <si>
    <t>2DTH865</t>
  </si>
  <si>
    <t>608-079</t>
  </si>
  <si>
    <t>2DTH898</t>
  </si>
  <si>
    <t>608-078</t>
  </si>
  <si>
    <t>2DTY215</t>
  </si>
  <si>
    <t>610-094</t>
  </si>
  <si>
    <t>2DTY336</t>
  </si>
  <si>
    <t>610-095</t>
  </si>
  <si>
    <t>2DTY661</t>
  </si>
  <si>
    <t>610-096</t>
  </si>
  <si>
    <t>2DTY688</t>
  </si>
  <si>
    <t>614-047</t>
  </si>
  <si>
    <t>2DUJ263</t>
  </si>
  <si>
    <t>666-014</t>
  </si>
  <si>
    <t>EBUS01</t>
  </si>
  <si>
    <t>642-036</t>
  </si>
  <si>
    <t>2DVY811</t>
  </si>
  <si>
    <t>642-037</t>
  </si>
  <si>
    <t>2DVY836</t>
  </si>
  <si>
    <t>674-072</t>
  </si>
  <si>
    <t>2DVY957</t>
  </si>
  <si>
    <t>610-097</t>
  </si>
  <si>
    <t>2DVY862</t>
  </si>
  <si>
    <t>610-098</t>
  </si>
  <si>
    <t>2DVY874</t>
  </si>
  <si>
    <t>610-099</t>
  </si>
  <si>
    <t>2DVY888</t>
  </si>
  <si>
    <t>610-100</t>
  </si>
  <si>
    <t>2DVY908</t>
  </si>
  <si>
    <t>610-101</t>
  </si>
  <si>
    <t>2DVY942</t>
  </si>
  <si>
    <t>669-021</t>
  </si>
  <si>
    <t>2DXP411</t>
  </si>
  <si>
    <t>Geregistreerd</t>
  </si>
  <si>
    <t>2EAE326</t>
  </si>
  <si>
    <t>696-028</t>
  </si>
  <si>
    <t>2EAE419</t>
  </si>
  <si>
    <t>629-053</t>
  </si>
  <si>
    <t>Evobus Belgium nv</t>
  </si>
  <si>
    <t>2EAL513</t>
  </si>
  <si>
    <t>676-051</t>
  </si>
  <si>
    <t>2EBK741</t>
  </si>
  <si>
    <t>610-102</t>
  </si>
  <si>
    <t>2EBV929</t>
  </si>
  <si>
    <t>610-104</t>
  </si>
  <si>
    <t>2EBV953</t>
  </si>
  <si>
    <t>615-050</t>
  </si>
  <si>
    <t>2EBW270</t>
  </si>
  <si>
    <t>611-076</t>
  </si>
  <si>
    <t>2EBW117</t>
  </si>
  <si>
    <t>611-077</t>
  </si>
  <si>
    <t>2EBV641</t>
  </si>
  <si>
    <t>610-105</t>
  </si>
  <si>
    <t>2EBV966</t>
  </si>
  <si>
    <t>610-106</t>
  </si>
  <si>
    <t>2EBW354</t>
  </si>
  <si>
    <t>610-108</t>
  </si>
  <si>
    <t>2EBW376</t>
  </si>
  <si>
    <t>610-103</t>
  </si>
  <si>
    <t>2EBV938</t>
  </si>
  <si>
    <t>610-107</t>
  </si>
  <si>
    <t>2ECX071</t>
  </si>
  <si>
    <t>621-094</t>
  </si>
  <si>
    <t>2ECN978</t>
  </si>
  <si>
    <t>613-028</t>
  </si>
  <si>
    <t>2EDC360</t>
  </si>
  <si>
    <t>105761</t>
  </si>
  <si>
    <t>Midi</t>
  </si>
  <si>
    <t>VRF459</t>
  </si>
  <si>
    <t>100407</t>
  </si>
  <si>
    <t>A309</t>
  </si>
  <si>
    <t>1PVJ984</t>
  </si>
  <si>
    <t>500112</t>
  </si>
  <si>
    <t>XJM878</t>
  </si>
  <si>
    <t>500111</t>
  </si>
  <si>
    <t>XJM872</t>
  </si>
  <si>
    <t>500113</t>
  </si>
  <si>
    <t>XKD785</t>
  </si>
  <si>
    <t>500101</t>
  </si>
  <si>
    <t>XKD784</t>
  </si>
  <si>
    <t>500108</t>
  </si>
  <si>
    <t>XPM346</t>
  </si>
  <si>
    <t>500109</t>
  </si>
  <si>
    <t>XPN657</t>
  </si>
  <si>
    <t>500105</t>
  </si>
  <si>
    <t>XPN523</t>
  </si>
  <si>
    <t>105972</t>
  </si>
  <si>
    <t>651BFE</t>
  </si>
  <si>
    <t>105973</t>
  </si>
  <si>
    <t>652BFE</t>
  </si>
  <si>
    <t>100410</t>
  </si>
  <si>
    <t>1PVK044</t>
  </si>
  <si>
    <t>100408</t>
  </si>
  <si>
    <t>1PVK025</t>
  </si>
  <si>
    <t>204387</t>
  </si>
  <si>
    <t>a 309</t>
  </si>
  <si>
    <t>1TNR007</t>
  </si>
  <si>
    <t>074-052</t>
  </si>
  <si>
    <t>1VND175</t>
  </si>
  <si>
    <t>105889</t>
  </si>
  <si>
    <t>1HYB785</t>
  </si>
  <si>
    <t>041-049</t>
  </si>
  <si>
    <t>Lion's City M</t>
  </si>
  <si>
    <t>1HXY650</t>
  </si>
  <si>
    <t>611-073</t>
  </si>
  <si>
    <t>Citybus</t>
  </si>
  <si>
    <t>1JRT412</t>
  </si>
  <si>
    <t>105888</t>
  </si>
  <si>
    <t>1PCR905</t>
  </si>
  <si>
    <t>610-085</t>
  </si>
  <si>
    <t>Citaro K</t>
  </si>
  <si>
    <t>2DSM524</t>
  </si>
  <si>
    <t>610-086</t>
  </si>
  <si>
    <t>2DSM580</t>
  </si>
  <si>
    <t>641-065</t>
  </si>
  <si>
    <t>1XXX904</t>
  </si>
  <si>
    <t>641-066</t>
  </si>
  <si>
    <t>1XXX905</t>
  </si>
  <si>
    <t>641-067</t>
  </si>
  <si>
    <t>1XXX906</t>
  </si>
  <si>
    <t>641-068</t>
  </si>
  <si>
    <t>1XXX907</t>
  </si>
  <si>
    <t>641-069</t>
  </si>
  <si>
    <t>1XXX908</t>
  </si>
  <si>
    <t>652-027</t>
  </si>
  <si>
    <t>Isuzu</t>
  </si>
  <si>
    <t>NOVO</t>
  </si>
  <si>
    <t>2DVK900</t>
  </si>
  <si>
    <t>652-028</t>
  </si>
  <si>
    <t>2DVK855</t>
  </si>
  <si>
    <t>644-080</t>
  </si>
  <si>
    <t>Geleed</t>
  </si>
  <si>
    <t xml:space="preserve">Citaro geleed </t>
  </si>
  <si>
    <t>1YWF991</t>
  </si>
  <si>
    <t>441766</t>
  </si>
  <si>
    <t>AG300 new</t>
  </si>
  <si>
    <t>1NCF086</t>
  </si>
  <si>
    <t>331030</t>
  </si>
  <si>
    <t>TNW445</t>
  </si>
  <si>
    <t>676-043</t>
  </si>
  <si>
    <t>TNW444</t>
  </si>
  <si>
    <t>331033</t>
  </si>
  <si>
    <t>TWL791</t>
  </si>
  <si>
    <t>676-042</t>
  </si>
  <si>
    <t>TWL793</t>
  </si>
  <si>
    <t>641-059</t>
  </si>
  <si>
    <t>2BKP887</t>
  </si>
  <si>
    <t>331344</t>
  </si>
  <si>
    <t>VMX853</t>
  </si>
  <si>
    <t>330334</t>
  </si>
  <si>
    <t>Citaro geleed</t>
  </si>
  <si>
    <t>1NDV573</t>
  </si>
  <si>
    <t>641-060</t>
  </si>
  <si>
    <t>2BHZ499</t>
  </si>
  <si>
    <t>642-041</t>
  </si>
  <si>
    <t>VNL739</t>
  </si>
  <si>
    <t>674-064</t>
  </si>
  <si>
    <t>VNL738</t>
  </si>
  <si>
    <t>221435</t>
  </si>
  <si>
    <t>VZW011</t>
  </si>
  <si>
    <t>331534</t>
  </si>
  <si>
    <t>VZW012</t>
  </si>
  <si>
    <t>221436</t>
  </si>
  <si>
    <t>626P5</t>
  </si>
  <si>
    <t>302442</t>
  </si>
  <si>
    <t>Citaro 0530 G</t>
  </si>
  <si>
    <t>XMI352</t>
  </si>
  <si>
    <t>618-048</t>
  </si>
  <si>
    <t>2EBF823</t>
  </si>
  <si>
    <t>110965</t>
  </si>
  <si>
    <t>XQX325</t>
  </si>
  <si>
    <t>110966</t>
  </si>
  <si>
    <t>XQX323</t>
  </si>
  <si>
    <t>614-040</t>
  </si>
  <si>
    <t>XQX327</t>
  </si>
  <si>
    <t>440876</t>
  </si>
  <si>
    <t>XRI900</t>
  </si>
  <si>
    <t>550815</t>
  </si>
  <si>
    <t>JIP022</t>
  </si>
  <si>
    <t>618-049</t>
  </si>
  <si>
    <t>2EBF804</t>
  </si>
  <si>
    <t>550816</t>
  </si>
  <si>
    <t>3399P</t>
  </si>
  <si>
    <t>330903</t>
  </si>
  <si>
    <t>GSK535</t>
  </si>
  <si>
    <t>104813</t>
  </si>
  <si>
    <t>XZA895</t>
  </si>
  <si>
    <t>104814</t>
  </si>
  <si>
    <t>Citaro O 530 G</t>
  </si>
  <si>
    <t>XZA900</t>
  </si>
  <si>
    <t>104815</t>
  </si>
  <si>
    <t>XZA899</t>
  </si>
  <si>
    <t>104812</t>
  </si>
  <si>
    <t>XZA901</t>
  </si>
  <si>
    <t>304108</t>
  </si>
  <si>
    <t>1DUX232</t>
  </si>
  <si>
    <t>642-040</t>
  </si>
  <si>
    <t>O 530 G Citaro</t>
  </si>
  <si>
    <t>YAB300</t>
  </si>
  <si>
    <t>111863</t>
  </si>
  <si>
    <t>XXJ699</t>
  </si>
  <si>
    <t>111837</t>
  </si>
  <si>
    <t>XXJ696</t>
  </si>
  <si>
    <t>550521</t>
  </si>
  <si>
    <t>VWA661</t>
  </si>
  <si>
    <t>441311</t>
  </si>
  <si>
    <t>YDW807</t>
  </si>
  <si>
    <t>220151</t>
  </si>
  <si>
    <t>YGS425</t>
  </si>
  <si>
    <t>645-100</t>
  </si>
  <si>
    <t>2AWL090</t>
  </si>
  <si>
    <t>111839</t>
  </si>
  <si>
    <t>779BVZ</t>
  </si>
  <si>
    <t>111838</t>
  </si>
  <si>
    <t>YLG775</t>
  </si>
  <si>
    <t>442066</t>
  </si>
  <si>
    <t>YNR338</t>
  </si>
  <si>
    <t>442064</t>
  </si>
  <si>
    <t>YNU409</t>
  </si>
  <si>
    <t>331356</t>
  </si>
  <si>
    <t>ACZ525</t>
  </si>
  <si>
    <t>550711</t>
  </si>
  <si>
    <t>7463P</t>
  </si>
  <si>
    <t>550762</t>
  </si>
  <si>
    <t>YMC328</t>
  </si>
  <si>
    <t>550712</t>
  </si>
  <si>
    <t>225P2</t>
  </si>
  <si>
    <t>550249</t>
  </si>
  <si>
    <t>YRE465</t>
  </si>
  <si>
    <t>330248</t>
  </si>
  <si>
    <t>1NEN635</t>
  </si>
  <si>
    <t>550522</t>
  </si>
  <si>
    <t>7700A</t>
  </si>
  <si>
    <t>632P2</t>
  </si>
  <si>
    <t>220459</t>
  </si>
  <si>
    <t>YSK754</t>
  </si>
  <si>
    <t>222477</t>
  </si>
  <si>
    <t>YTC243</t>
  </si>
  <si>
    <t>222478</t>
  </si>
  <si>
    <t>YTC244</t>
  </si>
  <si>
    <t>222474</t>
  </si>
  <si>
    <t>YTC240</t>
  </si>
  <si>
    <t>222479</t>
  </si>
  <si>
    <t>YTC246</t>
  </si>
  <si>
    <t>105167</t>
  </si>
  <si>
    <t>YTC239</t>
  </si>
  <si>
    <t>220340</t>
  </si>
  <si>
    <t>7700a</t>
  </si>
  <si>
    <t>YSK628</t>
  </si>
  <si>
    <t>222475</t>
  </si>
  <si>
    <t>YTC241</t>
  </si>
  <si>
    <t>220339</t>
  </si>
  <si>
    <t>YSK629</t>
  </si>
  <si>
    <t>222476</t>
  </si>
  <si>
    <t>YTC242</t>
  </si>
  <si>
    <t>222373</t>
  </si>
  <si>
    <t>AG300</t>
  </si>
  <si>
    <t>1KPD890</t>
  </si>
  <si>
    <t>222372</t>
  </si>
  <si>
    <t>1KSJ387</t>
  </si>
  <si>
    <t>441235</t>
  </si>
  <si>
    <t>1EFH956</t>
  </si>
  <si>
    <t>111064</t>
  </si>
  <si>
    <t>YTL543</t>
  </si>
  <si>
    <t>221240</t>
  </si>
  <si>
    <t>YUY600</t>
  </si>
  <si>
    <t>440322</t>
  </si>
  <si>
    <t>1PUV274</t>
  </si>
  <si>
    <t>440236</t>
  </si>
  <si>
    <t>YUQ749</t>
  </si>
  <si>
    <t>105369</t>
  </si>
  <si>
    <t>YWE391</t>
  </si>
  <si>
    <t>221762</t>
  </si>
  <si>
    <t>YWY585</t>
  </si>
  <si>
    <t>111882</t>
  </si>
  <si>
    <t>246P7</t>
  </si>
  <si>
    <t>550994</t>
  </si>
  <si>
    <t>YZN407</t>
  </si>
  <si>
    <t>440339</t>
  </si>
  <si>
    <t>1DWD806</t>
  </si>
  <si>
    <t>551084</t>
  </si>
  <si>
    <t>1SSR796</t>
  </si>
  <si>
    <t>220460</t>
  </si>
  <si>
    <t>912AJG</t>
  </si>
  <si>
    <t>110352</t>
  </si>
  <si>
    <t>629AJQ</t>
  </si>
  <si>
    <t>303815</t>
  </si>
  <si>
    <t>385ANC</t>
  </si>
  <si>
    <t>203952</t>
  </si>
  <si>
    <t>236AMT</t>
  </si>
  <si>
    <t>203953</t>
  </si>
  <si>
    <t>238AMT</t>
  </si>
  <si>
    <t>111425</t>
  </si>
  <si>
    <t>Citaro O530 G</t>
  </si>
  <si>
    <t>174ANG</t>
  </si>
  <si>
    <t>119866</t>
  </si>
  <si>
    <t>121ATP</t>
  </si>
  <si>
    <t>330255</t>
  </si>
  <si>
    <t>1NDV551</t>
  </si>
  <si>
    <t>330254</t>
  </si>
  <si>
    <t>1NEH617</t>
  </si>
  <si>
    <t>204001</t>
  </si>
  <si>
    <t>982ATD</t>
  </si>
  <si>
    <t>220963</t>
  </si>
  <si>
    <t>Citaro Geleed</t>
  </si>
  <si>
    <t>897ATP</t>
  </si>
  <si>
    <t>204002</t>
  </si>
  <si>
    <t>992ATE</t>
  </si>
  <si>
    <t>105368</t>
  </si>
  <si>
    <t>YWE390</t>
  </si>
  <si>
    <t>440719</t>
  </si>
  <si>
    <t>675AUD</t>
  </si>
  <si>
    <t>111888</t>
  </si>
  <si>
    <t>289AWN</t>
  </si>
  <si>
    <t>220343</t>
  </si>
  <si>
    <t>1FEG413</t>
  </si>
  <si>
    <t>111078</t>
  </si>
  <si>
    <t>1FII609</t>
  </si>
  <si>
    <t>220154</t>
  </si>
  <si>
    <t>613BDG</t>
  </si>
  <si>
    <t>644-086</t>
  </si>
  <si>
    <t>2CNW944</t>
  </si>
  <si>
    <t>330907</t>
  </si>
  <si>
    <t>135P9</t>
  </si>
  <si>
    <t>221489</t>
  </si>
  <si>
    <t>772BFH</t>
  </si>
  <si>
    <t>221116</t>
  </si>
  <si>
    <t>340BHG</t>
  </si>
  <si>
    <t>221117</t>
  </si>
  <si>
    <t>830BJI</t>
  </si>
  <si>
    <t>303118</t>
  </si>
  <si>
    <t>222BWA</t>
  </si>
  <si>
    <t>303219</t>
  </si>
  <si>
    <t>221BWA</t>
  </si>
  <si>
    <t>302990</t>
  </si>
  <si>
    <t>Lion's City A23G</t>
  </si>
  <si>
    <t>497BXK</t>
  </si>
  <si>
    <t>550765</t>
  </si>
  <si>
    <t>DFE867</t>
  </si>
  <si>
    <t>645-099</t>
  </si>
  <si>
    <t>2AVY802</t>
  </si>
  <si>
    <t>220155</t>
  </si>
  <si>
    <t>1BDV559</t>
  </si>
  <si>
    <t>110358</t>
  </si>
  <si>
    <t>1GDH659</t>
  </si>
  <si>
    <t>110357</t>
  </si>
  <si>
    <t>1BRA223</t>
  </si>
  <si>
    <t>304113</t>
  </si>
  <si>
    <t>O530G</t>
  </si>
  <si>
    <t>1BSS283</t>
  </si>
  <si>
    <t>220342</t>
  </si>
  <si>
    <t>1BUS969</t>
  </si>
  <si>
    <t>440532</t>
  </si>
  <si>
    <t>1CIB951</t>
  </si>
  <si>
    <t>442204</t>
  </si>
  <si>
    <t>1DMA774</t>
  </si>
  <si>
    <t>119877</t>
  </si>
  <si>
    <t>1DMK712</t>
  </si>
  <si>
    <t>440534</t>
  </si>
  <si>
    <t>0530G</t>
  </si>
  <si>
    <t>1DQZ518</t>
  </si>
  <si>
    <t>440533</t>
  </si>
  <si>
    <t>1DRQ724</t>
  </si>
  <si>
    <t>442328</t>
  </si>
  <si>
    <t>1ECN578</t>
  </si>
  <si>
    <t>222222</t>
  </si>
  <si>
    <t>1EWD984</t>
  </si>
  <si>
    <t>220160</t>
  </si>
  <si>
    <t>Lions City G</t>
  </si>
  <si>
    <t>1EXM208</t>
  </si>
  <si>
    <t>220865</t>
  </si>
  <si>
    <t>1FEO663</t>
  </si>
  <si>
    <t>110298</t>
  </si>
  <si>
    <t>1FIG286</t>
  </si>
  <si>
    <t>110299</t>
  </si>
  <si>
    <t>1FIG267</t>
  </si>
  <si>
    <t>551087</t>
  </si>
  <si>
    <t>O 530 G</t>
  </si>
  <si>
    <t>1SSR736</t>
  </si>
  <si>
    <t>304116</t>
  </si>
  <si>
    <t>Lion's City G</t>
  </si>
  <si>
    <t>1FJG901</t>
  </si>
  <si>
    <t>222081</t>
  </si>
  <si>
    <t>1KPE704</t>
  </si>
  <si>
    <t>222080</t>
  </si>
  <si>
    <t>1KPE489</t>
  </si>
  <si>
    <t>440669</t>
  </si>
  <si>
    <t>1FPT577</t>
  </si>
  <si>
    <t>440370</t>
  </si>
  <si>
    <t>1FPT600</t>
  </si>
  <si>
    <t>440268</t>
  </si>
  <si>
    <t>1FPT566</t>
  </si>
  <si>
    <t>104832</t>
  </si>
  <si>
    <t>1FPT609</t>
  </si>
  <si>
    <t>645-101</t>
  </si>
  <si>
    <t>2BAC047</t>
  </si>
  <si>
    <t>222082</t>
  </si>
  <si>
    <t>1KPE550</t>
  </si>
  <si>
    <t>441317</t>
  </si>
  <si>
    <t>1FRX991</t>
  </si>
  <si>
    <t>222083</t>
  </si>
  <si>
    <t>1KPE686</t>
  </si>
  <si>
    <t>222085</t>
  </si>
  <si>
    <t>1KPE696</t>
  </si>
  <si>
    <t>222084</t>
  </si>
  <si>
    <t>1KPE500</t>
  </si>
  <si>
    <t>220625</t>
  </si>
  <si>
    <t>1FUY042</t>
  </si>
  <si>
    <t>220766</t>
  </si>
  <si>
    <t>1FVW241</t>
  </si>
  <si>
    <t>220968</t>
  </si>
  <si>
    <t>1FVW235</t>
  </si>
  <si>
    <t>550995</t>
  </si>
  <si>
    <t>1KDJ095</t>
  </si>
  <si>
    <t>222387</t>
  </si>
  <si>
    <t>1KPE668</t>
  </si>
  <si>
    <t>222486</t>
  </si>
  <si>
    <t>1FWH226</t>
  </si>
  <si>
    <t>220560</t>
  </si>
  <si>
    <t>1FXG532</t>
  </si>
  <si>
    <t>220561</t>
  </si>
  <si>
    <t>1FXG529</t>
  </si>
  <si>
    <t>221244</t>
  </si>
  <si>
    <t>1FXW688</t>
  </si>
  <si>
    <t>220464</t>
  </si>
  <si>
    <t>1GAL054</t>
  </si>
  <si>
    <t>331091</t>
  </si>
  <si>
    <t>1GBF837</t>
  </si>
  <si>
    <t>221120</t>
  </si>
  <si>
    <t>1GBB594</t>
  </si>
  <si>
    <t>221121</t>
  </si>
  <si>
    <t>1GBB595</t>
  </si>
  <si>
    <t>330396</t>
  </si>
  <si>
    <t>1TCV763</t>
  </si>
  <si>
    <t>550820</t>
  </si>
  <si>
    <t>1GPB784</t>
  </si>
  <si>
    <t>220345</t>
  </si>
  <si>
    <t>1HBX045</t>
  </si>
  <si>
    <t>441291</t>
  </si>
  <si>
    <t>1HLH961</t>
  </si>
  <si>
    <t>440390</t>
  </si>
  <si>
    <t>1HLK606</t>
  </si>
  <si>
    <t>304505</t>
  </si>
  <si>
    <t>Citaro G</t>
  </si>
  <si>
    <t>1HNY573</t>
  </si>
  <si>
    <t>220165</t>
  </si>
  <si>
    <t>1HPU891</t>
  </si>
  <si>
    <t>222226</t>
  </si>
  <si>
    <t>1HSN606</t>
  </si>
  <si>
    <t>204208</t>
  </si>
  <si>
    <t>1HTJ163</t>
  </si>
  <si>
    <t>304606</t>
  </si>
  <si>
    <t>1JER877</t>
  </si>
  <si>
    <t>220874</t>
  </si>
  <si>
    <t>Lion's City NG323</t>
  </si>
  <si>
    <t>1JFG479</t>
  </si>
  <si>
    <t>110201</t>
  </si>
  <si>
    <t xml:space="preserve">Lion's city </t>
  </si>
  <si>
    <t>1JFG416</t>
  </si>
  <si>
    <t>111083</t>
  </si>
  <si>
    <t>1JFG444</t>
  </si>
  <si>
    <t>220465</t>
  </si>
  <si>
    <t>1JFJ243</t>
  </si>
  <si>
    <t>651-066</t>
  </si>
  <si>
    <t>EvoBus Gmbh</t>
  </si>
  <si>
    <t>Mercedes Citaro G</t>
  </si>
  <si>
    <t>2DXZ166</t>
  </si>
  <si>
    <t>220346</t>
  </si>
  <si>
    <t>1KAL056</t>
  </si>
  <si>
    <t>330824</t>
  </si>
  <si>
    <t>1KJJ451</t>
  </si>
  <si>
    <t>441205</t>
  </si>
  <si>
    <t>1KNZ059</t>
  </si>
  <si>
    <t>683-025</t>
  </si>
  <si>
    <t>1LBC542</t>
  </si>
  <si>
    <t>302471</t>
  </si>
  <si>
    <t>1LFY921</t>
  </si>
  <si>
    <t>441954</t>
  </si>
  <si>
    <t>1LSU365</t>
  </si>
  <si>
    <t>304723</t>
  </si>
  <si>
    <t>Lion's City NG 323</t>
  </si>
  <si>
    <t>1LSH302</t>
  </si>
  <si>
    <t>304725</t>
  </si>
  <si>
    <t>1LSH330</t>
  </si>
  <si>
    <t>304726</t>
  </si>
  <si>
    <t>1LSH360</t>
  </si>
  <si>
    <t>304727</t>
  </si>
  <si>
    <t>1LSH379</t>
  </si>
  <si>
    <t>304728</t>
  </si>
  <si>
    <t>1LSH405</t>
  </si>
  <si>
    <t>502606</t>
  </si>
  <si>
    <t>1LUY461</t>
  </si>
  <si>
    <t>304729</t>
  </si>
  <si>
    <t>1NDE238</t>
  </si>
  <si>
    <t>611-063</t>
  </si>
  <si>
    <t>1XSB266</t>
  </si>
  <si>
    <t>303838</t>
  </si>
  <si>
    <t>1NUN890</t>
  </si>
  <si>
    <t>304806</t>
  </si>
  <si>
    <t>1PHX143</t>
  </si>
  <si>
    <t>330370</t>
  </si>
  <si>
    <t>1RJE339</t>
  </si>
  <si>
    <t>220347</t>
  </si>
  <si>
    <t>1RLK506</t>
  </si>
  <si>
    <t>331406</t>
  </si>
  <si>
    <t>A23</t>
  </si>
  <si>
    <t>1SLJ999</t>
  </si>
  <si>
    <t>112120</t>
  </si>
  <si>
    <t>1DQY485</t>
  </si>
  <si>
    <t>220169</t>
  </si>
  <si>
    <t>1SXD549</t>
  </si>
  <si>
    <t>220467</t>
  </si>
  <si>
    <t>1TKR312</t>
  </si>
  <si>
    <t>221324</t>
  </si>
  <si>
    <t>VDL bus &amp; coach</t>
  </si>
  <si>
    <t>1TNF770</t>
  </si>
  <si>
    <t>221325</t>
  </si>
  <si>
    <t>1TNF816</t>
  </si>
  <si>
    <t>442079</t>
  </si>
  <si>
    <t>Lion's City Geleed</t>
  </si>
  <si>
    <t>1TVZ104</t>
  </si>
  <si>
    <t>110207</t>
  </si>
  <si>
    <t>1TVZ146</t>
  </si>
  <si>
    <t>222588</t>
  </si>
  <si>
    <t>1ULA114</t>
  </si>
  <si>
    <t>441505</t>
  </si>
  <si>
    <t>MAN LION CITY'S G</t>
  </si>
  <si>
    <t>1UPB096</t>
  </si>
  <si>
    <t>442205</t>
  </si>
  <si>
    <t>LION CITY NG 323</t>
  </si>
  <si>
    <t>1UPL845</t>
  </si>
  <si>
    <t>441814</t>
  </si>
  <si>
    <t xml:space="preserve">MAN LIONS CITY </t>
  </si>
  <si>
    <t>1UQB281</t>
  </si>
  <si>
    <t>441504</t>
  </si>
  <si>
    <t>1UQB261</t>
  </si>
  <si>
    <t>442338</t>
  </si>
  <si>
    <t>1UQB183</t>
  </si>
  <si>
    <t>441506</t>
  </si>
  <si>
    <t>1UQB203</t>
  </si>
  <si>
    <t>440997</t>
  </si>
  <si>
    <t>1UQU520</t>
  </si>
  <si>
    <t>221249</t>
  </si>
  <si>
    <t>1URJ512</t>
  </si>
  <si>
    <t>074-053</t>
  </si>
  <si>
    <t>LIONS CITY G</t>
  </si>
  <si>
    <t>1VPV781</t>
  </si>
  <si>
    <t>013-023</t>
  </si>
  <si>
    <t>lion's city ng 323</t>
  </si>
  <si>
    <t>1VPZ070</t>
  </si>
  <si>
    <t>074-054</t>
  </si>
  <si>
    <t>1VQC473</t>
  </si>
  <si>
    <t>045-091</t>
  </si>
  <si>
    <t>1VSN847</t>
  </si>
  <si>
    <t>656-048</t>
  </si>
  <si>
    <t>Citaro G Hybrid</t>
  </si>
  <si>
    <t>1WBP018</t>
  </si>
  <si>
    <t>662-027</t>
  </si>
  <si>
    <t>Citea SLFA</t>
  </si>
  <si>
    <t>1WBW885</t>
  </si>
  <si>
    <t>645-092</t>
  </si>
  <si>
    <t>1WEB307</t>
  </si>
  <si>
    <t>656-049</t>
  </si>
  <si>
    <t>1WJS325</t>
  </si>
  <si>
    <t>656-050</t>
  </si>
  <si>
    <t>1WJS441</t>
  </si>
  <si>
    <t>664-038</t>
  </si>
  <si>
    <t>Citaro G Hybride</t>
  </si>
  <si>
    <t>1WKW335</t>
  </si>
  <si>
    <t>646-051</t>
  </si>
  <si>
    <t>Mercedes (evobus)</t>
  </si>
  <si>
    <t>1WLA221</t>
  </si>
  <si>
    <t>656-051</t>
  </si>
  <si>
    <t>1WKP680</t>
  </si>
  <si>
    <t>634-023</t>
  </si>
  <si>
    <t>Citaro G Hybride LE</t>
  </si>
  <si>
    <t>1WKX805</t>
  </si>
  <si>
    <t>650-060</t>
  </si>
  <si>
    <t>1WKX853</t>
  </si>
  <si>
    <t>650-063</t>
  </si>
  <si>
    <t>1WKX876</t>
  </si>
  <si>
    <t>650-059</t>
  </si>
  <si>
    <t>1WKX908</t>
  </si>
  <si>
    <t>650-061</t>
  </si>
  <si>
    <t>citaro G Hybrid</t>
  </si>
  <si>
    <t>1WLK991</t>
  </si>
  <si>
    <t>650-062</t>
  </si>
  <si>
    <t>1WLU162</t>
  </si>
  <si>
    <t>605-039</t>
  </si>
  <si>
    <t>1XEE849</t>
  </si>
  <si>
    <t>605-040</t>
  </si>
  <si>
    <t>1XEQ613</t>
  </si>
  <si>
    <t>614-039</t>
  </si>
  <si>
    <t>1XEQ629</t>
  </si>
  <si>
    <t>623-062</t>
  </si>
  <si>
    <t>1XFG932</t>
  </si>
  <si>
    <t>647-012</t>
  </si>
  <si>
    <t>1XGY827</t>
  </si>
  <si>
    <t>683-026</t>
  </si>
  <si>
    <t>SCANIA Citywide LFA</t>
  </si>
  <si>
    <t>1XSY910</t>
  </si>
  <si>
    <t>660-038</t>
  </si>
  <si>
    <t>Lion's City 18 (NL330)</t>
  </si>
  <si>
    <t>1XWY789</t>
  </si>
  <si>
    <t>616-038</t>
  </si>
  <si>
    <t>LION'S CITY G</t>
  </si>
  <si>
    <t>1XXP998</t>
  </si>
  <si>
    <t>615-042</t>
  </si>
  <si>
    <t>1XXQ018</t>
  </si>
  <si>
    <t>615-041</t>
  </si>
  <si>
    <t>LION CITY 18</t>
  </si>
  <si>
    <t>1XXY687</t>
  </si>
  <si>
    <t>661-014</t>
  </si>
  <si>
    <t>Lion's City 18</t>
  </si>
  <si>
    <t>1YAB091</t>
  </si>
  <si>
    <t>611-066</t>
  </si>
  <si>
    <t>MAN Lion's City 18</t>
  </si>
  <si>
    <t>1YAN485</t>
  </si>
  <si>
    <t>608-060</t>
  </si>
  <si>
    <t>1YAN453</t>
  </si>
  <si>
    <t>645-097</t>
  </si>
  <si>
    <t>1YCU737</t>
  </si>
  <si>
    <t>645-096</t>
  </si>
  <si>
    <t>1YCU772</t>
  </si>
  <si>
    <t>621-079</t>
  </si>
  <si>
    <t>1YEF267</t>
  </si>
  <si>
    <t>621-080</t>
  </si>
  <si>
    <t>1YEF333</t>
  </si>
  <si>
    <t>660-039</t>
  </si>
  <si>
    <t>Evobus Belgium</t>
  </si>
  <si>
    <t>1YRW814</t>
  </si>
  <si>
    <t>643-025</t>
  </si>
  <si>
    <t>2AEC594</t>
  </si>
  <si>
    <t>643-027</t>
  </si>
  <si>
    <t>2AFC497</t>
  </si>
  <si>
    <t>645-098</t>
  </si>
  <si>
    <t>2AMQ186</t>
  </si>
  <si>
    <t>602-046</t>
  </si>
  <si>
    <t>CITARO G HYBRIDE</t>
  </si>
  <si>
    <t>2ANH290</t>
  </si>
  <si>
    <t>632-066</t>
  </si>
  <si>
    <t>2ANH521</t>
  </si>
  <si>
    <t>602-047</t>
  </si>
  <si>
    <t>2APS687</t>
  </si>
  <si>
    <t>635-040</t>
  </si>
  <si>
    <t>2ASP720</t>
  </si>
  <si>
    <t>618-037</t>
  </si>
  <si>
    <t>Lion's City 18 (NG330)</t>
  </si>
  <si>
    <t>2ADT616</t>
  </si>
  <si>
    <t>627-027</t>
  </si>
  <si>
    <t>Lion's City 18 (NG 330)</t>
  </si>
  <si>
    <t>2BAC098</t>
  </si>
  <si>
    <t>607-025</t>
  </si>
  <si>
    <t>2BAC111</t>
  </si>
  <si>
    <t>635-041</t>
  </si>
  <si>
    <t>2BAC127</t>
  </si>
  <si>
    <t>635-042</t>
  </si>
  <si>
    <t>2BAC139</t>
  </si>
  <si>
    <t>647-014</t>
  </si>
  <si>
    <t>2BHN760</t>
  </si>
  <si>
    <t>647-015</t>
  </si>
  <si>
    <t>Euro</t>
  </si>
  <si>
    <t>2BXS905</t>
  </si>
  <si>
    <t>647-016</t>
  </si>
  <si>
    <t>2CFH949</t>
  </si>
  <si>
    <t>618-044</t>
  </si>
  <si>
    <t>2CHW958</t>
  </si>
  <si>
    <t>639-040</t>
  </si>
  <si>
    <t>2CHW951</t>
  </si>
  <si>
    <t>605-045</t>
  </si>
  <si>
    <t>2CSC086</t>
  </si>
  <si>
    <t>605-046</t>
  </si>
  <si>
    <t>2CUG753</t>
  </si>
  <si>
    <t>641-063</t>
  </si>
  <si>
    <t>Lion's City 18GE</t>
  </si>
  <si>
    <t>2CUV979</t>
  </si>
  <si>
    <t>646-055</t>
  </si>
  <si>
    <t>2DGV246</t>
  </si>
  <si>
    <t>616-042</t>
  </si>
  <si>
    <t>2DRZ327</t>
  </si>
  <si>
    <t>635-045</t>
  </si>
  <si>
    <t>2DRZ359</t>
  </si>
  <si>
    <t>607-027</t>
  </si>
  <si>
    <t>2DTH974</t>
  </si>
  <si>
    <t>627-028</t>
  </si>
  <si>
    <t>2DTX880</t>
  </si>
  <si>
    <t>608-080</t>
  </si>
  <si>
    <t>2DTY743</t>
  </si>
  <si>
    <t>616-043</t>
  </si>
  <si>
    <t>2DTH940</t>
  </si>
  <si>
    <t>616-044</t>
  </si>
  <si>
    <t>2DTY868</t>
  </si>
  <si>
    <t>610-087</t>
  </si>
  <si>
    <t>2DTY801</t>
  </si>
  <si>
    <t>610-088</t>
  </si>
  <si>
    <t>2DTY820</t>
  </si>
  <si>
    <t>610-089</t>
  </si>
  <si>
    <t>2DTY851</t>
  </si>
  <si>
    <t>610-091</t>
  </si>
  <si>
    <t>2DTH792</t>
  </si>
  <si>
    <t>642-038</t>
  </si>
  <si>
    <t>2DVY975</t>
  </si>
  <si>
    <t>616-045</t>
  </si>
  <si>
    <t>2DVY991</t>
  </si>
  <si>
    <t>641-064</t>
  </si>
  <si>
    <t>2DVZ025</t>
  </si>
  <si>
    <t>614-048</t>
  </si>
  <si>
    <t>2DWE890</t>
  </si>
  <si>
    <t>676-050</t>
  </si>
  <si>
    <t>2DWR302</t>
  </si>
  <si>
    <t>613-027</t>
  </si>
  <si>
    <t>LION'S CITY 18</t>
  </si>
  <si>
    <t>2EAA540</t>
  </si>
  <si>
    <t>618-047</t>
  </si>
  <si>
    <t>7900EA</t>
  </si>
  <si>
    <t>2EBA282</t>
  </si>
  <si>
    <t>616-047</t>
  </si>
  <si>
    <t>2EBW420</t>
  </si>
  <si>
    <t>635-049</t>
  </si>
  <si>
    <t>2EBV666</t>
  </si>
  <si>
    <t>621-092</t>
  </si>
  <si>
    <t>2ECH221</t>
  </si>
  <si>
    <t>621-093</t>
  </si>
  <si>
    <t>2ECX334</t>
  </si>
  <si>
    <t>Leeftijd1</t>
  </si>
  <si>
    <t>Elektrisch</t>
  </si>
  <si>
    <t>Hybride</t>
  </si>
  <si>
    <t>Detail overzicht exploitanten</t>
  </si>
  <si>
    <t>OFFSET(address(row();column()));-1;0)</t>
  </si>
  <si>
    <t>Key_Ent_Stelplaats</t>
  </si>
  <si>
    <t>Antwerpen</t>
  </si>
  <si>
    <t>Mechelen Racing</t>
  </si>
  <si>
    <t>Antwerpen#Mechelen Racing</t>
  </si>
  <si>
    <t>Turnhout</t>
  </si>
  <si>
    <t>Antwerpen#Turnhout</t>
  </si>
  <si>
    <t>Westerlo</t>
  </si>
  <si>
    <t>Antwerpen#Westerlo</t>
  </si>
  <si>
    <t>Hoogstraten</t>
  </si>
  <si>
    <t>Antwerpen#Hoogstraten</t>
  </si>
  <si>
    <t>Mol</t>
  </si>
  <si>
    <t>Antwerpen#Mol</t>
  </si>
  <si>
    <t>Oostmalle</t>
  </si>
  <si>
    <t>Antwerpen#Oostmalle</t>
  </si>
  <si>
    <t>Oost-Vlaanderen</t>
  </si>
  <si>
    <t>Destelbergen</t>
  </si>
  <si>
    <t>Oost-Vlaanderen#Destelbergen</t>
  </si>
  <si>
    <t>Limburg</t>
  </si>
  <si>
    <t>Beverlo</t>
  </si>
  <si>
    <t>Limburg#Beverlo</t>
  </si>
  <si>
    <t>De Crutzen</t>
  </si>
  <si>
    <t>Limburg#De Crutzen</t>
  </si>
  <si>
    <t>Antwerpen#Onbekend</t>
  </si>
  <si>
    <t>West-Vlaanderen</t>
  </si>
  <si>
    <t>Kortrijk</t>
  </si>
  <si>
    <t>West-Vlaanderen#Kortrijk</t>
  </si>
  <si>
    <t>Brugge</t>
  </si>
  <si>
    <t>West-Vlaanderen#Brugge</t>
  </si>
  <si>
    <t>Oostende Slijkensestwg</t>
  </si>
  <si>
    <t>West-Vlaanderen#Oostende Slijkensestwg</t>
  </si>
  <si>
    <t>Sint-Niklaas Nieuw</t>
  </si>
  <si>
    <t>Oost-Vlaanderen#Sint-Niklaas Nieuw</t>
  </si>
  <si>
    <t>Gentbrugge</t>
  </si>
  <si>
    <t>Oost-Vlaanderen#Gentbrugge</t>
  </si>
  <si>
    <t>Kinrooi</t>
  </si>
  <si>
    <t>Limburg#Kinrooi</t>
  </si>
  <si>
    <t>Limburg#Onbekend</t>
  </si>
  <si>
    <t>Autobussen Berchem</t>
  </si>
  <si>
    <t>Antwerpen#Autobussen Berchem</t>
  </si>
  <si>
    <t>Vlaams-Brabant</t>
  </si>
  <si>
    <t>Overijse</t>
  </si>
  <si>
    <t>Vlaams-Brabant#Overijse</t>
  </si>
  <si>
    <t>Dilbeek</t>
  </si>
  <si>
    <t>Vlaams-Brabant#Dilbeek</t>
  </si>
  <si>
    <t>Het Rad</t>
  </si>
  <si>
    <t>Vlaams-Brabant#Het Rad</t>
  </si>
  <si>
    <t>Vilvoorde</t>
  </si>
  <si>
    <t>Vlaams-Brabant#Vilvoorde</t>
  </si>
  <si>
    <t>Rumst</t>
  </si>
  <si>
    <t>Antwerpen#Rumst</t>
  </si>
  <si>
    <t>Leuven Noord</t>
  </si>
  <si>
    <t>Vlaams-Brabant#Leuven Noord</t>
  </si>
  <si>
    <t>Vlaams-Brabant#Onbekend</t>
  </si>
  <si>
    <t>Centrale Diensten</t>
  </si>
  <si>
    <t>Centrale Diensten#Brugge</t>
  </si>
  <si>
    <t>Meerbeke</t>
  </si>
  <si>
    <t>Vlaams-Brabant#Meerbeke</t>
  </si>
  <si>
    <t>Vlaams-Brabant#Autobussen Berchem</t>
  </si>
  <si>
    <t>Grimbergen</t>
  </si>
  <si>
    <t>Vlaams-Brabant#Grimbergen</t>
  </si>
  <si>
    <t>Asse</t>
  </si>
  <si>
    <t>Vlaams-Brabant#Asse</t>
  </si>
  <si>
    <t>Londerzeel</t>
  </si>
  <si>
    <t>Vlaams-Brabant#Londerzeel</t>
  </si>
  <si>
    <t>Tielt</t>
  </si>
  <si>
    <t>Vlaams-Brabant#Tielt</t>
  </si>
  <si>
    <t>Tjalkstraat</t>
  </si>
  <si>
    <t>Antwerpen#Tjalkstraat</t>
  </si>
  <si>
    <t>Broechem</t>
  </si>
  <si>
    <t>Antwerpen#Broechem</t>
  </si>
  <si>
    <t>Antwerpen#Leuven Noord</t>
  </si>
  <si>
    <t>Winterslag</t>
  </si>
  <si>
    <t>Limburg#Winterslag</t>
  </si>
  <si>
    <t>Antwerpen#Destelbergen</t>
  </si>
  <si>
    <t>Oost-Vlaanderen#Onbekend</t>
  </si>
  <si>
    <t>Niet Beschikbaar#Onbekend</t>
  </si>
  <si>
    <t>West-Vlaanderen#Onbekend</t>
  </si>
  <si>
    <t>Hofstade</t>
  </si>
  <si>
    <t>Oost-Vlaanderen#Hofstade</t>
  </si>
  <si>
    <t>Centrale Diensten#Onbekend</t>
  </si>
  <si>
    <t>Ieper</t>
  </si>
  <si>
    <t>West-Vlaanderen#Ieper</t>
  </si>
  <si>
    <t>Centrale Diensten#De Crutzen</t>
  </si>
  <si>
    <t>Centrale Diensten#Sint-Niklaas Nieuw</t>
  </si>
  <si>
    <t>Centrale Diensten#Gentbrugge</t>
  </si>
  <si>
    <t>Centrale Diensten#Mechelen Racing</t>
  </si>
  <si>
    <t>Werkhuis Kessel-lo</t>
  </si>
  <si>
    <t>Vlaams-Brabant#Werkhuis Kessel-lo</t>
  </si>
  <si>
    <t>Centrale Diensten#Kinrooi</t>
  </si>
  <si>
    <t>Centrale Diensten#Overijse</t>
  </si>
  <si>
    <t>West-Vlaanderen#Grimbergen</t>
  </si>
  <si>
    <t>Centrale Diensten#Destelbergen</t>
  </si>
  <si>
    <t>TONGEREN</t>
  </si>
  <si>
    <t>Limburg#TONGEREN</t>
  </si>
  <si>
    <t>Knokke</t>
  </si>
  <si>
    <t>West-Vlaanderen#Knokke</t>
  </si>
  <si>
    <t>Wuustwezel</t>
  </si>
  <si>
    <t>Antwerpen#Wuustwezel</t>
  </si>
  <si>
    <t>Zandvliet</t>
  </si>
  <si>
    <t>Antwerpen#Zandvliet</t>
  </si>
  <si>
    <t>Limburg#Kortrijk</t>
  </si>
  <si>
    <t>Leerbeek</t>
  </si>
  <si>
    <t>Vlaams-Brabant#Leerbeek</t>
  </si>
  <si>
    <t>Vlaams-Brabant#De Crutzen</t>
  </si>
  <si>
    <t>West-Vlaanderen#De Crutzen</t>
  </si>
  <si>
    <t>Limburg#Ieper</t>
  </si>
  <si>
    <t>Lanaken</t>
  </si>
  <si>
    <t>Limburg#Lanaken</t>
  </si>
  <si>
    <t>Centrale Diensten#TONGEREN</t>
  </si>
  <si>
    <t>TRAM</t>
  </si>
  <si>
    <t>West-Vlaanderen#TRAM</t>
  </si>
  <si>
    <t>Punt a/d Lijn</t>
  </si>
  <si>
    <t>Antwerpen#Punt a/d Lijn</t>
  </si>
  <si>
    <t>Deurne tramstelplaats</t>
  </si>
  <si>
    <t>Antwerpen#Deurne tramstelplaats</t>
  </si>
  <si>
    <t>Hoboken</t>
  </si>
  <si>
    <t>Antwerpen#Hoboken</t>
  </si>
  <si>
    <t>Centrale Diensten#Hoboken</t>
  </si>
  <si>
    <t>Stelplaatsen per entiteit</t>
  </si>
  <si>
    <t>Voertuigen per stelplaats</t>
  </si>
  <si>
    <t>Project</t>
  </si>
  <si>
    <t>Aanvrager</t>
  </si>
  <si>
    <t>Datum aanvraag</t>
  </si>
  <si>
    <t>SP1</t>
  </si>
  <si>
    <t>Datum/Tijd Start</t>
  </si>
  <si>
    <t>Datum/Tijd Einde</t>
  </si>
  <si>
    <t>SP2</t>
  </si>
  <si>
    <t>SP3</t>
  </si>
  <si>
    <t>SP0</t>
  </si>
  <si>
    <t>Naam</t>
  </si>
  <si>
    <t>Beschrijving</t>
  </si>
  <si>
    <t>3d-telcamera's op de voertuigen</t>
  </si>
  <si>
    <t>Digitale Radio</t>
  </si>
  <si>
    <t>Schermen op Voertuigen</t>
  </si>
  <si>
    <t>01 Nieuw</t>
  </si>
  <si>
    <t>02 In aanvraag</t>
  </si>
  <si>
    <t>03a Geconfirmeerd</t>
  </si>
  <si>
    <t>03b Geweigerd</t>
  </si>
  <si>
    <t>03c Voorstel Andere Datum</t>
  </si>
  <si>
    <t>04 Gepland</t>
  </si>
  <si>
    <t>05 Afgezegd</t>
  </si>
  <si>
    <t>06 Uitgevoerd</t>
  </si>
  <si>
    <t>07 Afgesloten</t>
  </si>
  <si>
    <t>Email</t>
  </si>
  <si>
    <t>Telcameras</t>
  </si>
  <si>
    <t>Luc Van Overveldt</t>
  </si>
  <si>
    <t>GSM</t>
  </si>
  <si>
    <t>luc.vanoverveldt.ext@delijn.be</t>
  </si>
  <si>
    <t>oscar.stern.ext@delijn.be</t>
  </si>
  <si>
    <t>Bart Mommens</t>
  </si>
  <si>
    <t>bart.mommens@delijn.be</t>
  </si>
  <si>
    <t>Oscar Stern</t>
  </si>
  <si>
    <t>Project medewerkers</t>
  </si>
  <si>
    <t>TBD</t>
  </si>
  <si>
    <t>Organisatie</t>
  </si>
  <si>
    <t>De Lijn</t>
  </si>
  <si>
    <t>+32 485 52 76 04</t>
  </si>
  <si>
    <t>4G/5G</t>
  </si>
  <si>
    <t>Vt Info</t>
  </si>
  <si>
    <t>Vt Leeftijd</t>
  </si>
  <si>
    <t>Vt EuroKlasse</t>
  </si>
  <si>
    <t>Vt Bestelnummer</t>
  </si>
  <si>
    <t>Onderhoud Mechelen</t>
  </si>
  <si>
    <t>Bus</t>
  </si>
  <si>
    <t>12-m bus</t>
  </si>
  <si>
    <t>Lage vloer streek</t>
  </si>
  <si>
    <t>221A</t>
  </si>
  <si>
    <t>Onderhoud Turnhout</t>
  </si>
  <si>
    <t>Werkhuis Destelbergen</t>
  </si>
  <si>
    <t>Onderhoud Beverlo</t>
  </si>
  <si>
    <t>Onderhoud De Crutzen</t>
  </si>
  <si>
    <t>#</t>
  </si>
  <si>
    <t>Onderhoud Kortrijk</t>
  </si>
  <si>
    <t>Onderhoud Brugge</t>
  </si>
  <si>
    <t>Onderhoud Oostende - bus</t>
  </si>
  <si>
    <t>Onderhoud Sint-Niklaas</t>
  </si>
  <si>
    <t>Gelede bus</t>
  </si>
  <si>
    <t>221B</t>
  </si>
  <si>
    <t>Werkhuis Gentbrugge</t>
  </si>
  <si>
    <t>Onderhoud Kinrooi</t>
  </si>
  <si>
    <t>221C</t>
  </si>
  <si>
    <t>OC Berchem</t>
  </si>
  <si>
    <t>Hybride streek</t>
  </si>
  <si>
    <t>222A</t>
  </si>
  <si>
    <t>Onderhoud Overijse</t>
  </si>
  <si>
    <t>Onderhoud Dilbeek</t>
  </si>
  <si>
    <t>Onderhoud Het Rad</t>
  </si>
  <si>
    <t>222E</t>
  </si>
  <si>
    <t>Onderhoud Vilvoorde</t>
  </si>
  <si>
    <t>Dubbel gelede bus</t>
  </si>
  <si>
    <t>Dubbelgeledehybride</t>
  </si>
  <si>
    <t>222D</t>
  </si>
  <si>
    <t>222A2</t>
  </si>
  <si>
    <t>Onderhoud Leuven Noord</t>
  </si>
  <si>
    <t>Kleine bus</t>
  </si>
  <si>
    <t>City Hybride</t>
  </si>
  <si>
    <t>222C</t>
  </si>
  <si>
    <t>222F</t>
  </si>
  <si>
    <t>E-Bus</t>
  </si>
  <si>
    <t>12m LV E-bus</t>
  </si>
  <si>
    <t>222GHI</t>
  </si>
  <si>
    <t>Onderhoud Grimbergen</t>
  </si>
  <si>
    <t>223B</t>
  </si>
  <si>
    <t>Onderhoud Tielt</t>
  </si>
  <si>
    <t>Onderhoud Tjalkstraat</t>
  </si>
  <si>
    <t>223C</t>
  </si>
  <si>
    <t>223C2A</t>
  </si>
  <si>
    <t>223C2B</t>
  </si>
  <si>
    <t>Onderhoud Winterslag</t>
  </si>
  <si>
    <t>223C3</t>
  </si>
  <si>
    <t>224A</t>
  </si>
  <si>
    <t>224B</t>
  </si>
  <si>
    <t>Midi Ebus</t>
  </si>
  <si>
    <t>226</t>
  </si>
  <si>
    <t>207A</t>
  </si>
  <si>
    <t>208A</t>
  </si>
  <si>
    <t>Onderhoud Hofstade</t>
  </si>
  <si>
    <t>Lage vloer stad</t>
  </si>
  <si>
    <t>208B</t>
  </si>
  <si>
    <t>City</t>
  </si>
  <si>
    <t>208C</t>
  </si>
  <si>
    <t>Onderhoud Ieper</t>
  </si>
  <si>
    <t>208E</t>
  </si>
  <si>
    <t>209A</t>
  </si>
  <si>
    <t>Streek</t>
  </si>
  <si>
    <t>209B</t>
  </si>
  <si>
    <t>209C</t>
  </si>
  <si>
    <t>208 E2</t>
  </si>
  <si>
    <t>210A</t>
  </si>
  <si>
    <t>210B</t>
  </si>
  <si>
    <t>210C</t>
  </si>
  <si>
    <t>ONDERHOUD TONGEREN - NIEUW</t>
  </si>
  <si>
    <t>211</t>
  </si>
  <si>
    <t>212A</t>
  </si>
  <si>
    <t>212B</t>
  </si>
  <si>
    <t>212C</t>
  </si>
  <si>
    <t>212D</t>
  </si>
  <si>
    <t>213A</t>
  </si>
  <si>
    <t>213B</t>
  </si>
  <si>
    <t>213C</t>
  </si>
  <si>
    <t>212A2</t>
  </si>
  <si>
    <t>212B2</t>
  </si>
  <si>
    <t>213B2</t>
  </si>
  <si>
    <t>214A</t>
  </si>
  <si>
    <t>Onderhoud Leerbeek</t>
  </si>
  <si>
    <t>214B</t>
  </si>
  <si>
    <t>214C</t>
  </si>
  <si>
    <t>214A2</t>
  </si>
  <si>
    <t>214B2</t>
  </si>
  <si>
    <t>214C2</t>
  </si>
  <si>
    <t>216A</t>
  </si>
  <si>
    <t>216B</t>
  </si>
  <si>
    <t>216C</t>
  </si>
  <si>
    <t>Micro groot</t>
  </si>
  <si>
    <t>215</t>
  </si>
  <si>
    <t>218A</t>
  </si>
  <si>
    <t>219A</t>
  </si>
  <si>
    <t>219B</t>
  </si>
  <si>
    <t>Onderhoud Lanaken</t>
  </si>
  <si>
    <t>00297</t>
  </si>
  <si>
    <t>220A</t>
  </si>
  <si>
    <t>220B</t>
  </si>
  <si>
    <t>220C</t>
  </si>
  <si>
    <t>220E</t>
  </si>
  <si>
    <t>220G</t>
  </si>
  <si>
    <t>Hybride stad</t>
  </si>
  <si>
    <t>220F</t>
  </si>
  <si>
    <t>Onderhoud Oostende- tram</t>
  </si>
  <si>
    <t>Tram</t>
  </si>
  <si>
    <t>Kust tussenkast</t>
  </si>
  <si>
    <t>0</t>
  </si>
  <si>
    <t>250</t>
  </si>
  <si>
    <t>URBOS 100 MOD 5</t>
  </si>
  <si>
    <t>263Z1</t>
  </si>
  <si>
    <t>OC Noorderlaan</t>
  </si>
  <si>
    <t>PCC vernieuwd</t>
  </si>
  <si>
    <t>MIVG</t>
  </si>
  <si>
    <t>Noorderlaan - Punt a/d Lijn</t>
  </si>
  <si>
    <t>DE HermeLIJN</t>
  </si>
  <si>
    <t>252</t>
  </si>
  <si>
    <t>Flexity 2 - 7 mod</t>
  </si>
  <si>
    <t>261</t>
  </si>
  <si>
    <t>OC Hoboken loods</t>
  </si>
  <si>
    <t>MIVA</t>
  </si>
  <si>
    <t>255</t>
  </si>
  <si>
    <t>OC Deurne</t>
  </si>
  <si>
    <t>Flexity 2 - 5 mod</t>
  </si>
  <si>
    <t>263S1</t>
  </si>
  <si>
    <t>263S2</t>
  </si>
  <si>
    <t>Key</t>
  </si>
  <si>
    <t>SP5</t>
  </si>
  <si>
    <t>Stelplaats Contact</t>
  </si>
  <si>
    <t>Stelplaats Contact Email</t>
  </si>
  <si>
    <t>Stelplaats Contact Tel</t>
  </si>
  <si>
    <t>Vraag Aan</t>
  </si>
  <si>
    <t>Duurtijd</t>
  </si>
  <si>
    <t>Gevraagde Tijdsduur</t>
  </si>
  <si>
    <t>Gevraagd voertuig</t>
  </si>
  <si>
    <t>Stelplaats Informatie</t>
  </si>
  <si>
    <t>Voertuig Details</t>
  </si>
  <si>
    <t>Aanvraag #</t>
  </si>
  <si>
    <t>Geselecteerd :</t>
  </si>
  <si>
    <t>3h</t>
  </si>
  <si>
    <t>1h</t>
  </si>
  <si>
    <t>Alternatief voertuig</t>
  </si>
  <si>
    <t>Alternatief Datum/Tijd Start</t>
  </si>
  <si>
    <t>Alternatief Datum/Tijd Einde</t>
  </si>
  <si>
    <t>Bevestigd (Ja/Nee)</t>
  </si>
  <si>
    <t xml:space="preserve">Alternatieven indien niet mogelijk </t>
  </si>
  <si>
    <t>Datum Start</t>
  </si>
  <si>
    <t>Tijd Start</t>
  </si>
  <si>
    <t>TijdLijst</t>
  </si>
  <si>
    <t>gggg</t>
  </si>
  <si>
    <t>kkk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</si>
</sst>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x16r2:formatCode16="[$-en-BE,1]hh:mm;@"/>
  </numFmts>
  <fonts count="10"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
      <sz val="16"/>
      <color theme="1"/>
      <name val="Calibri"/>
      <family val="2"/>
      <scheme val="minor"/>
    </font>
    <font>
      <b/>
      <sz val="14"/>
      <color theme="0"/>
      <name val="Calibri"/>
      <family val="2"/>
      <scheme val="minor"/>
    </font>
    <font>
      <sz val="10"/>
      <color theme="1"/>
      <name val="Calibri"/>
      <family val="2"/>
      <scheme val="minor"/>
    </font>
  </fonts>
  <fills count="14">
    <fill>
      <patternFill patternType="none"/>
    </fill>
    <fill>
      <patternFill patternType="gray125"/>
    </fill>
    <fill>
      <gradientFill type="path" left="0.5" right="0.5" top="0.5" bottom="0.5">
        <stop position="0">
          <color theme="0"/>
        </stop>
        <stop position="1">
          <color theme="0" tint="-0.49803155613879818"/>
        </stop>
      </gradientFill>
    </fill>
    <fill>
      <patternFill patternType="solid">
        <fgColor rgb="FF00B0F0"/>
        <bgColor indexed="64"/>
      </patternFill>
    </fill>
    <fill>
      <patternFill patternType="solid">
        <fgColor theme="4"/>
        <bgColor theme="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0"/>
        <bgColor theme="4"/>
      </patternFill>
    </fill>
    <fill>
      <gradientFill type="path" left="0.5" right="0.5" top="0.5" bottom="0.5">
        <stop position="0">
          <color theme="0"/>
        </stop>
        <stop position="1">
          <color theme="2" tint="-0.25098422193060094"/>
        </stop>
      </gradientFill>
    </fill>
    <fill>
      <patternFill patternType="solid">
        <fgColor theme="8" tint="-0.249977111117893"/>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theme="4"/>
      </top>
      <bottom/>
      <diagonal/>
    </border>
    <border>
      <left/>
      <right/>
      <top/>
      <bottom style="double">
        <color auto="1"/>
      </bottom>
      <diagonal/>
    </border>
    <border>
      <left/>
      <right/>
      <top style="thin">
        <color theme="0"/>
      </top>
      <bottom style="thin">
        <color theme="0"/>
      </bottom>
      <diagonal/>
    </border>
    <border>
      <left style="double">
        <color auto="1"/>
      </left>
      <right style="double">
        <color auto="1"/>
      </right>
      <top style="double">
        <color auto="1"/>
      </top>
      <bottom style="double">
        <color auto="1"/>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50">
    <xf numFmtId="0" fontId="0" fillId="0" borderId="0" xfId="0"/>
    <xf numFmtId="0" fontId="1" fillId="2" borderId="0" xfId="0" applyFont="1" applyFill="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top"/>
    </xf>
    <xf numFmtId="0" fontId="0" fillId="0" borderId="1" xfId="0" applyBorder="1" applyAlignment="1">
      <alignment horizontal="left" vertical="center"/>
    </xf>
    <xf numFmtId="14" fontId="0" fillId="0" borderId="0" xfId="0" applyNumberFormat="1" applyAlignment="1">
      <alignment horizontal="left"/>
    </xf>
    <xf numFmtId="0" fontId="3" fillId="3" borderId="0" xfId="0" applyFont="1" applyFill="1"/>
    <xf numFmtId="0" fontId="0" fillId="3" borderId="0" xfId="0" applyFill="1"/>
    <xf numFmtId="0" fontId="2" fillId="0" borderId="0" xfId="1"/>
    <xf numFmtId="0" fontId="0" fillId="0" borderId="0" xfId="0" applyAlignment="1">
      <alignment horizontal="left" vertical="center"/>
    </xf>
    <xf numFmtId="0" fontId="0" fillId="0" borderId="0" xfId="0" applyAlignment="1">
      <alignment horizontal="center"/>
    </xf>
    <xf numFmtId="0" fontId="2" fillId="0" borderId="0" xfId="1" applyNumberFormat="1" applyAlignment="1">
      <alignment horizontal="center"/>
    </xf>
    <xf numFmtId="14" fontId="0" fillId="0" borderId="0" xfId="0" applyNumberFormat="1"/>
    <xf numFmtId="0" fontId="0" fillId="5" borderId="0" xfId="0" applyFill="1"/>
    <xf numFmtId="0" fontId="6" fillId="5" borderId="0" xfId="0" applyFont="1" applyFill="1"/>
    <xf numFmtId="0" fontId="1" fillId="6" borderId="0" xfId="0" applyFont="1" applyFill="1" applyAlignment="1">
      <alignment horizontal="center"/>
    </xf>
    <xf numFmtId="0" fontId="0" fillId="6" borderId="0" xfId="0" applyFill="1" applyAlignment="1">
      <alignment horizontal="center"/>
    </xf>
    <xf numFmtId="0" fontId="0" fillId="7" borderId="3" xfId="0" applyFill="1" applyBorder="1"/>
    <xf numFmtId="0" fontId="7" fillId="8" borderId="0" xfId="0" applyFont="1" applyFill="1"/>
    <xf numFmtId="0" fontId="0" fillId="0" borderId="0" xfId="0" quotePrefix="1"/>
    <xf numFmtId="0" fontId="0" fillId="0" borderId="0" xfId="0" applyAlignment="1">
      <alignment wrapText="1"/>
    </xf>
    <xf numFmtId="0" fontId="0" fillId="0" borderId="0" xfId="0" applyAlignment="1">
      <alignment horizontal="center" vertical="center" wrapText="1"/>
    </xf>
    <xf numFmtId="0" fontId="1" fillId="0" borderId="0" xfId="0" applyFont="1" applyAlignment="1">
      <alignment horizontal="center" vertical="center" wrapText="1"/>
    </xf>
    <xf numFmtId="0" fontId="1" fillId="11" borderId="5" xfId="0" applyFont="1" applyFill="1" applyBorder="1" applyAlignment="1">
      <alignment horizontal="center" vertical="center"/>
    </xf>
    <xf numFmtId="16" fontId="0" fillId="0" borderId="0" xfId="0" applyNumberFormat="1" applyAlignment="1">
      <alignment horizontal="center" vertical="center"/>
    </xf>
    <xf numFmtId="22" fontId="0" fillId="0" borderId="0" xfId="0" applyNumberFormat="1"/>
    <xf numFmtId="164" fontId="0" fillId="0" borderId="0" xfId="0" applyNumberFormat="1" applyAlignment="1">
      <alignment horizontal="center" vertical="center" wrapText="1"/>
    </xf>
    <xf numFmtId="164" fontId="0" fillId="0" borderId="0" xfId="0" applyNumberFormat="1" applyAlignment="1">
      <alignment horizontal="center" vertical="center"/>
    </xf>
    <xf numFmtId="0" fontId="8" fillId="0" borderId="0" xfId="0" applyFont="1" applyAlignment="1">
      <alignment horizontal="center" vertical="center"/>
    </xf>
    <xf numFmtId="0" fontId="9" fillId="13" borderId="0" xfId="0" applyFont="1" applyFill="1" applyAlignment="1">
      <alignment horizontal="center" vertical="center" wrapText="1"/>
    </xf>
    <xf numFmtId="0" fontId="0" fillId="13" borderId="0" xfId="0" applyFill="1" applyAlignment="1">
      <alignment horizontal="center" vertical="center"/>
    </xf>
    <xf numFmtId="0" fontId="0" fillId="13" borderId="0" xfId="0" applyFill="1" applyAlignment="1">
      <alignment horizontal="center"/>
    </xf>
    <xf numFmtId="0" fontId="5" fillId="4" borderId="2" xfId="0" applyFont="1" applyFill="1" applyBorder="1" applyAlignment="1">
      <alignment horizontal="center" vertical="center" wrapText="1"/>
    </xf>
    <xf numFmtId="164" fontId="5" fillId="4" borderId="2" xfId="0" applyNumberFormat="1" applyFont="1" applyFill="1" applyBorder="1" applyAlignment="1">
      <alignment horizontal="center" vertical="center" wrapText="1"/>
    </xf>
    <xf numFmtId="164" fontId="0" fillId="0" borderId="2" xfId="0" applyNumberFormat="1" applyBorder="1" applyAlignment="1">
      <alignment horizontal="center" vertical="center"/>
    </xf>
    <xf numFmtId="0" fontId="0" fillId="0" borderId="2" xfId="0" applyBorder="1" applyAlignment="1">
      <alignment horizontal="center" vertical="center"/>
    </xf>
    <xf numFmtId="0" fontId="5" fillId="10" borderId="4" xfId="0" applyFont="1" applyFill="1" applyBorder="1" applyAlignment="1">
      <alignment horizontal="center" vertical="center" wrapText="1"/>
    </xf>
    <xf numFmtId="0" fontId="5" fillId="4" borderId="0" xfId="0" applyFont="1" applyFill="1" applyAlignment="1">
      <alignment horizontal="center" vertical="center" wrapText="1"/>
    </xf>
    <xf numFmtId="0" fontId="0" fillId="9" borderId="4" xfId="0" applyFill="1" applyBorder="1" applyAlignment="1">
      <alignment horizontal="center" vertical="center"/>
    </xf>
    <xf numFmtId="22" fontId="0" fillId="0" borderId="2" xfId="0" applyNumberFormat="1" applyBorder="1" applyAlignment="1">
      <alignment horizontal="center" vertical="center"/>
    </xf>
    <xf numFmtId="164" fontId="8" fillId="0" borderId="0" xfId="0" applyNumberFormat="1" applyFont="1" applyAlignment="1">
      <alignment horizontal="center" vertical="center"/>
    </xf>
    <xf numFmtId="20" fontId="0" fillId="0" borderId="0" xfId="0" applyNumberFormat="1"/>
    <xf numFmtId="164" fontId="0" fillId="0" borderId="0" xfId="0" applyNumberFormat="1"/>
    <xf numFmtId="22" fontId="0" fillId="0" borderId="0" xfId="0" applyNumberFormat="1" applyAlignment="1">
      <alignment horizontal="center" vertical="center"/>
    </xf>
    <xf numFmtId="14" fontId="8" fillId="0" borderId="0" xfId="0" applyNumberFormat="1" applyFont="1" applyAlignment="1">
      <alignment horizontal="center" vertical="center"/>
    </xf>
    <xf numFmtId="14" fontId="0" fillId="0" borderId="0" xfId="0" applyNumberFormat="1" applyAlignment="1">
      <alignment horizontal="center" vertical="center" wrapText="1"/>
    </xf>
    <xf numFmtId="0" fontId="0" fillId="0" borderId="2" xfId="0" applyBorder="1" applyAlignment="1">
      <alignment horizontal="center"/>
    </xf>
    <xf numFmtId="0" fontId="8" fillId="12" borderId="0" xfId="0" applyFont="1" applyFill="1" applyAlignment="1">
      <alignment horizontal="center" vertical="center"/>
    </xf>
    <xf numFmtId="0" fontId="0" fillId="8" borderId="0" xfId="0" applyFill="1" applyAlignment="1">
      <alignment horizontal="center" vertical="center"/>
    </xf>
  </cellXfs>
  <cellStyles count="3">
    <cellStyle name="Hyperlink" xfId="1" builtinId="8"/>
    <cellStyle name="Hyperlink 2" xfId="2" xr:uid="{14E91D33-9B4F-43E3-B906-EE752765AD0F}"/>
    <cellStyle name="Normal" xfId="0" builtinId="0"/>
  </cellStyles>
  <dxfs count="65">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top" textRotation="0" wrapText="0" indent="0" justifyLastLine="0" shrinkToFit="0" readingOrder="0"/>
    </dxf>
    <dxf>
      <numFmt numFmtId="0" formatCode="General"/>
      <alignment horizontal="center"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font>
        <color theme="0"/>
      </font>
      <fill>
        <patternFill>
          <bgColor theme="0"/>
        </patternFill>
      </fill>
      <border>
        <top style="thin">
          <color theme="0"/>
        </top>
        <bottom style="thin">
          <color theme="0"/>
        </bottom>
        <vertical/>
        <horizontal/>
      </border>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textRotation="0" indent="0" justifyLastLine="0" shrinkToFit="0" readingOrder="0"/>
    </dxf>
    <dxf>
      <numFmt numFmtId="0" formatCode="General"/>
    </dxf>
    <dxf>
      <numFmt numFmtId="0" formatCode="General"/>
      <alignment horizontal="center" textRotation="0" indent="0" justifyLastLine="0" shrinkToFit="0" readingOrder="0"/>
    </dxf>
    <dxf>
      <numFmt numFmtId="0" formatCode="General"/>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27" formatCode="dd/mm/yyyy\ hh:mm"/>
    </dxf>
    <dxf>
      <numFmt numFmtId="27" formatCode="dd/mm/yyyy\ hh:mm"/>
      <alignment horizontal="center" vertical="center" textRotation="0" wrapText="0" indent="0" justifyLastLine="0" shrinkToFit="0" readingOrder="0"/>
    </dxf>
    <dxf>
      <numFmt numFmtId="164" formatCode="[$]hh:mm;@" x16r2:formatCode16="[$-en-BE,1]hh:mm;@"/>
      <alignment horizontal="center" vertical="center" textRotation="0" wrapText="0" indent="0" justifyLastLine="0" shrinkToFit="0" readingOrder="0"/>
    </dxf>
    <dxf>
      <numFmt numFmtId="164" formatCode="[$]hh:mm;@" x16r2:formatCode16="[$-en-BE,1]hh:mm;@"/>
      <alignment horizontal="center" vertical="center" textRotation="0" indent="0" justifyLastLine="0" shrinkToFit="0" readingOrder="0"/>
    </dxf>
    <dxf>
      <numFmt numFmtId="19" formatCode="dd/mm/yyyy"/>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wrapText="1" indent="0" justifyLastLine="0" shrinkToFit="0" readingOrder="0"/>
    </dxf>
    <dxf>
      <fill>
        <patternFill>
          <bgColor theme="9" tint="0.59996337778862885"/>
        </patternFill>
      </fill>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12.xml"/><Relationship Id="rId34"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sharedStrings" Target="sharedStrings.xml"/><Relationship Id="rId33"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tyles" Target="styles.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onnections" Target="connections.xml"/><Relationship Id="rId28" Type="http://schemas.microsoft.com/office/2017/06/relationships/rdRichValueStructure" Target="richData/rdrichvaluestructure.xml"/><Relationship Id="rId10" Type="http://schemas.microsoft.com/office/2007/relationships/slicerCache" Target="slicerCaches/slicerCache1.xml"/><Relationship Id="rId19" Type="http://schemas.microsoft.com/office/2007/relationships/slicerCache" Target="slicerCaches/slicerCache10.xml"/><Relationship Id="rId31"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5.xml"/><Relationship Id="rId22" Type="http://schemas.openxmlformats.org/officeDocument/2006/relationships/theme" Target="theme/theme1.xml"/><Relationship Id="rId27" Type="http://schemas.microsoft.com/office/2017/06/relationships/rdRichValue" Target="richData/rdrichvalue.xml"/><Relationship Id="rId30" Type="http://schemas.microsoft.com/office/2017/06/relationships/rdSupportingPropertyBagStructure" Target="richData/rdsupportingpropertybagstructure.xml"/><Relationship Id="rId35" Type="http://schemas.microsoft.com/office/2006/relationships/vbaProject" Target="vbaProject.bin"/><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editAs="absolute">
    <xdr:from>
      <xdr:col>1</xdr:col>
      <xdr:colOff>66675</xdr:colOff>
      <xdr:row>0</xdr:row>
      <xdr:rowOff>152401</xdr:rowOff>
    </xdr:from>
    <xdr:to>
      <xdr:col>5</xdr:col>
      <xdr:colOff>195543</xdr:colOff>
      <xdr:row>7</xdr:row>
      <xdr:rowOff>112059</xdr:rowOff>
    </xdr:to>
    <mc:AlternateContent xmlns:mc="http://schemas.openxmlformats.org/markup-compatibility/2006" xmlns:sle15="http://schemas.microsoft.com/office/drawing/2012/slicer">
      <mc:Choice Requires="sle15">
        <xdr:graphicFrame macro="">
          <xdr:nvGraphicFramePr>
            <xdr:cNvPr id="2" name="Status 1">
              <a:extLst>
                <a:ext uri="{FF2B5EF4-FFF2-40B4-BE49-F238E27FC236}">
                  <a16:creationId xmlns:a16="http://schemas.microsoft.com/office/drawing/2014/main" id="{FF8083B4-3A8E-6D58-A297-B59415273B4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167528" y="152401"/>
              <a:ext cx="1820956" cy="10287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300318</xdr:colOff>
      <xdr:row>0</xdr:row>
      <xdr:rowOff>180976</xdr:rowOff>
    </xdr:from>
    <xdr:to>
      <xdr:col>7</xdr:col>
      <xdr:colOff>477931</xdr:colOff>
      <xdr:row>7</xdr:row>
      <xdr:rowOff>179294</xdr:rowOff>
    </xdr:to>
    <mc:AlternateContent xmlns:mc="http://schemas.openxmlformats.org/markup-compatibility/2006" xmlns:sle15="http://schemas.microsoft.com/office/drawing/2012/slicer">
      <mc:Choice Requires="sle15">
        <xdr:graphicFrame macro="">
          <xdr:nvGraphicFramePr>
            <xdr:cNvPr id="3" name="Project">
              <a:extLst>
                <a:ext uri="{FF2B5EF4-FFF2-40B4-BE49-F238E27FC236}">
                  <a16:creationId xmlns:a16="http://schemas.microsoft.com/office/drawing/2014/main" id="{97865DA5-721D-9AE0-1245-12D7B6139D94}"/>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2093259" y="180976"/>
              <a:ext cx="1824878"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525556</xdr:colOff>
      <xdr:row>0</xdr:row>
      <xdr:rowOff>180975</xdr:rowOff>
    </xdr:from>
    <xdr:to>
      <xdr:col>8</xdr:col>
      <xdr:colOff>604557</xdr:colOff>
      <xdr:row>7</xdr:row>
      <xdr:rowOff>156882</xdr:rowOff>
    </xdr:to>
    <mc:AlternateContent xmlns:mc="http://schemas.openxmlformats.org/markup-compatibility/2006" xmlns:sle15="http://schemas.microsoft.com/office/drawing/2012/slicer">
      <mc:Choice Requires="sle15">
        <xdr:graphicFrame macro="">
          <xdr:nvGraphicFramePr>
            <xdr:cNvPr id="4" name="Aanvrager">
              <a:extLst>
                <a:ext uri="{FF2B5EF4-FFF2-40B4-BE49-F238E27FC236}">
                  <a16:creationId xmlns:a16="http://schemas.microsoft.com/office/drawing/2014/main" id="{72A5E81C-1720-02FE-7716-9DEB50A937C5}"/>
                </a:ext>
              </a:extLst>
            </xdr:cNvPr>
            <xdr:cNvGraphicFramePr/>
          </xdr:nvGraphicFramePr>
          <xdr:xfrm>
            <a:off x="0" y="0"/>
            <a:ext cx="0" cy="0"/>
          </xdr:xfrm>
          <a:graphic>
            <a:graphicData uri="http://schemas.microsoft.com/office/drawing/2010/slicer">
              <sle:slicer xmlns:sle="http://schemas.microsoft.com/office/drawing/2010/slicer" name="Aanvrager"/>
            </a:graphicData>
          </a:graphic>
        </xdr:graphicFrame>
      </mc:Choice>
      <mc:Fallback xmlns="">
        <xdr:sp macro="" textlink="">
          <xdr:nvSpPr>
            <xdr:cNvPr id="0" name=""/>
            <xdr:cNvSpPr>
              <a:spLocks noTextEdit="1"/>
            </xdr:cNvSpPr>
          </xdr:nvSpPr>
          <xdr:spPr>
            <a:xfrm>
              <a:off x="3965762" y="180976"/>
              <a:ext cx="1827119"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652182</xdr:colOff>
      <xdr:row>0</xdr:row>
      <xdr:rowOff>180976</xdr:rowOff>
    </xdr:from>
    <xdr:to>
      <xdr:col>11</xdr:col>
      <xdr:colOff>235884</xdr:colOff>
      <xdr:row>7</xdr:row>
      <xdr:rowOff>145676</xdr:rowOff>
    </xdr:to>
    <mc:AlternateContent xmlns:mc="http://schemas.openxmlformats.org/markup-compatibility/2006" xmlns:sle15="http://schemas.microsoft.com/office/drawing/2012/slicer">
      <mc:Choice Requires="sle15">
        <xdr:graphicFrame macro="">
          <xdr:nvGraphicFramePr>
            <xdr:cNvPr id="5" name="Entiteit 1">
              <a:extLst>
                <a:ext uri="{FF2B5EF4-FFF2-40B4-BE49-F238E27FC236}">
                  <a16:creationId xmlns:a16="http://schemas.microsoft.com/office/drawing/2014/main" id="{8441B2F6-C589-3FA4-EBAB-61A5055FA631}"/>
                </a:ext>
              </a:extLst>
            </xdr:cNvPr>
            <xdr:cNvGraphicFramePr/>
          </xdr:nvGraphicFramePr>
          <xdr:xfrm>
            <a:off x="0" y="0"/>
            <a:ext cx="0" cy="0"/>
          </xdr:xfrm>
          <a:graphic>
            <a:graphicData uri="http://schemas.microsoft.com/office/drawing/2010/slicer">
              <sle:slicer xmlns:sle="http://schemas.microsoft.com/office/drawing/2010/slicer" name="Entiteit 1"/>
            </a:graphicData>
          </a:graphic>
        </xdr:graphicFrame>
      </mc:Choice>
      <mc:Fallback xmlns="">
        <xdr:sp macro="" textlink="">
          <xdr:nvSpPr>
            <xdr:cNvPr id="0" name=""/>
            <xdr:cNvSpPr>
              <a:spLocks noTextEdit="1"/>
            </xdr:cNvSpPr>
          </xdr:nvSpPr>
          <xdr:spPr>
            <a:xfrm>
              <a:off x="5840506" y="180976"/>
              <a:ext cx="1824878" cy="9525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1</xdr:row>
      <xdr:rowOff>161925</xdr:rowOff>
    </xdr:from>
    <xdr:to>
      <xdr:col>5</xdr:col>
      <xdr:colOff>1314450</xdr:colOff>
      <xdr:row>6</xdr:row>
      <xdr:rowOff>133350</xdr:rowOff>
    </xdr:to>
    <mc:AlternateContent xmlns:mc="http://schemas.openxmlformats.org/markup-compatibility/2006" xmlns:sle15="http://schemas.microsoft.com/office/drawing/2012/slicer">
      <mc:Choice Requires="sle15">
        <xdr:graphicFrame macro="">
          <xdr:nvGraphicFramePr>
            <xdr:cNvPr id="4" name="Euronorm">
              <a:extLst>
                <a:ext uri="{FF2B5EF4-FFF2-40B4-BE49-F238E27FC236}">
                  <a16:creationId xmlns:a16="http://schemas.microsoft.com/office/drawing/2014/main" id="{B1C58FF5-1258-97A8-719D-33E9D2243195}"/>
                </a:ext>
              </a:extLst>
            </xdr:cNvPr>
            <xdr:cNvGraphicFramePr/>
          </xdr:nvGraphicFramePr>
          <xdr:xfrm>
            <a:off x="0" y="0"/>
            <a:ext cx="0" cy="0"/>
          </xdr:xfrm>
          <a:graphic>
            <a:graphicData uri="http://schemas.microsoft.com/office/drawing/2010/slicer">
              <sle:slicer xmlns:sle="http://schemas.microsoft.com/office/drawing/2010/slicer" name="Euronorm"/>
            </a:graphicData>
          </a:graphic>
        </xdr:graphicFrame>
      </mc:Choice>
      <mc:Fallback xmlns="">
        <xdr:sp macro="" textlink="">
          <xdr:nvSpPr>
            <xdr:cNvPr id="0" name=""/>
            <xdr:cNvSpPr>
              <a:spLocks noTextEdit="1"/>
            </xdr:cNvSpPr>
          </xdr:nvSpPr>
          <xdr:spPr>
            <a:xfrm>
              <a:off x="1828800" y="457200"/>
              <a:ext cx="3562350" cy="9239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1352550</xdr:colOff>
      <xdr:row>1</xdr:row>
      <xdr:rowOff>114301</xdr:rowOff>
    </xdr:from>
    <xdr:to>
      <xdr:col>10</xdr:col>
      <xdr:colOff>752475</xdr:colOff>
      <xdr:row>8</xdr:row>
      <xdr:rowOff>57151</xdr:rowOff>
    </xdr:to>
    <mc:AlternateContent xmlns:mc="http://schemas.openxmlformats.org/markup-compatibility/2006" xmlns:sle15="http://schemas.microsoft.com/office/drawing/2012/slicer">
      <mc:Choice Requires="sle15">
        <xdr:graphicFrame macro="">
          <xdr:nvGraphicFramePr>
            <xdr:cNvPr id="3" name="Status">
              <a:extLst>
                <a:ext uri="{FF2B5EF4-FFF2-40B4-BE49-F238E27FC236}">
                  <a16:creationId xmlns:a16="http://schemas.microsoft.com/office/drawing/2014/main" id="{CAA12BDF-D17E-F11A-DA8F-EDF46F40E0A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067800" y="409576"/>
              <a:ext cx="1828800" cy="1276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76200</xdr:colOff>
      <xdr:row>1</xdr:row>
      <xdr:rowOff>142875</xdr:rowOff>
    </xdr:from>
    <xdr:to>
      <xdr:col>8</xdr:col>
      <xdr:colOff>1190625</xdr:colOff>
      <xdr:row>7</xdr:row>
      <xdr:rowOff>95250</xdr:rowOff>
    </xdr:to>
    <mc:AlternateContent xmlns:mc="http://schemas.openxmlformats.org/markup-compatibility/2006" xmlns:sle15="http://schemas.microsoft.com/office/drawing/2012/slicer">
      <mc:Choice Requires="sle15">
        <xdr:graphicFrame macro="">
          <xdr:nvGraphicFramePr>
            <xdr:cNvPr id="5" name="Leeftijd">
              <a:extLst>
                <a:ext uri="{FF2B5EF4-FFF2-40B4-BE49-F238E27FC236}">
                  <a16:creationId xmlns:a16="http://schemas.microsoft.com/office/drawing/2014/main" id="{BC5530D9-6479-B89A-5543-18E7E0683A14}"/>
                </a:ext>
              </a:extLst>
            </xdr:cNvPr>
            <xdr:cNvGraphicFramePr/>
          </xdr:nvGraphicFramePr>
          <xdr:xfrm>
            <a:off x="0" y="0"/>
            <a:ext cx="0" cy="0"/>
          </xdr:xfrm>
          <a:graphic>
            <a:graphicData uri="http://schemas.microsoft.com/office/drawing/2010/slicer">
              <sle:slicer xmlns:sle="http://schemas.microsoft.com/office/drawing/2010/slicer" name="Leeftijd"/>
            </a:graphicData>
          </a:graphic>
        </xdr:graphicFrame>
      </mc:Choice>
      <mc:Fallback xmlns="">
        <xdr:sp macro="" textlink="">
          <xdr:nvSpPr>
            <xdr:cNvPr id="0" name=""/>
            <xdr:cNvSpPr>
              <a:spLocks noTextEdit="1"/>
            </xdr:cNvSpPr>
          </xdr:nvSpPr>
          <xdr:spPr>
            <a:xfrm>
              <a:off x="5534025" y="438150"/>
              <a:ext cx="3371850" cy="10953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104775</xdr:colOff>
      <xdr:row>1</xdr:row>
      <xdr:rowOff>161925</xdr:rowOff>
    </xdr:from>
    <xdr:to>
      <xdr:col>2</xdr:col>
      <xdr:colOff>419100</xdr:colOff>
      <xdr:row>7</xdr:row>
      <xdr:rowOff>57150</xdr:rowOff>
    </xdr:to>
    <mc:AlternateContent xmlns:mc="http://schemas.openxmlformats.org/markup-compatibility/2006" xmlns:sle15="http://schemas.microsoft.com/office/drawing/2012/slicer">
      <mc:Choice Requires="sle15">
        <xdr:graphicFrame macro="">
          <xdr:nvGraphicFramePr>
            <xdr:cNvPr id="6" name="Voertuigtype">
              <a:extLst>
                <a:ext uri="{FF2B5EF4-FFF2-40B4-BE49-F238E27FC236}">
                  <a16:creationId xmlns:a16="http://schemas.microsoft.com/office/drawing/2014/main" id="{0898A3D0-530A-CF14-EEA1-D612589226F6}"/>
                </a:ext>
              </a:extLst>
            </xdr:cNvPr>
            <xdr:cNvGraphicFramePr/>
          </xdr:nvGraphicFramePr>
          <xdr:xfrm>
            <a:off x="0" y="0"/>
            <a:ext cx="0" cy="0"/>
          </xdr:xfrm>
          <a:graphic>
            <a:graphicData uri="http://schemas.microsoft.com/office/drawing/2010/slicer">
              <sle:slicer xmlns:sle="http://schemas.microsoft.com/office/drawing/2010/slicer" name="Voertuigtype"/>
            </a:graphicData>
          </a:graphic>
        </xdr:graphicFrame>
      </mc:Choice>
      <mc:Fallback xmlns="">
        <xdr:sp macro="" textlink="">
          <xdr:nvSpPr>
            <xdr:cNvPr id="0" name=""/>
            <xdr:cNvSpPr>
              <a:spLocks noTextEdit="1"/>
            </xdr:cNvSpPr>
          </xdr:nvSpPr>
          <xdr:spPr>
            <a:xfrm>
              <a:off x="104775" y="457200"/>
              <a:ext cx="1533525" cy="10382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523874</xdr:colOff>
      <xdr:row>0</xdr:row>
      <xdr:rowOff>47626</xdr:rowOff>
    </xdr:from>
    <xdr:to>
      <xdr:col>4</xdr:col>
      <xdr:colOff>704849</xdr:colOff>
      <xdr:row>9</xdr:row>
      <xdr:rowOff>9526</xdr:rowOff>
    </xdr:to>
    <mc:AlternateContent xmlns:mc="http://schemas.openxmlformats.org/markup-compatibility/2006" xmlns:sle15="http://schemas.microsoft.com/office/drawing/2012/slicer">
      <mc:Choice Requires="sle15">
        <xdr:graphicFrame macro="">
          <xdr:nvGraphicFramePr>
            <xdr:cNvPr id="2" name="Code motor euroklasse">
              <a:extLst>
                <a:ext uri="{FF2B5EF4-FFF2-40B4-BE49-F238E27FC236}">
                  <a16:creationId xmlns:a16="http://schemas.microsoft.com/office/drawing/2014/main" id="{2B59950F-4DE6-22C8-F4A5-EE2F9D02ABB8}"/>
                </a:ext>
              </a:extLst>
            </xdr:cNvPr>
            <xdr:cNvGraphicFramePr/>
          </xdr:nvGraphicFramePr>
          <xdr:xfrm>
            <a:off x="0" y="0"/>
            <a:ext cx="0" cy="0"/>
          </xdr:xfrm>
          <a:graphic>
            <a:graphicData uri="http://schemas.microsoft.com/office/drawing/2010/slicer">
              <sle:slicer xmlns:sle="http://schemas.microsoft.com/office/drawing/2010/slicer" name="Code motor euroklasse"/>
            </a:graphicData>
          </a:graphic>
        </xdr:graphicFrame>
      </mc:Choice>
      <mc:Fallback xmlns="">
        <xdr:sp macro="" textlink="">
          <xdr:nvSpPr>
            <xdr:cNvPr id="0" name=""/>
            <xdr:cNvSpPr>
              <a:spLocks noTextEdit="1"/>
            </xdr:cNvSpPr>
          </xdr:nvSpPr>
          <xdr:spPr>
            <a:xfrm>
              <a:off x="2038349" y="47626"/>
              <a:ext cx="2867025" cy="16764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771525</xdr:colOff>
      <xdr:row>0</xdr:row>
      <xdr:rowOff>76201</xdr:rowOff>
    </xdr:from>
    <xdr:to>
      <xdr:col>5</xdr:col>
      <xdr:colOff>514350</xdr:colOff>
      <xdr:row>9</xdr:row>
      <xdr:rowOff>19051</xdr:rowOff>
    </xdr:to>
    <mc:AlternateContent xmlns:mc="http://schemas.openxmlformats.org/markup-compatibility/2006" xmlns:sle15="http://schemas.microsoft.com/office/drawing/2012/slicer">
      <mc:Choice Requires="sle15">
        <xdr:graphicFrame macro="">
          <xdr:nvGraphicFramePr>
            <xdr:cNvPr id="3" name="Vt Type">
              <a:extLst>
                <a:ext uri="{FF2B5EF4-FFF2-40B4-BE49-F238E27FC236}">
                  <a16:creationId xmlns:a16="http://schemas.microsoft.com/office/drawing/2014/main" id="{96796460-4921-73F6-4120-AB9E646102C9}"/>
                </a:ext>
              </a:extLst>
            </xdr:cNvPr>
            <xdr:cNvGraphicFramePr/>
          </xdr:nvGraphicFramePr>
          <xdr:xfrm>
            <a:off x="0" y="0"/>
            <a:ext cx="0" cy="0"/>
          </xdr:xfrm>
          <a:graphic>
            <a:graphicData uri="http://schemas.microsoft.com/office/drawing/2010/slicer">
              <sle:slicer xmlns:sle="http://schemas.microsoft.com/office/drawing/2010/slicer" name="Vt Type"/>
            </a:graphicData>
          </a:graphic>
        </xdr:graphicFrame>
      </mc:Choice>
      <mc:Fallback xmlns="">
        <xdr:sp macro="" textlink="">
          <xdr:nvSpPr>
            <xdr:cNvPr id="0" name=""/>
            <xdr:cNvSpPr>
              <a:spLocks noTextEdit="1"/>
            </xdr:cNvSpPr>
          </xdr:nvSpPr>
          <xdr:spPr>
            <a:xfrm>
              <a:off x="4972050" y="76201"/>
              <a:ext cx="1828800" cy="1657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619124</xdr:colOff>
      <xdr:row>0</xdr:row>
      <xdr:rowOff>76200</xdr:rowOff>
    </xdr:from>
    <xdr:to>
      <xdr:col>9</xdr:col>
      <xdr:colOff>704850</xdr:colOff>
      <xdr:row>10</xdr:row>
      <xdr:rowOff>142875</xdr:rowOff>
    </xdr:to>
    <mc:AlternateContent xmlns:mc="http://schemas.openxmlformats.org/markup-compatibility/2006" xmlns:sle15="http://schemas.microsoft.com/office/drawing/2012/slicer">
      <mc:Choice Requires="sle15">
        <xdr:graphicFrame macro="">
          <xdr:nvGraphicFramePr>
            <xdr:cNvPr id="4" name="Leeftijd 1">
              <a:extLst>
                <a:ext uri="{FF2B5EF4-FFF2-40B4-BE49-F238E27FC236}">
                  <a16:creationId xmlns:a16="http://schemas.microsoft.com/office/drawing/2014/main" id="{DC80410C-7DDE-993A-D4F4-1D0D2E63BFBC}"/>
                </a:ext>
              </a:extLst>
            </xdr:cNvPr>
            <xdr:cNvGraphicFramePr/>
          </xdr:nvGraphicFramePr>
          <xdr:xfrm>
            <a:off x="0" y="0"/>
            <a:ext cx="0" cy="0"/>
          </xdr:xfrm>
          <a:graphic>
            <a:graphicData uri="http://schemas.microsoft.com/office/drawing/2010/slicer">
              <sle:slicer xmlns:sle="http://schemas.microsoft.com/office/drawing/2010/slicer" name="Leeftijd 1"/>
            </a:graphicData>
          </a:graphic>
        </xdr:graphicFrame>
      </mc:Choice>
      <mc:Fallback xmlns="">
        <xdr:sp macro="" textlink="">
          <xdr:nvSpPr>
            <xdr:cNvPr id="0" name=""/>
            <xdr:cNvSpPr>
              <a:spLocks noTextEdit="1"/>
            </xdr:cNvSpPr>
          </xdr:nvSpPr>
          <xdr:spPr>
            <a:xfrm>
              <a:off x="6905624" y="76200"/>
              <a:ext cx="4448176" cy="19716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142875</xdr:colOff>
      <xdr:row>0</xdr:row>
      <xdr:rowOff>38101</xdr:rowOff>
    </xdr:from>
    <xdr:to>
      <xdr:col>2</xdr:col>
      <xdr:colOff>457200</xdr:colOff>
      <xdr:row>9</xdr:row>
      <xdr:rowOff>19051</xdr:rowOff>
    </xdr:to>
    <mc:AlternateContent xmlns:mc="http://schemas.openxmlformats.org/markup-compatibility/2006" xmlns:sle15="http://schemas.microsoft.com/office/drawing/2012/slicer">
      <mc:Choice Requires="sle15">
        <xdr:graphicFrame macro="">
          <xdr:nvGraphicFramePr>
            <xdr:cNvPr id="5" name="Entiteit">
              <a:extLst>
                <a:ext uri="{FF2B5EF4-FFF2-40B4-BE49-F238E27FC236}">
                  <a16:creationId xmlns:a16="http://schemas.microsoft.com/office/drawing/2014/main" id="{F3926929-168B-1E6F-79C3-D360E6684660}"/>
                </a:ext>
              </a:extLst>
            </xdr:cNvPr>
            <xdr:cNvGraphicFramePr/>
          </xdr:nvGraphicFramePr>
          <xdr:xfrm>
            <a:off x="0" y="0"/>
            <a:ext cx="0" cy="0"/>
          </xdr:xfrm>
          <a:graphic>
            <a:graphicData uri="http://schemas.microsoft.com/office/drawing/2010/slicer">
              <sle:slicer xmlns:sle="http://schemas.microsoft.com/office/drawing/2010/slicer" name="Entiteit"/>
            </a:graphicData>
          </a:graphic>
        </xdr:graphicFrame>
      </mc:Choice>
      <mc:Fallback xmlns="">
        <xdr:sp macro="" textlink="">
          <xdr:nvSpPr>
            <xdr:cNvPr id="0" name=""/>
            <xdr:cNvSpPr>
              <a:spLocks noTextEdit="1"/>
            </xdr:cNvSpPr>
          </xdr:nvSpPr>
          <xdr:spPr>
            <a:xfrm>
              <a:off x="142875" y="38101"/>
              <a:ext cx="1828800" cy="16954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4BB267B6-AB16-4A76-947D-AFC9FFF6E94B}" autoFormatId="16" applyNumberFormats="0" applyBorderFormats="0" applyFontFormats="0" applyPatternFormats="0" applyAlignmentFormats="0" applyWidthHeightFormats="0">
  <queryTableRefresh nextId="14">
    <queryTableFields count="13">
      <queryTableField id="1" name="Voertuignummer" tableColumnId="1"/>
      <queryTableField id="2" name="Voertuigtype" tableColumnId="2"/>
      <queryTableField id="3" name="Leverancier" tableColumnId="3"/>
      <queryTableField id="4" name="Model" tableColumnId="4"/>
      <queryTableField id="5" name="Euronorm" tableColumnId="5"/>
      <queryTableField id="6" name="Datum eerste inschrijving" tableColumnId="6"/>
      <queryTableField id="7" name="Leeftijd" tableColumnId="7"/>
      <queryTableField id="8" name="Type gebruik" tableColumnId="8"/>
      <queryTableField id="9" name="Status" tableColumnId="9"/>
      <queryTableField id="10" name="Eigenaar" tableColumnId="10"/>
      <queryTableField id="11" name="Nummerplaat" tableColumnId="11"/>
      <queryTableField id="12" name="Counter" tableColumnId="12"/>
      <queryTableField id="13" name="Leeftijd1"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DF589CE9-53B3-4FBE-AA5E-089B2EFBEFDC}" autoFormatId="16" applyNumberFormats="0" applyBorderFormats="0" applyFontFormats="0" applyPatternFormats="0" applyAlignmentFormats="0" applyWidthHeightFormats="0">
  <queryTableRefresh nextId="49">
    <queryTableFields count="24">
      <queryTableField id="5" name="Vt Nummer" tableColumnId="5"/>
      <queryTableField id="13" name="Entiteit" tableColumnId="13"/>
      <queryTableField id="8" name="Stelplaats" tableColumnId="8"/>
      <queryTableField id="10" name="Stelplaats OC" tableColumnId="10"/>
      <queryTableField id="9" name="Stelplaats OC Code" tableColumnId="9"/>
      <queryTableField id="7" name="Stelplaats Code" tableColumnId="7"/>
      <queryTableField id="27" name="Vt Type" tableColumnId="27"/>
      <queryTableField id="28" name="Vt Sub Type" tableColumnId="28"/>
      <queryTableField id="29" name="Vt Omschrijving" tableColumnId="29"/>
      <queryTableField id="6" name="Code motor euroklasse" tableColumnId="6"/>
      <queryTableField id="11" name="Datum eerste gebruik" tableColumnId="11"/>
      <queryTableField id="30" name="Leeftijd" tableColumnId="30"/>
      <queryTableField id="12" name="Entiteitsnummer" tableColumnId="12"/>
      <queryTableField id="14" name="Bestelnummer" tableColumnId="14"/>
      <queryTableField id="18" name="Flag lage vloer" tableColumnId="18"/>
      <queryTableField id="19" name="Flag roetfilter" tableColumnId="19"/>
      <queryTableField id="20" name="Flag halte aankondiging systeem" tableColumnId="20"/>
      <queryTableField id="21" name="Flag rolstoel verankering" tableColumnId="21"/>
      <queryTableField id="22" name="Flag oprijplaat aanwezig" tableColumnId="22"/>
      <queryTableField id="23" name="Aantal voertuigen" tableColumnId="23"/>
      <queryTableField id="25" name="Datum Rapport" tableColumnId="25"/>
      <queryTableField id="26" name="Code voertuig status" tableColumnId="26"/>
      <queryTableField id="24" name="Counter" tableColumnId="24"/>
      <queryTableField id="48" name="Key_Ent_Stelplaat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6" xr16:uid="{694821CF-F053-4444-BA50-7806AE1EB924}" autoFormatId="16" applyNumberFormats="0" applyBorderFormats="0" applyFontFormats="0" applyPatternFormats="0" applyAlignmentFormats="0" applyWidthHeightFormats="0">
  <queryTableRefresh nextId="3">
    <queryTableFields count="2">
      <queryTableField id="1" name="Vt Nummer" tableColumnId="1"/>
      <queryTableField id="2" name="Vt Info" tableColumnId="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793">
  <rv s="0">
    <v>0</v>
    <v>2216</v>
    <v>1</v>
    <v>Generic</v>
    <v>221B</v>
    <v>Euro6</v>
    <v>1</v>
    <v>42598</v>
    <v>45175</v>
    <v>Limburg</v>
    <v>4</v>
    <v>J</v>
    <v>J</v>
    <v>J</v>
    <v>J</v>
    <v>J</v>
    <v>7</v>
    <v>Kinrooi</v>
    <v>114</v>
    <v>Onderhoud Kinrooi</v>
    <v>151</v>
    <v>2216</v>
    <v>2216</v>
    <v>Lage vloer streek</v>
    <v>Gelede bus</v>
    <v>Bus</v>
  </rv>
  <rv s="0">
    <v>0</v>
    <v>2181</v>
    <v>1</v>
    <v>Generic</v>
    <v>221A</v>
    <v>Euro6</v>
    <v>1</v>
    <v>43098</v>
    <v>45175</v>
    <v>West-Vlaanderen</v>
    <v>5</v>
    <v>J</v>
    <v>J</v>
    <v>J</v>
    <v>J</v>
    <v>J</v>
    <v>6</v>
    <v>Oostende Slijkensestwg</v>
    <v>118</v>
    <v>Onderhoud Oostende - bus</v>
    <v>141</v>
    <v>2181</v>
    <v>2181</v>
    <v>Lage vloer streek</v>
    <v>12-m bus</v>
    <v>Bus</v>
  </rv>
  <rv s="0">
    <v>0</v>
    <v>2215</v>
    <v>1</v>
    <v>Generic</v>
    <v>221B</v>
    <v>Euro6</v>
    <v>1</v>
    <v>42570</v>
    <v>45175</v>
    <v>Limburg</v>
    <v>4</v>
    <v>J</v>
    <v>J</v>
    <v>J</v>
    <v>J</v>
    <v>J</v>
    <v>7</v>
    <v>Kinrooi</v>
    <v>114</v>
    <v>Onderhoud Kinrooi</v>
    <v>151</v>
    <v>2215</v>
    <v>2215</v>
    <v>Lage vloer streek</v>
    <v>Gelede bus</v>
    <v>Bus</v>
  </rv>
  <rv s="0">
    <v>0</v>
    <v>2871</v>
    <v>1</v>
    <v>Generic</v>
    <v>224A</v>
    <v/>
    <v>1</v>
    <v>45069</v>
    <v>45175</v>
    <v>Limburg</v>
    <v>4</v>
    <v>J</v>
    <v>J</v>
    <v>J</v>
    <v/>
    <v>J</v>
    <v>0</v>
    <v>Winterslag</v>
    <v>125</v>
    <v>Onderhoud Winterslag</v>
    <v>153</v>
    <v>2871</v>
    <v>2871</v>
    <v>12m LV E-bus</v>
    <v>E-Bus</v>
    <v>Bus</v>
  </rv>
  <rv s="0">
    <v>0</v>
    <v>4762</v>
    <v>1</v>
    <v>Generic</v>
    <v>211</v>
    <v>3</v>
    <v>1</v>
    <v>38117</v>
    <v>45175</v>
    <v>Antwerpen</v>
    <v>1</v>
    <v>N</v>
    <v>J</v>
    <v>J</v>
    <v>J</v>
    <v>J</v>
    <v>19</v>
    <v>Hoogstraten</v>
    <v>123</v>
    <v>Onderhoud Turnhout</v>
    <v>143</v>
    <v>4762</v>
    <v>4762</v>
    <v>Lage vloer streek</v>
    <v>Gelede bus</v>
    <v>Bus</v>
  </rv>
  <rv s="0">
    <v>0</v>
    <v>2053</v>
    <v>1</v>
    <v>Generic</v>
    <v>221A</v>
    <v>Euro6</v>
    <v>1</v>
    <v>42905</v>
    <v>45175</v>
    <v>Oost-Vlaanderen</v>
    <v>2</v>
    <v>J</v>
    <v>J</v>
    <v>J</v>
    <v>J</v>
    <v>J</v>
    <v>6</v>
    <v>Destelbergen</v>
    <v>111</v>
    <v>Werkhuis Destelbergen</v>
    <v>142</v>
    <v>2053</v>
    <v>2053</v>
    <v>Lage vloer streek</v>
    <v>12-m bus</v>
    <v>Bus</v>
  </rv>
  <rv s="0">
    <v>0</v>
    <v>2201</v>
    <v>1</v>
    <v>Generic</v>
    <v>221B</v>
    <v>Euro6</v>
    <v>1</v>
    <v>42559</v>
    <v>45175</v>
    <v>Oost-Vlaanderen</v>
    <v>2</v>
    <v>J</v>
    <v>J</v>
    <v>J</v>
    <v>J</v>
    <v>J</v>
    <v>7</v>
    <v>Gentbrugge</v>
    <v>112</v>
    <v>Werkhuis Gentbrugge</v>
    <v>141</v>
    <v>2201</v>
    <v>2201</v>
    <v>Lage vloer streek</v>
    <v>Gelede bus</v>
    <v>Bus</v>
  </rv>
  <rv s="1">
    <v>13</v>
    <v>3</v>
  </rv>
  <rv s="2">
    <v>13</v>
    <v>1</v>
  </rv>
  <rv s="0">
    <v>0</v>
    <v>2000</v>
    <v>1</v>
    <v>Generic</v>
    <v>221A</v>
    <v>Euro6</v>
    <v>1</v>
    <v>43172</v>
    <v>45175</v>
    <v>Antwerpen</v>
    <v>1</v>
    <v>J</v>
    <v>J</v>
    <v>J</v>
    <v>J</v>
    <v>J</v>
    <v>6</v>
    <v>Mechelen Racing</v>
    <v>115</v>
    <v>Onderhoud Mechelen</v>
    <v>144</v>
    <v>2000</v>
    <v>2000</v>
    <v>Lage vloer streek</v>
    <v>12-m bus</v>
    <v>Bus</v>
  </rv>
  <rv s="0">
    <v>0</v>
    <v>2001</v>
    <v>1</v>
    <v>Generic</v>
    <v>221A</v>
    <v>Euro6</v>
    <v>1</v>
    <v>42859</v>
    <v>45175</v>
    <v>Antwerpen</v>
    <v>1</v>
    <v>J</v>
    <v>J</v>
    <v>J</v>
    <v>J</v>
    <v>J</v>
    <v>6</v>
    <v>Mechelen Racing</v>
    <v>115</v>
    <v>Onderhoud Mechelen</v>
    <v>144</v>
    <v>2001</v>
    <v>2001</v>
    <v>Lage vloer streek</v>
    <v>12-m bus</v>
    <v>Bus</v>
  </rv>
  <rv s="0">
    <v>0</v>
    <v>2002</v>
    <v>1</v>
    <v>Generic</v>
    <v>221A</v>
    <v>Euro6</v>
    <v>1</v>
    <v>42859</v>
    <v>45175</v>
    <v>Antwerpen</v>
    <v>1</v>
    <v>J</v>
    <v>J</v>
    <v>J</v>
    <v>J</v>
    <v>J</v>
    <v>6</v>
    <v>Mechelen Racing</v>
    <v>115</v>
    <v>Onderhoud Mechelen</v>
    <v>144</v>
    <v>2002</v>
    <v>2002</v>
    <v>Lage vloer streek</v>
    <v>12-m bus</v>
    <v>Bus</v>
  </rv>
  <rv s="0">
    <v>0</v>
    <v>2003</v>
    <v>1</v>
    <v>Generic</v>
    <v>221A</v>
    <v>Euro6</v>
    <v>1</v>
    <v>42859</v>
    <v>45175</v>
    <v>Antwerpen</v>
    <v>1</v>
    <v>J</v>
    <v>J</v>
    <v>J</v>
    <v>J</v>
    <v>J</v>
    <v>6</v>
    <v>Mechelen Racing</v>
    <v>115</v>
    <v>Onderhoud Mechelen</v>
    <v>144</v>
    <v>2003</v>
    <v>2003</v>
    <v>Lage vloer streek</v>
    <v>12-m bus</v>
    <v>Bus</v>
  </rv>
  <rv s="0">
    <v>0</v>
    <v>2004</v>
    <v>1</v>
    <v>Generic</v>
    <v>221A</v>
    <v>Euro6</v>
    <v>1</v>
    <v>42859</v>
    <v>45175</v>
    <v>Antwerpen</v>
    <v>1</v>
    <v>J</v>
    <v>J</v>
    <v>J</v>
    <v>J</v>
    <v>J</v>
    <v>6</v>
    <v>Mechelen Racing</v>
    <v>115</v>
    <v>Onderhoud Mechelen</v>
    <v>144</v>
    <v>2004</v>
    <v>2004</v>
    <v>Lage vloer streek</v>
    <v>12-m bus</v>
    <v>Bus</v>
  </rv>
  <rv s="0">
    <v>0</v>
    <v>2005</v>
    <v>1</v>
    <v>Generic</v>
    <v>221A</v>
    <v>Euro6</v>
    <v>1</v>
    <v>42844</v>
    <v>45175</v>
    <v>Antwerpen</v>
    <v>1</v>
    <v>J</v>
    <v>J</v>
    <v>J</v>
    <v>J</v>
    <v>J</v>
    <v>6</v>
    <v>Mechelen Racing</v>
    <v>115</v>
    <v>Onderhoud Mechelen</v>
    <v>144</v>
    <v>2005</v>
    <v>2005</v>
    <v>Lage vloer streek</v>
    <v>12-m bus</v>
    <v>Bus</v>
  </rv>
  <rv s="0">
    <v>0</v>
    <v>2006</v>
    <v>1</v>
    <v>Generic</v>
    <v>221A</v>
    <v>Euro6</v>
    <v>1</v>
    <v>42844</v>
    <v>45175</v>
    <v>Antwerpen</v>
    <v>1</v>
    <v>J</v>
    <v>J</v>
    <v>J</v>
    <v>J</v>
    <v>J</v>
    <v>6</v>
    <v>Mechelen Racing</v>
    <v>115</v>
    <v>Onderhoud Mechelen</v>
    <v>144</v>
    <v>2006</v>
    <v>2006</v>
    <v>Lage vloer streek</v>
    <v>12-m bus</v>
    <v>Bus</v>
  </rv>
  <rv s="0">
    <v>0</v>
    <v>2007</v>
    <v>1</v>
    <v>Generic</v>
    <v>221A</v>
    <v>Euro6</v>
    <v>1</v>
    <v>42839</v>
    <v>45175</v>
    <v>Antwerpen</v>
    <v>1</v>
    <v>J</v>
    <v>J</v>
    <v>J</v>
    <v>J</v>
    <v>J</v>
    <v>6</v>
    <v>Mechelen Racing</v>
    <v>115</v>
    <v>Onderhoud Mechelen</v>
    <v>144</v>
    <v>2007</v>
    <v>2007</v>
    <v>Lage vloer streek</v>
    <v>12-m bus</v>
    <v>Bus</v>
  </rv>
  <rv s="0">
    <v>0</v>
    <v>2008</v>
    <v>1</v>
    <v>Generic</v>
    <v>221A</v>
    <v>Euro6</v>
    <v>1</v>
    <v>42844</v>
    <v>45175</v>
    <v>Antwerpen</v>
    <v>1</v>
    <v>J</v>
    <v>J</v>
    <v>J</v>
    <v>J</v>
    <v>J</v>
    <v>6</v>
    <v>Mechelen Racing</v>
    <v>115</v>
    <v>Onderhoud Mechelen</v>
    <v>144</v>
    <v>2008</v>
    <v>2008</v>
    <v>Lage vloer streek</v>
    <v>12-m bus</v>
    <v>Bus</v>
  </rv>
  <rv s="0">
    <v>0</v>
    <v>2009</v>
    <v>1</v>
    <v>Generic</v>
    <v>221A</v>
    <v>Euro6</v>
    <v>1</v>
    <v>42844</v>
    <v>45175</v>
    <v>Antwerpen</v>
    <v>1</v>
    <v>J</v>
    <v>J</v>
    <v>J</v>
    <v>J</v>
    <v>J</v>
    <v>6</v>
    <v>Mechelen Racing</v>
    <v>115</v>
    <v>Onderhoud Mechelen</v>
    <v>144</v>
    <v>2009</v>
    <v>2009</v>
    <v>Lage vloer streek</v>
    <v>12-m bus</v>
    <v>Bus</v>
  </rv>
  <rv s="0">
    <v>0</v>
    <v>2010</v>
    <v>1</v>
    <v>Generic</v>
    <v>221A</v>
    <v>Euro6</v>
    <v>1</v>
    <v>42864</v>
    <v>45175</v>
    <v>Antwerpen</v>
    <v>1</v>
    <v>J</v>
    <v>J</v>
    <v>J</v>
    <v>J</v>
    <v>J</v>
    <v>6</v>
    <v>Mechelen Racing</v>
    <v>115</v>
    <v>Onderhoud Mechelen</v>
    <v>144</v>
    <v>2010</v>
    <v>2010</v>
    <v>Lage vloer streek</v>
    <v>12-m bus</v>
    <v>Bus</v>
  </rv>
  <rv s="0">
    <v>0</v>
    <v>2011</v>
    <v>1</v>
    <v>Generic</v>
    <v>221A</v>
    <v>Euro6</v>
    <v>1</v>
    <v>42772</v>
    <v>45175</v>
    <v>Antwerpen</v>
    <v>1</v>
    <v>J</v>
    <v>J</v>
    <v>J</v>
    <v>J</v>
    <v>J</v>
    <v>7</v>
    <v>Mechelen Racing</v>
    <v>115</v>
    <v>Onderhoud Mechelen</v>
    <v>144</v>
    <v>2011</v>
    <v>2011</v>
    <v>Lage vloer streek</v>
    <v>12-m bus</v>
    <v>Bus</v>
  </rv>
  <rv s="0">
    <v>0</v>
    <v>2012</v>
    <v>1</v>
    <v>Generic</v>
    <v>221A</v>
    <v>Euro6</v>
    <v>1</v>
    <v>42772</v>
    <v>45175</v>
    <v>Antwerpen</v>
    <v>1</v>
    <v>J</v>
    <v>J</v>
    <v>J</v>
    <v>J</v>
    <v>J</v>
    <v>7</v>
    <v>Mechelen Racing</v>
    <v>115</v>
    <v>Onderhoud Mechelen</v>
    <v>144</v>
    <v>2012</v>
    <v>2012</v>
    <v>Lage vloer streek</v>
    <v>12-m bus</v>
    <v>Bus</v>
  </rv>
  <rv s="0">
    <v>0</v>
    <v>2013</v>
    <v>1</v>
    <v>Generic</v>
    <v>221A</v>
    <v>Euro6</v>
    <v>1</v>
    <v>42772</v>
    <v>45175</v>
    <v>Antwerpen</v>
    <v>1</v>
    <v>J</v>
    <v>J</v>
    <v>J</v>
    <v>J</v>
    <v>J</v>
    <v>7</v>
    <v>Turnhout</v>
    <v>122</v>
    <v>Onderhoud Turnhout</v>
    <v>143</v>
    <v>2013</v>
    <v>2013</v>
    <v>Lage vloer streek</v>
    <v>12-m bus</v>
    <v>Bus</v>
  </rv>
  <rv s="0">
    <v>0</v>
    <v>2014</v>
    <v>1</v>
    <v>Generic</v>
    <v>221A</v>
    <v>Euro6</v>
    <v>1</v>
    <v>42783</v>
    <v>45175</v>
    <v>Antwerpen</v>
    <v>1</v>
    <v>J</v>
    <v>J</v>
    <v>J</v>
    <v>J</v>
    <v>J</v>
    <v>7</v>
    <v>Turnhout</v>
    <v>122</v>
    <v>Onderhoud Turnhout</v>
    <v>143</v>
    <v>2014</v>
    <v>2014</v>
    <v>Lage vloer streek</v>
    <v>12-m bus</v>
    <v>Bus</v>
  </rv>
  <rv s="0">
    <v>0</v>
    <v>2015</v>
    <v>1</v>
    <v>Generic</v>
    <v>221A</v>
    <v>Euro6</v>
    <v>1</v>
    <v>42772</v>
    <v>45175</v>
    <v>Antwerpen</v>
    <v>1</v>
    <v>J</v>
    <v>J</v>
    <v>J</v>
    <v>J</v>
    <v>J</v>
    <v>7</v>
    <v>Turnhout</v>
    <v>122</v>
    <v>Onderhoud Turnhout</v>
    <v>143</v>
    <v>2015</v>
    <v>2015</v>
    <v>Lage vloer streek</v>
    <v>12-m bus</v>
    <v>Bus</v>
  </rv>
  <rv s="0">
    <v>0</v>
    <v>2016</v>
    <v>1</v>
    <v>Generic</v>
    <v>221A</v>
    <v>Euro6</v>
    <v>1</v>
    <v>42831</v>
    <v>45175</v>
    <v>Antwerpen</v>
    <v>1</v>
    <v>J</v>
    <v>J</v>
    <v>J</v>
    <v>J</v>
    <v>J</v>
    <v>6</v>
    <v>Turnhout</v>
    <v>122</v>
    <v>Onderhoud Turnhout</v>
    <v>143</v>
    <v>2016</v>
    <v>2016</v>
    <v>Lage vloer streek</v>
    <v>12-m bus</v>
    <v>Bus</v>
  </rv>
  <rv s="0">
    <v>0</v>
    <v>2017</v>
    <v>1</v>
    <v>Generic</v>
    <v>221A</v>
    <v>Euro6</v>
    <v>1</v>
    <v>42831</v>
    <v>45175</v>
    <v>Antwerpen</v>
    <v>1</v>
    <v>J</v>
    <v>J</v>
    <v>J</v>
    <v>J</v>
    <v>J</v>
    <v>6</v>
    <v>Turnhout</v>
    <v>122</v>
    <v>Onderhoud Turnhout</v>
    <v>143</v>
    <v>2017</v>
    <v>2017</v>
    <v>Lage vloer streek</v>
    <v>12-m bus</v>
    <v>Bus</v>
  </rv>
  <rv s="0">
    <v>0</v>
    <v>2018</v>
    <v>1</v>
    <v>Generic</v>
    <v>221A</v>
    <v>Euro6</v>
    <v>1</v>
    <v>42831</v>
    <v>45175</v>
    <v>Antwerpen</v>
    <v>1</v>
    <v>J</v>
    <v>J</v>
    <v>J</v>
    <v>J</v>
    <v>J</v>
    <v>6</v>
    <v>Turnhout</v>
    <v>122</v>
    <v>Onderhoud Turnhout</v>
    <v>143</v>
    <v>2018</v>
    <v>2018</v>
    <v>Lage vloer streek</v>
    <v>12-m bus</v>
    <v>Bus</v>
  </rv>
  <rv s="0">
    <v>0</v>
    <v>2019</v>
    <v>1</v>
    <v>Generic</v>
    <v>221A</v>
    <v>Euro6</v>
    <v>1</v>
    <v>42831</v>
    <v>45175</v>
    <v>Antwerpen</v>
    <v>1</v>
    <v>J</v>
    <v>J</v>
    <v>J</v>
    <v>J</v>
    <v>J</v>
    <v>6</v>
    <v>Turnhout</v>
    <v>122</v>
    <v>Onderhoud Turnhout</v>
    <v>143</v>
    <v>2019</v>
    <v>2019</v>
    <v>Lage vloer streek</v>
    <v>12-m bus</v>
    <v>Bus</v>
  </rv>
  <rv s="0">
    <v>0</v>
    <v>2020</v>
    <v>1</v>
    <v>Generic</v>
    <v>221A</v>
    <v>Euro6</v>
    <v>1</v>
    <v>42831</v>
    <v>45175</v>
    <v>Antwerpen</v>
    <v>1</v>
    <v>J</v>
    <v>J</v>
    <v>J</v>
    <v>J</v>
    <v>J</v>
    <v>6</v>
    <v>Turnhout</v>
    <v>122</v>
    <v>Onderhoud Turnhout</v>
    <v>143</v>
    <v>2020</v>
    <v>2020</v>
    <v>Lage vloer streek</v>
    <v>12-m bus</v>
    <v>Bus</v>
  </rv>
  <rv s="0">
    <v>0</v>
    <v>2021</v>
    <v>1</v>
    <v>Generic</v>
    <v>221A</v>
    <v>Euro6</v>
    <v>1</v>
    <v>42831</v>
    <v>45175</v>
    <v>Antwerpen</v>
    <v>1</v>
    <v>J</v>
    <v>J</v>
    <v>J</v>
    <v>J</v>
    <v>J</v>
    <v>6</v>
    <v>Westerlo</v>
    <v>121</v>
    <v>Onderhoud Turnhout</v>
    <v>143</v>
    <v>2021</v>
    <v>2021</v>
    <v>Lage vloer streek</v>
    <v>12-m bus</v>
    <v>Bus</v>
  </rv>
  <rv s="0">
    <v>0</v>
    <v>2022</v>
    <v>1</v>
    <v>Generic</v>
    <v>221A</v>
    <v>Euro6</v>
    <v>1</v>
    <v>42831</v>
    <v>45175</v>
    <v>Antwerpen</v>
    <v>1</v>
    <v>J</v>
    <v>J</v>
    <v>J</v>
    <v>J</v>
    <v>J</v>
    <v>6</v>
    <v>Turnhout</v>
    <v>122</v>
    <v>Onderhoud Turnhout</v>
    <v>143</v>
    <v>2022</v>
    <v>2022</v>
    <v>Lage vloer streek</v>
    <v>12-m bus</v>
    <v>Bus</v>
  </rv>
  <rv s="0">
    <v>0</v>
    <v>2023</v>
    <v>1</v>
    <v>Generic</v>
    <v>221A</v>
    <v>Euro6</v>
    <v>1</v>
    <v>42831</v>
    <v>45175</v>
    <v>Antwerpen</v>
    <v>1</v>
    <v>J</v>
    <v>J</v>
    <v>J</v>
    <v>J</v>
    <v>J</v>
    <v>6</v>
    <v>Turnhout</v>
    <v>122</v>
    <v>Onderhoud Turnhout</v>
    <v>143</v>
    <v>2023</v>
    <v>2023</v>
    <v>Lage vloer streek</v>
    <v>12-m bus</v>
    <v>Bus</v>
  </rv>
  <rv s="0">
    <v>0</v>
    <v>2024</v>
    <v>1</v>
    <v>Generic</v>
    <v>221A</v>
    <v>Euro6</v>
    <v>1</v>
    <v>42844</v>
    <v>45175</v>
    <v>Antwerpen</v>
    <v>1</v>
    <v>J</v>
    <v>J</v>
    <v>J</v>
    <v>J</v>
    <v>J</v>
    <v>6</v>
    <v>Turnhout</v>
    <v>122</v>
    <v>Onderhoud Turnhout</v>
    <v>143</v>
    <v>2024</v>
    <v>2024</v>
    <v>Lage vloer streek</v>
    <v>12-m bus</v>
    <v>Bus</v>
  </rv>
  <rv s="0">
    <v>0</v>
    <v>2025</v>
    <v>1</v>
    <v>Generic</v>
    <v>221A</v>
    <v>Euro6</v>
    <v>1</v>
    <v>42986</v>
    <v>45175</v>
    <v>Antwerpen</v>
    <v>1</v>
    <v>J</v>
    <v>J</v>
    <v>J</v>
    <v>J</v>
    <v>J</v>
    <v>6</v>
    <v>Hoogstraten</v>
    <v>123</v>
    <v>Onderhoud Turnhout</v>
    <v>143</v>
    <v>2025</v>
    <v>2025</v>
    <v>Lage vloer streek</v>
    <v>12-m bus</v>
    <v>Bus</v>
  </rv>
  <rv s="0">
    <v>0</v>
    <v>2026</v>
    <v>1</v>
    <v>Generic</v>
    <v>221A</v>
    <v>Euro6</v>
    <v>1</v>
    <v>42986</v>
    <v>45175</v>
    <v>Antwerpen</v>
    <v>1</v>
    <v>J</v>
    <v>J</v>
    <v>J</v>
    <v>J</v>
    <v>J</v>
    <v>6</v>
    <v>Hoogstraten</v>
    <v>123</v>
    <v>Onderhoud Turnhout</v>
    <v>143</v>
    <v>2026</v>
    <v>2026</v>
    <v>Lage vloer streek</v>
    <v>12-m bus</v>
    <v>Bus</v>
  </rv>
  <rv s="0">
    <v>0</v>
    <v>2027</v>
    <v>1</v>
    <v>Generic</v>
    <v>221A</v>
    <v>Euro6</v>
    <v>1</v>
    <v>43047</v>
    <v>45175</v>
    <v>Antwerpen</v>
    <v>1</v>
    <v>J</v>
    <v>J</v>
    <v>J</v>
    <v>J</v>
    <v>J</v>
    <v>6</v>
    <v>Turnhout</v>
    <v>122</v>
    <v>Onderhoud Turnhout</v>
    <v>143</v>
    <v>2027</v>
    <v>2027</v>
    <v>Lage vloer streek</v>
    <v>12-m bus</v>
    <v>Bus</v>
  </rv>
  <rv s="0">
    <v>0</v>
    <v>2028</v>
    <v>1</v>
    <v>Generic</v>
    <v>221A</v>
    <v>Euro6</v>
    <v>1</v>
    <v>42895</v>
    <v>45175</v>
    <v>Antwerpen</v>
    <v>1</v>
    <v>J</v>
    <v>J</v>
    <v>J</v>
    <v>J</v>
    <v>J</v>
    <v>6</v>
    <v>Turnhout</v>
    <v>122</v>
    <v>Onderhoud Turnhout</v>
    <v>143</v>
    <v>2028</v>
    <v>2028</v>
    <v>Lage vloer streek</v>
    <v>12-m bus</v>
    <v>Bus</v>
  </rv>
  <rv s="0">
    <v>0</v>
    <v>2029</v>
    <v>1</v>
    <v>Generic</v>
    <v>221A</v>
    <v>Euro6</v>
    <v>1</v>
    <v>42893</v>
    <v>45175</v>
    <v>Antwerpen</v>
    <v>1</v>
    <v>J</v>
    <v>J</v>
    <v>J</v>
    <v>J</v>
    <v>J</v>
    <v>6</v>
    <v>Mol</v>
    <v>124</v>
    <v>Onderhoud Turnhout</v>
    <v>143</v>
    <v>2029</v>
    <v>2029</v>
    <v>Lage vloer streek</v>
    <v>12-m bus</v>
    <v>Bus</v>
  </rv>
  <rv s="0">
    <v>0</v>
    <v>2030</v>
    <v>1</v>
    <v>Generic</v>
    <v>221A</v>
    <v>Euro6</v>
    <v>1</v>
    <v>42893</v>
    <v>45175</v>
    <v>Antwerpen</v>
    <v>1</v>
    <v>J</v>
    <v>J</v>
    <v>J</v>
    <v>J</v>
    <v>J</v>
    <v>6</v>
    <v>Mol</v>
    <v>124</v>
    <v>Onderhoud Turnhout</v>
    <v>143</v>
    <v>2030</v>
    <v>2030</v>
    <v>Lage vloer streek</v>
    <v>12-m bus</v>
    <v>Bus</v>
  </rv>
  <rv s="0">
    <v>0</v>
    <v>2031</v>
    <v>1</v>
    <v>Generic</v>
    <v>221A</v>
    <v>Euro6</v>
    <v>1</v>
    <v>42895</v>
    <v>45175</v>
    <v>Antwerpen</v>
    <v>1</v>
    <v>J</v>
    <v>J</v>
    <v>J</v>
    <v>J</v>
    <v>J</v>
    <v>6</v>
    <v>Mol</v>
    <v>124</v>
    <v>Onderhoud Turnhout</v>
    <v>143</v>
    <v>2031</v>
    <v>2031</v>
    <v>Lage vloer streek</v>
    <v>12-m bus</v>
    <v>Bus</v>
  </rv>
  <rv s="0">
    <v>0</v>
    <v>2032</v>
    <v>1</v>
    <v>Generic</v>
    <v>221A</v>
    <v>Euro6</v>
    <v>1</v>
    <v>42899</v>
    <v>45175</v>
    <v>Antwerpen</v>
    <v>1</v>
    <v>J</v>
    <v>J</v>
    <v>J</v>
    <v>J</v>
    <v>J</v>
    <v>6</v>
    <v>Mol</v>
    <v>124</v>
    <v>Onderhoud Turnhout</v>
    <v>143</v>
    <v>2032</v>
    <v>2032</v>
    <v>Lage vloer streek</v>
    <v>12-m bus</v>
    <v>Bus</v>
  </rv>
  <rv s="0">
    <v>0</v>
    <v>2033</v>
    <v>1</v>
    <v>Generic</v>
    <v>221A</v>
    <v>Euro6</v>
    <v>1</v>
    <v>42899</v>
    <v>45175</v>
    <v>Antwerpen</v>
    <v>1</v>
    <v>J</v>
    <v>J</v>
    <v>J</v>
    <v>J</v>
    <v>J</v>
    <v>6</v>
    <v>Mol</v>
    <v>124</v>
    <v>Onderhoud Turnhout</v>
    <v>143</v>
    <v>2033</v>
    <v>2033</v>
    <v>Lage vloer streek</v>
    <v>12-m bus</v>
    <v>Bus</v>
  </rv>
  <rv s="0">
    <v>0</v>
    <v>2034</v>
    <v>1</v>
    <v>Generic</v>
    <v>221A</v>
    <v>Euro6</v>
    <v>1</v>
    <v>42905</v>
    <v>45175</v>
    <v>Antwerpen</v>
    <v>1</v>
    <v>J</v>
    <v>J</v>
    <v>J</v>
    <v>J</v>
    <v>J</v>
    <v>6</v>
    <v>Mol</v>
    <v>124</v>
    <v>Onderhoud Turnhout</v>
    <v>143</v>
    <v>2034</v>
    <v>2034</v>
    <v>Lage vloer streek</v>
    <v>12-m bus</v>
    <v>Bus</v>
  </rv>
  <rv s="0">
    <v>0</v>
    <v>2035</v>
    <v>1</v>
    <v>Generic</v>
    <v>221A</v>
    <v>Euro6</v>
    <v>1</v>
    <v>42905</v>
    <v>45175</v>
    <v>Antwerpen</v>
    <v>1</v>
    <v>J</v>
    <v>J</v>
    <v>J</v>
    <v>J</v>
    <v>J</v>
    <v>6</v>
    <v>Mol</v>
    <v>124</v>
    <v>Onderhoud Turnhout</v>
    <v>143</v>
    <v>2035</v>
    <v>2035</v>
    <v>Lage vloer streek</v>
    <v>12-m bus</v>
    <v>Bus</v>
  </rv>
  <rv s="0">
    <v>0</v>
    <v>2036</v>
    <v>1</v>
    <v>Generic</v>
    <v>221A</v>
    <v>Euro6</v>
    <v>1</v>
    <v>42908</v>
    <v>45175</v>
    <v>Antwerpen</v>
    <v>1</v>
    <v>J</v>
    <v>J</v>
    <v>J</v>
    <v>J</v>
    <v>J</v>
    <v>6</v>
    <v>Mol</v>
    <v>124</v>
    <v>Onderhoud Turnhout</v>
    <v>143</v>
    <v>2036</v>
    <v>2036</v>
    <v>Lage vloer streek</v>
    <v>12-m bus</v>
    <v>Bus</v>
  </rv>
  <rv s="0">
    <v>0</v>
    <v>2037</v>
    <v>1</v>
    <v>Generic</v>
    <v>221A</v>
    <v>Euro6</v>
    <v>1</v>
    <v>42930</v>
    <v>45175</v>
    <v>Antwerpen</v>
    <v>1</v>
    <v>J</v>
    <v>J</v>
    <v>J</v>
    <v>J</v>
    <v>J</v>
    <v>6</v>
    <v>Mol</v>
    <v>124</v>
    <v>Onderhoud Turnhout</v>
    <v>143</v>
    <v>2037</v>
    <v>2037</v>
    <v>Lage vloer streek</v>
    <v>12-m bus</v>
    <v>Bus</v>
  </rv>
  <rv s="0">
    <v>0</v>
    <v>2038</v>
    <v>1</v>
    <v>Generic</v>
    <v>221A</v>
    <v>Euro6</v>
    <v>1</v>
    <v>42929</v>
    <v>45175</v>
    <v>Antwerpen</v>
    <v>1</v>
    <v>J</v>
    <v>J</v>
    <v>J</v>
    <v>J</v>
    <v>J</v>
    <v>6</v>
    <v>Mol</v>
    <v>124</v>
    <v>Onderhoud Turnhout</v>
    <v>143</v>
    <v>2038</v>
    <v>2038</v>
    <v>Lage vloer streek</v>
    <v>12-m bus</v>
    <v>Bus</v>
  </rv>
  <rv s="0">
    <v>0</v>
    <v>2039</v>
    <v>1</v>
    <v>Generic</v>
    <v>221A</v>
    <v>Euro6</v>
    <v>1</v>
    <v>42929</v>
    <v>45175</v>
    <v>Antwerpen</v>
    <v>1</v>
    <v>J</v>
    <v>J</v>
    <v>J</v>
    <v>J</v>
    <v>J</v>
    <v>6</v>
    <v>Mol</v>
    <v>124</v>
    <v>Onderhoud Turnhout</v>
    <v>143</v>
    <v>2039</v>
    <v>2039</v>
    <v>Lage vloer streek</v>
    <v>12-m bus</v>
    <v>Bus</v>
  </rv>
  <rv s="0">
    <v>0</v>
    <v>2040</v>
    <v>1</v>
    <v>Generic</v>
    <v>221A</v>
    <v>Euro6</v>
    <v>1</v>
    <v>42930</v>
    <v>45175</v>
    <v>Antwerpen</v>
    <v>1</v>
    <v>J</v>
    <v>J</v>
    <v>J</v>
    <v>J</v>
    <v>J</v>
    <v>6</v>
    <v>Mol</v>
    <v>124</v>
    <v>Onderhoud Turnhout</v>
    <v>143</v>
    <v>2040</v>
    <v>2040</v>
    <v>Lage vloer streek</v>
    <v>12-m bus</v>
    <v>Bus</v>
  </rv>
  <rv s="0">
    <v>0</v>
    <v>2041</v>
    <v>1</v>
    <v>Generic</v>
    <v>221A</v>
    <v>Euro6</v>
    <v>1</v>
    <v>42986</v>
    <v>45175</v>
    <v>Antwerpen</v>
    <v>1</v>
    <v>J</v>
    <v>J</v>
    <v>J</v>
    <v>J</v>
    <v>J</v>
    <v>6</v>
    <v>Oostmalle</v>
    <v>125</v>
    <v>Onderhoud Turnhout</v>
    <v>143</v>
    <v>2041</v>
    <v>2041</v>
    <v>Lage vloer streek</v>
    <v>12-m bus</v>
    <v>Bus</v>
  </rv>
  <rv s="0">
    <v>0</v>
    <v>2042</v>
    <v>1</v>
    <v>Generic</v>
    <v>221A</v>
    <v>Euro6</v>
    <v>1</v>
    <v>42986</v>
    <v>45175</v>
    <v>Antwerpen</v>
    <v>1</v>
    <v>J</v>
    <v>J</v>
    <v>J</v>
    <v>J</v>
    <v>J</v>
    <v>6</v>
    <v>Oostmalle</v>
    <v>125</v>
    <v>Onderhoud Turnhout</v>
    <v>143</v>
    <v>2042</v>
    <v>2042</v>
    <v>Lage vloer streek</v>
    <v>12-m bus</v>
    <v>Bus</v>
  </rv>
  <rv s="0">
    <v>0</v>
    <v>2043</v>
    <v>1</v>
    <v>Generic</v>
    <v>221A</v>
    <v>Euro6</v>
    <v>1</v>
    <v>42990</v>
    <v>45175</v>
    <v>Antwerpen</v>
    <v>1</v>
    <v>J</v>
    <v>J</v>
    <v>J</v>
    <v>J</v>
    <v>J</v>
    <v>6</v>
    <v>Oostmalle</v>
    <v>125</v>
    <v>Onderhoud Turnhout</v>
    <v>143</v>
    <v>2043</v>
    <v>2043</v>
    <v>Lage vloer streek</v>
    <v>12-m bus</v>
    <v>Bus</v>
  </rv>
  <rv s="0">
    <v>0</v>
    <v>2044</v>
    <v>1</v>
    <v>Generic</v>
    <v>221A</v>
    <v>Euro6</v>
    <v>1</v>
    <v>42983</v>
    <v>45175</v>
    <v>Oost-Vlaanderen</v>
    <v>2</v>
    <v>J</v>
    <v>J</v>
    <v>J</v>
    <v>J</v>
    <v>J</v>
    <v>6</v>
    <v>Destelbergen</v>
    <v>111</v>
    <v>Werkhuis Destelbergen</v>
    <v>142</v>
    <v>2044</v>
    <v>2044</v>
    <v>Lage vloer streek</v>
    <v>12-m bus</v>
    <v>Bus</v>
  </rv>
  <rv s="0">
    <v>0</v>
    <v>2045</v>
    <v>1</v>
    <v>Generic</v>
    <v>221A</v>
    <v>Euro6</v>
    <v>1</v>
    <v>42986</v>
    <v>45175</v>
    <v>Oost-Vlaanderen</v>
    <v>2</v>
    <v>J</v>
    <v>J</v>
    <v>J</v>
    <v>J</v>
    <v>J</v>
    <v>6</v>
    <v>Destelbergen</v>
    <v>111</v>
    <v>Werkhuis Destelbergen</v>
    <v>142</v>
    <v>2045</v>
    <v>2045</v>
    <v>Lage vloer streek</v>
    <v>12-m bus</v>
    <v>Bus</v>
  </rv>
  <rv s="0">
    <v>0</v>
    <v>2046</v>
    <v>1</v>
    <v>Generic</v>
    <v>221A</v>
    <v>Euro6</v>
    <v>1</v>
    <v>42983</v>
    <v>45175</v>
    <v>Oost-Vlaanderen</v>
    <v>2</v>
    <v>J</v>
    <v>J</v>
    <v>J</v>
    <v>J</v>
    <v>J</v>
    <v>6</v>
    <v>Destelbergen</v>
    <v>111</v>
    <v>Werkhuis Destelbergen</v>
    <v>142</v>
    <v>2046</v>
    <v>2046</v>
    <v>Lage vloer streek</v>
    <v>12-m bus</v>
    <v>Bus</v>
  </rv>
  <rv s="0">
    <v>0</v>
    <v>2047</v>
    <v>1</v>
    <v>Generic</v>
    <v>221A</v>
    <v>Euro6</v>
    <v>1</v>
    <v>42986</v>
    <v>45175</v>
    <v>Oost-Vlaanderen</v>
    <v>2</v>
    <v>J</v>
    <v>J</v>
    <v>J</v>
    <v>J</v>
    <v>J</v>
    <v>6</v>
    <v>Destelbergen</v>
    <v>111</v>
    <v>Werkhuis Destelbergen</v>
    <v>142</v>
    <v>2047</v>
    <v>2047</v>
    <v>Lage vloer streek</v>
    <v>12-m bus</v>
    <v>Bus</v>
  </rv>
  <rv s="0">
    <v>0</v>
    <v>2048</v>
    <v>1</v>
    <v>Generic</v>
    <v>221A</v>
    <v>Euro6</v>
    <v>1</v>
    <v>42986</v>
    <v>45175</v>
    <v>Oost-Vlaanderen</v>
    <v>2</v>
    <v>J</v>
    <v>J</v>
    <v>J</v>
    <v>J</v>
    <v>J</v>
    <v>6</v>
    <v>Destelbergen</v>
    <v>111</v>
    <v>Werkhuis Destelbergen</v>
    <v>142</v>
    <v>2048</v>
    <v>2048</v>
    <v>Lage vloer streek</v>
    <v>12-m bus</v>
    <v>Bus</v>
  </rv>
  <rv s="0">
    <v>0</v>
    <v>2049</v>
    <v>1</v>
    <v>Generic</v>
    <v>221A</v>
    <v>Euro6</v>
    <v>1</v>
    <v>42983</v>
    <v>45175</v>
    <v>Oost-Vlaanderen</v>
    <v>2</v>
    <v>J</v>
    <v>J</v>
    <v>J</v>
    <v>J</v>
    <v>J</v>
    <v>6</v>
    <v>Destelbergen</v>
    <v>111</v>
    <v>Werkhuis Destelbergen</v>
    <v>142</v>
    <v>2049</v>
    <v>2049</v>
    <v>Lage vloer streek</v>
    <v>12-m bus</v>
    <v>Bus</v>
  </rv>
  <rv s="0">
    <v>0</v>
    <v>2050</v>
    <v>1</v>
    <v>Generic</v>
    <v>221A</v>
    <v>Euro6</v>
    <v>1</v>
    <v>42986</v>
    <v>45175</v>
    <v>Oost-Vlaanderen</v>
    <v>2</v>
    <v>J</v>
    <v>J</v>
    <v>J</v>
    <v>J</v>
    <v>J</v>
    <v>6</v>
    <v>Destelbergen</v>
    <v>111</v>
    <v>Werkhuis Destelbergen</v>
    <v>142</v>
    <v>2050</v>
    <v>2050</v>
    <v>Lage vloer streek</v>
    <v>12-m bus</v>
    <v>Bus</v>
  </rv>
  <rv s="0">
    <v>0</v>
    <v>2051</v>
    <v>1</v>
    <v>Generic</v>
    <v>221A</v>
    <v>Euro6</v>
    <v>1</v>
    <v>42986</v>
    <v>45175</v>
    <v>Oost-Vlaanderen</v>
    <v>2</v>
    <v>J</v>
    <v>J</v>
    <v>J</v>
    <v>J</v>
    <v>J</v>
    <v>6</v>
    <v>Destelbergen</v>
    <v>111</v>
    <v>Werkhuis Destelbergen</v>
    <v>142</v>
    <v>2051</v>
    <v>2051</v>
    <v>Lage vloer streek</v>
    <v>12-m bus</v>
    <v>Bus</v>
  </rv>
  <rv s="0">
    <v>0</v>
    <v>2052</v>
    <v>1</v>
    <v>Generic</v>
    <v>221A</v>
    <v>Euro6</v>
    <v>1</v>
    <v>42905</v>
    <v>45175</v>
    <v>Oost-Vlaanderen</v>
    <v>2</v>
    <v>J</v>
    <v>J</v>
    <v>J</v>
    <v>J</v>
    <v>J</v>
    <v>6</v>
    <v>Destelbergen</v>
    <v>111</v>
    <v>Werkhuis Destelbergen</v>
    <v>142</v>
    <v>2052</v>
    <v>2052</v>
    <v>Lage vloer streek</v>
    <v>12-m bus</v>
    <v>Bus</v>
  </rv>
  <rv s="0">
    <v>0</v>
    <v>2054</v>
    <v>1</v>
    <v>Generic</v>
    <v>221A</v>
    <v>Euro6</v>
    <v>1</v>
    <v>42913</v>
    <v>45175</v>
    <v>Oost-Vlaanderen</v>
    <v>2</v>
    <v>J</v>
    <v>J</v>
    <v>J</v>
    <v>J</v>
    <v>J</v>
    <v>6</v>
    <v>Destelbergen</v>
    <v>111</v>
    <v>Werkhuis Destelbergen</v>
    <v>142</v>
    <v>2054</v>
    <v>2054</v>
    <v>Lage vloer streek</v>
    <v>12-m bus</v>
    <v>Bus</v>
  </rv>
  <rv s="0">
    <v>0</v>
    <v>2055</v>
    <v>1</v>
    <v>Generic</v>
    <v>221A</v>
    <v>Euro6</v>
    <v>1</v>
    <v>42928</v>
    <v>45175</v>
    <v>Oost-Vlaanderen</v>
    <v>2</v>
    <v>J</v>
    <v>J</v>
    <v>J</v>
    <v>J</v>
    <v>J</v>
    <v>6</v>
    <v>Destelbergen</v>
    <v>111</v>
    <v>Werkhuis Destelbergen</v>
    <v>142</v>
    <v>2055</v>
    <v>2055</v>
    <v>Lage vloer streek</v>
    <v>12-m bus</v>
    <v>Bus</v>
  </rv>
  <rv s="0">
    <v>0</v>
    <v>2056</v>
    <v>1</v>
    <v>Generic</v>
    <v>221A</v>
    <v>Euro6</v>
    <v>1</v>
    <v>42913</v>
    <v>45175</v>
    <v>Oost-Vlaanderen</v>
    <v>2</v>
    <v>J</v>
    <v>J</v>
    <v>J</v>
    <v>J</v>
    <v>J</v>
    <v>6</v>
    <v>Destelbergen</v>
    <v>111</v>
    <v>Werkhuis Destelbergen</v>
    <v>142</v>
    <v>2056</v>
    <v>2056</v>
    <v>Lage vloer streek</v>
    <v>12-m bus</v>
    <v>Bus</v>
  </rv>
  <rv s="0">
    <v>0</v>
    <v>2057</v>
    <v>1</v>
    <v>Generic</v>
    <v>221A</v>
    <v>Euro6</v>
    <v>1</v>
    <v>42928</v>
    <v>45175</v>
    <v>Oost-Vlaanderen</v>
    <v>2</v>
    <v>J</v>
    <v>J</v>
    <v>J</v>
    <v>J</v>
    <v>J</v>
    <v>6</v>
    <v>Destelbergen</v>
    <v>111</v>
    <v>Werkhuis Destelbergen</v>
    <v>142</v>
    <v>2057</v>
    <v>2057</v>
    <v>Lage vloer streek</v>
    <v>12-m bus</v>
    <v>Bus</v>
  </rv>
  <rv s="0">
    <v>0</v>
    <v>2058</v>
    <v>1</v>
    <v>Generic</v>
    <v>221A</v>
    <v>Euro6</v>
    <v>1</v>
    <v>42905</v>
    <v>45175</v>
    <v>Oost-Vlaanderen</v>
    <v>2</v>
    <v>J</v>
    <v>J</v>
    <v>J</v>
    <v>J</v>
    <v>J</v>
    <v>6</v>
    <v>Destelbergen</v>
    <v>111</v>
    <v>Werkhuis Destelbergen</v>
    <v>142</v>
    <v>2058</v>
    <v>2058</v>
    <v>Lage vloer streek</v>
    <v>12-m bus</v>
    <v>Bus</v>
  </rv>
  <rv s="0">
    <v>0</v>
    <v>2059</v>
    <v>1</v>
    <v>Generic</v>
    <v>221A</v>
    <v>Euro6</v>
    <v>1</v>
    <v>42905</v>
    <v>45175</v>
    <v>Oost-Vlaanderen</v>
    <v>2</v>
    <v>J</v>
    <v>J</v>
    <v>J</v>
    <v>J</v>
    <v>J</v>
    <v>6</v>
    <v>Destelbergen</v>
    <v>111</v>
    <v>Werkhuis Destelbergen</v>
    <v>142</v>
    <v>2059</v>
    <v>2059</v>
    <v>Lage vloer streek</v>
    <v>12-m bus</v>
    <v>Bus</v>
  </rv>
  <rv s="0">
    <v>0</v>
    <v>2060</v>
    <v>1</v>
    <v>Generic</v>
    <v>221A</v>
    <v>Euro6</v>
    <v>1</v>
    <v>42906</v>
    <v>45175</v>
    <v>Oost-Vlaanderen</v>
    <v>2</v>
    <v>J</v>
    <v>J</v>
    <v>J</v>
    <v>J</v>
    <v>J</v>
    <v>6</v>
    <v>Destelbergen</v>
    <v>111</v>
    <v>Werkhuis Destelbergen</v>
    <v>142</v>
    <v>2060</v>
    <v>2060</v>
    <v>Lage vloer streek</v>
    <v>12-m bus</v>
    <v>Bus</v>
  </rv>
  <rv s="0">
    <v>0</v>
    <v>2061</v>
    <v>1</v>
    <v>Generic</v>
    <v>221A</v>
    <v>Euro6</v>
    <v>1</v>
    <v>42913</v>
    <v>45175</v>
    <v>Oost-Vlaanderen</v>
    <v>2</v>
    <v>J</v>
    <v>J</v>
    <v>J</v>
    <v>J</v>
    <v>J</v>
    <v>6</v>
    <v>Destelbergen</v>
    <v>111</v>
    <v>Werkhuis Destelbergen</v>
    <v>142</v>
    <v>2061</v>
    <v>2061</v>
    <v>Lage vloer streek</v>
    <v>12-m bus</v>
    <v>Bus</v>
  </rv>
  <rv s="0">
    <v>0</v>
    <v>2062</v>
    <v>1</v>
    <v>Generic</v>
    <v>221A</v>
    <v>Euro6</v>
    <v>1</v>
    <v>42913</v>
    <v>45175</v>
    <v>Oost-Vlaanderen</v>
    <v>2</v>
    <v>J</v>
    <v>J</v>
    <v>J</v>
    <v>J</v>
    <v>J</v>
    <v>6</v>
    <v>Destelbergen</v>
    <v>111</v>
    <v>Werkhuis Destelbergen</v>
    <v>142</v>
    <v>2062</v>
    <v>2062</v>
    <v>Lage vloer streek</v>
    <v>12-m bus</v>
    <v>Bus</v>
  </rv>
  <rv s="0">
    <v>0</v>
    <v>2063</v>
    <v>1</v>
    <v>Generic</v>
    <v>221A</v>
    <v>Euro6</v>
    <v>1</v>
    <v>42928</v>
    <v>45175</v>
    <v>Oost-Vlaanderen</v>
    <v>2</v>
    <v>J</v>
    <v>J</v>
    <v>J</v>
    <v>J</v>
    <v>J</v>
    <v>6</v>
    <v>Destelbergen</v>
    <v>111</v>
    <v>Werkhuis Destelbergen</v>
    <v>142</v>
    <v>2063</v>
    <v>2063</v>
    <v>Lage vloer streek</v>
    <v>12-m bus</v>
    <v>Bus</v>
  </rv>
  <rv s="0">
    <v>0</v>
    <v>2064</v>
    <v>1</v>
    <v>Generic</v>
    <v>221A</v>
    <v>Euro6</v>
    <v>1</v>
    <v>42928</v>
    <v>45175</v>
    <v>Oost-Vlaanderen</v>
    <v>2</v>
    <v>J</v>
    <v>J</v>
    <v>J</v>
    <v>J</v>
    <v>J</v>
    <v>6</v>
    <v>Destelbergen</v>
    <v>111</v>
    <v>Werkhuis Destelbergen</v>
    <v>142</v>
    <v>2064</v>
    <v>2064</v>
    <v>Lage vloer streek</v>
    <v>12-m bus</v>
    <v>Bus</v>
  </rv>
  <rv s="0">
    <v>0</v>
    <v>2065</v>
    <v>1</v>
    <v>Generic</v>
    <v>221A</v>
    <v>Euro6</v>
    <v>1</v>
    <v>42923</v>
    <v>45175</v>
    <v>Oost-Vlaanderen</v>
    <v>2</v>
    <v>J</v>
    <v>J</v>
    <v>J</v>
    <v>J</v>
    <v>J</v>
    <v>6</v>
    <v>Destelbergen</v>
    <v>111</v>
    <v>Werkhuis Destelbergen</v>
    <v>142</v>
    <v>2065</v>
    <v>2065</v>
    <v>Lage vloer streek</v>
    <v>12-m bus</v>
    <v>Bus</v>
  </rv>
  <rv s="0">
    <v>0</v>
    <v>2066</v>
    <v>1</v>
    <v>Generic</v>
    <v>221A</v>
    <v>Euro6</v>
    <v>1</v>
    <v>42928</v>
    <v>45175</v>
    <v>Oost-Vlaanderen</v>
    <v>2</v>
    <v>J</v>
    <v>J</v>
    <v>J</v>
    <v>J</v>
    <v>J</v>
    <v>6</v>
    <v>Destelbergen</v>
    <v>111</v>
    <v>Werkhuis Destelbergen</v>
    <v>142</v>
    <v>2066</v>
    <v>2066</v>
    <v>Lage vloer streek</v>
    <v>12-m bus</v>
    <v>Bus</v>
  </rv>
  <rv s="0">
    <v>0</v>
    <v>2067</v>
    <v>1</v>
    <v>Generic</v>
    <v>221A</v>
    <v>Euro6</v>
    <v>1</v>
    <v>42928</v>
    <v>45175</v>
    <v>Oost-Vlaanderen</v>
    <v>2</v>
    <v>J</v>
    <v>J</v>
    <v>J</v>
    <v>J</v>
    <v>J</v>
    <v>6</v>
    <v>Destelbergen</v>
    <v>111</v>
    <v>Werkhuis Destelbergen</v>
    <v>142</v>
    <v>2067</v>
    <v>2067</v>
    <v>Lage vloer streek</v>
    <v>12-m bus</v>
    <v>Bus</v>
  </rv>
  <rv s="0">
    <v>0</v>
    <v>2068</v>
    <v>1</v>
    <v>Generic</v>
    <v>221A</v>
    <v>Euro6</v>
    <v>1</v>
    <v>42930</v>
    <v>45175</v>
    <v>Oost-Vlaanderen</v>
    <v>2</v>
    <v>J</v>
    <v>J</v>
    <v>J</v>
    <v>J</v>
    <v>J</v>
    <v>6</v>
    <v>Destelbergen</v>
    <v>111</v>
    <v>Werkhuis Destelbergen</v>
    <v>142</v>
    <v>2068</v>
    <v>2068</v>
    <v>Lage vloer streek</v>
    <v>12-m bus</v>
    <v>Bus</v>
  </rv>
  <rv s="0">
    <v>0</v>
    <v>2069</v>
    <v>1</v>
    <v>Generic</v>
    <v>221A</v>
    <v>Euro6</v>
    <v>1</v>
    <v>42930</v>
    <v>45175</v>
    <v>Oost-Vlaanderen</v>
    <v>2</v>
    <v>J</v>
    <v>J</v>
    <v>J</v>
    <v>J</v>
    <v>J</v>
    <v>6</v>
    <v>Destelbergen</v>
    <v>111</v>
    <v>Werkhuis Destelbergen</v>
    <v>142</v>
    <v>2069</v>
    <v>2069</v>
    <v>Lage vloer streek</v>
    <v>12-m bus</v>
    <v>Bus</v>
  </rv>
  <rv s="0">
    <v>0</v>
    <v>2070</v>
    <v>1</v>
    <v>Generic</v>
    <v>221A</v>
    <v>Euro6</v>
    <v>1</v>
    <v>42930</v>
    <v>45175</v>
    <v>Oost-Vlaanderen</v>
    <v>2</v>
    <v>J</v>
    <v>J</v>
    <v>J</v>
    <v>J</v>
    <v>J</v>
    <v>6</v>
    <v>Destelbergen</v>
    <v>111</v>
    <v>Werkhuis Destelbergen</v>
    <v>142</v>
    <v>2070</v>
    <v>2070</v>
    <v>Lage vloer streek</v>
    <v>12-m bus</v>
    <v>Bus</v>
  </rv>
  <rv s="0">
    <v>0</v>
    <v>2071</v>
    <v>1</v>
    <v>Generic</v>
    <v>221A</v>
    <v>Euro6</v>
    <v>1</v>
    <v>42772</v>
    <v>45175</v>
    <v>Limburg</v>
    <v>4</v>
    <v>J</v>
    <v>J</v>
    <v>J</v>
    <v>J</v>
    <v>J</v>
    <v>7</v>
    <v>Beverlo</v>
    <v>120</v>
    <v>Onderhoud Beverlo</v>
    <v>152</v>
    <v>2071</v>
    <v>2071</v>
    <v>Lage vloer streek</v>
    <v>12-m bus</v>
    <v>Bus</v>
  </rv>
  <rv s="0">
    <v>0</v>
    <v>2072</v>
    <v>1</v>
    <v>Generic</v>
    <v>221A</v>
    <v>Euro6</v>
    <v>1</v>
    <v>42772</v>
    <v>45175</v>
    <v>Limburg</v>
    <v>4</v>
    <v>J</v>
    <v>J</v>
    <v>J</v>
    <v>J</v>
    <v>J</v>
    <v>7</v>
    <v>Beverlo</v>
    <v>120</v>
    <v>Onderhoud Beverlo</v>
    <v>152</v>
    <v>2072</v>
    <v>2072</v>
    <v>Lage vloer streek</v>
    <v>12-m bus</v>
    <v>Bus</v>
  </rv>
  <rv s="0">
    <v>0</v>
    <v>2073</v>
    <v>1</v>
    <v>Generic</v>
    <v>221A</v>
    <v>Euro6</v>
    <v>1</v>
    <v>42772</v>
    <v>45175</v>
    <v>Limburg</v>
    <v>4</v>
    <v>J</v>
    <v>J</v>
    <v>J</v>
    <v>J</v>
    <v>J</v>
    <v>7</v>
    <v>Beverlo</v>
    <v>120</v>
    <v>Onderhoud Beverlo</v>
    <v>152</v>
    <v>2073</v>
    <v>2073</v>
    <v>Lage vloer streek</v>
    <v>12-m bus</v>
    <v>Bus</v>
  </rv>
  <rv s="0">
    <v>0</v>
    <v>2074</v>
    <v>1</v>
    <v>Generic</v>
    <v>221A</v>
    <v>Euro6</v>
    <v>1</v>
    <v>42783</v>
    <v>45175</v>
    <v>Limburg</v>
    <v>4</v>
    <v>J</v>
    <v>J</v>
    <v>J</v>
    <v>J</v>
    <v>J</v>
    <v>7</v>
    <v>Beverlo</v>
    <v>120</v>
    <v>Onderhoud Beverlo</v>
    <v>152</v>
    <v>2074</v>
    <v>2074</v>
    <v>Lage vloer streek</v>
    <v>12-m bus</v>
    <v>Bus</v>
  </rv>
  <rv s="0">
    <v>0</v>
    <v>2075</v>
    <v>1</v>
    <v>Generic</v>
    <v>221A</v>
    <v>Euro6</v>
    <v>1</v>
    <v>42772</v>
    <v>45175</v>
    <v>Limburg</v>
    <v>4</v>
    <v>J</v>
    <v>J</v>
    <v>J</v>
    <v>J</v>
    <v>J</v>
    <v>7</v>
    <v>Beverlo</v>
    <v>120</v>
    <v>Onderhoud Beverlo</v>
    <v>152</v>
    <v>2075</v>
    <v>2075</v>
    <v>Lage vloer streek</v>
    <v>12-m bus</v>
    <v>Bus</v>
  </rv>
  <rv s="0">
    <v>0</v>
    <v>2076</v>
    <v>1</v>
    <v>Generic</v>
    <v>221A</v>
    <v>Euro6</v>
    <v>1</v>
    <v>42783</v>
    <v>45175</v>
    <v>Limburg</v>
    <v>4</v>
    <v>J</v>
    <v>J</v>
    <v>J</v>
    <v>J</v>
    <v>J</v>
    <v>7</v>
    <v>Beverlo</v>
    <v>120</v>
    <v>Onderhoud Beverlo</v>
    <v>152</v>
    <v>2076</v>
    <v>2076</v>
    <v>Lage vloer streek</v>
    <v>12-m bus</v>
    <v>Bus</v>
  </rv>
  <rv s="0">
    <v>0</v>
    <v>2077</v>
    <v>1</v>
    <v>Generic</v>
    <v>221A</v>
    <v>Euro6</v>
    <v>1</v>
    <v>42783</v>
    <v>45175</v>
    <v>Limburg</v>
    <v>4</v>
    <v>J</v>
    <v>J</v>
    <v>J</v>
    <v>J</v>
    <v>J</v>
    <v>7</v>
    <v>Beverlo</v>
    <v>120</v>
    <v>Onderhoud Beverlo</v>
    <v>152</v>
    <v>2077</v>
    <v>2077</v>
    <v>Lage vloer streek</v>
    <v>12-m bus</v>
    <v>Bus</v>
  </rv>
  <rv s="0">
    <v>0</v>
    <v>2078</v>
    <v>1</v>
    <v>Generic</v>
    <v>221A</v>
    <v>Euro6</v>
    <v>1</v>
    <v>42814</v>
    <v>45175</v>
    <v>Limburg</v>
    <v>4</v>
    <v>J</v>
    <v>J</v>
    <v>J</v>
    <v>J</v>
    <v>J</v>
    <v>6</v>
    <v>Beverlo</v>
    <v>120</v>
    <v>Onderhoud Beverlo</v>
    <v>152</v>
    <v>2078</v>
    <v>2078</v>
    <v>Lage vloer streek</v>
    <v>12-m bus</v>
    <v>Bus</v>
  </rv>
  <rv s="0">
    <v>0</v>
    <v>2079</v>
    <v>1</v>
    <v>Generic</v>
    <v>221A</v>
    <v>Euro6</v>
    <v>1</v>
    <v>42815</v>
    <v>45175</v>
    <v>Limburg</v>
    <v>4</v>
    <v>J</v>
    <v>J</v>
    <v>J</v>
    <v>J</v>
    <v>J</v>
    <v>6</v>
    <v>Beverlo</v>
    <v>120</v>
    <v>Onderhoud Beverlo</v>
    <v>152</v>
    <v>2079</v>
    <v>2079</v>
    <v>Lage vloer streek</v>
    <v>12-m bus</v>
    <v>Bus</v>
  </rv>
  <rv s="0">
    <v>0</v>
    <v>2080</v>
    <v>1</v>
    <v>Generic</v>
    <v>221A</v>
    <v>Euro6</v>
    <v>1</v>
    <v>42814</v>
    <v>45175</v>
    <v>Limburg</v>
    <v>4</v>
    <v>J</v>
    <v>J</v>
    <v>J</v>
    <v>J</v>
    <v>J</v>
    <v>6</v>
    <v>Beverlo</v>
    <v>120</v>
    <v>Onderhoud Beverlo</v>
    <v>152</v>
    <v>2080</v>
    <v>2080</v>
    <v>Lage vloer streek</v>
    <v>12-m bus</v>
    <v>Bus</v>
  </rv>
  <rv s="0">
    <v>0</v>
    <v>2081</v>
    <v>1</v>
    <v>Generic</v>
    <v>221A</v>
    <v>Euro6</v>
    <v>1</v>
    <v>42814</v>
    <v>45175</v>
    <v>Limburg</v>
    <v>4</v>
    <v>J</v>
    <v>J</v>
    <v>J</v>
    <v>J</v>
    <v>J</v>
    <v>6</v>
    <v>Beverlo</v>
    <v>120</v>
    <v>Onderhoud Beverlo</v>
    <v>152</v>
    <v>2081</v>
    <v>2081</v>
    <v>Lage vloer streek</v>
    <v>12-m bus</v>
    <v>Bus</v>
  </rv>
  <rv s="0">
    <v>0</v>
    <v>2082</v>
    <v>1</v>
    <v>Generic</v>
    <v>221A</v>
    <v>Euro6</v>
    <v>1</v>
    <v>42821</v>
    <v>45175</v>
    <v>Limburg</v>
    <v>4</v>
    <v>J</v>
    <v>J</v>
    <v>J</v>
    <v>J</v>
    <v>J</v>
    <v>6</v>
    <v>Beverlo</v>
    <v>120</v>
    <v>Onderhoud Beverlo</v>
    <v>152</v>
    <v>2082</v>
    <v>2082</v>
    <v>Lage vloer streek</v>
    <v>12-m bus</v>
    <v>Bus</v>
  </rv>
  <rv s="0">
    <v>0</v>
    <v>2083</v>
    <v>1</v>
    <v>Generic</v>
    <v>221A</v>
    <v>Euro6</v>
    <v>1</v>
    <v>42821</v>
    <v>45175</v>
    <v>Limburg</v>
    <v>4</v>
    <v>J</v>
    <v>J</v>
    <v>J</v>
    <v>J</v>
    <v>J</v>
    <v>6</v>
    <v>Beverlo</v>
    <v>120</v>
    <v>Onderhoud Beverlo</v>
    <v>152</v>
    <v>2083</v>
    <v>2083</v>
    <v>Lage vloer streek</v>
    <v>12-m bus</v>
    <v>Bus</v>
  </rv>
  <rv s="0">
    <v>0</v>
    <v>2084</v>
    <v>1</v>
    <v>Generic</v>
    <v>221A</v>
    <v>Euro6</v>
    <v>1</v>
    <v>42826</v>
    <v>45175</v>
    <v>Limburg</v>
    <v>4</v>
    <v>J</v>
    <v>J</v>
    <v>J</v>
    <v>J</v>
    <v>J</v>
    <v>6</v>
    <v>Beverlo</v>
    <v>120</v>
    <v>Onderhoud Beverlo</v>
    <v>152</v>
    <v>2084</v>
    <v>2084</v>
    <v>Lage vloer streek</v>
    <v>12-m bus</v>
    <v>Bus</v>
  </rv>
  <rv s="0">
    <v>0</v>
    <v>2085</v>
    <v>1</v>
    <v>Generic</v>
    <v>221A</v>
    <v>Euro6</v>
    <v>1</v>
    <v>42860</v>
    <v>45175</v>
    <v>Limburg</v>
    <v>4</v>
    <v>J</v>
    <v>J</v>
    <v>J</v>
    <v>J</v>
    <v>J</v>
    <v>6</v>
    <v>Beverlo</v>
    <v>120</v>
    <v>Onderhoud Beverlo</v>
    <v>152</v>
    <v>2085</v>
    <v>2085</v>
    <v>Lage vloer streek</v>
    <v>12-m bus</v>
    <v>Bus</v>
  </rv>
  <rv s="0">
    <v>0</v>
    <v>2086</v>
    <v>1</v>
    <v>Generic</v>
    <v>221A</v>
    <v>Euro6</v>
    <v>1</v>
    <v>42814</v>
    <v>45175</v>
    <v>Limburg</v>
    <v>4</v>
    <v>J</v>
    <v>J</v>
    <v>J</v>
    <v>J</v>
    <v>J</v>
    <v>6</v>
    <v>De Crutzen</v>
    <v>128</v>
    <v>Onderhoud De Crutzen</v>
    <v>155</v>
    <v>2086</v>
    <v>2086</v>
    <v>Lage vloer streek</v>
    <v>12-m bus</v>
    <v>Bus</v>
  </rv>
  <rv s="0">
    <v>0</v>
    <v>2087</v>
    <v>1</v>
    <v>Generic</v>
    <v>221A</v>
    <v>Euro6</v>
    <v>1</v>
    <v>42830</v>
    <v>45175</v>
    <v>Limburg</v>
    <v>4</v>
    <v>J</v>
    <v>J</v>
    <v>J</v>
    <v>J</v>
    <v>J</v>
    <v>6</v>
    <v>De Crutzen</v>
    <v>128</v>
    <v>Onderhoud De Crutzen</v>
    <v>155</v>
    <v>2087</v>
    <v>2087</v>
    <v>Lage vloer streek</v>
    <v>12-m bus</v>
    <v>Bus</v>
  </rv>
  <rv s="0">
    <v>0</v>
    <v>2088</v>
    <v>1</v>
    <v>Generic</v>
    <v>221A</v>
    <v>Euro6</v>
    <v>1</v>
    <v>42783</v>
    <v>45175</v>
    <v>Limburg</v>
    <v>4</v>
    <v>J</v>
    <v>J</v>
    <v>J</v>
    <v>J</v>
    <v>J</v>
    <v>7</v>
    <v>De Crutzen</v>
    <v>128</v>
    <v>Onderhoud De Crutzen</v>
    <v>155</v>
    <v>2088</v>
    <v>2088</v>
    <v>Lage vloer streek</v>
    <v>12-m bus</v>
    <v>Bus</v>
  </rv>
  <rv s="0">
    <v>0</v>
    <v>2089</v>
    <v>1</v>
    <v>Generic</v>
    <v>221A</v>
    <v>Euro6</v>
    <v>1</v>
    <v>42812</v>
    <v>45175</v>
    <v>Limburg</v>
    <v>4</v>
    <v>J</v>
    <v>J</v>
    <v>J</v>
    <v>J</v>
    <v>J</v>
    <v>6</v>
    <v>De Crutzen</v>
    <v>128</v>
    <v>Onderhoud De Crutzen</v>
    <v>155</v>
    <v>2089</v>
    <v>2089</v>
    <v>Lage vloer streek</v>
    <v>12-m bus</v>
    <v>Bus</v>
  </rv>
  <rv s="0">
    <v>0</v>
    <v>2090</v>
    <v>1</v>
    <v>Generic</v>
    <v>221A</v>
    <v>Euro6</v>
    <v>1</v>
    <v>42830</v>
    <v>45175</v>
    <v>Limburg</v>
    <v>4</v>
    <v>J</v>
    <v>J</v>
    <v>J</v>
    <v>J</v>
    <v>J</v>
    <v>6</v>
    <v>De Crutzen</v>
    <v>128</v>
    <v>Onderhoud De Crutzen</v>
    <v>155</v>
    <v>2090</v>
    <v>2090</v>
    <v>Lage vloer streek</v>
    <v>12-m bus</v>
    <v>Bus</v>
  </rv>
  <rv s="0">
    <v>0</v>
    <v>2091</v>
    <v>1</v>
    <v>Generic</v>
    <v>221A</v>
    <v>Euro6</v>
    <v>1</v>
    <v>42830</v>
    <v>45175</v>
    <v>Limburg</v>
    <v>4</v>
    <v>J</v>
    <v>J</v>
    <v>J</v>
    <v>J</v>
    <v>J</v>
    <v>6</v>
    <v>De Crutzen</v>
    <v>128</v>
    <v>Onderhoud De Crutzen</v>
    <v>155</v>
    <v>2091</v>
    <v>2091</v>
    <v>Lage vloer streek</v>
    <v>12-m bus</v>
    <v>Bus</v>
  </rv>
  <rv s="0">
    <v>0</v>
    <v>2092</v>
    <v>1</v>
    <v>Generic</v>
    <v>221A</v>
    <v>Euro6</v>
    <v>1</v>
    <v>42830</v>
    <v>45175</v>
    <v>Limburg</v>
    <v>4</v>
    <v>J</v>
    <v>J</v>
    <v>J</v>
    <v>J</v>
    <v>J</v>
    <v>6</v>
    <v>De Crutzen</v>
    <v>128</v>
    <v>Onderhoud De Crutzen</v>
    <v>155</v>
    <v>2092</v>
    <v>2092</v>
    <v>Lage vloer streek</v>
    <v>12-m bus</v>
    <v>Bus</v>
  </rv>
  <rv s="0">
    <v>0</v>
    <v>2093</v>
    <v>1</v>
    <v>Generic</v>
    <v>221A</v>
    <v>Euro6</v>
    <v>1</v>
    <v>42830</v>
    <v>45175</v>
    <v>Limburg</v>
    <v>4</v>
    <v>J</v>
    <v>J</v>
    <v>J</v>
    <v>J</v>
    <v>J</v>
    <v>6</v>
    <v>De Crutzen</v>
    <v>128</v>
    <v>Onderhoud De Crutzen</v>
    <v>155</v>
    <v>2093</v>
    <v>2093</v>
    <v>Lage vloer streek</v>
    <v>12-m bus</v>
    <v>Bus</v>
  </rv>
  <rv s="0">
    <v>0</v>
    <v>2094</v>
    <v>1</v>
    <v>Generic</v>
    <v>221A</v>
    <v>Euro6</v>
    <v>1</v>
    <v>42860</v>
    <v>45175</v>
    <v>Limburg</v>
    <v>4</v>
    <v>J</v>
    <v>J</v>
    <v>J</v>
    <v>J</v>
    <v>J</v>
    <v>6</v>
    <v>De Crutzen</v>
    <v>128</v>
    <v>Onderhoud De Crutzen</v>
    <v>155</v>
    <v>2094</v>
    <v>2094</v>
    <v>Lage vloer streek</v>
    <v>12-m bus</v>
    <v>Bus</v>
  </rv>
  <rv s="0">
    <v>0</v>
    <v>2095</v>
    <v>1</v>
    <v>Generic</v>
    <v>221A</v>
    <v>Euro6</v>
    <v>1</v>
    <v>42859</v>
    <v>45175</v>
    <v>Limburg</v>
    <v>4</v>
    <v>J</v>
    <v>J</v>
    <v>J</v>
    <v>J</v>
    <v>J</v>
    <v>6</v>
    <v>De Crutzen</v>
    <v>128</v>
    <v>Onderhoud De Crutzen</v>
    <v>155</v>
    <v>2095</v>
    <v>2095</v>
    <v>Lage vloer streek</v>
    <v>12-m bus</v>
    <v>Bus</v>
  </rv>
  <rv s="0">
    <v>0</v>
    <v>2096</v>
    <v>1</v>
    <v>Generic</v>
    <v>221A</v>
    <v>Euro6</v>
    <v>1</v>
    <v>42859</v>
    <v>45175</v>
    <v>Limburg</v>
    <v>4</v>
    <v>J</v>
    <v>J</v>
    <v>J</v>
    <v>J</v>
    <v>J</v>
    <v>6</v>
    <v>De Crutzen</v>
    <v>128</v>
    <v>Onderhoud De Crutzen</v>
    <v>155</v>
    <v>2096</v>
    <v>2096</v>
    <v>Lage vloer streek</v>
    <v>12-m bus</v>
    <v>Bus</v>
  </rv>
  <rv s="0">
    <v>0</v>
    <v>2097</v>
    <v>1</v>
    <v>Generic</v>
    <v>221A</v>
    <v>Euro6</v>
    <v>1</v>
    <v>43082</v>
    <v>45175</v>
    <v>Limburg</v>
    <v>4</v>
    <v>J</v>
    <v>J</v>
    <v>J</v>
    <v>J</v>
    <v>J</v>
    <v>6</v>
    <v>De Crutzen</v>
    <v>128</v>
    <v>Onderhoud De Crutzen</v>
    <v>155</v>
    <v>2097</v>
    <v>2097</v>
    <v>Lage vloer streek</v>
    <v>12-m bus</v>
    <v>Bus</v>
  </rv>
  <rv s="0">
    <v>0</v>
    <v>2098</v>
    <v>1</v>
    <v>Generic</v>
    <v>221A</v>
    <v>Euro6</v>
    <v>1</v>
    <v>43008</v>
    <v>45175</v>
    <v>Limburg</v>
    <v>4</v>
    <v>J</v>
    <v>J</v>
    <v>J</v>
    <v>J</v>
    <v>J</v>
    <v>6</v>
    <v>De Crutzen</v>
    <v>128</v>
    <v>Onderhoud De Crutzen</v>
    <v>155</v>
    <v>2098</v>
    <v>2098</v>
    <v>Lage vloer streek</v>
    <v>12-m bus</v>
    <v>Bus</v>
  </rv>
  <rv s="0">
    <v>0</v>
    <v>2099</v>
    <v>1</v>
    <v>Generic</v>
    <v>221A</v>
    <v>Euro6</v>
    <v>1</v>
    <v>42992</v>
    <v>45175</v>
    <v>Limburg</v>
    <v>4</v>
    <v>J</v>
    <v>J</v>
    <v>J</v>
    <v>J</v>
    <v>J</v>
    <v>6</v>
    <v>De Crutzen</v>
    <v>128</v>
    <v>Onderhoud De Crutzen</v>
    <v>155</v>
    <v>2099</v>
    <v>2099</v>
    <v>Lage vloer streek</v>
    <v>12-m bus</v>
    <v>Bus</v>
  </rv>
  <rv s="0">
    <v>0</v>
    <v>2100</v>
    <v>1</v>
    <v>Generic</v>
    <v>221A</v>
    <v>Euro6</v>
    <v>1</v>
    <v>42992</v>
    <v>45175</v>
    <v>Limburg</v>
    <v>4</v>
    <v>J</v>
    <v>J</v>
    <v>J</v>
    <v>J</v>
    <v>J</v>
    <v>6</v>
    <v>De Crutzen</v>
    <v>128</v>
    <v>Onderhoud De Crutzen</v>
    <v>155</v>
    <v>2100</v>
    <v>2100</v>
    <v>Lage vloer streek</v>
    <v>12-m bus</v>
    <v>Bus</v>
  </rv>
  <rv s="0">
    <v>0</v>
    <v>2101</v>
    <v>1</v>
    <v>Generic</v>
    <v>221A</v>
    <v>Euro6</v>
    <v>1</v>
    <v>42992</v>
    <v>45175</v>
    <v>Limburg</v>
    <v>4</v>
    <v>J</v>
    <v>J</v>
    <v>J</v>
    <v>J</v>
    <v>J</v>
    <v>6</v>
    <v>De Crutzen</v>
    <v>128</v>
    <v>Onderhoud De Crutzen</v>
    <v>155</v>
    <v>2101</v>
    <v>2101</v>
    <v>Lage vloer streek</v>
    <v>12-m bus</v>
    <v>Bus</v>
  </rv>
  <rv s="0">
    <v>0</v>
    <v>2102</v>
    <v>1</v>
    <v>Generic</v>
    <v>221A</v>
    <v>Euro6</v>
    <v>1</v>
    <v>42992</v>
    <v>45175</v>
    <v>Limburg</v>
    <v>4</v>
    <v>J</v>
    <v>J</v>
    <v>J</v>
    <v>J</v>
    <v>J</v>
    <v>6</v>
    <v>De Crutzen</v>
    <v>128</v>
    <v>Onderhoud De Crutzen</v>
    <v>155</v>
    <v>2102</v>
    <v>2102</v>
    <v>Lage vloer streek</v>
    <v>12-m bus</v>
    <v>Bus</v>
  </rv>
  <rv s="0">
    <v>0</v>
    <v>2103</v>
    <v>1</v>
    <v>Generic</v>
    <v>221A</v>
    <v>Euro6</v>
    <v>1</v>
    <v>42992</v>
    <v>45175</v>
    <v>Limburg</v>
    <v>4</v>
    <v>J</v>
    <v>J</v>
    <v>J</v>
    <v>J</v>
    <v>J</v>
    <v>6</v>
    <v>De Crutzen</v>
    <v>128</v>
    <v>Onderhoud De Crutzen</v>
    <v>155</v>
    <v>2103</v>
    <v>2103</v>
    <v>Lage vloer streek</v>
    <v>12-m bus</v>
    <v>Bus</v>
  </rv>
  <rv s="0">
    <v>0</v>
    <v>2104</v>
    <v>1</v>
    <v>Generic</v>
    <v>221A</v>
    <v>Euro6</v>
    <v>1</v>
    <v>43010</v>
    <v>45175</v>
    <v>Antwerpen</v>
    <v>1</v>
    <v>J</v>
    <v>J</v>
    <v>J</v>
    <v>J</v>
    <v>J</v>
    <v>6</v>
    <v>Mechelen Racing</v>
    <v>115</v>
    <v>Onderhoud Mechelen</v>
    <v>144</v>
    <v>2104</v>
    <v>2104</v>
    <v>Lage vloer streek</v>
    <v>12-m bus</v>
    <v>Bus</v>
  </rv>
  <rv s="0">
    <v>0</v>
    <v>2105</v>
    <v>1</v>
    <v>Generic</v>
    <v>221A</v>
    <v>Euro6</v>
    <v>1</v>
    <v>42992</v>
    <v>45175</v>
    <v>Limburg</v>
    <v>4</v>
    <v>J</v>
    <v>J</v>
    <v>J</v>
    <v>J</v>
    <v>J</v>
    <v>6</v>
    <v>De Crutzen</v>
    <v>128</v>
    <v>Onderhoud De Crutzen</v>
    <v>155</v>
    <v>2105</v>
    <v>2105</v>
    <v>Lage vloer streek</v>
    <v>12-m bus</v>
    <v>Bus</v>
  </rv>
  <rv s="0">
    <v>0</v>
    <v>2106</v>
    <v>1</v>
    <v>Generic</v>
    <v>221A</v>
    <v>Euro6</v>
    <v>1</v>
    <v>43008</v>
    <v>45175</v>
    <v>Limburg</v>
    <v>4</v>
    <v>J</v>
    <v>J</v>
    <v>J</v>
    <v>J</v>
    <v>J</v>
    <v>6</v>
    <v>De Crutzen</v>
    <v>128</v>
    <v>Onderhoud De Crutzen</v>
    <v>155</v>
    <v>2106</v>
    <v>2106</v>
    <v>Lage vloer streek</v>
    <v>12-m bus</v>
    <v>Bus</v>
  </rv>
  <rv s="0">
    <v>0</v>
    <v>2107</v>
    <v>1</v>
    <v>Generic</v>
    <v>221A</v>
    <v>Euro6</v>
    <v>1</v>
    <v>42992</v>
    <v>45175</v>
    <v>Limburg</v>
    <v>4</v>
    <v>J</v>
    <v>J</v>
    <v>J</v>
    <v>J</v>
    <v>J</v>
    <v>6</v>
    <v>De Crutzen</v>
    <v>128</v>
    <v>Onderhoud De Crutzen</v>
    <v>155</v>
    <v>2107</v>
    <v>2107</v>
    <v>Lage vloer streek</v>
    <v>12-m bus</v>
    <v>Bus</v>
  </rv>
  <rv s="0">
    <v>0</v>
    <v>2108</v>
    <v>1</v>
    <v>Generic</v>
    <v>221A</v>
    <v>Euro6</v>
    <v>1</v>
    <v>43010</v>
    <v>45175</v>
    <v>Limburg</v>
    <v>4</v>
    <v>J</v>
    <v>J</v>
    <v>J</v>
    <v>J</v>
    <v>J</v>
    <v>6</v>
    <v>De Crutzen</v>
    <v>128</v>
    <v>Onderhoud De Crutzen</v>
    <v>155</v>
    <v>2108</v>
    <v>2108</v>
    <v>Lage vloer streek</v>
    <v>12-m bus</v>
    <v>Bus</v>
  </rv>
  <rv s="0">
    <v>0</v>
    <v>2109</v>
    <v>1</v>
    <v>Generic</v>
    <v>221A</v>
    <v>Euro6</v>
    <v>1</v>
    <v>43013</v>
    <v>45175</v>
    <v>Limburg</v>
    <v>4</v>
    <v>J</v>
    <v>J</v>
    <v>J</v>
    <v>J</v>
    <v>J</v>
    <v>6</v>
    <v>De Crutzen</v>
    <v>128</v>
    <v>Onderhoud De Crutzen</v>
    <v>155</v>
    <v>2109</v>
    <v>2109</v>
    <v>Lage vloer streek</v>
    <v>12-m bus</v>
    <v>Bus</v>
  </rv>
  <rv s="0">
    <v>0</v>
    <v>2110</v>
    <v>1</v>
    <v>Generic</v>
    <v>221A</v>
    <v>Euro6</v>
    <v>1</v>
    <v>43010</v>
    <v>45175</v>
    <v>Limburg</v>
    <v>4</v>
    <v>J</v>
    <v>J</v>
    <v>J</v>
    <v>J</v>
    <v>J</v>
    <v>6</v>
    <v>De Crutzen</v>
    <v>128</v>
    <v>Onderhoud De Crutzen</v>
    <v>155</v>
    <v>2110</v>
    <v>2110</v>
    <v>Lage vloer streek</v>
    <v>12-m bus</v>
    <v>Bus</v>
  </rv>
  <rv s="0">
    <v>0</v>
    <v>2112</v>
    <v>1</v>
    <v>Generic</v>
    <v>221A</v>
    <v>Euro6</v>
    <v>1</v>
    <v>43013</v>
    <v>45175</v>
    <v>Antwerpen</v>
    <v>1</v>
    <v>J</v>
    <v>J</v>
    <v>J</v>
    <v>J</v>
    <v>J</v>
    <v>6</v>
    <v>Onbekend</v>
    <v>#</v>
    <v>Onbekend</v>
    <v>#</v>
    <v>2112</v>
    <v>2112</v>
    <v>Lage vloer streek</v>
    <v>12-m bus</v>
    <v>Bus</v>
  </rv>
  <rv s="0">
    <v>0</v>
    <v>2113</v>
    <v>1</v>
    <v>Generic</v>
    <v>221A</v>
    <v>Euro6</v>
    <v>1</v>
    <v>43013</v>
    <v>45175</v>
    <v>Antwerpen</v>
    <v>1</v>
    <v>J</v>
    <v>J</v>
    <v>J</v>
    <v>J</v>
    <v>J</v>
    <v>6</v>
    <v>Onbekend</v>
    <v>#</v>
    <v>Onbekend</v>
    <v>#</v>
    <v>2113</v>
    <v>2113</v>
    <v>Lage vloer streek</v>
    <v>12-m bus</v>
    <v>Bus</v>
  </rv>
  <rv s="0">
    <v>0</v>
    <v>2114</v>
    <v>1</v>
    <v>Generic</v>
    <v>221A</v>
    <v>Euro6</v>
    <v>1</v>
    <v>43013</v>
    <v>45175</v>
    <v>Antwerpen</v>
    <v>1</v>
    <v>J</v>
    <v>J</v>
    <v>J</v>
    <v>J</v>
    <v>J</v>
    <v>6</v>
    <v>Mechelen Racing</v>
    <v>115</v>
    <v>Onderhoud Mechelen</v>
    <v>144</v>
    <v>2114</v>
    <v>2114</v>
    <v>Lage vloer streek</v>
    <v>12-m bus</v>
    <v>Bus</v>
  </rv>
  <rv s="0">
    <v>0</v>
    <v>2115</v>
    <v>1</v>
    <v>Generic</v>
    <v>221A</v>
    <v>Euro6</v>
    <v>1</v>
    <v>43025</v>
    <v>45175</v>
    <v>Limburg</v>
    <v>4</v>
    <v>J</v>
    <v>J</v>
    <v>J</v>
    <v>J</v>
    <v>J</v>
    <v>6</v>
    <v>De Crutzen</v>
    <v>128</v>
    <v>Onderhoud De Crutzen</v>
    <v>155</v>
    <v>2115</v>
    <v>2115</v>
    <v>Lage vloer streek</v>
    <v>12-m bus</v>
    <v>Bus</v>
  </rv>
  <rv s="0">
    <v>0</v>
    <v>2116</v>
    <v>1</v>
    <v>Generic</v>
    <v>221A</v>
    <v>Euro6</v>
    <v>1</v>
    <v>43025</v>
    <v>45175</v>
    <v>Limburg</v>
    <v>4</v>
    <v>J</v>
    <v>J</v>
    <v>J</v>
    <v>J</v>
    <v>J</v>
    <v>6</v>
    <v>De Crutzen</v>
    <v>128</v>
    <v>Onderhoud De Crutzen</v>
    <v>155</v>
    <v>2116</v>
    <v>2116</v>
    <v>Lage vloer streek</v>
    <v>12-m bus</v>
    <v>Bus</v>
  </rv>
  <rv s="0">
    <v>0</v>
    <v>2117</v>
    <v>1</v>
    <v>Generic</v>
    <v>221A</v>
    <v>Euro6</v>
    <v>1</v>
    <v>43025</v>
    <v>45175</v>
    <v>Limburg</v>
    <v>4</v>
    <v>J</v>
    <v>J</v>
    <v>J</v>
    <v>J</v>
    <v>J</v>
    <v>6</v>
    <v>De Crutzen</v>
    <v>128</v>
    <v>Onderhoud De Crutzen</v>
    <v>155</v>
    <v>2117</v>
    <v>2117</v>
    <v>Lage vloer streek</v>
    <v>12-m bus</v>
    <v>Bus</v>
  </rv>
  <rv s="0">
    <v>0</v>
    <v>2118</v>
    <v>1</v>
    <v>Generic</v>
    <v>221A</v>
    <v>Euro6</v>
    <v>1</v>
    <v>43025</v>
    <v>45175</v>
    <v>Limburg</v>
    <v>4</v>
    <v>J</v>
    <v>J</v>
    <v>J</v>
    <v>J</v>
    <v>J</v>
    <v>6</v>
    <v>De Crutzen</v>
    <v>128</v>
    <v>Onderhoud De Crutzen</v>
    <v>155</v>
    <v>2118</v>
    <v>2118</v>
    <v>Lage vloer streek</v>
    <v>12-m bus</v>
    <v>Bus</v>
  </rv>
  <rv s="0">
    <v>0</v>
    <v>2119</v>
    <v>1</v>
    <v>Generic</v>
    <v>221A</v>
    <v>Euro6</v>
    <v>1</v>
    <v>43025</v>
    <v>45175</v>
    <v>Limburg</v>
    <v>4</v>
    <v>J</v>
    <v>J</v>
    <v>J</v>
    <v>J</v>
    <v>J</v>
    <v>6</v>
    <v>De Crutzen</v>
    <v>128</v>
    <v>Onderhoud De Crutzen</v>
    <v>155</v>
    <v>2119</v>
    <v>2119</v>
    <v>Lage vloer streek</v>
    <v>12-m bus</v>
    <v>Bus</v>
  </rv>
  <rv s="0">
    <v>0</v>
    <v>2120</v>
    <v>1</v>
    <v>Generic</v>
    <v>221A</v>
    <v>Euro6</v>
    <v>1</v>
    <v>43034</v>
    <v>45175</v>
    <v>Limburg</v>
    <v>4</v>
    <v>J</v>
    <v>J</v>
    <v>J</v>
    <v>J</v>
    <v>J</v>
    <v>6</v>
    <v>De Crutzen</v>
    <v>128</v>
    <v>Onderhoud De Crutzen</v>
    <v>155</v>
    <v>2120</v>
    <v>2120</v>
    <v>Lage vloer streek</v>
    <v>12-m bus</v>
    <v>Bus</v>
  </rv>
  <rv s="0">
    <v>0</v>
    <v>2121</v>
    <v>1</v>
    <v>Generic</v>
    <v>221A</v>
    <v>Euro6</v>
    <v>1</v>
    <v>43025</v>
    <v>45175</v>
    <v>Limburg</v>
    <v>4</v>
    <v>J</v>
    <v>J</v>
    <v>J</v>
    <v>J</v>
    <v>J</v>
    <v>6</v>
    <v>De Crutzen</v>
    <v>128</v>
    <v>Onderhoud De Crutzen</v>
    <v>155</v>
    <v>2121</v>
    <v>2121</v>
    <v>Lage vloer streek</v>
    <v>12-m bus</v>
    <v>Bus</v>
  </rv>
  <rv s="0">
    <v>0</v>
    <v>2122</v>
    <v>1</v>
    <v>Generic</v>
    <v>221A</v>
    <v>Euro6</v>
    <v>1</v>
    <v>43025</v>
    <v>45175</v>
    <v>Limburg</v>
    <v>4</v>
    <v>J</v>
    <v>J</v>
    <v>J</v>
    <v>J</v>
    <v>J</v>
    <v>6</v>
    <v>De Crutzen</v>
    <v>128</v>
    <v>Onderhoud De Crutzen</v>
    <v>155</v>
    <v>2122</v>
    <v>2122</v>
    <v>Lage vloer streek</v>
    <v>12-m bus</v>
    <v>Bus</v>
  </rv>
  <rv s="0">
    <v>0</v>
    <v>2123</v>
    <v>1</v>
    <v>Generic</v>
    <v>221A</v>
    <v>Euro6</v>
    <v>1</v>
    <v>43025</v>
    <v>45175</v>
    <v>Limburg</v>
    <v>4</v>
    <v>J</v>
    <v>J</v>
    <v>J</v>
    <v>J</v>
    <v>J</v>
    <v>6</v>
    <v>De Crutzen</v>
    <v>128</v>
    <v>Onderhoud De Crutzen</v>
    <v>155</v>
    <v>2123</v>
    <v>2123</v>
    <v>Lage vloer streek</v>
    <v>12-m bus</v>
    <v>Bus</v>
  </rv>
  <rv s="0">
    <v>0</v>
    <v>2124</v>
    <v>1</v>
    <v>Generic</v>
    <v>221A</v>
    <v>Euro6</v>
    <v>1</v>
    <v>43174</v>
    <v>45175</v>
    <v>Limburg</v>
    <v>4</v>
    <v>J</v>
    <v>J</v>
    <v>J</v>
    <v>J</v>
    <v>J</v>
    <v>6</v>
    <v>De Crutzen</v>
    <v>128</v>
    <v>Onderhoud De Crutzen</v>
    <v>155</v>
    <v>2124</v>
    <v>2124</v>
    <v>Lage vloer streek</v>
    <v>12-m bus</v>
    <v>Bus</v>
  </rv>
  <rv s="0">
    <v>0</v>
    <v>2125</v>
    <v>1</v>
    <v>Generic</v>
    <v>221A</v>
    <v>Euro6</v>
    <v>1</v>
    <v>43025</v>
    <v>45175</v>
    <v>Limburg</v>
    <v>4</v>
    <v>J</v>
    <v>J</v>
    <v>J</v>
    <v>J</v>
    <v>J</v>
    <v>6</v>
    <v>De Crutzen</v>
    <v>128</v>
    <v>Onderhoud De Crutzen</v>
    <v>155</v>
    <v>2125</v>
    <v>2125</v>
    <v>Lage vloer streek</v>
    <v>12-m bus</v>
    <v>Bus</v>
  </rv>
  <rv s="0">
    <v>0</v>
    <v>2126</v>
    <v>1</v>
    <v>Generic</v>
    <v>221A</v>
    <v>Euro6</v>
    <v>1</v>
    <v>43034</v>
    <v>45175</v>
    <v>Limburg</v>
    <v>4</v>
    <v>J</v>
    <v>J</v>
    <v>J</v>
    <v>J</v>
    <v>J</v>
    <v>6</v>
    <v>De Crutzen</v>
    <v>128</v>
    <v>Onderhoud De Crutzen</v>
    <v>155</v>
    <v>2126</v>
    <v>2126</v>
    <v>Lage vloer streek</v>
    <v>12-m bus</v>
    <v>Bus</v>
  </rv>
  <rv s="0">
    <v>0</v>
    <v>2127</v>
    <v>1</v>
    <v>Generic</v>
    <v>221A</v>
    <v>Euro6</v>
    <v>1</v>
    <v>43025</v>
    <v>45175</v>
    <v>Limburg</v>
    <v>4</v>
    <v>J</v>
    <v>J</v>
    <v>J</v>
    <v>J</v>
    <v>J</v>
    <v>6</v>
    <v>De Crutzen</v>
    <v>128</v>
    <v>Onderhoud De Crutzen</v>
    <v>155</v>
    <v>2127</v>
    <v>2127</v>
    <v>Lage vloer streek</v>
    <v>12-m bus</v>
    <v>Bus</v>
  </rv>
  <rv s="0">
    <v>0</v>
    <v>2128</v>
    <v>1</v>
    <v>Generic</v>
    <v>221A</v>
    <v>Euro6</v>
    <v>1</v>
    <v>43034</v>
    <v>45175</v>
    <v>Limburg</v>
    <v>4</v>
    <v>J</v>
    <v>J</v>
    <v>J</v>
    <v>J</v>
    <v>J</v>
    <v>6</v>
    <v>De Crutzen</v>
    <v>128</v>
    <v>Onderhoud De Crutzen</v>
    <v>155</v>
    <v>2128</v>
    <v>2128</v>
    <v>Lage vloer streek</v>
    <v>12-m bus</v>
    <v>Bus</v>
  </rv>
  <rv s="0">
    <v>0</v>
    <v>2129</v>
    <v>1</v>
    <v>Generic</v>
    <v>221A</v>
    <v>Euro6</v>
    <v>1</v>
    <v>43034</v>
    <v>45175</v>
    <v>Limburg</v>
    <v>4</v>
    <v>J</v>
    <v>J</v>
    <v>J</v>
    <v>J</v>
    <v>J</v>
    <v>6</v>
    <v>De Crutzen</v>
    <v>128</v>
    <v>Onderhoud De Crutzen</v>
    <v>155</v>
    <v>2129</v>
    <v>2129</v>
    <v>Lage vloer streek</v>
    <v>12-m bus</v>
    <v>Bus</v>
  </rv>
  <rv s="0">
    <v>0</v>
    <v>2130</v>
    <v>1</v>
    <v>Generic</v>
    <v>221A</v>
    <v>Euro6</v>
    <v>1</v>
    <v>43034</v>
    <v>45175</v>
    <v>Limburg</v>
    <v>4</v>
    <v>J</v>
    <v>J</v>
    <v>J</v>
    <v>J</v>
    <v>J</v>
    <v>6</v>
    <v>Beverlo</v>
    <v>120</v>
    <v>Onderhoud Beverlo</v>
    <v>152</v>
    <v>2130</v>
    <v>2130</v>
    <v>Lage vloer streek</v>
    <v>12-m bus</v>
    <v>Bus</v>
  </rv>
  <rv s="0">
    <v>0</v>
    <v>2131</v>
    <v>1</v>
    <v>Generic</v>
    <v>221A</v>
    <v>Euro6</v>
    <v>1</v>
    <v>43059</v>
    <v>45175</v>
    <v>Limburg</v>
    <v>4</v>
    <v>J</v>
    <v>J</v>
    <v>J</v>
    <v>J</v>
    <v>J</v>
    <v>6</v>
    <v>Beverlo</v>
    <v>120</v>
    <v>Onderhoud Beverlo</v>
    <v>152</v>
    <v>2131</v>
    <v>2131</v>
    <v>Lage vloer streek</v>
    <v>12-m bus</v>
    <v>Bus</v>
  </rv>
  <rv s="0">
    <v>0</v>
    <v>2132</v>
    <v>1</v>
    <v>Generic</v>
    <v>221A</v>
    <v>Euro6</v>
    <v>1</v>
    <v>43059</v>
    <v>45175</v>
    <v>Limburg</v>
    <v>4</v>
    <v>J</v>
    <v>J</v>
    <v>J</v>
    <v>J</v>
    <v>J</v>
    <v>6</v>
    <v>Beverlo</v>
    <v>120</v>
    <v>Onderhoud Beverlo</v>
    <v>152</v>
    <v>2132</v>
    <v>2132</v>
    <v>Lage vloer streek</v>
    <v>12-m bus</v>
    <v>Bus</v>
  </rv>
  <rv s="0">
    <v>0</v>
    <v>2133</v>
    <v>1</v>
    <v>Generic</v>
    <v>221A</v>
    <v>Euro6</v>
    <v>1</v>
    <v>43053</v>
    <v>45175</v>
    <v>Limburg</v>
    <v>4</v>
    <v>J</v>
    <v>J</v>
    <v>J</v>
    <v>J</v>
    <v>J</v>
    <v>6</v>
    <v>Beverlo</v>
    <v>120</v>
    <v>Onderhoud Beverlo</v>
    <v>152</v>
    <v>2133</v>
    <v>2133</v>
    <v>Lage vloer streek</v>
    <v>12-m bus</v>
    <v>Bus</v>
  </rv>
  <rv s="0">
    <v>0</v>
    <v>2134</v>
    <v>1</v>
    <v>Generic</v>
    <v>221A</v>
    <v>Euro6</v>
    <v>1</v>
    <v>43090</v>
    <v>45175</v>
    <v>Limburg</v>
    <v>4</v>
    <v>J</v>
    <v>J</v>
    <v>J</v>
    <v>J</v>
    <v>J</v>
    <v>6</v>
    <v>Beverlo</v>
    <v>120</v>
    <v>Onderhoud Beverlo</v>
    <v>152</v>
    <v>2134</v>
    <v>2134</v>
    <v>Lage vloer streek</v>
    <v>12-m bus</v>
    <v>Bus</v>
  </rv>
  <rv s="0">
    <v>0</v>
    <v>2135</v>
    <v>1</v>
    <v>Generic</v>
    <v>221A</v>
    <v>Euro6</v>
    <v>1</v>
    <v>43054</v>
    <v>45175</v>
    <v>Limburg</v>
    <v>4</v>
    <v>J</v>
    <v>J</v>
    <v>J</v>
    <v>J</v>
    <v>J</v>
    <v>6</v>
    <v>Beverlo</v>
    <v>120</v>
    <v>Onderhoud Beverlo</v>
    <v>152</v>
    <v>2135</v>
    <v>2135</v>
    <v>Lage vloer streek</v>
    <v>12-m bus</v>
    <v>Bus</v>
  </rv>
  <rv s="0">
    <v>0</v>
    <v>2136</v>
    <v>1</v>
    <v>Generic</v>
    <v>221A</v>
    <v>Euro6</v>
    <v>1</v>
    <v>43082</v>
    <v>45175</v>
    <v>Limburg</v>
    <v>4</v>
    <v>J</v>
    <v>J</v>
    <v>J</v>
    <v>J</v>
    <v>J</v>
    <v>6</v>
    <v>Beverlo</v>
    <v>120</v>
    <v>Onderhoud Beverlo</v>
    <v>152</v>
    <v>2136</v>
    <v>2136</v>
    <v>Lage vloer streek</v>
    <v>12-m bus</v>
    <v>Bus</v>
  </rv>
  <rv s="0">
    <v>0</v>
    <v>2137</v>
    <v>1</v>
    <v>Generic</v>
    <v>221A</v>
    <v>Euro6</v>
    <v>1</v>
    <v>43082</v>
    <v>45175</v>
    <v>Limburg</v>
    <v>4</v>
    <v>J</v>
    <v>J</v>
    <v>J</v>
    <v>J</v>
    <v>J</v>
    <v>6</v>
    <v>Beverlo</v>
    <v>120</v>
    <v>Onderhoud Beverlo</v>
    <v>152</v>
    <v>2137</v>
    <v>2137</v>
    <v>Lage vloer streek</v>
    <v>12-m bus</v>
    <v>Bus</v>
  </rv>
  <rv s="0">
    <v>0</v>
    <v>2138</v>
    <v>1</v>
    <v>Generic</v>
    <v>221A</v>
    <v>Euro6</v>
    <v>1</v>
    <v>43174</v>
    <v>45175</v>
    <v>Limburg</v>
    <v>4</v>
    <v>J</v>
    <v>J</v>
    <v>J</v>
    <v>J</v>
    <v>J</v>
    <v>6</v>
    <v>Beverlo</v>
    <v>120</v>
    <v>Onderhoud Beverlo</v>
    <v>152</v>
    <v>2138</v>
    <v>2138</v>
    <v>Lage vloer streek</v>
    <v>12-m bus</v>
    <v>Bus</v>
  </rv>
  <rv s="0">
    <v>0</v>
    <v>2139</v>
    <v>1</v>
    <v>Generic</v>
    <v>221A</v>
    <v>Euro6</v>
    <v>1</v>
    <v>43181</v>
    <v>45175</v>
    <v>Limburg</v>
    <v>4</v>
    <v>J</v>
    <v>J</v>
    <v>J</v>
    <v>J</v>
    <v>J</v>
    <v>5</v>
    <v>Beverlo</v>
    <v>120</v>
    <v>Onderhoud Beverlo</v>
    <v>152</v>
    <v>2139</v>
    <v>2139</v>
    <v>Lage vloer streek</v>
    <v>12-m bus</v>
    <v>Bus</v>
  </rv>
  <rv s="0">
    <v>0</v>
    <v>2140</v>
    <v>1</v>
    <v>Generic</v>
    <v>221A</v>
    <v>Euro6</v>
    <v>1</v>
    <v>43181</v>
    <v>45175</v>
    <v>Limburg</v>
    <v>4</v>
    <v>J</v>
    <v>J</v>
    <v>J</v>
    <v>J</v>
    <v>J</v>
    <v>5</v>
    <v>Beverlo</v>
    <v>120</v>
    <v>Onderhoud Beverlo</v>
    <v>152</v>
    <v>2140</v>
    <v>2140</v>
    <v>Lage vloer streek</v>
    <v>12-m bus</v>
    <v>Bus</v>
  </rv>
  <rv s="0">
    <v>0</v>
    <v>2141</v>
    <v>1</v>
    <v>Generic</v>
    <v>221A</v>
    <v>Euro6</v>
    <v>1</v>
    <v>43181</v>
    <v>45175</v>
    <v>Limburg</v>
    <v>4</v>
    <v>J</v>
    <v>J</v>
    <v>J</v>
    <v>J</v>
    <v>J</v>
    <v>5</v>
    <v>Beverlo</v>
    <v>120</v>
    <v>Onderhoud Beverlo</v>
    <v>152</v>
    <v>2141</v>
    <v>2141</v>
    <v>Lage vloer streek</v>
    <v>12-m bus</v>
    <v>Bus</v>
  </rv>
  <rv s="0">
    <v>0</v>
    <v>2142</v>
    <v>1</v>
    <v>Generic</v>
    <v>221A</v>
    <v>Euro6</v>
    <v>1</v>
    <v>43195</v>
    <v>45175</v>
    <v>Limburg</v>
    <v>4</v>
    <v>J</v>
    <v>J</v>
    <v>J</v>
    <v>J</v>
    <v>J</v>
    <v>5</v>
    <v>Beverlo</v>
    <v>120</v>
    <v>Onderhoud Beverlo</v>
    <v>152</v>
    <v>2142</v>
    <v>2142</v>
    <v>Lage vloer streek</v>
    <v>12-m bus</v>
    <v>Bus</v>
  </rv>
  <rv s="0">
    <v>0</v>
    <v>2143</v>
    <v>1</v>
    <v>Generic</v>
    <v>221A</v>
    <v>Euro6</v>
    <v>1</v>
    <v>43090</v>
    <v>45175</v>
    <v>Limburg</v>
    <v>4</v>
    <v>J</v>
    <v>J</v>
    <v>J</v>
    <v>J</v>
    <v>J</v>
    <v>6</v>
    <v>Beverlo</v>
    <v>120</v>
    <v>Onderhoud Beverlo</v>
    <v>152</v>
    <v>2143</v>
    <v>2143</v>
    <v>Lage vloer streek</v>
    <v>12-m bus</v>
    <v>Bus</v>
  </rv>
  <rv s="0">
    <v>0</v>
    <v>2144</v>
    <v>1</v>
    <v>Generic</v>
    <v>221A</v>
    <v>Euro6</v>
    <v>1</v>
    <v>42782</v>
    <v>45175</v>
    <v>Antwerpen</v>
    <v>1</v>
    <v>J</v>
    <v>J</v>
    <v>J</v>
    <v>J</v>
    <v>J</v>
    <v>7</v>
    <v>Onbekend</v>
    <v>#</v>
    <v>Onbekend</v>
    <v>#</v>
    <v>2144</v>
    <v>2144</v>
    <v>Lage vloer streek</v>
    <v>12-m bus</v>
    <v>Bus</v>
  </rv>
  <rv s="0">
    <v>0</v>
    <v>2145</v>
    <v>1</v>
    <v>Generic</v>
    <v>221A</v>
    <v>Euro6</v>
    <v>1</v>
    <v>42782</v>
    <v>45175</v>
    <v>Antwerpen</v>
    <v>1</v>
    <v>J</v>
    <v>J</v>
    <v>J</v>
    <v>J</v>
    <v>J</v>
    <v>7</v>
    <v>Onbekend</v>
    <v>#</v>
    <v>Onbekend</v>
    <v>#</v>
    <v>2145</v>
    <v>2145</v>
    <v>Lage vloer streek</v>
    <v>12-m bus</v>
    <v>Bus</v>
  </rv>
  <rv s="0">
    <v>0</v>
    <v>2146</v>
    <v>1</v>
    <v>Generic</v>
    <v>221A</v>
    <v>Euro6</v>
    <v>1</v>
    <v>42815</v>
    <v>45175</v>
    <v>West-Vlaanderen</v>
    <v>5</v>
    <v>J</v>
    <v>J</v>
    <v>J</v>
    <v>J</v>
    <v>J</v>
    <v>6</v>
    <v>Kortrijk</v>
    <v>130</v>
    <v>Onderhoud Kortrijk</v>
    <v>145</v>
    <v>2146</v>
    <v>2146</v>
    <v>Lage vloer streek</v>
    <v>12-m bus</v>
    <v>Bus</v>
  </rv>
  <rv s="0">
    <v>0</v>
    <v>2147</v>
    <v>1</v>
    <v>Generic</v>
    <v>221A</v>
    <v>Euro6</v>
    <v>1</v>
    <v>42816</v>
    <v>45175</v>
    <v>West-Vlaanderen</v>
    <v>5</v>
    <v>J</v>
    <v>J</v>
    <v>J</v>
    <v>J</v>
    <v>J</v>
    <v>6</v>
    <v>Kortrijk</v>
    <v>130</v>
    <v>Onderhoud Kortrijk</v>
    <v>145</v>
    <v>2147</v>
    <v>2147</v>
    <v>Lage vloer streek</v>
    <v>12-m bus</v>
    <v>Bus</v>
  </rv>
  <rv s="0">
    <v>0</v>
    <v>2148</v>
    <v>1</v>
    <v>Generic</v>
    <v>221A</v>
    <v>Euro6</v>
    <v>1</v>
    <v>42816</v>
    <v>45175</v>
    <v>West-Vlaanderen</v>
    <v>5</v>
    <v>J</v>
    <v>J</v>
    <v>J</v>
    <v>J</v>
    <v>J</v>
    <v>6</v>
    <v>Kortrijk</v>
    <v>130</v>
    <v>Onderhoud Kortrijk</v>
    <v>145</v>
    <v>2148</v>
    <v>2148</v>
    <v>Lage vloer streek</v>
    <v>12-m bus</v>
    <v>Bus</v>
  </rv>
  <rv s="0">
    <v>0</v>
    <v>2149</v>
    <v>1</v>
    <v>Generic</v>
    <v>221A</v>
    <v>Euro6</v>
    <v>1</v>
    <v>42818</v>
    <v>45175</v>
    <v>West-Vlaanderen</v>
    <v>5</v>
    <v>J</v>
    <v>J</v>
    <v>J</v>
    <v>J</v>
    <v>J</v>
    <v>6</v>
    <v>Kortrijk</v>
    <v>130</v>
    <v>Onderhoud Kortrijk</v>
    <v>145</v>
    <v>2149</v>
    <v>2149</v>
    <v>Lage vloer streek</v>
    <v>12-m bus</v>
    <v>Bus</v>
  </rv>
  <rv s="0">
    <v>0</v>
    <v>2150</v>
    <v>1</v>
    <v>Generic</v>
    <v>221A</v>
    <v>Euro6</v>
    <v>1</v>
    <v>42811</v>
    <v>45175</v>
    <v>West-Vlaanderen</v>
    <v>5</v>
    <v>J</v>
    <v>J</v>
    <v>J</v>
    <v>J</v>
    <v>J</v>
    <v>7</v>
    <v>Kortrijk</v>
    <v>130</v>
    <v>Onderhoud Kortrijk</v>
    <v>145</v>
    <v>2150</v>
    <v>2150</v>
    <v>Lage vloer streek</v>
    <v>12-m bus</v>
    <v>Bus</v>
  </rv>
  <rv s="0">
    <v>0</v>
    <v>2151</v>
    <v>1</v>
    <v>Generic</v>
    <v>221A</v>
    <v>Euro6</v>
    <v>1</v>
    <v>42818</v>
    <v>45175</v>
    <v>West-Vlaanderen</v>
    <v>5</v>
    <v>J</v>
    <v>J</v>
    <v>J</v>
    <v>J</v>
    <v>J</v>
    <v>6</v>
    <v>Kortrijk</v>
    <v>130</v>
    <v>Onderhoud Kortrijk</v>
    <v>145</v>
    <v>2151</v>
    <v>2151</v>
    <v>Lage vloer streek</v>
    <v>12-m bus</v>
    <v>Bus</v>
  </rv>
  <rv s="0">
    <v>0</v>
    <v>2152</v>
    <v>1</v>
    <v>Generic</v>
    <v>221A</v>
    <v>Euro6</v>
    <v>1</v>
    <v>42811</v>
    <v>45175</v>
    <v>West-Vlaanderen</v>
    <v>5</v>
    <v>J</v>
    <v>J</v>
    <v>J</v>
    <v>J</v>
    <v>J</v>
    <v>7</v>
    <v>Kortrijk</v>
    <v>130</v>
    <v>Onderhoud Kortrijk</v>
    <v>145</v>
    <v>2152</v>
    <v>2152</v>
    <v>Lage vloer streek</v>
    <v>12-m bus</v>
    <v>Bus</v>
  </rv>
  <rv s="0">
    <v>0</v>
    <v>2153</v>
    <v>1</v>
    <v>Generic</v>
    <v>221A</v>
    <v>Euro6</v>
    <v>1</v>
    <v>42821</v>
    <v>45175</v>
    <v>West-Vlaanderen</v>
    <v>5</v>
    <v>J</v>
    <v>J</v>
    <v>J</v>
    <v>J</v>
    <v>J</v>
    <v>6</v>
    <v>Kortrijk</v>
    <v>130</v>
    <v>Onderhoud Kortrijk</v>
    <v>145</v>
    <v>2153</v>
    <v>2153</v>
    <v>Lage vloer streek</v>
    <v>12-m bus</v>
    <v>Bus</v>
  </rv>
  <rv s="0">
    <v>0</v>
    <v>2154</v>
    <v>1</v>
    <v>Generic</v>
    <v>221A</v>
    <v>Euro6</v>
    <v>1</v>
    <v>42811</v>
    <v>45175</v>
    <v>West-Vlaanderen</v>
    <v>5</v>
    <v>J</v>
    <v>J</v>
    <v>J</v>
    <v>J</v>
    <v>J</v>
    <v>7</v>
    <v>Kortrijk</v>
    <v>130</v>
    <v>Onderhoud Kortrijk</v>
    <v>145</v>
    <v>2154</v>
    <v>2154</v>
    <v>Lage vloer streek</v>
    <v>12-m bus</v>
    <v>Bus</v>
  </rv>
  <rv s="0">
    <v>0</v>
    <v>2155</v>
    <v>1</v>
    <v>Generic</v>
    <v>221A</v>
    <v>Euro6</v>
    <v>1</v>
    <v>42822</v>
    <v>45175</v>
    <v>West-Vlaanderen</v>
    <v>5</v>
    <v>J</v>
    <v>J</v>
    <v>J</v>
    <v>J</v>
    <v>J</v>
    <v>6</v>
    <v>Kortrijk</v>
    <v>130</v>
    <v>Onderhoud Kortrijk</v>
    <v>145</v>
    <v>2155</v>
    <v>2155</v>
    <v>Lage vloer streek</v>
    <v>12-m bus</v>
    <v>Bus</v>
  </rv>
  <rv s="0">
    <v>0</v>
    <v>2156</v>
    <v>1</v>
    <v>Generic</v>
    <v>221A</v>
    <v>Euro6</v>
    <v>1</v>
    <v>42822</v>
    <v>45175</v>
    <v>West-Vlaanderen</v>
    <v>5</v>
    <v>J</v>
    <v>J</v>
    <v>J</v>
    <v>J</v>
    <v>J</v>
    <v>6</v>
    <v>Kortrijk</v>
    <v>130</v>
    <v>Onderhoud Kortrijk</v>
    <v>145</v>
    <v>2156</v>
    <v>2156</v>
    <v>Lage vloer streek</v>
    <v>12-m bus</v>
    <v>Bus</v>
  </rv>
  <rv s="0">
    <v>0</v>
    <v>2157</v>
    <v>1</v>
    <v>Generic</v>
    <v>221A</v>
    <v>Euro6</v>
    <v>1</v>
    <v>42822</v>
    <v>45175</v>
    <v>West-Vlaanderen</v>
    <v>5</v>
    <v>J</v>
    <v>J</v>
    <v>J</v>
    <v>J</v>
    <v>J</v>
    <v>6</v>
    <v>Kortrijk</v>
    <v>130</v>
    <v>Onderhoud Kortrijk</v>
    <v>145</v>
    <v>2157</v>
    <v>2157</v>
    <v>Lage vloer streek</v>
    <v>12-m bus</v>
    <v>Bus</v>
  </rv>
  <rv s="0">
    <v>0</v>
    <v>2158</v>
    <v>1</v>
    <v>Generic</v>
    <v>221A</v>
    <v>Euro6</v>
    <v>1</v>
    <v>42823</v>
    <v>45175</v>
    <v>West-Vlaanderen</v>
    <v>5</v>
    <v>J</v>
    <v>J</v>
    <v>J</v>
    <v>J</v>
    <v>J</v>
    <v>6</v>
    <v>Kortrijk</v>
    <v>130</v>
    <v>Onderhoud Kortrijk</v>
    <v>145</v>
    <v>2158</v>
    <v>2158</v>
    <v>Lage vloer streek</v>
    <v>12-m bus</v>
    <v>Bus</v>
  </rv>
  <rv s="0">
    <v>0</v>
    <v>2159</v>
    <v>1</v>
    <v>Generic</v>
    <v>221A</v>
    <v>Euro6</v>
    <v>1</v>
    <v>42838</v>
    <v>45175</v>
    <v>West-Vlaanderen</v>
    <v>5</v>
    <v>J</v>
    <v>J</v>
    <v>J</v>
    <v>J</v>
    <v>J</v>
    <v>6</v>
    <v>Kortrijk</v>
    <v>130</v>
    <v>Onderhoud Kortrijk</v>
    <v>145</v>
    <v>2159</v>
    <v>2159</v>
    <v>Lage vloer streek</v>
    <v>12-m bus</v>
    <v>Bus</v>
  </rv>
  <rv s="0">
    <v>0</v>
    <v>2160</v>
    <v>1</v>
    <v>Generic</v>
    <v>221A</v>
    <v>Euro6</v>
    <v>1</v>
    <v>42895</v>
    <v>45175</v>
    <v>West-Vlaanderen</v>
    <v>5</v>
    <v>J</v>
    <v>J</v>
    <v>J</v>
    <v>J</v>
    <v>J</v>
    <v>6</v>
    <v>Kortrijk</v>
    <v>130</v>
    <v>Onderhoud Kortrijk</v>
    <v>145</v>
    <v>2160</v>
    <v>2160</v>
    <v>Lage vloer streek</v>
    <v>12-m bus</v>
    <v>Bus</v>
  </rv>
  <rv s="0">
    <v>0</v>
    <v>2161</v>
    <v>1</v>
    <v>Generic</v>
    <v>221A</v>
    <v>Euro6</v>
    <v>1</v>
    <v>42895</v>
    <v>45175</v>
    <v>West-Vlaanderen</v>
    <v>5</v>
    <v>J</v>
    <v>J</v>
    <v>J</v>
    <v>J</v>
    <v>J</v>
    <v>6</v>
    <v>Kortrijk</v>
    <v>130</v>
    <v>Onderhoud Kortrijk</v>
    <v>145</v>
    <v>2161</v>
    <v>2161</v>
    <v>Lage vloer streek</v>
    <v>12-m bus</v>
    <v>Bus</v>
  </rv>
  <rv s="0">
    <v>0</v>
    <v>2162</v>
    <v>1</v>
    <v>Generic</v>
    <v>221A</v>
    <v>Euro6</v>
    <v>1</v>
    <v>42905</v>
    <v>45175</v>
    <v>West-Vlaanderen</v>
    <v>5</v>
    <v>J</v>
    <v>J</v>
    <v>J</v>
    <v>J</v>
    <v>J</v>
    <v>6</v>
    <v>Kortrijk</v>
    <v>130</v>
    <v>Onderhoud Kortrijk</v>
    <v>145</v>
    <v>2162</v>
    <v>2162</v>
    <v>Lage vloer streek</v>
    <v>12-m bus</v>
    <v>Bus</v>
  </rv>
  <rv s="0">
    <v>0</v>
    <v>2163</v>
    <v>1</v>
    <v>Generic</v>
    <v>221A</v>
    <v>Euro6</v>
    <v>1</v>
    <v>42905</v>
    <v>45175</v>
    <v>West-Vlaanderen</v>
    <v>5</v>
    <v>J</v>
    <v>J</v>
    <v>J</v>
    <v>J</v>
    <v>J</v>
    <v>6</v>
    <v>Kortrijk</v>
    <v>130</v>
    <v>Onderhoud Kortrijk</v>
    <v>145</v>
    <v>2163</v>
    <v>2163</v>
    <v>Lage vloer streek</v>
    <v>12-m bus</v>
    <v>Bus</v>
  </rv>
  <rv s="0">
    <v>0</v>
    <v>2164</v>
    <v>1</v>
    <v>Generic</v>
    <v>221A</v>
    <v>Euro6</v>
    <v>1</v>
    <v>42913</v>
    <v>45175</v>
    <v>West-Vlaanderen</v>
    <v>5</v>
    <v>J</v>
    <v>J</v>
    <v>J</v>
    <v>J</v>
    <v>J</v>
    <v>6</v>
    <v>Kortrijk</v>
    <v>130</v>
    <v>Onderhoud Kortrijk</v>
    <v>145</v>
    <v>2164</v>
    <v>2164</v>
    <v>Lage vloer streek</v>
    <v>12-m bus</v>
    <v>Bus</v>
  </rv>
  <rv s="0">
    <v>0</v>
    <v>2165</v>
    <v>1</v>
    <v>Generic</v>
    <v>221A</v>
    <v>Euro6</v>
    <v>1</v>
    <v>42905</v>
    <v>45175</v>
    <v>West-Vlaanderen</v>
    <v>5</v>
    <v>J</v>
    <v>J</v>
    <v>J</v>
    <v>J</v>
    <v>J</v>
    <v>6</v>
    <v>Brugge</v>
    <v>125</v>
    <v>Onderhoud Brugge</v>
    <v>142</v>
    <v>2165</v>
    <v>2165</v>
    <v>Lage vloer streek</v>
    <v>12-m bus</v>
    <v>Bus</v>
  </rv>
  <rv s="0">
    <v>0</v>
    <v>2166</v>
    <v>1</v>
    <v>Generic</v>
    <v>221A</v>
    <v>Euro6</v>
    <v>1</v>
    <v>42977</v>
    <v>45175</v>
    <v>West-Vlaanderen</v>
    <v>5</v>
    <v>J</v>
    <v>J</v>
    <v>J</v>
    <v>J</v>
    <v>J</v>
    <v>6</v>
    <v>Brugge</v>
    <v>125</v>
    <v>Onderhoud Brugge</v>
    <v>142</v>
    <v>2166</v>
    <v>2166</v>
    <v>Lage vloer streek</v>
    <v>12-m bus</v>
    <v>Bus</v>
  </rv>
  <rv s="0">
    <v>0</v>
    <v>2167</v>
    <v>1</v>
    <v>Generic</v>
    <v>221A</v>
    <v>Euro6</v>
    <v>1</v>
    <v>42977</v>
    <v>45175</v>
    <v>West-Vlaanderen</v>
    <v>5</v>
    <v>J</v>
    <v>J</v>
    <v>J</v>
    <v>J</v>
    <v>J</v>
    <v>6</v>
    <v>Brugge</v>
    <v>125</v>
    <v>Onderhoud Brugge</v>
    <v>142</v>
    <v>2167</v>
    <v>2167</v>
    <v>Lage vloer streek</v>
    <v>12-m bus</v>
    <v>Bus</v>
  </rv>
  <rv s="0">
    <v>0</v>
    <v>2168</v>
    <v>1</v>
    <v>Generic</v>
    <v>221A</v>
    <v>Euro6</v>
    <v>1</v>
    <v>42977</v>
    <v>45175</v>
    <v>West-Vlaanderen</v>
    <v>5</v>
    <v>J</v>
    <v>J</v>
    <v>J</v>
    <v>J</v>
    <v>J</v>
    <v>6</v>
    <v>Brugge</v>
    <v>125</v>
    <v>Onderhoud Brugge</v>
    <v>142</v>
    <v>2168</v>
    <v>2168</v>
    <v>Lage vloer streek</v>
    <v>12-m bus</v>
    <v>Bus</v>
  </rv>
  <rv s="0">
    <v>0</v>
    <v>2169</v>
    <v>1</v>
    <v>Generic</v>
    <v>221A</v>
    <v>Euro6</v>
    <v>1</v>
    <v>43087</v>
    <v>45175</v>
    <v>West-Vlaanderen</v>
    <v>5</v>
    <v>J</v>
    <v>J</v>
    <v>J</v>
    <v>J</v>
    <v>J</v>
    <v>6</v>
    <v>Brugge</v>
    <v>125</v>
    <v>Onderhoud Brugge</v>
    <v>142</v>
    <v>2169</v>
    <v>2169</v>
    <v>Lage vloer streek</v>
    <v>12-m bus</v>
    <v>Bus</v>
  </rv>
  <rv s="0">
    <v>0</v>
    <v>2170</v>
    <v>1</v>
    <v>Generic</v>
    <v>221A</v>
    <v>Euro6</v>
    <v>1</v>
    <v>43098</v>
    <v>45175</v>
    <v>West-Vlaanderen</v>
    <v>5</v>
    <v>J</v>
    <v>J</v>
    <v>J</v>
    <v>J</v>
    <v>J</v>
    <v>6</v>
    <v>Brugge</v>
    <v>125</v>
    <v>Onderhoud Brugge</v>
    <v>142</v>
    <v>2170</v>
    <v>2170</v>
    <v>Lage vloer streek</v>
    <v>12-m bus</v>
    <v>Bus</v>
  </rv>
  <rv s="0">
    <v>0</v>
    <v>2171</v>
    <v>1</v>
    <v>Generic</v>
    <v>221A</v>
    <v>Euro6</v>
    <v>1</v>
    <v>43077</v>
    <v>45175</v>
    <v>West-Vlaanderen</v>
    <v>5</v>
    <v>J</v>
    <v>J</v>
    <v>J</v>
    <v>J</v>
    <v>J</v>
    <v>6</v>
    <v>Brugge</v>
    <v>125</v>
    <v>Onderhoud Brugge</v>
    <v>142</v>
    <v>2171</v>
    <v>2171</v>
    <v>Lage vloer streek</v>
    <v>12-m bus</v>
    <v>Bus</v>
  </rv>
  <rv s="0">
    <v>0</v>
    <v>2172</v>
    <v>1</v>
    <v>Generic</v>
    <v>221A</v>
    <v>Euro6</v>
    <v>1</v>
    <v>43117</v>
    <v>45175</v>
    <v>West-Vlaanderen</v>
    <v>5</v>
    <v>J</v>
    <v>J</v>
    <v>J</v>
    <v>J</v>
    <v>J</v>
    <v>6</v>
    <v>Brugge</v>
    <v>125</v>
    <v>Onderhoud Brugge</v>
    <v>142</v>
    <v>2172</v>
    <v>2172</v>
    <v>Lage vloer streek</v>
    <v>12-m bus</v>
    <v>Bus</v>
  </rv>
  <rv s="0">
    <v>0</v>
    <v>2173</v>
    <v>1</v>
    <v>Generic</v>
    <v>221A</v>
    <v>Euro6</v>
    <v>1</v>
    <v>43098</v>
    <v>45175</v>
    <v>West-Vlaanderen</v>
    <v>5</v>
    <v>J</v>
    <v>J</v>
    <v>J</v>
    <v>J</v>
    <v>J</v>
    <v>6</v>
    <v>Brugge</v>
    <v>125</v>
    <v>Onderhoud Brugge</v>
    <v>142</v>
    <v>2173</v>
    <v>2173</v>
    <v>Lage vloer streek</v>
    <v>12-m bus</v>
    <v>Bus</v>
  </rv>
  <rv s="0">
    <v>0</v>
    <v>2174</v>
    <v>1</v>
    <v>Generic</v>
    <v>221A</v>
    <v>Euro6</v>
    <v>1</v>
    <v>43118</v>
    <v>45175</v>
    <v>West-Vlaanderen</v>
    <v>5</v>
    <v>J</v>
    <v>J</v>
    <v>J</v>
    <v>J</v>
    <v>J</v>
    <v>6</v>
    <v>Brugge</v>
    <v>125</v>
    <v>Onderhoud Brugge</v>
    <v>142</v>
    <v>2174</v>
    <v>2174</v>
    <v>Lage vloer streek</v>
    <v>12-m bus</v>
    <v>Bus</v>
  </rv>
  <rv s="0">
    <v>0</v>
    <v>2175</v>
    <v>1</v>
    <v>Generic</v>
    <v>221A</v>
    <v>Euro6</v>
    <v>1</v>
    <v>43098</v>
    <v>45175</v>
    <v>West-Vlaanderen</v>
    <v>5</v>
    <v>J</v>
    <v>J</v>
    <v>J</v>
    <v>J</v>
    <v>J</v>
    <v>6</v>
    <v>Brugge</v>
    <v>125</v>
    <v>Onderhoud Brugge</v>
    <v>142</v>
    <v>2175</v>
    <v>2175</v>
    <v>Lage vloer streek</v>
    <v>12-m bus</v>
    <v>Bus</v>
  </rv>
  <rv s="0">
    <v>0</v>
    <v>2176</v>
    <v>1</v>
    <v>Generic</v>
    <v>221A</v>
    <v>Euro6</v>
    <v>1</v>
    <v>43090</v>
    <v>45175</v>
    <v>West-Vlaanderen</v>
    <v>5</v>
    <v>J</v>
    <v>J</v>
    <v>J</v>
    <v>J</v>
    <v>J</v>
    <v>6</v>
    <v>Oostende Slijkensestwg</v>
    <v>118</v>
    <v>Onderhoud Oostende - bus</v>
    <v>141</v>
    <v>2176</v>
    <v>2176</v>
    <v>Lage vloer streek</v>
    <v>12-m bus</v>
    <v>Bus</v>
  </rv>
  <rv s="0">
    <v>0</v>
    <v>2177</v>
    <v>1</v>
    <v>Generic</v>
    <v>221A</v>
    <v>Euro6</v>
    <v>1</v>
    <v>43090</v>
    <v>45175</v>
    <v>West-Vlaanderen</v>
    <v>5</v>
    <v>J</v>
    <v>J</v>
    <v>J</v>
    <v>J</v>
    <v>J</v>
    <v>6</v>
    <v>Oostende Slijkensestwg</v>
    <v>118</v>
    <v>Onderhoud Oostende - bus</v>
    <v>141</v>
    <v>2177</v>
    <v>2177</v>
    <v>Lage vloer streek</v>
    <v>12-m bus</v>
    <v>Bus</v>
  </rv>
  <rv s="0">
    <v>0</v>
    <v>2178</v>
    <v>1</v>
    <v>Generic</v>
    <v>221A</v>
    <v>Euro6</v>
    <v>1</v>
    <v>43098</v>
    <v>45175</v>
    <v>West-Vlaanderen</v>
    <v>5</v>
    <v>J</v>
    <v>J</v>
    <v>J</v>
    <v>J</v>
    <v>J</v>
    <v>6</v>
    <v>Oostende Slijkensestwg</v>
    <v>118</v>
    <v>Onderhoud Oostende - bus</v>
    <v>141</v>
    <v>2178</v>
    <v>2178</v>
    <v>Lage vloer streek</v>
    <v>12-m bus</v>
    <v>Bus</v>
  </rv>
  <rv s="0">
    <v>0</v>
    <v>2179</v>
    <v>1</v>
    <v>Generic</v>
    <v>221A</v>
    <v>Euro6</v>
    <v>1</v>
    <v>43090</v>
    <v>45175</v>
    <v>West-Vlaanderen</v>
    <v>5</v>
    <v>J</v>
    <v>J</v>
    <v>J</v>
    <v>J</v>
    <v>J</v>
    <v>6</v>
    <v>Oostende Slijkensestwg</v>
    <v>118</v>
    <v>Onderhoud Oostende - bus</v>
    <v>141</v>
    <v>2179</v>
    <v>2179</v>
    <v>Lage vloer streek</v>
    <v>12-m bus</v>
    <v>Bus</v>
  </rv>
  <rv s="0">
    <v>0</v>
    <v>2180</v>
    <v>1</v>
    <v>Generic</v>
    <v>221A</v>
    <v>Euro6</v>
    <v>1</v>
    <v>43124</v>
    <v>45175</v>
    <v>West-Vlaanderen</v>
    <v>5</v>
    <v>J</v>
    <v>J</v>
    <v>J</v>
    <v>J</v>
    <v>J</v>
    <v>6</v>
    <v>Oostende Slijkensestwg</v>
    <v>118</v>
    <v>Onderhoud Oostende - bus</v>
    <v>141</v>
    <v>2180</v>
    <v>2180</v>
    <v>Lage vloer streek</v>
    <v>12-m bus</v>
    <v>Bus</v>
  </rv>
  <rv s="0">
    <v>0</v>
    <v>2182</v>
    <v>1</v>
    <v>Generic</v>
    <v>221A</v>
    <v>Euro6</v>
    <v>1</v>
    <v>43098</v>
    <v>45175</v>
    <v>West-Vlaanderen</v>
    <v>5</v>
    <v>J</v>
    <v>J</v>
    <v>J</v>
    <v>J</v>
    <v>J</v>
    <v>6</v>
    <v>Oostende Slijkensestwg</v>
    <v>118</v>
    <v>Onderhoud Oostende - bus</v>
    <v>141</v>
    <v>2182</v>
    <v>2182</v>
    <v>Lage vloer streek</v>
    <v>12-m bus</v>
    <v>Bus</v>
  </rv>
  <rv s="0">
    <v>0</v>
    <v>2183</v>
    <v>1</v>
    <v>Generic</v>
    <v>221A</v>
    <v>Euro6</v>
    <v>1</v>
    <v>43098</v>
    <v>45175</v>
    <v>West-Vlaanderen</v>
    <v>5</v>
    <v>J</v>
    <v>J</v>
    <v>J</v>
    <v>J</v>
    <v>J</v>
    <v>6</v>
    <v>Oostende Slijkensestwg</v>
    <v>118</v>
    <v>Onderhoud Oostende - bus</v>
    <v>141</v>
    <v>2183</v>
    <v>2183</v>
    <v>Lage vloer streek</v>
    <v>12-m bus</v>
    <v>Bus</v>
  </rv>
  <rv s="0">
    <v>0</v>
    <v>2184</v>
    <v>1</v>
    <v>Generic</v>
    <v>221A</v>
    <v>Euro6</v>
    <v>1</v>
    <v>43098</v>
    <v>45175</v>
    <v>West-Vlaanderen</v>
    <v>5</v>
    <v>J</v>
    <v>J</v>
    <v>J</v>
    <v>J</v>
    <v>J</v>
    <v>6</v>
    <v>Oostende Slijkensestwg</v>
    <v>118</v>
    <v>Onderhoud Oostende - bus</v>
    <v>141</v>
    <v>2184</v>
    <v>2184</v>
    <v>Lage vloer streek</v>
    <v>12-m bus</v>
    <v>Bus</v>
  </rv>
  <rv s="0">
    <v>0</v>
    <v>2185</v>
    <v>1</v>
    <v>Generic</v>
    <v>221A</v>
    <v>Euro6</v>
    <v>1</v>
    <v>43090</v>
    <v>45175</v>
    <v>West-Vlaanderen</v>
    <v>5</v>
    <v>J</v>
    <v>J</v>
    <v>J</v>
    <v>J</v>
    <v>J</v>
    <v>6</v>
    <v>Oostende Slijkensestwg</v>
    <v>118</v>
    <v>Onderhoud Oostende - bus</v>
    <v>141</v>
    <v>2185</v>
    <v>2185</v>
    <v>Lage vloer streek</v>
    <v>12-m bus</v>
    <v>Bus</v>
  </rv>
  <rv s="0">
    <v>0</v>
    <v>2186</v>
    <v>1</v>
    <v>Generic</v>
    <v>221A</v>
    <v>Euro6</v>
    <v>1</v>
    <v>43124</v>
    <v>45175</v>
    <v>West-Vlaanderen</v>
    <v>5</v>
    <v>J</v>
    <v>J</v>
    <v>J</v>
    <v>J</v>
    <v>J</v>
    <v>6</v>
    <v>Oostende Slijkensestwg</v>
    <v>118</v>
    <v>Onderhoud Oostende - bus</v>
    <v>141</v>
    <v>2186</v>
    <v>2186</v>
    <v>Lage vloer streek</v>
    <v>12-m bus</v>
    <v>Bus</v>
  </rv>
  <rv s="0">
    <v>0</v>
    <v>2187</v>
    <v>1</v>
    <v>Generic</v>
    <v>221A</v>
    <v>Euro6</v>
    <v>1</v>
    <v>43098</v>
    <v>45175</v>
    <v>West-Vlaanderen</v>
    <v>5</v>
    <v>J</v>
    <v>J</v>
    <v>J</v>
    <v>J</v>
    <v>J</v>
    <v>6</v>
    <v>Oostende Slijkensestwg</v>
    <v>118</v>
    <v>Onderhoud Oostende - bus</v>
    <v>141</v>
    <v>2187</v>
    <v>2187</v>
    <v>Lage vloer streek</v>
    <v>12-m bus</v>
    <v>Bus</v>
  </rv>
  <rv s="0">
    <v>0</v>
    <v>2188</v>
    <v>1</v>
    <v>Generic</v>
    <v>221B</v>
    <v>Euro6</v>
    <v>1</v>
    <v>42566</v>
    <v>45175</v>
    <v>Oost-Vlaanderen</v>
    <v>2</v>
    <v>J</v>
    <v>J</v>
    <v>J</v>
    <v>J</v>
    <v>J</v>
    <v>7</v>
    <v>Sint-Niklaas Nieuw</v>
    <v>129</v>
    <v>Onderhoud Sint-Niklaas</v>
    <v>143</v>
    <v>2188</v>
    <v>2188</v>
    <v>Lage vloer streek</v>
    <v>Gelede bus</v>
    <v>Bus</v>
  </rv>
  <rv s="0">
    <v>0</v>
    <v>2189</v>
    <v>1</v>
    <v>Generic</v>
    <v>221B</v>
    <v>Euro6</v>
    <v>1</v>
    <v>42543</v>
    <v>45175</v>
    <v>Oost-Vlaanderen</v>
    <v>2</v>
    <v>J</v>
    <v>J</v>
    <v>J</v>
    <v>J</v>
    <v>J</v>
    <v>7</v>
    <v>Sint-Niklaas Nieuw</v>
    <v>129</v>
    <v>Onderhoud Sint-Niklaas</v>
    <v>143</v>
    <v>2189</v>
    <v>2189</v>
    <v>Lage vloer streek</v>
    <v>Gelede bus</v>
    <v>Bus</v>
  </rv>
  <rv s="0">
    <v>0</v>
    <v>2190</v>
    <v>1</v>
    <v>Generic</v>
    <v>221B</v>
    <v>Euro6</v>
    <v>1</v>
    <v>42543</v>
    <v>45175</v>
    <v>Oost-Vlaanderen</v>
    <v>2</v>
    <v>J</v>
    <v>J</v>
    <v>J</v>
    <v>J</v>
    <v>J</v>
    <v>7</v>
    <v>Sint-Niklaas Nieuw</v>
    <v>129</v>
    <v>Onderhoud Sint-Niklaas</v>
    <v>143</v>
    <v>2190</v>
    <v>2190</v>
    <v>Lage vloer streek</v>
    <v>Gelede bus</v>
    <v>Bus</v>
  </rv>
  <rv s="0">
    <v>0</v>
    <v>2191</v>
    <v>1</v>
    <v>Generic</v>
    <v>221B</v>
    <v>Euro6</v>
    <v>1</v>
    <v>42543</v>
    <v>45175</v>
    <v>Oost-Vlaanderen</v>
    <v>2</v>
    <v>J</v>
    <v>J</v>
    <v>J</v>
    <v>J</v>
    <v>J</v>
    <v>7</v>
    <v>Sint-Niklaas Nieuw</v>
    <v>129</v>
    <v>Onderhoud Sint-Niklaas</v>
    <v>143</v>
    <v>2191</v>
    <v>2191</v>
    <v>Lage vloer streek</v>
    <v>Gelede bus</v>
    <v>Bus</v>
  </rv>
  <rv s="0">
    <v>0</v>
    <v>2192</v>
    <v>1</v>
    <v>Generic</v>
    <v>221B</v>
    <v>Euro6</v>
    <v>1</v>
    <v>42543</v>
    <v>45175</v>
    <v>Oost-Vlaanderen</v>
    <v>2</v>
    <v>J</v>
    <v>J</v>
    <v>J</v>
    <v>J</v>
    <v>J</v>
    <v>7</v>
    <v>Sint-Niklaas Nieuw</v>
    <v>129</v>
    <v>Onderhoud Sint-Niklaas</v>
    <v>143</v>
    <v>2192</v>
    <v>2192</v>
    <v>Lage vloer streek</v>
    <v>Gelede bus</v>
    <v>Bus</v>
  </rv>
  <rv s="0">
    <v>0</v>
    <v>2193</v>
    <v>1</v>
    <v>Generic</v>
    <v>221B</v>
    <v>Euro6</v>
    <v>1</v>
    <v>42543</v>
    <v>45175</v>
    <v>Oost-Vlaanderen</v>
    <v>2</v>
    <v>J</v>
    <v>J</v>
    <v>J</v>
    <v>J</v>
    <v>J</v>
    <v>7</v>
    <v>Sint-Niklaas Nieuw</v>
    <v>129</v>
    <v>Onderhoud Sint-Niklaas</v>
    <v>143</v>
    <v>2193</v>
    <v>2193</v>
    <v>Lage vloer streek</v>
    <v>Gelede bus</v>
    <v>Bus</v>
  </rv>
  <rv s="0">
    <v>0</v>
    <v>2194</v>
    <v>1</v>
    <v>Generic</v>
    <v>221B</v>
    <v>Euro6</v>
    <v>1</v>
    <v>42543</v>
    <v>45175</v>
    <v>Oost-Vlaanderen</v>
    <v>2</v>
    <v>J</v>
    <v>J</v>
    <v>J</v>
    <v>J</v>
    <v>J</v>
    <v>7</v>
    <v>Sint-Niklaas Nieuw</v>
    <v>129</v>
    <v>Onderhoud Sint-Niklaas</v>
    <v>143</v>
    <v>2194</v>
    <v>2194</v>
    <v>Lage vloer streek</v>
    <v>Gelede bus</v>
    <v>Bus</v>
  </rv>
  <rv s="0">
    <v>0</v>
    <v>2195</v>
    <v>1</v>
    <v>Generic</v>
    <v>221B</v>
    <v>Euro6</v>
    <v>1</v>
    <v>42556</v>
    <v>45175</v>
    <v>Oost-Vlaanderen</v>
    <v>2</v>
    <v>J</v>
    <v>J</v>
    <v>J</v>
    <v>J</v>
    <v>J</v>
    <v>7</v>
    <v>Gentbrugge</v>
    <v>112</v>
    <v>Werkhuis Gentbrugge</v>
    <v>141</v>
    <v>2195</v>
    <v>2195</v>
    <v>Lage vloer streek</v>
    <v>Gelede bus</v>
    <v>Bus</v>
  </rv>
  <rv s="0">
    <v>0</v>
    <v>2196</v>
    <v>1</v>
    <v>Generic</v>
    <v>221B</v>
    <v>Euro6</v>
    <v>1</v>
    <v>42556</v>
    <v>45175</v>
    <v>Oost-Vlaanderen</v>
    <v>2</v>
    <v>J</v>
    <v>J</v>
    <v>J</v>
    <v>J</v>
    <v>J</v>
    <v>7</v>
    <v>Gentbrugge</v>
    <v>112</v>
    <v>Werkhuis Gentbrugge</v>
    <v>141</v>
    <v>2196</v>
    <v>2196</v>
    <v>Lage vloer streek</v>
    <v>Gelede bus</v>
    <v>Bus</v>
  </rv>
  <rv s="0">
    <v>0</v>
    <v>2197</v>
    <v>1</v>
    <v>Generic</v>
    <v>221B</v>
    <v>Euro6</v>
    <v>1</v>
    <v>42558</v>
    <v>45175</v>
    <v>Oost-Vlaanderen</v>
    <v>2</v>
    <v>J</v>
    <v>J</v>
    <v>J</v>
    <v>J</v>
    <v>J</v>
    <v>7</v>
    <v>Gentbrugge</v>
    <v>112</v>
    <v>Werkhuis Gentbrugge</v>
    <v>141</v>
    <v>2197</v>
    <v>2197</v>
    <v>Lage vloer streek</v>
    <v>Gelede bus</v>
    <v>Bus</v>
  </rv>
  <rv s="0">
    <v>0</v>
    <v>2198</v>
    <v>1</v>
    <v>Generic</v>
    <v>221B</v>
    <v>Euro6</v>
    <v>1</v>
    <v>42558</v>
    <v>45175</v>
    <v>Oost-Vlaanderen</v>
    <v>2</v>
    <v>J</v>
    <v>J</v>
    <v>J</v>
    <v>J</v>
    <v>J</v>
    <v>7</v>
    <v>Gentbrugge</v>
    <v>112</v>
    <v>Werkhuis Gentbrugge</v>
    <v>141</v>
    <v>2198</v>
    <v>2198</v>
    <v>Lage vloer streek</v>
    <v>Gelede bus</v>
    <v>Bus</v>
  </rv>
  <rv s="0">
    <v>0</v>
    <v>2199</v>
    <v>1</v>
    <v>Generic</v>
    <v>221B</v>
    <v>Euro6</v>
    <v>1</v>
    <v>42564</v>
    <v>45175</v>
    <v>Oost-Vlaanderen</v>
    <v>2</v>
    <v>J</v>
    <v>J</v>
    <v>J</v>
    <v>J</v>
    <v>J</v>
    <v>7</v>
    <v>Gentbrugge</v>
    <v>112</v>
    <v>Werkhuis Gentbrugge</v>
    <v>141</v>
    <v>2199</v>
    <v>2199</v>
    <v>Lage vloer streek</v>
    <v>Gelede bus</v>
    <v>Bus</v>
  </rv>
  <rv s="0">
    <v>0</v>
    <v>2200</v>
    <v>1</v>
    <v>Generic</v>
    <v>221B</v>
    <v>Euro6</v>
    <v>1</v>
    <v>42563</v>
    <v>45175</v>
    <v>Oost-Vlaanderen</v>
    <v>2</v>
    <v>J</v>
    <v>J</v>
    <v>J</v>
    <v>J</v>
    <v>J</v>
    <v>7</v>
    <v>Gentbrugge</v>
    <v>112</v>
    <v>Werkhuis Gentbrugge</v>
    <v>141</v>
    <v>2200</v>
    <v>2200</v>
    <v>Lage vloer streek</v>
    <v>Gelede bus</v>
    <v>Bus</v>
  </rv>
  <rv s="0">
    <v>0</v>
    <v>2202</v>
    <v>1</v>
    <v>Generic</v>
    <v>221B</v>
    <v>Euro6</v>
    <v>1</v>
    <v>42563</v>
    <v>45175</v>
    <v>Oost-Vlaanderen</v>
    <v>2</v>
    <v>J</v>
    <v>J</v>
    <v>J</v>
    <v>J</v>
    <v>J</v>
    <v>7</v>
    <v>Gentbrugge</v>
    <v>112</v>
    <v>Werkhuis Gentbrugge</v>
    <v>141</v>
    <v>2202</v>
    <v>2202</v>
    <v>Lage vloer streek</v>
    <v>Gelede bus</v>
    <v>Bus</v>
  </rv>
  <rv s="0">
    <v>0</v>
    <v>2203</v>
    <v>1</v>
    <v>Generic</v>
    <v>221B</v>
    <v>Euro6</v>
    <v>1</v>
    <v>42564</v>
    <v>45175</v>
    <v>Oost-Vlaanderen</v>
    <v>2</v>
    <v>J</v>
    <v>J</v>
    <v>J</v>
    <v>J</v>
    <v>J</v>
    <v>7</v>
    <v>Gentbrugge</v>
    <v>112</v>
    <v>Werkhuis Gentbrugge</v>
    <v>141</v>
    <v>2203</v>
    <v>2203</v>
    <v>Lage vloer streek</v>
    <v>Gelede bus</v>
    <v>Bus</v>
  </rv>
  <rv s="0">
    <v>0</v>
    <v>2204</v>
    <v>1</v>
    <v>Generic</v>
    <v>221B</v>
    <v>Euro6</v>
    <v>1</v>
    <v>42564</v>
    <v>45175</v>
    <v>Oost-Vlaanderen</v>
    <v>2</v>
    <v>J</v>
    <v>J</v>
    <v>J</v>
    <v>J</v>
    <v>J</v>
    <v>7</v>
    <v>Gentbrugge</v>
    <v>112</v>
    <v>Werkhuis Gentbrugge</v>
    <v>141</v>
    <v>2204</v>
    <v>2204</v>
    <v>Lage vloer streek</v>
    <v>Gelede bus</v>
    <v>Bus</v>
  </rv>
  <rv s="0">
    <v>0</v>
    <v>2205</v>
    <v>1</v>
    <v>Generic</v>
    <v>221B</v>
    <v>Euro6</v>
    <v>1</v>
    <v>42565</v>
    <v>45175</v>
    <v>Oost-Vlaanderen</v>
    <v>2</v>
    <v>J</v>
    <v>J</v>
    <v>J</v>
    <v>J</v>
    <v>J</v>
    <v>7</v>
    <v>Gentbrugge</v>
    <v>112</v>
    <v>Werkhuis Gentbrugge</v>
    <v>141</v>
    <v>2205</v>
    <v>2205</v>
    <v>Lage vloer streek</v>
    <v>Gelede bus</v>
    <v>Bus</v>
  </rv>
  <rv s="0">
    <v>0</v>
    <v>2206</v>
    <v>1</v>
    <v>Generic</v>
    <v>221B</v>
    <v>Euro6</v>
    <v>1</v>
    <v>42566</v>
    <v>45175</v>
    <v>Oost-Vlaanderen</v>
    <v>2</v>
    <v>J</v>
    <v>J</v>
    <v>J</v>
    <v>J</v>
    <v>J</v>
    <v>7</v>
    <v>Gentbrugge</v>
    <v>112</v>
    <v>Werkhuis Gentbrugge</v>
    <v>141</v>
    <v>2206</v>
    <v>2206</v>
    <v>Lage vloer streek</v>
    <v>Gelede bus</v>
    <v>Bus</v>
  </rv>
  <rv s="0">
    <v>0</v>
    <v>2207</v>
    <v>1</v>
    <v>Generic</v>
    <v>221B</v>
    <v>Euro6</v>
    <v>1</v>
    <v>42569</v>
    <v>45175</v>
    <v>Oost-Vlaanderen</v>
    <v>2</v>
    <v>J</v>
    <v>J</v>
    <v>J</v>
    <v>J</v>
    <v>J</v>
    <v>7</v>
    <v>Gentbrugge</v>
    <v>112</v>
    <v>Werkhuis Gentbrugge</v>
    <v>141</v>
    <v>2207</v>
    <v>2207</v>
    <v>Lage vloer streek</v>
    <v>Gelede bus</v>
    <v>Bus</v>
  </rv>
  <rv s="0">
    <v>0</v>
    <v>2208</v>
    <v>1</v>
    <v>Generic</v>
    <v>221B</v>
    <v>Euro6</v>
    <v>1</v>
    <v>42566</v>
    <v>45175</v>
    <v>Limburg</v>
    <v>4</v>
    <v>J</v>
    <v>J</v>
    <v>J</v>
    <v>J</v>
    <v>J</v>
    <v>7</v>
    <v>Kinrooi</v>
    <v>114</v>
    <v>Onderhoud Kinrooi</v>
    <v>151</v>
    <v>2208</v>
    <v>2208</v>
    <v>Lage vloer streek</v>
    <v>Gelede bus</v>
    <v>Bus</v>
  </rv>
  <rv s="0">
    <v>0</v>
    <v>2209</v>
    <v>1</v>
    <v>Generic</v>
    <v>221B</v>
    <v>Euro6</v>
    <v>1</v>
    <v>42566</v>
    <v>45175</v>
    <v>Limburg</v>
    <v>4</v>
    <v>J</v>
    <v>J</v>
    <v>J</v>
    <v>J</v>
    <v>J</v>
    <v>7</v>
    <v>Kinrooi</v>
    <v>114</v>
    <v>Onderhoud Kinrooi</v>
    <v>151</v>
    <v>2209</v>
    <v>2209</v>
    <v>Lage vloer streek</v>
    <v>Gelede bus</v>
    <v>Bus</v>
  </rv>
  <rv s="0">
    <v>0</v>
    <v>2210</v>
    <v>1</v>
    <v>Generic</v>
    <v>221B</v>
    <v>Euro6</v>
    <v>1</v>
    <v>42566</v>
    <v>45175</v>
    <v>Limburg</v>
    <v>4</v>
    <v>J</v>
    <v>J</v>
    <v>J</v>
    <v>J</v>
    <v>J</v>
    <v>7</v>
    <v>Kinrooi</v>
    <v>114</v>
    <v>Onderhoud Kinrooi</v>
    <v>151</v>
    <v>2210</v>
    <v>2210</v>
    <v>Lage vloer streek</v>
    <v>Gelede bus</v>
    <v>Bus</v>
  </rv>
  <rv s="0">
    <v>0</v>
    <v>2211</v>
    <v>1</v>
    <v>Generic</v>
    <v>221B</v>
    <v>Euro6</v>
    <v>1</v>
    <v>42566</v>
    <v>45175</v>
    <v>Limburg</v>
    <v>4</v>
    <v>J</v>
    <v>J</v>
    <v>J</v>
    <v>J</v>
    <v>J</v>
    <v>7</v>
    <v>Onbekend</v>
    <v>#</v>
    <v>Onbekend</v>
    <v>#</v>
    <v>2211</v>
    <v>2211</v>
    <v>Lage vloer streek</v>
    <v>Gelede bus</v>
    <v>Bus</v>
  </rv>
  <rv s="0">
    <v>0</v>
    <v>2212</v>
    <v>1</v>
    <v>Generic</v>
    <v>221B</v>
    <v>Euro6</v>
    <v>1</v>
    <v>42569</v>
    <v>45175</v>
    <v>Limburg</v>
    <v>4</v>
    <v>J</v>
    <v>J</v>
    <v>J</v>
    <v>J</v>
    <v>J</v>
    <v>7</v>
    <v>Onbekend</v>
    <v>#</v>
    <v>Onbekend</v>
    <v>#</v>
    <v>2212</v>
    <v>2212</v>
    <v>Lage vloer streek</v>
    <v>Gelede bus</v>
    <v>Bus</v>
  </rv>
  <rv s="0">
    <v>0</v>
    <v>2213</v>
    <v>1</v>
    <v>Generic</v>
    <v>221B</v>
    <v>Euro6</v>
    <v>1</v>
    <v>42569</v>
    <v>45175</v>
    <v>Limburg</v>
    <v>4</v>
    <v>J</v>
    <v>J</v>
    <v>J</v>
    <v>J</v>
    <v>J</v>
    <v>7</v>
    <v>Kinrooi</v>
    <v>114</v>
    <v>Onderhoud Kinrooi</v>
    <v>151</v>
    <v>2213</v>
    <v>2213</v>
    <v>Lage vloer streek</v>
    <v>Gelede bus</v>
    <v>Bus</v>
  </rv>
  <rv s="0">
    <v>0</v>
    <v>2214</v>
    <v>1</v>
    <v>Generic</v>
    <v>221B</v>
    <v>Euro6</v>
    <v>1</v>
    <v>42569</v>
    <v>45175</v>
    <v>Limburg</v>
    <v>4</v>
    <v>J</v>
    <v>J</v>
    <v>J</v>
    <v>J</v>
    <v>J</v>
    <v>7</v>
    <v>Kinrooi</v>
    <v>114</v>
    <v>Onderhoud Kinrooi</v>
    <v>151</v>
    <v>2214</v>
    <v>2214</v>
    <v>Lage vloer streek</v>
    <v>Gelede bus</v>
    <v>Bus</v>
  </rv>
  <rv s="0">
    <v>0</v>
    <v>2217</v>
    <v>1</v>
    <v>Generic</v>
    <v>221B</v>
    <v>Euro6</v>
    <v>1</v>
    <v>42615</v>
    <v>45175</v>
    <v>Limburg</v>
    <v>4</v>
    <v>J</v>
    <v>J</v>
    <v>J</v>
    <v>J</v>
    <v>J</v>
    <v>7</v>
    <v>Kinrooi</v>
    <v>114</v>
    <v>Onderhoud Kinrooi</v>
    <v>151</v>
    <v>2217</v>
    <v>2217</v>
    <v>Lage vloer streek</v>
    <v>Gelede bus</v>
    <v>Bus</v>
  </rv>
  <rv s="0">
    <v>0</v>
    <v>2218</v>
    <v>1</v>
    <v>Generic</v>
    <v>221B</v>
    <v>Euro6</v>
    <v>1</v>
    <v>42615</v>
    <v>45175</v>
    <v>Limburg</v>
    <v>4</v>
    <v>J</v>
    <v>J</v>
    <v>J</v>
    <v>J</v>
    <v>J</v>
    <v>7</v>
    <v>Kinrooi</v>
    <v>114</v>
    <v>Onderhoud Kinrooi</v>
    <v>151</v>
    <v>2218</v>
    <v>2218</v>
    <v>Lage vloer streek</v>
    <v>Gelede bus</v>
    <v>Bus</v>
  </rv>
  <rv s="0">
    <v>0</v>
    <v>2219</v>
    <v>1</v>
    <v>Generic</v>
    <v>221C</v>
    <v>Euro6</v>
    <v>1</v>
    <v>42831</v>
    <v>45175</v>
    <v>Antwerpen</v>
    <v>1</v>
    <v>J</v>
    <v>J</v>
    <v>J</v>
    <v>J</v>
    <v>J</v>
    <v>6</v>
    <v>Turnhout</v>
    <v>122</v>
    <v>Onderhoud Turnhout</v>
    <v>143</v>
    <v>2219</v>
    <v>2219</v>
    <v>Lage vloer streek</v>
    <v>Gelede bus</v>
    <v>Bus</v>
  </rv>
  <rv s="0">
    <v>0</v>
    <v>2220</v>
    <v>1</v>
    <v>Generic</v>
    <v>221C</v>
    <v>Euro6</v>
    <v>1</v>
    <v>42768</v>
    <v>45175</v>
    <v>Antwerpen</v>
    <v>1</v>
    <v>J</v>
    <v>J</v>
    <v>J</v>
    <v>J</v>
    <v>J</v>
    <v>7</v>
    <v>Turnhout</v>
    <v>122</v>
    <v>Onderhoud Turnhout</v>
    <v>143</v>
    <v>2220</v>
    <v>2220</v>
    <v>Lage vloer streek</v>
    <v>Gelede bus</v>
    <v>Bus</v>
  </rv>
  <rv s="0">
    <v>0</v>
    <v>2221</v>
    <v>1</v>
    <v>Generic</v>
    <v>221C</v>
    <v>Euro6</v>
    <v>1</v>
    <v>42782</v>
    <v>45175</v>
    <v>Antwerpen</v>
    <v>1</v>
    <v>J</v>
    <v>J</v>
    <v>J</v>
    <v>J</v>
    <v>J</v>
    <v>7</v>
    <v>Turnhout</v>
    <v>122</v>
    <v>Onderhoud Turnhout</v>
    <v>143</v>
    <v>2221</v>
    <v>2221</v>
    <v>Lage vloer streek</v>
    <v>Gelede bus</v>
    <v>Bus</v>
  </rv>
  <rv s="0">
    <v>0</v>
    <v>2222</v>
    <v>1</v>
    <v>Generic</v>
    <v>221C</v>
    <v>Euro6</v>
    <v>1</v>
    <v>42796</v>
    <v>45175</v>
    <v>Antwerpen</v>
    <v>1</v>
    <v>J</v>
    <v>J</v>
    <v>J</v>
    <v>J</v>
    <v>J</v>
    <v>7</v>
    <v>Turnhout</v>
    <v>122</v>
    <v>Onderhoud Turnhout</v>
    <v>143</v>
    <v>2222</v>
    <v>2222</v>
    <v>Lage vloer streek</v>
    <v>Gelede bus</v>
    <v>Bus</v>
  </rv>
  <rv s="0">
    <v>0</v>
    <v>2223</v>
    <v>1</v>
    <v>Generic</v>
    <v>221C</v>
    <v>Euro6</v>
    <v>1</v>
    <v>42783</v>
    <v>45175</v>
    <v>Antwerpen</v>
    <v>1</v>
    <v>J</v>
    <v>J</v>
    <v>J</v>
    <v>J</v>
    <v>J</v>
    <v>7</v>
    <v>Mol</v>
    <v>124</v>
    <v>Onderhoud Turnhout</v>
    <v>143</v>
    <v>2223</v>
    <v>2223</v>
    <v>Lage vloer streek</v>
    <v>Gelede bus</v>
    <v>Bus</v>
  </rv>
  <rv s="0">
    <v>0</v>
    <v>2224</v>
    <v>1</v>
    <v>Generic</v>
    <v>221C</v>
    <v>Euro6</v>
    <v>1</v>
    <v>43012</v>
    <v>45175</v>
    <v>Antwerpen</v>
    <v>1</v>
    <v>J</v>
    <v>J</v>
    <v>J</v>
    <v>J</v>
    <v>J</v>
    <v>6</v>
    <v>Turnhout</v>
    <v>122</v>
    <v>Onderhoud Turnhout</v>
    <v>143</v>
    <v>2224</v>
    <v>2224</v>
    <v>Lage vloer streek</v>
    <v>Gelede bus</v>
    <v>Bus</v>
  </rv>
  <rv s="0">
    <v>0</v>
    <v>2225</v>
    <v>1</v>
    <v>Generic</v>
    <v>221C</v>
    <v>Euro6</v>
    <v>1</v>
    <v>42766</v>
    <v>45175</v>
    <v>Antwerpen</v>
    <v>1</v>
    <v>J</v>
    <v>J</v>
    <v>J</v>
    <v>J</v>
    <v>J</v>
    <v>7</v>
    <v>Turnhout</v>
    <v>122</v>
    <v>Onderhoud Turnhout</v>
    <v>143</v>
    <v>2225</v>
    <v>2225</v>
    <v>Lage vloer streek</v>
    <v>Gelede bus</v>
    <v>Bus</v>
  </rv>
  <rv s="0">
    <v>0</v>
    <v>2226</v>
    <v>1</v>
    <v>Generic</v>
    <v>221C</v>
    <v>Euro6</v>
    <v>1</v>
    <v>42768</v>
    <v>45175</v>
    <v>Antwerpen</v>
    <v>1</v>
    <v>J</v>
    <v>J</v>
    <v>J</v>
    <v>J</v>
    <v>J</v>
    <v>7</v>
    <v>Turnhout</v>
    <v>122</v>
    <v>Onderhoud Turnhout</v>
    <v>143</v>
    <v>2226</v>
    <v>2226</v>
    <v>Lage vloer streek</v>
    <v>Gelede bus</v>
    <v>Bus</v>
  </rv>
  <rv s="0">
    <v>0</v>
    <v>2227</v>
    <v>1</v>
    <v>Generic</v>
    <v>221C</v>
    <v>Euro6</v>
    <v>1</v>
    <v>42811</v>
    <v>45175</v>
    <v>Antwerpen</v>
    <v>1</v>
    <v>J</v>
    <v>J</v>
    <v>J</v>
    <v>J</v>
    <v>J</v>
    <v>7</v>
    <v>Turnhout</v>
    <v>122</v>
    <v>Onderhoud Turnhout</v>
    <v>143</v>
    <v>2227</v>
    <v>2227</v>
    <v>Lage vloer streek</v>
    <v>Gelede bus</v>
    <v>Bus</v>
  </rv>
  <rv s="0">
    <v>0</v>
    <v>2228</v>
    <v>1</v>
    <v>Generic</v>
    <v>222A</v>
    <v>Euro6</v>
    <v>1</v>
    <v>44610</v>
    <v>45175</v>
    <v>Antwerpen</v>
    <v>1</v>
    <v>J</v>
    <v>J</v>
    <v>J</v>
    <v>J</v>
    <v>J</v>
    <v>2</v>
    <v>Autobussen Berchem</v>
    <v>126</v>
    <v>OC Berchem</v>
    <v>145</v>
    <v>2228</v>
    <v>2228</v>
    <v>Hybride streek</v>
    <v>12-m bus</v>
    <v>Bus</v>
  </rv>
  <rv s="0">
    <v>0</v>
    <v>2229</v>
    <v>1</v>
    <v>Generic</v>
    <v>222A</v>
    <v>Euro6</v>
    <v>1</v>
    <v>43412</v>
    <v>45175</v>
    <v>Antwerpen</v>
    <v>1</v>
    <v>J</v>
    <v>J</v>
    <v>J</v>
    <v>J</v>
    <v>J</v>
    <v>5</v>
    <v>Autobussen Berchem</v>
    <v>126</v>
    <v>OC Berchem</v>
    <v>145</v>
    <v>2229</v>
    <v>2229</v>
    <v>Hybride streek</v>
    <v>12-m bus</v>
    <v>Bus</v>
  </rv>
  <rv s="0">
    <v>0</v>
    <v>2230</v>
    <v>1</v>
    <v>Generic</v>
    <v>222A</v>
    <v>Euro6</v>
    <v>1</v>
    <v>43574</v>
    <v>45175</v>
    <v>Antwerpen</v>
    <v>1</v>
    <v>J</v>
    <v>J</v>
    <v>J</v>
    <v>J</v>
    <v>J</v>
    <v>4</v>
    <v>Autobussen Berchem</v>
    <v>126</v>
    <v>OC Berchem</v>
    <v>145</v>
    <v>2230</v>
    <v>2230</v>
    <v>Hybride streek</v>
    <v>12-m bus</v>
    <v>Bus</v>
  </rv>
  <rv s="0">
    <v>0</v>
    <v>2231</v>
    <v>1</v>
    <v>Generic</v>
    <v>222A</v>
    <v>Euro6</v>
    <v>1</v>
    <v>43417</v>
    <v>45175</v>
    <v>Antwerpen</v>
    <v>1</v>
    <v>J</v>
    <v>J</v>
    <v>J</v>
    <v>J</v>
    <v>J</v>
    <v>5</v>
    <v>Autobussen Berchem</v>
    <v>126</v>
    <v>OC Berchem</v>
    <v>145</v>
    <v>2231</v>
    <v>2231</v>
    <v>Hybride streek</v>
    <v>12-m bus</v>
    <v>Bus</v>
  </rv>
  <rv s="0">
    <v>0</v>
    <v>2232</v>
    <v>1</v>
    <v>Generic</v>
    <v>222A</v>
    <v>Euro6</v>
    <v>1</v>
    <v>43417</v>
    <v>45175</v>
    <v>Antwerpen</v>
    <v>1</v>
    <v>J</v>
    <v>J</v>
    <v>J</v>
    <v>J</v>
    <v>J</v>
    <v>5</v>
    <v>Autobussen Berchem</v>
    <v>126</v>
    <v>OC Berchem</v>
    <v>145</v>
    <v>2232</v>
    <v>2232</v>
    <v>Hybride streek</v>
    <v>12-m bus</v>
    <v>Bus</v>
  </rv>
  <rv s="0">
    <v>0</v>
    <v>2233</v>
    <v>1</v>
    <v>Generic</v>
    <v>222A</v>
    <v>Euro6</v>
    <v>1</v>
    <v>43412</v>
    <v>45175</v>
    <v>Antwerpen</v>
    <v>1</v>
    <v>J</v>
    <v>J</v>
    <v>J</v>
    <v>J</v>
    <v>J</v>
    <v>5</v>
    <v>Autobussen Berchem</v>
    <v>126</v>
    <v>OC Berchem</v>
    <v>145</v>
    <v>2233</v>
    <v>2233</v>
    <v>Hybride streek</v>
    <v>12-m bus</v>
    <v>Bus</v>
  </rv>
  <rv s="0">
    <v>0</v>
    <v>2234</v>
    <v>1</v>
    <v>Generic</v>
    <v>222A</v>
    <v>Euro6</v>
    <v>1</v>
    <v>43412</v>
    <v>45175</v>
    <v>Antwerpen</v>
    <v>1</v>
    <v>J</v>
    <v>J</v>
    <v>J</v>
    <v>J</v>
    <v>J</v>
    <v>5</v>
    <v>Autobussen Berchem</v>
    <v>126</v>
    <v>OC Berchem</v>
    <v>145</v>
    <v>2234</v>
    <v>2234</v>
    <v>Hybride streek</v>
    <v>12-m bus</v>
    <v>Bus</v>
  </rv>
  <rv s="0">
    <v>0</v>
    <v>2235</v>
    <v>1</v>
    <v>Generic</v>
    <v>222A</v>
    <v>Euro6</v>
    <v>1</v>
    <v>43545</v>
    <v>45175</v>
    <v>Antwerpen</v>
    <v>1</v>
    <v>J</v>
    <v>J</v>
    <v>J</v>
    <v>J</v>
    <v>J</v>
    <v>4</v>
    <v>Autobussen Berchem</v>
    <v>126</v>
    <v>OC Berchem</v>
    <v>145</v>
    <v>2235</v>
    <v>2235</v>
    <v>Hybride streek</v>
    <v>12-m bus</v>
    <v>Bus</v>
  </rv>
  <rv s="0">
    <v>0</v>
    <v>2236</v>
    <v>1</v>
    <v>Generic</v>
    <v>222A</v>
    <v>Euro6</v>
    <v>1</v>
    <v>43413</v>
    <v>45175</v>
    <v>Antwerpen</v>
    <v>1</v>
    <v>J</v>
    <v>J</v>
    <v>J</v>
    <v>J</v>
    <v>J</v>
    <v>5</v>
    <v>Autobussen Berchem</v>
    <v>126</v>
    <v>OC Berchem</v>
    <v>145</v>
    <v>2236</v>
    <v>2236</v>
    <v>Hybride streek</v>
    <v>12-m bus</v>
    <v>Bus</v>
  </rv>
  <rv s="0">
    <v>0</v>
    <v>2237</v>
    <v>1</v>
    <v>Generic</v>
    <v>222A</v>
    <v>Euro6</v>
    <v>1</v>
    <v>43413</v>
    <v>45175</v>
    <v>Antwerpen</v>
    <v>1</v>
    <v>J</v>
    <v>J</v>
    <v>J</v>
    <v>J</v>
    <v>J</v>
    <v>5</v>
    <v>Autobussen Berchem</v>
    <v>126</v>
    <v>OC Berchem</v>
    <v>145</v>
    <v>2237</v>
    <v>2237</v>
    <v>Hybride streek</v>
    <v>12-m bus</v>
    <v>Bus</v>
  </rv>
  <rv s="0">
    <v>0</v>
    <v>2238</v>
    <v>1</v>
    <v>Generic</v>
    <v>222A</v>
    <v>Euro6</v>
    <v>1</v>
    <v>43545</v>
    <v>45175</v>
    <v>Antwerpen</v>
    <v>1</v>
    <v>J</v>
    <v>J</v>
    <v>J</v>
    <v>J</v>
    <v>J</v>
    <v>4</v>
    <v>Autobussen Berchem</v>
    <v>126</v>
    <v>OC Berchem</v>
    <v>145</v>
    <v>2238</v>
    <v>2238</v>
    <v>Hybride streek</v>
    <v>12-m bus</v>
    <v>Bus</v>
  </rv>
  <rv s="0">
    <v>0</v>
    <v>2239</v>
    <v>1</v>
    <v>Generic</v>
    <v>222A</v>
    <v>Euro6</v>
    <v>1</v>
    <v>43413</v>
    <v>45175</v>
    <v>Antwerpen</v>
    <v>1</v>
    <v>J</v>
    <v>J</v>
    <v>J</v>
    <v>J</v>
    <v>J</v>
    <v>5</v>
    <v>Autobussen Berchem</v>
    <v>126</v>
    <v>OC Berchem</v>
    <v>145</v>
    <v>2239</v>
    <v>2239</v>
    <v>Hybride streek</v>
    <v>12-m bus</v>
    <v>Bus</v>
  </rv>
  <rv s="0">
    <v>0</v>
    <v>2240</v>
    <v>1</v>
    <v>Generic</v>
    <v>222A</v>
    <v>Euro6</v>
    <v>1</v>
    <v>43423</v>
    <v>45175</v>
    <v>Antwerpen</v>
    <v>1</v>
    <v>J</v>
    <v>J</v>
    <v>J</v>
    <v>J</v>
    <v>J</v>
    <v>5</v>
    <v>Autobussen Berchem</v>
    <v>126</v>
    <v>OC Berchem</v>
    <v>145</v>
    <v>2240</v>
    <v>2240</v>
    <v>Hybride streek</v>
    <v>12-m bus</v>
    <v>Bus</v>
  </rv>
  <rv s="0">
    <v>0</v>
    <v>2241</v>
    <v>1</v>
    <v>Generic</v>
    <v>222A</v>
    <v>Euro6</v>
    <v>1</v>
    <v>43413</v>
    <v>45175</v>
    <v>Antwerpen</v>
    <v>1</v>
    <v>J</v>
    <v>J</v>
    <v>J</v>
    <v>J</v>
    <v>J</v>
    <v>5</v>
    <v>Autobussen Berchem</v>
    <v>126</v>
    <v>OC Berchem</v>
    <v>145</v>
    <v>2241</v>
    <v>2241</v>
    <v>Hybride streek</v>
    <v>12-m bus</v>
    <v>Bus</v>
  </rv>
  <rv s="0">
    <v>0</v>
    <v>2242</v>
    <v>1</v>
    <v>Generic</v>
    <v>222A</v>
    <v>Euro6</v>
    <v>1</v>
    <v>43545</v>
    <v>45175</v>
    <v>Antwerpen</v>
    <v>1</v>
    <v>J</v>
    <v>J</v>
    <v>J</v>
    <v>J</v>
    <v>J</v>
    <v>4</v>
    <v>Autobussen Berchem</v>
    <v>126</v>
    <v>OC Berchem</v>
    <v>145</v>
    <v>2242</v>
    <v>2242</v>
    <v>Hybride streek</v>
    <v>12-m bus</v>
    <v>Bus</v>
  </rv>
  <rv s="0">
    <v>0</v>
    <v>2243</v>
    <v>1</v>
    <v>Generic</v>
    <v>222A</v>
    <v>Euro6</v>
    <v>1</v>
    <v>43605</v>
    <v>45175</v>
    <v>Antwerpen</v>
    <v>1</v>
    <v>J</v>
    <v>J</v>
    <v>J</v>
    <v>J</v>
    <v>J</v>
    <v>4</v>
    <v>Autobussen Berchem</v>
    <v>126</v>
    <v>OC Berchem</v>
    <v>145</v>
    <v>2243</v>
    <v>2243</v>
    <v>Hybride streek</v>
    <v>12-m bus</v>
    <v>Bus</v>
  </rv>
  <rv s="0">
    <v>0</v>
    <v>2244</v>
    <v>1</v>
    <v>Generic</v>
    <v>222A</v>
    <v>Euro6</v>
    <v>1</v>
    <v>43612</v>
    <v>45175</v>
    <v>Antwerpen</v>
    <v>1</v>
    <v>J</v>
    <v>J</v>
    <v>J</v>
    <v>J</v>
    <v>J</v>
    <v>4</v>
    <v>Autobussen Berchem</v>
    <v>126</v>
    <v>OC Berchem</v>
    <v>145</v>
    <v>2244</v>
    <v>2244</v>
    <v>Hybride streek</v>
    <v>12-m bus</v>
    <v>Bus</v>
  </rv>
  <rv s="0">
    <v>0</v>
    <v>2245</v>
    <v>1</v>
    <v>Generic</v>
    <v>222A</v>
    <v>Euro6</v>
    <v>1</v>
    <v>43605</v>
    <v>45175</v>
    <v>Antwerpen</v>
    <v>1</v>
    <v>J</v>
    <v>J</v>
    <v>J</v>
    <v>J</v>
    <v>J</v>
    <v>4</v>
    <v>Autobussen Berchem</v>
    <v>126</v>
    <v>OC Berchem</v>
    <v>145</v>
    <v>2245</v>
    <v>2245</v>
    <v>Hybride streek</v>
    <v>12-m bus</v>
    <v>Bus</v>
  </rv>
  <rv s="0">
    <v>0</v>
    <v>2246</v>
    <v>1</v>
    <v>Generic</v>
    <v>222A</v>
    <v>Euro6</v>
    <v>1</v>
    <v>43612</v>
    <v>45175</v>
    <v>Antwerpen</v>
    <v>1</v>
    <v>J</v>
    <v>J</v>
    <v>J</v>
    <v>J</v>
    <v>J</v>
    <v>4</v>
    <v>Autobussen Berchem</v>
    <v>126</v>
    <v>OC Berchem</v>
    <v>145</v>
    <v>2246</v>
    <v>2246</v>
    <v>Hybride streek</v>
    <v>12-m bus</v>
    <v>Bus</v>
  </rv>
  <rv s="0">
    <v>0</v>
    <v>2247</v>
    <v>1</v>
    <v>Generic</v>
    <v>222A</v>
    <v>Euro6</v>
    <v>1</v>
    <v>43605</v>
    <v>45175</v>
    <v>Antwerpen</v>
    <v>1</v>
    <v>J</v>
    <v>J</v>
    <v>J</v>
    <v>J</v>
    <v>J</v>
    <v>4</v>
    <v>Autobussen Berchem</v>
    <v>126</v>
    <v>OC Berchem</v>
    <v>145</v>
    <v>2247</v>
    <v>2247</v>
    <v>Hybride streek</v>
    <v>12-m bus</v>
    <v>Bus</v>
  </rv>
  <rv s="0">
    <v>0</v>
    <v>2248</v>
    <v>1</v>
    <v>Generic</v>
    <v>222A</v>
    <v>Euro6</v>
    <v>1</v>
    <v>43612</v>
    <v>45175</v>
    <v>Antwerpen</v>
    <v>1</v>
    <v>J</v>
    <v>J</v>
    <v>J</v>
    <v>J</v>
    <v>J</v>
    <v>4</v>
    <v>Autobussen Berchem</v>
    <v>126</v>
    <v>OC Berchem</v>
    <v>145</v>
    <v>2248</v>
    <v>2248</v>
    <v>Hybride streek</v>
    <v>12-m bus</v>
    <v>Bus</v>
  </rv>
  <rv s="0">
    <v>0</v>
    <v>2249</v>
    <v>1</v>
    <v>Generic</v>
    <v>222A</v>
    <v>Euro6</v>
    <v>1</v>
    <v>43612</v>
    <v>45175</v>
    <v>Antwerpen</v>
    <v>1</v>
    <v>J</v>
    <v>J</v>
    <v>J</v>
    <v>J</v>
    <v>J</v>
    <v>4</v>
    <v>Autobussen Berchem</v>
    <v>126</v>
    <v>OC Berchem</v>
    <v>145</v>
    <v>2249</v>
    <v>2249</v>
    <v>Hybride streek</v>
    <v>12-m bus</v>
    <v>Bus</v>
  </rv>
  <rv s="0">
    <v>0</v>
    <v>2250</v>
    <v>1</v>
    <v>Generic</v>
    <v>222A</v>
    <v>Euro6</v>
    <v>1</v>
    <v>43910</v>
    <v>45175</v>
    <v>Antwerpen</v>
    <v>1</v>
    <v>J</v>
    <v>J</v>
    <v>J</v>
    <v>J</v>
    <v>J</v>
    <v>3</v>
    <v>Autobussen Berchem</v>
    <v>126</v>
    <v>OC Berchem</v>
    <v>145</v>
    <v>2250</v>
    <v>2250</v>
    <v>Hybride streek</v>
    <v>12-m bus</v>
    <v>Bus</v>
  </rv>
  <rv s="0">
    <v>0</v>
    <v>2251</v>
    <v>1</v>
    <v>Generic</v>
    <v>222A</v>
    <v>Euro6</v>
    <v>1</v>
    <v>43894</v>
    <v>45175</v>
    <v>Antwerpen</v>
    <v>1</v>
    <v>J</v>
    <v>J</v>
    <v>J</v>
    <v>J</v>
    <v>J</v>
    <v>4</v>
    <v>Autobussen Berchem</v>
    <v>126</v>
    <v>OC Berchem</v>
    <v>145</v>
    <v>2251</v>
    <v>2251</v>
    <v>Hybride streek</v>
    <v>12-m bus</v>
    <v>Bus</v>
  </rv>
  <rv s="0">
    <v>0</v>
    <v>2252</v>
    <v>1</v>
    <v>Generic</v>
    <v>222A</v>
    <v>Euro6</v>
    <v>1</v>
    <v>43852</v>
    <v>45175</v>
    <v>Antwerpen</v>
    <v>1</v>
    <v>J</v>
    <v>J</v>
    <v>J</v>
    <v>J</v>
    <v>J</v>
    <v>4</v>
    <v>Autobussen Berchem</v>
    <v>126</v>
    <v>OC Berchem</v>
    <v>145</v>
    <v>2252</v>
    <v>2252</v>
    <v>Hybride streek</v>
    <v>12-m bus</v>
    <v>Bus</v>
  </rv>
  <rv s="0">
    <v>0</v>
    <v>2253</v>
    <v>1</v>
    <v>Generic</v>
    <v>222A</v>
    <v>Euro6</v>
    <v>1</v>
    <v>43545</v>
    <v>45175</v>
    <v>Antwerpen</v>
    <v>1</v>
    <v>J</v>
    <v>J</v>
    <v>J</v>
    <v>J</v>
    <v>J</v>
    <v>4</v>
    <v>Autobussen Berchem</v>
    <v>126</v>
    <v>OC Berchem</v>
    <v>145</v>
    <v>2253</v>
    <v>2253</v>
    <v>Hybride streek</v>
    <v>12-m bus</v>
    <v>Bus</v>
  </rv>
  <rv s="0">
    <v>0</v>
    <v>2254</v>
    <v>1</v>
    <v>Generic</v>
    <v>222A</v>
    <v>Euro6</v>
    <v>1</v>
    <v>43545</v>
    <v>45175</v>
    <v>Antwerpen</v>
    <v>1</v>
    <v>J</v>
    <v>J</v>
    <v>J</v>
    <v>J</v>
    <v>J</v>
    <v>4</v>
    <v>Autobussen Berchem</v>
    <v>126</v>
    <v>OC Berchem</v>
    <v>145</v>
    <v>2254</v>
    <v>2254</v>
    <v>Hybride streek</v>
    <v>12-m bus</v>
    <v>Bus</v>
  </rv>
  <rv s="0">
    <v>0</v>
    <v>2255</v>
    <v>1</v>
    <v>Generic</v>
    <v>222A</v>
    <v>Euro6</v>
    <v>1</v>
    <v>43556</v>
    <v>45175</v>
    <v>Antwerpen</v>
    <v>1</v>
    <v>J</v>
    <v>J</v>
    <v>J</v>
    <v>J</v>
    <v>J</v>
    <v>4</v>
    <v>Autobussen Berchem</v>
    <v>126</v>
    <v>OC Berchem</v>
    <v>145</v>
    <v>2255</v>
    <v>2255</v>
    <v>Hybride streek</v>
    <v>12-m bus</v>
    <v>Bus</v>
  </rv>
  <rv s="0">
    <v>0</v>
    <v>2256</v>
    <v>1</v>
    <v>Generic</v>
    <v>222A</v>
    <v>Euro6</v>
    <v>1</v>
    <v>43556</v>
    <v>45175</v>
    <v>Antwerpen</v>
    <v>1</v>
    <v>J</v>
    <v>J</v>
    <v>J</v>
    <v>J</v>
    <v>J</v>
    <v>4</v>
    <v>Autobussen Berchem</v>
    <v>126</v>
    <v>OC Berchem</v>
    <v>145</v>
    <v>2256</v>
    <v>2256</v>
    <v>Hybride streek</v>
    <v>12-m bus</v>
    <v>Bus</v>
  </rv>
  <rv s="0">
    <v>0</v>
    <v>2257</v>
    <v>1</v>
    <v>Generic</v>
    <v>222A</v>
    <v>Euro6</v>
    <v>1</v>
    <v>43556</v>
    <v>45175</v>
    <v>Antwerpen</v>
    <v>1</v>
    <v>J</v>
    <v>J</v>
    <v>J</v>
    <v>J</v>
    <v>J</v>
    <v>4</v>
    <v>Autobussen Berchem</v>
    <v>126</v>
    <v>OC Berchem</v>
    <v>145</v>
    <v>2257</v>
    <v>2257</v>
    <v>Hybride streek</v>
    <v>12-m bus</v>
    <v>Bus</v>
  </rv>
  <rv s="0">
    <v>0</v>
    <v>2258</v>
    <v>1</v>
    <v>Generic</v>
    <v>222A</v>
    <v>Euro6</v>
    <v>1</v>
    <v>43557</v>
    <v>45175</v>
    <v>Antwerpen</v>
    <v>1</v>
    <v>J</v>
    <v>J</v>
    <v>J</v>
    <v>J</v>
    <v>J</v>
    <v>4</v>
    <v>Autobussen Berchem</v>
    <v>126</v>
    <v>OC Berchem</v>
    <v>145</v>
    <v>2258</v>
    <v>2258</v>
    <v>Hybride streek</v>
    <v>12-m bus</v>
    <v>Bus</v>
  </rv>
  <rv s="0">
    <v>0</v>
    <v>2259</v>
    <v>1</v>
    <v>Generic</v>
    <v>222A</v>
    <v>Euro6</v>
    <v>1</v>
    <v>43557</v>
    <v>45175</v>
    <v>Vlaams-Brabant</v>
    <v>3</v>
    <v>J</v>
    <v>J</v>
    <v>J</v>
    <v>J</v>
    <v>J</v>
    <v>4</v>
    <v>Overijse</v>
    <v>115</v>
    <v>Onderhoud Overijse</v>
    <v>144</v>
    <v>2259</v>
    <v>2259</v>
    <v>Hybride streek</v>
    <v>12-m bus</v>
    <v>Bus</v>
  </rv>
  <rv s="0">
    <v>0</v>
    <v>2260</v>
    <v>1</v>
    <v>Generic</v>
    <v>222A</v>
    <v>Euro6</v>
    <v>1</v>
    <v>43566</v>
    <v>45175</v>
    <v>Vlaams-Brabant</v>
    <v>3</v>
    <v>J</v>
    <v>J</v>
    <v>J</v>
    <v>J</v>
    <v>J</v>
    <v>4</v>
    <v>Overijse</v>
    <v>115</v>
    <v>Onderhoud Overijse</v>
    <v>144</v>
    <v>2260</v>
    <v>2260</v>
    <v>Hybride streek</v>
    <v>12-m bus</v>
    <v>Bus</v>
  </rv>
  <rv s="0">
    <v>0</v>
    <v>2261</v>
    <v>1</v>
    <v>Generic</v>
    <v>222A</v>
    <v>Euro6</v>
    <v>1</v>
    <v>43571</v>
    <v>45175</v>
    <v>Vlaams-Brabant</v>
    <v>3</v>
    <v>J</v>
    <v>J</v>
    <v>J</v>
    <v>J</v>
    <v>J</v>
    <v>4</v>
    <v>Overijse</v>
    <v>115</v>
    <v>Onderhoud Overijse</v>
    <v>144</v>
    <v>2261</v>
    <v>2261</v>
    <v>Hybride streek</v>
    <v>12-m bus</v>
    <v>Bus</v>
  </rv>
  <rv s="0">
    <v>0</v>
    <v>2262</v>
    <v>1</v>
    <v>Generic</v>
    <v>222A</v>
    <v>Euro6</v>
    <v>1</v>
    <v>43572</v>
    <v>45175</v>
    <v>Vlaams-Brabant</v>
    <v>3</v>
    <v>J</v>
    <v>J</v>
    <v>J</v>
    <v>J</v>
    <v>J</v>
    <v>4</v>
    <v>Overijse</v>
    <v>115</v>
    <v>Onderhoud Overijse</v>
    <v>144</v>
    <v>2262</v>
    <v>2262</v>
    <v>Hybride streek</v>
    <v>12-m bus</v>
    <v>Bus</v>
  </rv>
  <rv s="0">
    <v>0</v>
    <v>2263</v>
    <v>1</v>
    <v>Generic</v>
    <v>222A</v>
    <v>Euro6</v>
    <v>1</v>
    <v>43571</v>
    <v>45175</v>
    <v>Vlaams-Brabant</v>
    <v>3</v>
    <v>J</v>
    <v>J</v>
    <v>J</v>
    <v>J</v>
    <v>J</v>
    <v>4</v>
    <v>Overijse</v>
    <v>115</v>
    <v>Onderhoud Overijse</v>
    <v>144</v>
    <v>2263</v>
    <v>2263</v>
    <v>Hybride streek</v>
    <v>12-m bus</v>
    <v>Bus</v>
  </rv>
  <rv s="0">
    <v>0</v>
    <v>2265</v>
    <v>1</v>
    <v>Generic</v>
    <v>222A</v>
    <v>Euro6</v>
    <v>1</v>
    <v>43551</v>
    <v>45175</v>
    <v>Oost-Vlaanderen</v>
    <v>2</v>
    <v>J</v>
    <v>J</v>
    <v>J</v>
    <v>J</v>
    <v>J</v>
    <v>4</v>
    <v>Destelbergen</v>
    <v>111</v>
    <v>Werkhuis Destelbergen</v>
    <v>142</v>
    <v>2265</v>
    <v>2265</v>
    <v>Hybride streek</v>
    <v>12-m bus</v>
    <v>Bus</v>
  </rv>
  <rv s="0">
    <v>0</v>
    <v>2266</v>
    <v>1</v>
    <v>Generic</v>
    <v>222A</v>
    <v>Euro6</v>
    <v>1</v>
    <v>43550</v>
    <v>45175</v>
    <v>Antwerpen</v>
    <v>1</v>
    <v>J</v>
    <v>J</v>
    <v>J</v>
    <v>J</v>
    <v>J</v>
    <v>4</v>
    <v>Mechelen Racing</v>
    <v>115</v>
    <v>Onderhoud Mechelen</v>
    <v>144</v>
    <v>2266</v>
    <v>2266</v>
    <v>Hybride streek</v>
    <v>12-m bus</v>
    <v>Bus</v>
  </rv>
  <rv s="0">
    <v>0</v>
    <v>2267</v>
    <v>1</v>
    <v>Generic</v>
    <v>222A</v>
    <v>Euro6</v>
    <v>1</v>
    <v>43580</v>
    <v>45175</v>
    <v>Oost-Vlaanderen</v>
    <v>2</v>
    <v>J</v>
    <v>J</v>
    <v>J</v>
    <v>J</v>
    <v>J</v>
    <v>4</v>
    <v>Destelbergen</v>
    <v>111</v>
    <v>Werkhuis Destelbergen</v>
    <v>142</v>
    <v>2267</v>
    <v>2267</v>
    <v>Hybride streek</v>
    <v>12-m bus</v>
    <v>Bus</v>
  </rv>
  <rv s="0">
    <v>0</v>
    <v>2268</v>
    <v>1</v>
    <v>Generic</v>
    <v>222A</v>
    <v>Euro6</v>
    <v>1</v>
    <v>43580</v>
    <v>45175</v>
    <v>Oost-Vlaanderen</v>
    <v>2</v>
    <v>J</v>
    <v>J</v>
    <v>J</v>
    <v>J</v>
    <v>J</v>
    <v>4</v>
    <v>Destelbergen</v>
    <v>111</v>
    <v>Werkhuis Destelbergen</v>
    <v>142</v>
    <v>2268</v>
    <v>2268</v>
    <v>Hybride streek</v>
    <v>12-m bus</v>
    <v>Bus</v>
  </rv>
  <rv s="0">
    <v>0</v>
    <v>2269</v>
    <v>1</v>
    <v>Generic</v>
    <v>222A</v>
    <v>Euro6</v>
    <v>1</v>
    <v>43581</v>
    <v>45175</v>
    <v>Oost-Vlaanderen</v>
    <v>2</v>
    <v>J</v>
    <v>J</v>
    <v>J</v>
    <v>J</v>
    <v>J</v>
    <v>4</v>
    <v>Destelbergen</v>
    <v>111</v>
    <v>Werkhuis Destelbergen</v>
    <v>142</v>
    <v>2269</v>
    <v>2269</v>
    <v>Hybride streek</v>
    <v>12-m bus</v>
    <v>Bus</v>
  </rv>
  <rv s="0">
    <v>0</v>
    <v>2270</v>
    <v>1</v>
    <v>Generic</v>
    <v>222A</v>
    <v>Euro6</v>
    <v>1</v>
    <v>43588</v>
    <v>45175</v>
    <v>Oost-Vlaanderen</v>
    <v>2</v>
    <v>J</v>
    <v>J</v>
    <v>J</v>
    <v>J</v>
    <v>J</v>
    <v>4</v>
    <v>Destelbergen</v>
    <v>111</v>
    <v>Werkhuis Destelbergen</v>
    <v>142</v>
    <v>2270</v>
    <v>2270</v>
    <v>Hybride streek</v>
    <v>12-m bus</v>
    <v>Bus</v>
  </rv>
  <rv s="0">
    <v>0</v>
    <v>2271</v>
    <v>1</v>
    <v>Generic</v>
    <v>222A</v>
    <v>Euro6</v>
    <v>1</v>
    <v>43588</v>
    <v>45175</v>
    <v>Oost-Vlaanderen</v>
    <v>2</v>
    <v>J</v>
    <v>J</v>
    <v>J</v>
    <v>J</v>
    <v>J</v>
    <v>4</v>
    <v>Destelbergen</v>
    <v>111</v>
    <v>Werkhuis Destelbergen</v>
    <v>142</v>
    <v>2271</v>
    <v>2271</v>
    <v>Hybride streek</v>
    <v>12-m bus</v>
    <v>Bus</v>
  </rv>
  <rv s="0">
    <v>0</v>
    <v>2272</v>
    <v>1</v>
    <v>Generic</v>
    <v>222A</v>
    <v>Euro6</v>
    <v>1</v>
    <v>43580</v>
    <v>45175</v>
    <v>Oost-Vlaanderen</v>
    <v>2</v>
    <v>J</v>
    <v>J</v>
    <v>J</v>
    <v>J</v>
    <v>J</v>
    <v>4</v>
    <v>Destelbergen</v>
    <v>111</v>
    <v>Werkhuis Destelbergen</v>
    <v>142</v>
    <v>2272</v>
    <v>2272</v>
    <v>Hybride streek</v>
    <v>12-m bus</v>
    <v>Bus</v>
  </rv>
  <rv s="0">
    <v>0</v>
    <v>2273</v>
    <v>1</v>
    <v>Generic</v>
    <v>222A</v>
    <v>Euro6</v>
    <v>1</v>
    <v>43605</v>
    <v>45175</v>
    <v>Oost-Vlaanderen</v>
    <v>2</v>
    <v>J</v>
    <v>J</v>
    <v>J</v>
    <v>J</v>
    <v>J</v>
    <v>4</v>
    <v>Destelbergen</v>
    <v>111</v>
    <v>Werkhuis Destelbergen</v>
    <v>142</v>
    <v>2273</v>
    <v>2273</v>
    <v>Hybride streek</v>
    <v>12-m bus</v>
    <v>Bus</v>
  </rv>
  <rv s="0">
    <v>0</v>
    <v>2274</v>
    <v>1</v>
    <v>Generic</v>
    <v>222A</v>
    <v>Euro6</v>
    <v>1</v>
    <v>43819</v>
    <v>45175</v>
    <v>Vlaams-Brabant</v>
    <v>3</v>
    <v>J</v>
    <v>J</v>
    <v>J</v>
    <v>J</v>
    <v>J</v>
    <v>4</v>
    <v>Overijse</v>
    <v>115</v>
    <v>Onderhoud Overijse</v>
    <v>144</v>
    <v>2274</v>
    <v>2274</v>
    <v>Hybride streek</v>
    <v>12-m bus</v>
    <v>Bus</v>
  </rv>
  <rv s="0">
    <v>0</v>
    <v>2275</v>
    <v>1</v>
    <v>Generic</v>
    <v>222A</v>
    <v>Euro6</v>
    <v>1</v>
    <v>43819</v>
    <v>45175</v>
    <v>Vlaams-Brabant</v>
    <v>3</v>
    <v>J</v>
    <v>J</v>
    <v>J</v>
    <v>J</v>
    <v>J</v>
    <v>4</v>
    <v>Overijse</v>
    <v>115</v>
    <v>Onderhoud Overijse</v>
    <v>144</v>
    <v>2275</v>
    <v>2275</v>
    <v>Hybride streek</v>
    <v>12-m bus</v>
    <v>Bus</v>
  </rv>
  <rv s="0">
    <v>0</v>
    <v>2276</v>
    <v>1</v>
    <v>Generic</v>
    <v>222A</v>
    <v>Euro6</v>
    <v>1</v>
    <v>43871</v>
    <v>45175</v>
    <v>Vlaams-Brabant</v>
    <v>3</v>
    <v>J</v>
    <v>J</v>
    <v>J</v>
    <v>J</v>
    <v>J</v>
    <v>4</v>
    <v>Overijse</v>
    <v>115</v>
    <v>Onderhoud Overijse</v>
    <v>144</v>
    <v>2276</v>
    <v>2276</v>
    <v>Hybride streek</v>
    <v>12-m bus</v>
    <v>Bus</v>
  </rv>
  <rv s="0">
    <v>0</v>
    <v>2277</v>
    <v>1</v>
    <v>Generic</v>
    <v>222A</v>
    <v>Euro6</v>
    <v>1</v>
    <v>43899</v>
    <v>45175</v>
    <v>Vlaams-Brabant</v>
    <v>3</v>
    <v>J</v>
    <v>J</v>
    <v>J</v>
    <v>J</v>
    <v>J</v>
    <v>4</v>
    <v>Overijse</v>
    <v>115</v>
    <v>Onderhoud Overijse</v>
    <v>144</v>
    <v>2277</v>
    <v>2277</v>
    <v>Hybride streek</v>
    <v>12-m bus</v>
    <v>Bus</v>
  </rv>
  <rv s="0">
    <v>0</v>
    <v>2278</v>
    <v>1</v>
    <v>Generic</v>
    <v>222A</v>
    <v>Euro6</v>
    <v>1</v>
    <v>43644</v>
    <v>45175</v>
    <v>Oost-Vlaanderen</v>
    <v>2</v>
    <v>J</v>
    <v>J</v>
    <v>J</v>
    <v>J</v>
    <v>J</v>
    <v>4</v>
    <v>Destelbergen</v>
    <v>111</v>
    <v>Werkhuis Destelbergen</v>
    <v>142</v>
    <v>2278</v>
    <v>2278</v>
    <v>Hybride streek</v>
    <v>12-m bus</v>
    <v>Bus</v>
  </rv>
  <rv s="0">
    <v>0</v>
    <v>2279</v>
    <v>1</v>
    <v>Generic</v>
    <v>222A</v>
    <v>Euro6</v>
    <v>1</v>
    <v>43663</v>
    <v>45175</v>
    <v>Oost-Vlaanderen</v>
    <v>2</v>
    <v>J</v>
    <v>J</v>
    <v>J</v>
    <v>J</v>
    <v>J</v>
    <v>4</v>
    <v>Destelbergen</v>
    <v>111</v>
    <v>Werkhuis Destelbergen</v>
    <v>142</v>
    <v>2279</v>
    <v>2279</v>
    <v>Hybride streek</v>
    <v>12-m bus</v>
    <v>Bus</v>
  </rv>
  <rv s="0">
    <v>0</v>
    <v>2280</v>
    <v>1</v>
    <v>Generic</v>
    <v>222A</v>
    <v>Euro6</v>
    <v>1</v>
    <v>43850</v>
    <v>45175</v>
    <v>Vlaams-Brabant</v>
    <v>3</v>
    <v>J</v>
    <v>J</v>
    <v>J</v>
    <v>J</v>
    <v>J</v>
    <v>4</v>
    <v>Overijse</v>
    <v>115</v>
    <v>Onderhoud Overijse</v>
    <v>144</v>
    <v>2280</v>
    <v>2280</v>
    <v>Hybride streek</v>
    <v>12-m bus</v>
    <v>Bus</v>
  </rv>
  <rv s="0">
    <v>0</v>
    <v>2281</v>
    <v>1</v>
    <v>Generic</v>
    <v>222A</v>
    <v>Euro6</v>
    <v>1</v>
    <v>43766</v>
    <v>45175</v>
    <v>Antwerpen</v>
    <v>1</v>
    <v>J</v>
    <v>J</v>
    <v>J</v>
    <v>J</v>
    <v>J</v>
    <v>4</v>
    <v>Mechelen Racing</v>
    <v>115</v>
    <v>Onderhoud Mechelen</v>
    <v>144</v>
    <v>2281</v>
    <v>2281</v>
    <v>Hybride streek</v>
    <v>12-m bus</v>
    <v>Bus</v>
  </rv>
  <rv s="0">
    <v>0</v>
    <v>2282</v>
    <v>1</v>
    <v>Generic</v>
    <v>222A</v>
    <v>Euro6</v>
    <v>1</v>
    <v>43819</v>
    <v>45175</v>
    <v>Oost-Vlaanderen</v>
    <v>2</v>
    <v>J</v>
    <v>J</v>
    <v>J</v>
    <v>J</v>
    <v>J</v>
    <v>4</v>
    <v>Destelbergen</v>
    <v>111</v>
    <v>Werkhuis Destelbergen</v>
    <v>142</v>
    <v>2282</v>
    <v>2282</v>
    <v>Hybride streek</v>
    <v>12-m bus</v>
    <v>Bus</v>
  </rv>
  <rv s="0">
    <v>0</v>
    <v>2283</v>
    <v>1</v>
    <v>Generic</v>
    <v>222A</v>
    <v>Euro6</v>
    <v>1</v>
    <v>43605</v>
    <v>45175</v>
    <v>Oost-Vlaanderen</v>
    <v>2</v>
    <v>J</v>
    <v>J</v>
    <v>J</v>
    <v>J</v>
    <v>J</v>
    <v>4</v>
    <v>Destelbergen</v>
    <v>111</v>
    <v>Werkhuis Destelbergen</v>
    <v>142</v>
    <v>2283</v>
    <v>2283</v>
    <v>Hybride streek</v>
    <v>12-m bus</v>
    <v>Bus</v>
  </rv>
  <rv s="0">
    <v>0</v>
    <v>2284</v>
    <v>1</v>
    <v>Generic</v>
    <v>222A</v>
    <v>Euro6</v>
    <v>1</v>
    <v>43431</v>
    <v>45175</v>
    <v>Antwerpen</v>
    <v>1</v>
    <v>J</v>
    <v>J</v>
    <v>J</v>
    <v>J</v>
    <v>J</v>
    <v>5</v>
    <v>Onbekend</v>
    <v>#</v>
    <v>Onbekend</v>
    <v>#</v>
    <v>2284</v>
    <v>2284</v>
    <v>Hybride streek</v>
    <v>12-m bus</v>
    <v>Bus</v>
  </rv>
  <rv s="0">
    <v>0</v>
    <v>2285</v>
    <v>1</v>
    <v>Generic</v>
    <v>222A</v>
    <v>Euro6</v>
    <v>1</v>
    <v>43434</v>
    <v>45175</v>
    <v>Antwerpen</v>
    <v>1</v>
    <v>J</v>
    <v>J</v>
    <v>J</v>
    <v>J</v>
    <v>J</v>
    <v>5</v>
    <v>Onbekend</v>
    <v>#</v>
    <v>Onbekend</v>
    <v>#</v>
    <v>2285</v>
    <v>2285</v>
    <v>Hybride streek</v>
    <v>12-m bus</v>
    <v>Bus</v>
  </rv>
  <rv s="0">
    <v>0</v>
    <v>2286</v>
    <v>1</v>
    <v>Generic</v>
    <v>222A</v>
    <v>Euro6</v>
    <v>1</v>
    <v>43434</v>
    <v>45175</v>
    <v>Antwerpen</v>
    <v>1</v>
    <v>J</v>
    <v>J</v>
    <v>J</v>
    <v>J</v>
    <v>J</v>
    <v>5</v>
    <v>Onbekend</v>
    <v>#</v>
    <v>Onbekend</v>
    <v>#</v>
    <v>2286</v>
    <v>2286</v>
    <v>Hybride streek</v>
    <v>12-m bus</v>
    <v>Bus</v>
  </rv>
  <rv s="0">
    <v>0</v>
    <v>2287</v>
    <v>1</v>
    <v>Generic</v>
    <v>222A</v>
    <v>Euro6</v>
    <v>1</v>
    <v>43431</v>
    <v>45175</v>
    <v>Vlaams-Brabant</v>
    <v>3</v>
    <v>J</v>
    <v>J</v>
    <v>J</v>
    <v>J</v>
    <v>J</v>
    <v>5</v>
    <v>Dilbeek</v>
    <v>113</v>
    <v>Onderhoud Dilbeek</v>
    <v>146</v>
    <v>2287</v>
    <v>2287</v>
    <v>Hybride streek</v>
    <v>12-m bus</v>
    <v>Bus</v>
  </rv>
  <rv s="0">
    <v>0</v>
    <v>2288</v>
    <v>1</v>
    <v>Generic</v>
    <v>222A</v>
    <v>Euro6</v>
    <v>1</v>
    <v>43431</v>
    <v>45175</v>
    <v>Vlaams-Brabant</v>
    <v>3</v>
    <v>J</v>
    <v>J</v>
    <v>J</v>
    <v>J</v>
    <v>J</v>
    <v>5</v>
    <v>Dilbeek</v>
    <v>113</v>
    <v>Onderhoud Dilbeek</v>
    <v>146</v>
    <v>2288</v>
    <v>2288</v>
    <v>Hybride streek</v>
    <v>12-m bus</v>
    <v>Bus</v>
  </rv>
  <rv s="0">
    <v>0</v>
    <v>2289</v>
    <v>1</v>
    <v>Generic</v>
    <v>222A</v>
    <v>Euro6</v>
    <v>1</v>
    <v>43434</v>
    <v>45175</v>
    <v>Antwerpen</v>
    <v>1</v>
    <v>J</v>
    <v>J</v>
    <v>J</v>
    <v>J</v>
    <v>J</v>
    <v>5</v>
    <v>Onbekend</v>
    <v>#</v>
    <v>Onbekend</v>
    <v>#</v>
    <v>2289</v>
    <v>2289</v>
    <v>Hybride streek</v>
    <v>12-m bus</v>
    <v>Bus</v>
  </rv>
  <rv s="0">
    <v>0</v>
    <v>2290</v>
    <v>1</v>
    <v>Generic</v>
    <v>222A</v>
    <v>Euro6</v>
    <v>1</v>
    <v>43434</v>
    <v>45175</v>
    <v>Vlaams-Brabant</v>
    <v>3</v>
    <v>J</v>
    <v>J</v>
    <v>J</v>
    <v>J</v>
    <v>J</v>
    <v>5</v>
    <v>Dilbeek</v>
    <v>113</v>
    <v>Onderhoud Dilbeek</v>
    <v>146</v>
    <v>2290</v>
    <v>2290</v>
    <v>Hybride streek</v>
    <v>12-m bus</v>
    <v>Bus</v>
  </rv>
  <rv s="0">
    <v>0</v>
    <v>2291</v>
    <v>1</v>
    <v>Generic</v>
    <v>222A</v>
    <v>Euro6</v>
    <v>1</v>
    <v>43431</v>
    <v>45175</v>
    <v>Vlaams-Brabant</v>
    <v>3</v>
    <v>J</v>
    <v>J</v>
    <v>J</v>
    <v>J</v>
    <v>J</v>
    <v>5</v>
    <v>Dilbeek</v>
    <v>113</v>
    <v>Onderhoud Dilbeek</v>
    <v>146</v>
    <v>2291</v>
    <v>2291</v>
    <v>Hybride streek</v>
    <v>12-m bus</v>
    <v>Bus</v>
  </rv>
  <rv s="0">
    <v>0</v>
    <v>2292</v>
    <v>1</v>
    <v>Generic</v>
    <v>222A</v>
    <v>Euro6</v>
    <v>1</v>
    <v>43431</v>
    <v>45175</v>
    <v>Vlaams-Brabant</v>
    <v>3</v>
    <v>J</v>
    <v>J</v>
    <v>J</v>
    <v>J</v>
    <v>J</v>
    <v>5</v>
    <v>Dilbeek</v>
    <v>113</v>
    <v>Onderhoud Dilbeek</v>
    <v>146</v>
    <v>2292</v>
    <v>2292</v>
    <v>Hybride streek</v>
    <v>12-m bus</v>
    <v>Bus</v>
  </rv>
  <rv s="0">
    <v>0</v>
    <v>2293</v>
    <v>1</v>
    <v>Generic</v>
    <v>222A</v>
    <v>Euro6</v>
    <v>1</v>
    <v>43434</v>
    <v>45175</v>
    <v>Vlaams-Brabant</v>
    <v>3</v>
    <v>J</v>
    <v>J</v>
    <v>J</v>
    <v>J</v>
    <v>J</v>
    <v>5</v>
    <v>Dilbeek</v>
    <v>113</v>
    <v>Onderhoud Dilbeek</v>
    <v>146</v>
    <v>2293</v>
    <v>2293</v>
    <v>Hybride streek</v>
    <v>12-m bus</v>
    <v>Bus</v>
  </rv>
  <rv s="0">
    <v>0</v>
    <v>2294</v>
    <v>1</v>
    <v>Generic</v>
    <v>222E</v>
    <v>Euro6</v>
    <v>1</v>
    <v>43242</v>
    <v>45175</v>
    <v>Vlaams-Brabant</v>
    <v>3</v>
    <v>J</v>
    <v>J</v>
    <v>J</v>
    <v>J</v>
    <v>J</v>
    <v>5</v>
    <v>Het Rad</v>
    <v>111</v>
    <v>Onderhoud Het Rad</v>
    <v>147</v>
    <v>2294</v>
    <v>2294</v>
    <v>Lage vloer streek</v>
    <v>12-m bus</v>
    <v>Bus</v>
  </rv>
  <rv s="0">
    <v>0</v>
    <v>2295</v>
    <v>1</v>
    <v>Generic</v>
    <v>222E</v>
    <v>Euro6</v>
    <v>1</v>
    <v>43242</v>
    <v>45175</v>
    <v>Vlaams-Brabant</v>
    <v>3</v>
    <v>J</v>
    <v>J</v>
    <v>J</v>
    <v>J</v>
    <v>J</v>
    <v>5</v>
    <v>Het Rad</v>
    <v>111</v>
    <v>Onderhoud Het Rad</v>
    <v>147</v>
    <v>2295</v>
    <v>2295</v>
    <v>Lage vloer streek</v>
    <v>12-m bus</v>
    <v>Bus</v>
  </rv>
  <rv s="0">
    <v>0</v>
    <v>2296</v>
    <v>1</v>
    <v>Generic</v>
    <v>222E</v>
    <v>Euro6</v>
    <v>1</v>
    <v>43242</v>
    <v>45175</v>
    <v>Vlaams-Brabant</v>
    <v>3</v>
    <v>J</v>
    <v>J</v>
    <v>J</v>
    <v>J</v>
    <v>J</v>
    <v>5</v>
    <v>Het Rad</v>
    <v>111</v>
    <v>Onderhoud Het Rad</v>
    <v>147</v>
    <v>2296</v>
    <v>2296</v>
    <v>Lage vloer streek</v>
    <v>12-m bus</v>
    <v>Bus</v>
  </rv>
  <rv s="0">
    <v>0</v>
    <v>2297</v>
    <v>1</v>
    <v>Generic</v>
    <v>222E</v>
    <v>Euro6</v>
    <v>1</v>
    <v>43242</v>
    <v>45175</v>
    <v>Vlaams-Brabant</v>
    <v>3</v>
    <v>J</v>
    <v>J</v>
    <v>J</v>
    <v>J</v>
    <v>J</v>
    <v>5</v>
    <v>Het Rad</v>
    <v>111</v>
    <v>Onderhoud Het Rad</v>
    <v>147</v>
    <v>2297</v>
    <v>2297</v>
    <v>Lage vloer streek</v>
    <v>12-m bus</v>
    <v>Bus</v>
  </rv>
  <rv s="0">
    <v>0</v>
    <v>2298</v>
    <v>1</v>
    <v>Generic</v>
    <v>222E</v>
    <v>Euro6</v>
    <v>1</v>
    <v>43250</v>
    <v>45175</v>
    <v>Vlaams-Brabant</v>
    <v>3</v>
    <v>J</v>
    <v>J</v>
    <v>J</v>
    <v>J</v>
    <v>J</v>
    <v>5</v>
    <v>Het Rad</v>
    <v>111</v>
    <v>Onderhoud Het Rad</v>
    <v>147</v>
    <v>2298</v>
    <v>2298</v>
    <v>Lage vloer streek</v>
    <v>12-m bus</v>
    <v>Bus</v>
  </rv>
  <rv s="0">
    <v>0</v>
    <v>2299</v>
    <v>1</v>
    <v>Generic</v>
    <v>222E</v>
    <v>Euro6</v>
    <v>1</v>
    <v>43250</v>
    <v>45175</v>
    <v>Vlaams-Brabant</v>
    <v>3</v>
    <v>J</v>
    <v>J</v>
    <v>J</v>
    <v>J</v>
    <v>J</v>
    <v>5</v>
    <v>Het Rad</v>
    <v>111</v>
    <v>Onderhoud Het Rad</v>
    <v>147</v>
    <v>2299</v>
    <v>2299</v>
    <v>Lage vloer streek</v>
    <v>12-m bus</v>
    <v>Bus</v>
  </rv>
  <rv s="0">
    <v>0</v>
    <v>2300</v>
    <v>1</v>
    <v>Generic</v>
    <v>222E</v>
    <v>Euro6</v>
    <v>1</v>
    <v>43250</v>
    <v>45175</v>
    <v>Vlaams-Brabant</v>
    <v>3</v>
    <v>J</v>
    <v>J</v>
    <v>J</v>
    <v>J</v>
    <v>J</v>
    <v>5</v>
    <v>Het Rad</v>
    <v>111</v>
    <v>Onderhoud Het Rad</v>
    <v>147</v>
    <v>2300</v>
    <v>2300</v>
    <v>Lage vloer streek</v>
    <v>12-m bus</v>
    <v>Bus</v>
  </rv>
  <rv s="0">
    <v>0</v>
    <v>2301</v>
    <v>1</v>
    <v>Generic</v>
    <v>222E</v>
    <v>Euro6</v>
    <v>1</v>
    <v>43250</v>
    <v>45175</v>
    <v>Vlaams-Brabant</v>
    <v>3</v>
    <v>J</v>
    <v>J</v>
    <v>J</v>
    <v>J</v>
    <v>J</v>
    <v>5</v>
    <v>Het Rad</v>
    <v>111</v>
    <v>Onderhoud Het Rad</v>
    <v>147</v>
    <v>2301</v>
    <v>2301</v>
    <v>Lage vloer streek</v>
    <v>12-m bus</v>
    <v>Bus</v>
  </rv>
  <rv s="0">
    <v>0</v>
    <v>2302</v>
    <v>1</v>
    <v>Generic</v>
    <v>222E</v>
    <v>Euro6</v>
    <v>1</v>
    <v>43251</v>
    <v>45175</v>
    <v>Vlaams-Brabant</v>
    <v>3</v>
    <v>J</v>
    <v>J</v>
    <v>J</v>
    <v>J</v>
    <v>J</v>
    <v>5</v>
    <v>Het Rad</v>
    <v>111</v>
    <v>Onderhoud Het Rad</v>
    <v>147</v>
    <v>2302</v>
    <v>2302</v>
    <v>Lage vloer streek</v>
    <v>12-m bus</v>
    <v>Bus</v>
  </rv>
  <rv s="0">
    <v>0</v>
    <v>2303</v>
    <v>1</v>
    <v>Generic</v>
    <v>222E</v>
    <v>Euro6</v>
    <v>1</v>
    <v>43257</v>
    <v>45175</v>
    <v>Vlaams-Brabant</v>
    <v>3</v>
    <v>J</v>
    <v>J</v>
    <v>J</v>
    <v>J</v>
    <v>J</v>
    <v>5</v>
    <v>Het Rad</v>
    <v>111</v>
    <v>Onderhoud Het Rad</v>
    <v>147</v>
    <v>2303</v>
    <v>2303</v>
    <v>Lage vloer streek</v>
    <v>12-m bus</v>
    <v>Bus</v>
  </rv>
  <rv s="0">
    <v>0</v>
    <v>2304</v>
    <v>1</v>
    <v>Generic</v>
    <v>222E</v>
    <v>Euro6</v>
    <v>1</v>
    <v>43257</v>
    <v>45175</v>
    <v>Vlaams-Brabant</v>
    <v>3</v>
    <v>J</v>
    <v>J</v>
    <v>J</v>
    <v>J</v>
    <v>J</v>
    <v>5</v>
    <v>Het Rad</v>
    <v>111</v>
    <v>Onderhoud Het Rad</v>
    <v>147</v>
    <v>2304</v>
    <v>2304</v>
    <v>Lage vloer streek</v>
    <v>12-m bus</v>
    <v>Bus</v>
  </rv>
  <rv s="0">
    <v>0</v>
    <v>2305</v>
    <v>1</v>
    <v>Generic</v>
    <v>222E</v>
    <v>Euro6</v>
    <v>1</v>
    <v>43258</v>
    <v>45175</v>
    <v>Vlaams-Brabant</v>
    <v>3</v>
    <v>J</v>
    <v>J</v>
    <v>J</v>
    <v>J</v>
    <v>J</v>
    <v>5</v>
    <v>Het Rad</v>
    <v>111</v>
    <v>Onderhoud Het Rad</v>
    <v>147</v>
    <v>2305</v>
    <v>2305</v>
    <v>Lage vloer streek</v>
    <v>12-m bus</v>
    <v>Bus</v>
  </rv>
  <rv s="0">
    <v>0</v>
    <v>2306</v>
    <v>1</v>
    <v>Generic</v>
    <v>222E</v>
    <v>Euro6</v>
    <v>1</v>
    <v>43258</v>
    <v>45175</v>
    <v>Vlaams-Brabant</v>
    <v>3</v>
    <v>J</v>
    <v>J</v>
    <v>J</v>
    <v>J</v>
    <v>J</v>
    <v>5</v>
    <v>Het Rad</v>
    <v>111</v>
    <v>Onderhoud Het Rad</v>
    <v>147</v>
    <v>2306</v>
    <v>2306</v>
    <v>Lage vloer streek</v>
    <v>12-m bus</v>
    <v>Bus</v>
  </rv>
  <rv s="0">
    <v>0</v>
    <v>2307</v>
    <v>1</v>
    <v>Generic</v>
    <v>222E</v>
    <v>Euro6</v>
    <v>1</v>
    <v>43271</v>
    <v>45175</v>
    <v>Vlaams-Brabant</v>
    <v>3</v>
    <v>J</v>
    <v>J</v>
    <v>J</v>
    <v>J</v>
    <v>J</v>
    <v>5</v>
    <v>Het Rad</v>
    <v>111</v>
    <v>Onderhoud Het Rad</v>
    <v>147</v>
    <v>2307</v>
    <v>2307</v>
    <v>Lage vloer streek</v>
    <v>12-m bus</v>
    <v>Bus</v>
  </rv>
  <rv s="0">
    <v>0</v>
    <v>2308</v>
    <v>1</v>
    <v>Generic</v>
    <v>222E</v>
    <v>Euro6</v>
    <v>1</v>
    <v>43264</v>
    <v>45175</v>
    <v>Vlaams-Brabant</v>
    <v>3</v>
    <v>J</v>
    <v>J</v>
    <v>J</v>
    <v>J</v>
    <v>J</v>
    <v>5</v>
    <v>Het Rad</v>
    <v>111</v>
    <v>Onderhoud Het Rad</v>
    <v>147</v>
    <v>2308</v>
    <v>2308</v>
    <v>Lage vloer streek</v>
    <v>12-m bus</v>
    <v>Bus</v>
  </rv>
  <rv s="0">
    <v>0</v>
    <v>2309</v>
    <v>1</v>
    <v>Generic</v>
    <v>222E</v>
    <v>Euro6</v>
    <v>1</v>
    <v>43271</v>
    <v>45175</v>
    <v>Vlaams-Brabant</v>
    <v>3</v>
    <v>J</v>
    <v>J</v>
    <v>J</v>
    <v>J</v>
    <v>J</v>
    <v>5</v>
    <v>Het Rad</v>
    <v>111</v>
    <v>Onderhoud Het Rad</v>
    <v>147</v>
    <v>2309</v>
    <v>2309</v>
    <v>Lage vloer streek</v>
    <v>12-m bus</v>
    <v>Bus</v>
  </rv>
  <rv s="0">
    <v>0</v>
    <v>2310</v>
    <v>1</v>
    <v>Generic</v>
    <v>222E</v>
    <v>Euro6</v>
    <v>1</v>
    <v>43271</v>
    <v>45175</v>
    <v>Vlaams-Brabant</v>
    <v>3</v>
    <v>J</v>
    <v>J</v>
    <v>J</v>
    <v>J</v>
    <v>J</v>
    <v>5</v>
    <v>Het Rad</v>
    <v>111</v>
    <v>Onderhoud Het Rad</v>
    <v>147</v>
    <v>2310</v>
    <v>2310</v>
    <v>Lage vloer streek</v>
    <v>12-m bus</v>
    <v>Bus</v>
  </rv>
  <rv s="0">
    <v>0</v>
    <v>2311</v>
    <v>1</v>
    <v>Generic</v>
    <v>222E</v>
    <v>Euro6</v>
    <v>1</v>
    <v>43272</v>
    <v>45175</v>
    <v>Vlaams-Brabant</v>
    <v>3</v>
    <v>J</v>
    <v>J</v>
    <v>J</v>
    <v>J</v>
    <v>J</v>
    <v>5</v>
    <v>Het Rad</v>
    <v>111</v>
    <v>Onderhoud Het Rad</v>
    <v>147</v>
    <v>2311</v>
    <v>2311</v>
    <v>Lage vloer streek</v>
    <v>12-m bus</v>
    <v>Bus</v>
  </rv>
  <rv s="0">
    <v>0</v>
    <v>2312</v>
    <v>1</v>
    <v>Generic</v>
    <v>222E</v>
    <v>Euro6</v>
    <v>1</v>
    <v>43272</v>
    <v>45175</v>
    <v>Vlaams-Brabant</v>
    <v>3</v>
    <v>J</v>
    <v>J</v>
    <v>J</v>
    <v>J</v>
    <v>J</v>
    <v>5</v>
    <v>Het Rad</v>
    <v>111</v>
    <v>Onderhoud Het Rad</v>
    <v>147</v>
    <v>2312</v>
    <v>2312</v>
    <v>Lage vloer streek</v>
    <v>12-m bus</v>
    <v>Bus</v>
  </rv>
  <rv s="0">
    <v>0</v>
    <v>2313</v>
    <v>1</v>
    <v>Generic</v>
    <v>222E</v>
    <v>Euro6</v>
    <v>1</v>
    <v>43272</v>
    <v>45175</v>
    <v>Vlaams-Brabant</v>
    <v>3</v>
    <v>J</v>
    <v>J</v>
    <v>J</v>
    <v>J</v>
    <v>J</v>
    <v>5</v>
    <v>Het Rad</v>
    <v>111</v>
    <v>Onderhoud Het Rad</v>
    <v>147</v>
    <v>2313</v>
    <v>2313</v>
    <v>Lage vloer streek</v>
    <v>12-m bus</v>
    <v>Bus</v>
  </rv>
  <rv s="0">
    <v>0</v>
    <v>2314</v>
    <v>1</v>
    <v>Generic</v>
    <v>222E</v>
    <v>Euro6</v>
    <v>1</v>
    <v>43278</v>
    <v>45175</v>
    <v>Vlaams-Brabant</v>
    <v>3</v>
    <v>J</v>
    <v>J</v>
    <v>J</v>
    <v>J</v>
    <v>J</v>
    <v>5</v>
    <v>Het Rad</v>
    <v>111</v>
    <v>Onderhoud Het Rad</v>
    <v>147</v>
    <v>2314</v>
    <v>2314</v>
    <v>Lage vloer streek</v>
    <v>12-m bus</v>
    <v>Bus</v>
  </rv>
  <rv s="0">
    <v>0</v>
    <v>2315</v>
    <v>1</v>
    <v>Generic</v>
    <v>222E</v>
    <v>Euro6</v>
    <v>1</v>
    <v>43278</v>
    <v>45175</v>
    <v>Vlaams-Brabant</v>
    <v>3</v>
    <v>J</v>
    <v>J</v>
    <v>J</v>
    <v>J</v>
    <v>J</v>
    <v>5</v>
    <v>Het Rad</v>
    <v>111</v>
    <v>Onderhoud Het Rad</v>
    <v>147</v>
    <v>2315</v>
    <v>2315</v>
    <v>Lage vloer streek</v>
    <v>12-m bus</v>
    <v>Bus</v>
  </rv>
  <rv s="0">
    <v>0</v>
    <v>2316</v>
    <v>1</v>
    <v>Generic</v>
    <v>222E</v>
    <v>Euro6</v>
    <v>1</v>
    <v>43279</v>
    <v>45175</v>
    <v>Vlaams-Brabant</v>
    <v>3</v>
    <v>J</v>
    <v>J</v>
    <v>J</v>
    <v>J</v>
    <v>J</v>
    <v>5</v>
    <v>Het Rad</v>
    <v>111</v>
    <v>Onderhoud Het Rad</v>
    <v>147</v>
    <v>2316</v>
    <v>2316</v>
    <v>Lage vloer streek</v>
    <v>12-m bus</v>
    <v>Bus</v>
  </rv>
  <rv s="0">
    <v>0</v>
    <v>2317</v>
    <v>1</v>
    <v>Generic</v>
    <v>222E</v>
    <v>Euro6</v>
    <v>1</v>
    <v>43286</v>
    <v>45175</v>
    <v>Vlaams-Brabant</v>
    <v>3</v>
    <v>J</v>
    <v>J</v>
    <v>J</v>
    <v>J</v>
    <v>J</v>
    <v>5</v>
    <v>Het Rad</v>
    <v>111</v>
    <v>Onderhoud Het Rad</v>
    <v>147</v>
    <v>2317</v>
    <v>2317</v>
    <v>Lage vloer streek</v>
    <v>12-m bus</v>
    <v>Bus</v>
  </rv>
  <rv s="0">
    <v>0</v>
    <v>2318</v>
    <v>1</v>
    <v>Generic</v>
    <v>222E</v>
    <v>Euro6</v>
    <v>1</v>
    <v>43279</v>
    <v>45175</v>
    <v>Vlaams-Brabant</v>
    <v>3</v>
    <v>J</v>
    <v>J</v>
    <v>J</v>
    <v>J</v>
    <v>J</v>
    <v>5</v>
    <v>Het Rad</v>
    <v>111</v>
    <v>Onderhoud Het Rad</v>
    <v>147</v>
    <v>2318</v>
    <v>2318</v>
    <v>Lage vloer streek</v>
    <v>12-m bus</v>
    <v>Bus</v>
  </rv>
  <rv s="0">
    <v>0</v>
    <v>2319</v>
    <v>1</v>
    <v>Generic</v>
    <v>222E</v>
    <v>Euro6</v>
    <v>1</v>
    <v>43286</v>
    <v>45175</v>
    <v>Vlaams-Brabant</v>
    <v>3</v>
    <v>J</v>
    <v>J</v>
    <v>J</v>
    <v>J</v>
    <v>J</v>
    <v>5</v>
    <v>Het Rad</v>
    <v>111</v>
    <v>Onderhoud Het Rad</v>
    <v>147</v>
    <v>2319</v>
    <v>2319</v>
    <v>Lage vloer streek</v>
    <v>12-m bus</v>
    <v>Bus</v>
  </rv>
  <rv s="0">
    <v>0</v>
    <v>2320</v>
    <v>1</v>
    <v>Generic</v>
    <v>222E</v>
    <v>Euro6</v>
    <v>1</v>
    <v>43286</v>
    <v>45175</v>
    <v>Vlaams-Brabant</v>
    <v>3</v>
    <v>J</v>
    <v>J</v>
    <v>J</v>
    <v>J</v>
    <v>J</v>
    <v>5</v>
    <v>Het Rad</v>
    <v>111</v>
    <v>Onderhoud Het Rad</v>
    <v>147</v>
    <v>2320</v>
    <v>2320</v>
    <v>Lage vloer streek</v>
    <v>12-m bus</v>
    <v>Bus</v>
  </rv>
  <rv s="0">
    <v>0</v>
    <v>2321</v>
    <v>1</v>
    <v>Generic</v>
    <v>222E</v>
    <v>Euro6</v>
    <v>1</v>
    <v>43293</v>
    <v>45175</v>
    <v>Vlaams-Brabant</v>
    <v>3</v>
    <v>J</v>
    <v>J</v>
    <v>J</v>
    <v>J</v>
    <v>J</v>
    <v>5</v>
    <v>Het Rad</v>
    <v>111</v>
    <v>Onderhoud Het Rad</v>
    <v>147</v>
    <v>2321</v>
    <v>2321</v>
    <v>Lage vloer streek</v>
    <v>12-m bus</v>
    <v>Bus</v>
  </rv>
  <rv s="0">
    <v>0</v>
    <v>2322</v>
    <v>1</v>
    <v>Generic</v>
    <v>222E</v>
    <v>Euro6</v>
    <v>1</v>
    <v>43293</v>
    <v>45175</v>
    <v>Vlaams-Brabant</v>
    <v>3</v>
    <v>J</v>
    <v>J</v>
    <v>J</v>
    <v>J</v>
    <v>J</v>
    <v>5</v>
    <v>Het Rad</v>
    <v>111</v>
    <v>Onderhoud Het Rad</v>
    <v>147</v>
    <v>2322</v>
    <v>2322</v>
    <v>Lage vloer streek</v>
    <v>12-m bus</v>
    <v>Bus</v>
  </rv>
  <rv s="0">
    <v>0</v>
    <v>2323</v>
    <v>1</v>
    <v>Generic</v>
    <v>222E</v>
    <v>Euro6</v>
    <v>1</v>
    <v>43293</v>
    <v>45175</v>
    <v>Vlaams-Brabant</v>
    <v>3</v>
    <v>J</v>
    <v>J</v>
    <v>J</v>
    <v>J</v>
    <v>J</v>
    <v>5</v>
    <v>Het Rad</v>
    <v>111</v>
    <v>Onderhoud Het Rad</v>
    <v>147</v>
    <v>2323</v>
    <v>2323</v>
    <v>Lage vloer streek</v>
    <v>12-m bus</v>
    <v>Bus</v>
  </rv>
  <rv s="0">
    <v>0</v>
    <v>2324</v>
    <v>1</v>
    <v>Generic</v>
    <v>222E</v>
    <v>Euro6</v>
    <v>1</v>
    <v>43326</v>
    <v>45175</v>
    <v>Vlaams-Brabant</v>
    <v>3</v>
    <v>J</v>
    <v>J</v>
    <v>J</v>
    <v>J</v>
    <v>J</v>
    <v>5</v>
    <v>Het Rad</v>
    <v>111</v>
    <v>Onderhoud Het Rad</v>
    <v>147</v>
    <v>2324</v>
    <v>2324</v>
    <v>Lage vloer streek</v>
    <v>12-m bus</v>
    <v>Bus</v>
  </rv>
  <rv s="0">
    <v>0</v>
    <v>2325</v>
    <v>1</v>
    <v>Generic</v>
    <v>222E</v>
    <v>Euro6</v>
    <v>1</v>
    <v>43326</v>
    <v>45175</v>
    <v>Vlaams-Brabant</v>
    <v>3</v>
    <v>J</v>
    <v>J</v>
    <v>J</v>
    <v>J</v>
    <v>J</v>
    <v>5</v>
    <v>Het Rad</v>
    <v>111</v>
    <v>Onderhoud Het Rad</v>
    <v>147</v>
    <v>2325</v>
    <v>2325</v>
    <v>Lage vloer streek</v>
    <v>12-m bus</v>
    <v>Bus</v>
  </rv>
  <rv s="0">
    <v>0</v>
    <v>2326</v>
    <v>1</v>
    <v>Generic</v>
    <v>222E</v>
    <v>Euro6</v>
    <v>1</v>
    <v>43326</v>
    <v>45175</v>
    <v>Vlaams-Brabant</v>
    <v>3</v>
    <v>J</v>
    <v>J</v>
    <v>J</v>
    <v>J</v>
    <v>J</v>
    <v>5</v>
    <v>Het Rad</v>
    <v>111</v>
    <v>Onderhoud Het Rad</v>
    <v>147</v>
    <v>2326</v>
    <v>2326</v>
    <v>Lage vloer streek</v>
    <v>12-m bus</v>
    <v>Bus</v>
  </rv>
  <rv s="0">
    <v>0</v>
    <v>2327</v>
    <v>1</v>
    <v>Generic</v>
    <v>222E</v>
    <v>Euro6</v>
    <v>1</v>
    <v>43326</v>
    <v>45175</v>
    <v>Vlaams-Brabant</v>
    <v>3</v>
    <v>J</v>
    <v>J</v>
    <v>J</v>
    <v>J</v>
    <v>J</v>
    <v>5</v>
    <v>Het Rad</v>
    <v>111</v>
    <v>Onderhoud Het Rad</v>
    <v>147</v>
    <v>2327</v>
    <v>2327</v>
    <v>Lage vloer streek</v>
    <v>12-m bus</v>
    <v>Bus</v>
  </rv>
  <rv s="0">
    <v>0</v>
    <v>2328</v>
    <v>1</v>
    <v>Generic</v>
    <v>222E</v>
    <v>Euro6</v>
    <v>1</v>
    <v>43328</v>
    <v>45175</v>
    <v>Vlaams-Brabant</v>
    <v>3</v>
    <v>J</v>
    <v>J</v>
    <v>J</v>
    <v>J</v>
    <v>J</v>
    <v>5</v>
    <v>Het Rad</v>
    <v>111</v>
    <v>Onderhoud Het Rad</v>
    <v>147</v>
    <v>2328</v>
    <v>2328</v>
    <v>Lage vloer streek</v>
    <v>12-m bus</v>
    <v>Bus</v>
  </rv>
  <rv s="0">
    <v>0</v>
    <v>2329</v>
    <v>1</v>
    <v>Generic</v>
    <v>222E</v>
    <v>Euro6</v>
    <v>1</v>
    <v>43328</v>
    <v>45175</v>
    <v>Vlaams-Brabant</v>
    <v>3</v>
    <v>J</v>
    <v>J</v>
    <v>J</v>
    <v>J</v>
    <v>J</v>
    <v>5</v>
    <v>Dilbeek</v>
    <v>113</v>
    <v>Onderhoud Dilbeek</v>
    <v>146</v>
    <v>2329</v>
    <v>2329</v>
    <v>Lage vloer streek</v>
    <v>12-m bus</v>
    <v>Bus</v>
  </rv>
  <rv s="0">
    <v>0</v>
    <v>2330</v>
    <v>1</v>
    <v>Generic</v>
    <v>222E</v>
    <v>Euro6</v>
    <v>1</v>
    <v>43328</v>
    <v>45175</v>
    <v>Vlaams-Brabant</v>
    <v>3</v>
    <v>J</v>
    <v>J</v>
    <v>J</v>
    <v>J</v>
    <v>J</v>
    <v>5</v>
    <v>Dilbeek</v>
    <v>113</v>
    <v>Onderhoud Dilbeek</v>
    <v>146</v>
    <v>2330</v>
    <v>2330</v>
    <v>Lage vloer streek</v>
    <v>12-m bus</v>
    <v>Bus</v>
  </rv>
  <rv s="0">
    <v>0</v>
    <v>2331</v>
    <v>1</v>
    <v>Generic</v>
    <v>222E</v>
    <v>Euro6</v>
    <v>1</v>
    <v>43328</v>
    <v>45175</v>
    <v>Vlaams-Brabant</v>
    <v>3</v>
    <v>J</v>
    <v>J</v>
    <v>J</v>
    <v>J</v>
    <v>J</v>
    <v>5</v>
    <v>Dilbeek</v>
    <v>113</v>
    <v>Onderhoud Dilbeek</v>
    <v>146</v>
    <v>2331</v>
    <v>2331</v>
    <v>Lage vloer streek</v>
    <v>12-m bus</v>
    <v>Bus</v>
  </rv>
  <rv s="0">
    <v>0</v>
    <v>2332</v>
    <v>1</v>
    <v>Generic</v>
    <v>222E</v>
    <v>Euro6</v>
    <v>1</v>
    <v>43340</v>
    <v>45175</v>
    <v>Vlaams-Brabant</v>
    <v>3</v>
    <v>J</v>
    <v>J</v>
    <v>J</v>
    <v>J</v>
    <v>J</v>
    <v>5</v>
    <v>Dilbeek</v>
    <v>113</v>
    <v>Onderhoud Dilbeek</v>
    <v>146</v>
    <v>2332</v>
    <v>2332</v>
    <v>Lage vloer streek</v>
    <v>12-m bus</v>
    <v>Bus</v>
  </rv>
  <rv s="0">
    <v>0</v>
    <v>2333</v>
    <v>1</v>
    <v>Generic</v>
    <v>222E</v>
    <v>Euro6</v>
    <v>1</v>
    <v>43356</v>
    <v>45175</v>
    <v>Vlaams-Brabant</v>
    <v>3</v>
    <v>J</v>
    <v>J</v>
    <v>J</v>
    <v>J</v>
    <v>J</v>
    <v>5</v>
    <v>Dilbeek</v>
    <v>113</v>
    <v>Onderhoud Dilbeek</v>
    <v>146</v>
    <v>2333</v>
    <v>2333</v>
    <v>Lage vloer streek</v>
    <v>12-m bus</v>
    <v>Bus</v>
  </rv>
  <rv s="0">
    <v>0</v>
    <v>2334</v>
    <v>1</v>
    <v>Generic</v>
    <v>222E</v>
    <v>Euro6</v>
    <v>1</v>
    <v>43340</v>
    <v>45175</v>
    <v>Vlaams-Brabant</v>
    <v>3</v>
    <v>J</v>
    <v>J</v>
    <v>J</v>
    <v>J</v>
    <v>J</v>
    <v>5</v>
    <v>Dilbeek</v>
    <v>113</v>
    <v>Onderhoud Dilbeek</v>
    <v>146</v>
    <v>2334</v>
    <v>2334</v>
    <v>Lage vloer streek</v>
    <v>12-m bus</v>
    <v>Bus</v>
  </rv>
  <rv s="0">
    <v>0</v>
    <v>2335</v>
    <v>1</v>
    <v>Generic</v>
    <v>222E</v>
    <v>Euro6</v>
    <v>1</v>
    <v>43348</v>
    <v>45175</v>
    <v>Vlaams-Brabant</v>
    <v>3</v>
    <v>J</v>
    <v>J</v>
    <v>J</v>
    <v>J</v>
    <v>J</v>
    <v>5</v>
    <v>Dilbeek</v>
    <v>113</v>
    <v>Onderhoud Dilbeek</v>
    <v>146</v>
    <v>2335</v>
    <v>2335</v>
    <v>Lage vloer streek</v>
    <v>12-m bus</v>
    <v>Bus</v>
  </rv>
  <rv s="0">
    <v>0</v>
    <v>2336</v>
    <v>1</v>
    <v>Generic</v>
    <v>222E</v>
    <v>Euro6</v>
    <v>1</v>
    <v>43341</v>
    <v>45175</v>
    <v>Vlaams-Brabant</v>
    <v>3</v>
    <v>J</v>
    <v>J</v>
    <v>J</v>
    <v>J</v>
    <v>J</v>
    <v>5</v>
    <v>Dilbeek</v>
    <v>113</v>
    <v>Onderhoud Dilbeek</v>
    <v>146</v>
    <v>2336</v>
    <v>2336</v>
    <v>Lage vloer streek</v>
    <v>12-m bus</v>
    <v>Bus</v>
  </rv>
  <rv s="0">
    <v>0</v>
    <v>2337</v>
    <v>1</v>
    <v>Generic</v>
    <v>222E</v>
    <v>Euro6</v>
    <v>1</v>
    <v>43341</v>
    <v>45175</v>
    <v>Vlaams-Brabant</v>
    <v>3</v>
    <v>J</v>
    <v>J</v>
    <v>J</v>
    <v>J</v>
    <v>J</v>
    <v>5</v>
    <v>Dilbeek</v>
    <v>113</v>
    <v>Onderhoud Dilbeek</v>
    <v>146</v>
    <v>2337</v>
    <v>2337</v>
    <v>Lage vloer streek</v>
    <v>12-m bus</v>
    <v>Bus</v>
  </rv>
  <rv s="0">
    <v>0</v>
    <v>2338</v>
    <v>1</v>
    <v>Generic</v>
    <v>222E</v>
    <v>Euro6</v>
    <v>1</v>
    <v>43341</v>
    <v>45175</v>
    <v>Vlaams-Brabant</v>
    <v>3</v>
    <v>J</v>
    <v>J</v>
    <v>J</v>
    <v>J</v>
    <v>J</v>
    <v>5</v>
    <v>Dilbeek</v>
    <v>113</v>
    <v>Onderhoud Dilbeek</v>
    <v>146</v>
    <v>2338</v>
    <v>2338</v>
    <v>Lage vloer streek</v>
    <v>12-m bus</v>
    <v>Bus</v>
  </rv>
  <rv s="0">
    <v>0</v>
    <v>2339</v>
    <v>1</v>
    <v>Generic</v>
    <v>222E</v>
    <v>Euro6</v>
    <v>1</v>
    <v>43362</v>
    <v>45175</v>
    <v>Vlaams-Brabant</v>
    <v>3</v>
    <v>J</v>
    <v>J</v>
    <v>J</v>
    <v>J</v>
    <v>J</v>
    <v>5</v>
    <v>Dilbeek</v>
    <v>113</v>
    <v>Onderhoud Dilbeek</v>
    <v>146</v>
    <v>2339</v>
    <v>2339</v>
    <v>Lage vloer streek</v>
    <v>12-m bus</v>
    <v>Bus</v>
  </rv>
  <rv s="0">
    <v>0</v>
    <v>2340</v>
    <v>1</v>
    <v>Generic</v>
    <v>222E</v>
    <v>Euro6</v>
    <v>1</v>
    <v>43341</v>
    <v>45175</v>
    <v>Vlaams-Brabant</v>
    <v>3</v>
    <v>J</v>
    <v>J</v>
    <v>J</v>
    <v>J</v>
    <v>J</v>
    <v>5</v>
    <v>Dilbeek</v>
    <v>113</v>
    <v>Onderhoud Dilbeek</v>
    <v>146</v>
    <v>2340</v>
    <v>2340</v>
    <v>Lage vloer streek</v>
    <v>12-m bus</v>
    <v>Bus</v>
  </rv>
  <rv s="0">
    <v>0</v>
    <v>2341</v>
    <v>1</v>
    <v>Generic</v>
    <v>222E</v>
    <v>Euro6</v>
    <v>1</v>
    <v>43364</v>
    <v>45175</v>
    <v>Vlaams-Brabant</v>
    <v>3</v>
    <v>J</v>
    <v>J</v>
    <v>J</v>
    <v>J</v>
    <v>J</v>
    <v>5</v>
    <v>Dilbeek</v>
    <v>113</v>
    <v>Onderhoud Dilbeek</v>
    <v>146</v>
    <v>2341</v>
    <v>2341</v>
    <v>Lage vloer streek</v>
    <v>12-m bus</v>
    <v>Bus</v>
  </rv>
  <rv s="0">
    <v>0</v>
    <v>2342</v>
    <v>1</v>
    <v>Generic</v>
    <v>222E</v>
    <v>Euro6</v>
    <v>1</v>
    <v>43348</v>
    <v>45175</v>
    <v>Vlaams-Brabant</v>
    <v>3</v>
    <v>J</v>
    <v>J</v>
    <v>J</v>
    <v>J</v>
    <v>J</v>
    <v>5</v>
    <v>Dilbeek</v>
    <v>113</v>
    <v>Onderhoud Dilbeek</v>
    <v>146</v>
    <v>2342</v>
    <v>2342</v>
    <v>Lage vloer streek</v>
    <v>12-m bus</v>
    <v>Bus</v>
  </rv>
  <rv s="0">
    <v>0</v>
    <v>2343</v>
    <v>1</v>
    <v>Generic</v>
    <v>222E</v>
    <v>Euro6</v>
    <v>1</v>
    <v>43348</v>
    <v>45175</v>
    <v>Vlaams-Brabant</v>
    <v>3</v>
    <v>J</v>
    <v>J</v>
    <v>J</v>
    <v>J</v>
    <v>J</v>
    <v>5</v>
    <v>Dilbeek</v>
    <v>113</v>
    <v>Onderhoud Dilbeek</v>
    <v>146</v>
    <v>2343</v>
    <v>2343</v>
    <v>Lage vloer streek</v>
    <v>12-m bus</v>
    <v>Bus</v>
  </rv>
  <rv s="0">
    <v>0</v>
    <v>2344</v>
    <v>1</v>
    <v>Generic</v>
    <v>222E</v>
    <v>Euro6</v>
    <v>1</v>
    <v>43349</v>
    <v>45175</v>
    <v>Vlaams-Brabant</v>
    <v>3</v>
    <v>J</v>
    <v>J</v>
    <v>J</v>
    <v>J</v>
    <v>J</v>
    <v>5</v>
    <v>Dilbeek</v>
    <v>113</v>
    <v>Onderhoud Dilbeek</v>
    <v>146</v>
    <v>2344</v>
    <v>2344</v>
    <v>Lage vloer streek</v>
    <v>12-m bus</v>
    <v>Bus</v>
  </rv>
  <rv s="0">
    <v>0</v>
    <v>2345</v>
    <v>1</v>
    <v>Generic</v>
    <v>222E</v>
    <v>Euro6</v>
    <v>1</v>
    <v>43349</v>
    <v>45175</v>
    <v>Vlaams-Brabant</v>
    <v>3</v>
    <v>J</v>
    <v>J</v>
    <v>J</v>
    <v>J</v>
    <v>J</v>
    <v>5</v>
    <v>Dilbeek</v>
    <v>113</v>
    <v>Onderhoud Dilbeek</v>
    <v>146</v>
    <v>2345</v>
    <v>2345</v>
    <v>Lage vloer streek</v>
    <v>12-m bus</v>
    <v>Bus</v>
  </rv>
  <rv s="0">
    <v>0</v>
    <v>2346</v>
    <v>1</v>
    <v>Generic</v>
    <v>222E</v>
    <v>Euro6</v>
    <v>1</v>
    <v>43348</v>
    <v>45175</v>
    <v>Vlaams-Brabant</v>
    <v>3</v>
    <v>J</v>
    <v>J</v>
    <v>J</v>
    <v>J</v>
    <v>J</v>
    <v>5</v>
    <v>Dilbeek</v>
    <v>113</v>
    <v>Onderhoud Dilbeek</v>
    <v>146</v>
    <v>2346</v>
    <v>2346</v>
    <v>Lage vloer streek</v>
    <v>12-m bus</v>
    <v>Bus</v>
  </rv>
  <rv s="0">
    <v>0</v>
    <v>2347</v>
    <v>1</v>
    <v>Generic</v>
    <v>222E</v>
    <v>Euro6</v>
    <v>1</v>
    <v>43348</v>
    <v>45175</v>
    <v>Vlaams-Brabant</v>
    <v>3</v>
    <v>J</v>
    <v>J</v>
    <v>J</v>
    <v>J</v>
    <v>J</v>
    <v>5</v>
    <v>Dilbeek</v>
    <v>113</v>
    <v>Onderhoud Dilbeek</v>
    <v>146</v>
    <v>2347</v>
    <v>2347</v>
    <v>Lage vloer streek</v>
    <v>12-m bus</v>
    <v>Bus</v>
  </rv>
  <rv s="0">
    <v>0</v>
    <v>2348</v>
    <v>1</v>
    <v>Generic</v>
    <v>222E</v>
    <v>Euro6</v>
    <v>1</v>
    <v>43362</v>
    <v>45175</v>
    <v>Vlaams-Brabant</v>
    <v>3</v>
    <v>J</v>
    <v>J</v>
    <v>J</v>
    <v>J</v>
    <v>J</v>
    <v>5</v>
    <v>Dilbeek</v>
    <v>113</v>
    <v>Onderhoud Dilbeek</v>
    <v>146</v>
    <v>2348</v>
    <v>2348</v>
    <v>Lage vloer streek</v>
    <v>12-m bus</v>
    <v>Bus</v>
  </rv>
  <rv s="0">
    <v>0</v>
    <v>2349</v>
    <v>1</v>
    <v>Generic</v>
    <v>222D</v>
    <v>Euro6</v>
    <v>1</v>
    <v>43993</v>
    <v>45175</v>
    <v>Vlaams-Brabant</v>
    <v>3</v>
    <v>J</v>
    <v>J</v>
    <v>J</v>
    <v>J</v>
    <v>J</v>
    <v>3</v>
    <v>Vilvoorde</v>
    <v>133</v>
    <v>Onderhoud Vilvoorde</v>
    <v>150</v>
    <v>2349</v>
    <v>2349</v>
    <v>Dubbelgeledehybride</v>
    <v>Dubbel gelede bus</v>
    <v>Bus</v>
  </rv>
  <rv s="0">
    <v>0</v>
    <v>2350</v>
    <v>1</v>
    <v>Generic</v>
    <v>222D</v>
    <v>Euro6</v>
    <v>1</v>
    <v>44014</v>
    <v>45175</v>
    <v>Vlaams-Brabant</v>
    <v>3</v>
    <v>J</v>
    <v>J</v>
    <v>J</v>
    <v>J</v>
    <v>J</v>
    <v>3</v>
    <v>Vilvoorde</v>
    <v>133</v>
    <v>Onderhoud Vilvoorde</v>
    <v>150</v>
    <v>2350</v>
    <v>2350</v>
    <v>Dubbelgeledehybride</v>
    <v>Dubbel gelede bus</v>
    <v>Bus</v>
  </rv>
  <rv s="0">
    <v>0</v>
    <v>2351</v>
    <v>1</v>
    <v>Generic</v>
    <v>222D</v>
    <v>Euro6</v>
    <v>1</v>
    <v>43721</v>
    <v>45175</v>
    <v>Vlaams-Brabant</v>
    <v>3</v>
    <v>J</v>
    <v>J</v>
    <v>J</v>
    <v>J</v>
    <v>J</v>
    <v>4</v>
    <v>Vilvoorde</v>
    <v>133</v>
    <v>Onderhoud Vilvoorde</v>
    <v>150</v>
    <v>2351</v>
    <v>2351</v>
    <v>Dubbelgeledehybride</v>
    <v>Dubbel gelede bus</v>
    <v>Bus</v>
  </rv>
  <rv s="0">
    <v>0</v>
    <v>2352</v>
    <v>1</v>
    <v>Generic</v>
    <v>222D</v>
    <v>Euro6</v>
    <v>1</v>
    <v>43578</v>
    <v>45175</v>
    <v>Vlaams-Brabant</v>
    <v>3</v>
    <v>J</v>
    <v>J</v>
    <v>J</v>
    <v>J</v>
    <v>J</v>
    <v>4</v>
    <v>Vilvoorde</v>
    <v>133</v>
    <v>Onderhoud Vilvoorde</v>
    <v>150</v>
    <v>2352</v>
    <v>2352</v>
    <v>Dubbelgeledehybride</v>
    <v>Dubbel gelede bus</v>
    <v>Bus</v>
  </rv>
  <rv s="0">
    <v>0</v>
    <v>2353</v>
    <v>1</v>
    <v>Generic</v>
    <v>222D</v>
    <v>Euro6</v>
    <v>1</v>
    <v>43578</v>
    <v>45175</v>
    <v>Vlaams-Brabant</v>
    <v>3</v>
    <v>J</v>
    <v>J</v>
    <v>J</v>
    <v>J</v>
    <v>J</v>
    <v>4</v>
    <v>Vilvoorde</v>
    <v>133</v>
    <v>Onderhoud Vilvoorde</v>
    <v>150</v>
    <v>2353</v>
    <v>2353</v>
    <v>Dubbelgeledehybride</v>
    <v>Dubbel gelede bus</v>
    <v>Bus</v>
  </rv>
  <rv s="0">
    <v>0</v>
    <v>2354</v>
    <v>1</v>
    <v>Generic</v>
    <v>222D</v>
    <v>Euro6</v>
    <v>1</v>
    <v>43672</v>
    <v>45175</v>
    <v>Vlaams-Brabant</v>
    <v>3</v>
    <v>J</v>
    <v>J</v>
    <v>J</v>
    <v>J</v>
    <v>J</v>
    <v>4</v>
    <v>Vilvoorde</v>
    <v>133</v>
    <v>Onderhoud Vilvoorde</v>
    <v>150</v>
    <v>2354</v>
    <v>2354</v>
    <v>Dubbelgeledehybride</v>
    <v>Dubbel gelede bus</v>
    <v>Bus</v>
  </rv>
  <rv s="0">
    <v>0</v>
    <v>2355</v>
    <v>1</v>
    <v>Generic</v>
    <v>222D</v>
    <v>Euro6</v>
    <v>1</v>
    <v>43642</v>
    <v>45175</v>
    <v>Vlaams-Brabant</v>
    <v>3</v>
    <v>J</v>
    <v>J</v>
    <v>J</v>
    <v>J</v>
    <v>J</v>
    <v>4</v>
    <v>Vilvoorde</v>
    <v>133</v>
    <v>Onderhoud Vilvoorde</v>
    <v>150</v>
    <v>2355</v>
    <v>2355</v>
    <v>Dubbelgeledehybride</v>
    <v>Dubbel gelede bus</v>
    <v>Bus</v>
  </rv>
  <rv s="0">
    <v>0</v>
    <v>2356</v>
    <v>1</v>
    <v>Generic</v>
    <v>222D</v>
    <v>Euro6</v>
    <v>1</v>
    <v>43633</v>
    <v>45175</v>
    <v>Vlaams-Brabant</v>
    <v>3</v>
    <v>J</v>
    <v>J</v>
    <v>J</v>
    <v>J</v>
    <v>J</v>
    <v>4</v>
    <v>Vilvoorde</v>
    <v>133</v>
    <v>Onderhoud Vilvoorde</v>
    <v>150</v>
    <v>2356</v>
    <v>2356</v>
    <v>Dubbelgeledehybride</v>
    <v>Dubbel gelede bus</v>
    <v>Bus</v>
  </rv>
  <rv s="0">
    <v>0</v>
    <v>2357</v>
    <v>1</v>
    <v>Generic</v>
    <v>222D</v>
    <v>Euro6</v>
    <v>1</v>
    <v>43665</v>
    <v>45175</v>
    <v>Vlaams-Brabant</v>
    <v>3</v>
    <v>J</v>
    <v>J</v>
    <v>J</v>
    <v>J</v>
    <v>J</v>
    <v>4</v>
    <v>Vilvoorde</v>
    <v>133</v>
    <v>Onderhoud Vilvoorde</v>
    <v>150</v>
    <v>2357</v>
    <v>2357</v>
    <v>Dubbelgeledehybride</v>
    <v>Dubbel gelede bus</v>
    <v>Bus</v>
  </rv>
  <rv s="0">
    <v>0</v>
    <v>2358</v>
    <v>1</v>
    <v>Generic</v>
    <v>222D</v>
    <v>Euro6</v>
    <v>1</v>
    <v>43665</v>
    <v>45175</v>
    <v>Vlaams-Brabant</v>
    <v>3</v>
    <v>J</v>
    <v>J</v>
    <v>J</v>
    <v>J</v>
    <v>J</v>
    <v>4</v>
    <v>Vilvoorde</v>
    <v>133</v>
    <v>Onderhoud Vilvoorde</v>
    <v>150</v>
    <v>2358</v>
    <v>2358</v>
    <v>Dubbelgeledehybride</v>
    <v>Dubbel gelede bus</v>
    <v>Bus</v>
  </rv>
  <rv s="0">
    <v>0</v>
    <v>2359</v>
    <v>1</v>
    <v>Generic</v>
    <v>222D</v>
    <v>Euro6</v>
    <v>1</v>
    <v>43673</v>
    <v>45175</v>
    <v>Vlaams-Brabant</v>
    <v>3</v>
    <v>J</v>
    <v>J</v>
    <v>J</v>
    <v>J</v>
    <v>J</v>
    <v>4</v>
    <v>Vilvoorde</v>
    <v>133</v>
    <v>Onderhoud Vilvoorde</v>
    <v>150</v>
    <v>2359</v>
    <v>2359</v>
    <v>Dubbelgeledehybride</v>
    <v>Dubbel gelede bus</v>
    <v>Bus</v>
  </rv>
  <rv s="0">
    <v>0</v>
    <v>2360</v>
    <v>1</v>
    <v>Generic</v>
    <v>222D</v>
    <v>Euro6</v>
    <v>1</v>
    <v>43672</v>
    <v>45175</v>
    <v>Vlaams-Brabant</v>
    <v>3</v>
    <v>J</v>
    <v>J</v>
    <v>J</v>
    <v>J</v>
    <v>J</v>
    <v>4</v>
    <v>Vilvoorde</v>
    <v>133</v>
    <v>Onderhoud Vilvoorde</v>
    <v>150</v>
    <v>2360</v>
    <v>2360</v>
    <v>Dubbelgeledehybride</v>
    <v>Dubbel gelede bus</v>
    <v>Bus</v>
  </rv>
  <rv s="0">
    <v>0</v>
    <v>2361</v>
    <v>1</v>
    <v>Generic</v>
    <v>222D</v>
    <v>Euro6</v>
    <v>1</v>
    <v>43672</v>
    <v>45175</v>
    <v>Vlaams-Brabant</v>
    <v>3</v>
    <v>J</v>
    <v>J</v>
    <v>J</v>
    <v>J</v>
    <v>J</v>
    <v>4</v>
    <v>Vilvoorde</v>
    <v>133</v>
    <v>Onderhoud Vilvoorde</v>
    <v>150</v>
    <v>2361</v>
    <v>2361</v>
    <v>Dubbelgeledehybride</v>
    <v>Dubbel gelede bus</v>
    <v>Bus</v>
  </rv>
  <rv s="0">
    <v>0</v>
    <v>2362</v>
    <v>1</v>
    <v>Generic</v>
    <v>222D</v>
    <v>Euro6</v>
    <v>1</v>
    <v>43721</v>
    <v>45175</v>
    <v>Vlaams-Brabant</v>
    <v>3</v>
    <v>J</v>
    <v>J</v>
    <v>J</v>
    <v>J</v>
    <v>J</v>
    <v>4</v>
    <v>Vilvoorde</v>
    <v>133</v>
    <v>Onderhoud Vilvoorde</v>
    <v>150</v>
    <v>2362</v>
    <v>2362</v>
    <v>Dubbelgeledehybride</v>
    <v>Dubbel gelede bus</v>
    <v>Bus</v>
  </rv>
  <rv s="0">
    <v>0</v>
    <v>2363</v>
    <v>1</v>
    <v>Generic</v>
    <v>222A2</v>
    <v>Euro6</v>
    <v>1</v>
    <v>43644</v>
    <v>45175</v>
    <v>Antwerpen</v>
    <v>1</v>
    <v>J</v>
    <v>J</v>
    <v>J</v>
    <v>J</v>
    <v>J</v>
    <v>4</v>
    <v>Mechelen Racing</v>
    <v>115</v>
    <v>Onderhoud Mechelen</v>
    <v>144</v>
    <v>2363</v>
    <v>2363</v>
    <v>Hybride streek</v>
    <v>12-m bus</v>
    <v>Bus</v>
  </rv>
  <rv s="0">
    <v>0</v>
    <v>2364</v>
    <v>1</v>
    <v>Generic</v>
    <v>222A2</v>
    <v>Euro6</v>
    <v>1</v>
    <v>43851</v>
    <v>45175</v>
    <v>Antwerpen</v>
    <v>1</v>
    <v>J</v>
    <v>J</v>
    <v>J</v>
    <v>J</v>
    <v>J</v>
    <v>4</v>
    <v>Mechelen Racing</v>
    <v>115</v>
    <v>Onderhoud Mechelen</v>
    <v>144</v>
    <v>2364</v>
    <v>2364</v>
    <v>Hybride streek</v>
    <v>12-m bus</v>
    <v>Bus</v>
  </rv>
  <rv s="0">
    <v>0</v>
    <v>2365</v>
    <v>1</v>
    <v>Generic</v>
    <v>222A2</v>
    <v>Euro6</v>
    <v>1</v>
    <v>43854</v>
    <v>45175</v>
    <v>Antwerpen</v>
    <v>1</v>
    <v>J</v>
    <v>J</v>
    <v>J</v>
    <v>J</v>
    <v>J</v>
    <v>4</v>
    <v>Mechelen Racing</v>
    <v>115</v>
    <v>Onderhoud Mechelen</v>
    <v>144</v>
    <v>2365</v>
    <v>2365</v>
    <v>Hybride streek</v>
    <v>12-m bus</v>
    <v>Bus</v>
  </rv>
  <rv s="0">
    <v>0</v>
    <v>2366</v>
    <v>1</v>
    <v>Generic</v>
    <v>222A2</v>
    <v>Euro6</v>
    <v>1</v>
    <v>43899</v>
    <v>45175</v>
    <v>Antwerpen</v>
    <v>1</v>
    <v>J</v>
    <v>J</v>
    <v>J</v>
    <v>J</v>
    <v>J</v>
    <v>4</v>
    <v>Mechelen Racing</v>
    <v>115</v>
    <v>Onderhoud Mechelen</v>
    <v>144</v>
    <v>2366</v>
    <v>2366</v>
    <v>Hybride streek</v>
    <v>12-m bus</v>
    <v>Bus</v>
  </rv>
  <rv s="0">
    <v>0</v>
    <v>2367</v>
    <v>1</v>
    <v>Generic</v>
    <v>222A2</v>
    <v>Euro6</v>
    <v>1</v>
    <v>43802</v>
    <v>45175</v>
    <v>Antwerpen</v>
    <v>1</v>
    <v>J</v>
    <v>J</v>
    <v>J</v>
    <v>J</v>
    <v>J</v>
    <v>4</v>
    <v>Mechelen Racing</v>
    <v>115</v>
    <v>Onderhoud Mechelen</v>
    <v>144</v>
    <v>2367</v>
    <v>2367</v>
    <v>Hybride streek</v>
    <v>12-m bus</v>
    <v>Bus</v>
  </rv>
  <rv s="0">
    <v>0</v>
    <v>2368</v>
    <v>1</v>
    <v>Generic</v>
    <v>222A2</v>
    <v>Euro6</v>
    <v>1</v>
    <v>43819</v>
    <v>45175</v>
    <v>Antwerpen</v>
    <v>1</v>
    <v>J</v>
    <v>J</v>
    <v>J</v>
    <v>J</v>
    <v>J</v>
    <v>4</v>
    <v>Mechelen Racing</v>
    <v>115</v>
    <v>Onderhoud Mechelen</v>
    <v>144</v>
    <v>2368</v>
    <v>2368</v>
    <v>Hybride streek</v>
    <v>12-m bus</v>
    <v>Bus</v>
  </rv>
  <rv s="0">
    <v>0</v>
    <v>2369</v>
    <v>1</v>
    <v>Generic</v>
    <v>222A2</v>
    <v>Euro6</v>
    <v>1</v>
    <v>43690</v>
    <v>45175</v>
    <v>Antwerpen</v>
    <v>1</v>
    <v>J</v>
    <v>J</v>
    <v>J</v>
    <v>J</v>
    <v>J</v>
    <v>4</v>
    <v>Mechelen Racing</v>
    <v>115</v>
    <v>Onderhoud Mechelen</v>
    <v>144</v>
    <v>2369</v>
    <v>2369</v>
    <v>Hybride streek</v>
    <v>12-m bus</v>
    <v>Bus</v>
  </rv>
  <rv s="0">
    <v>0</v>
    <v>2370</v>
    <v>1</v>
    <v>Generic</v>
    <v>222A2</v>
    <v>Euro6</v>
    <v>1</v>
    <v>43899</v>
    <v>45175</v>
    <v>Antwerpen</v>
    <v>1</v>
    <v>J</v>
    <v>J</v>
    <v>J</v>
    <v>J</v>
    <v>J</v>
    <v>4</v>
    <v>Mechelen Racing</v>
    <v>115</v>
    <v>Onderhoud Mechelen</v>
    <v>144</v>
    <v>2370</v>
    <v>2370</v>
    <v>Hybride streek</v>
    <v>12-m bus</v>
    <v>Bus</v>
  </rv>
  <rv s="0">
    <v>0</v>
    <v>2371</v>
    <v>1</v>
    <v>Generic</v>
    <v>222A2</v>
    <v>Euro6</v>
    <v>1</v>
    <v>43671</v>
    <v>45175</v>
    <v>Antwerpen</v>
    <v>1</v>
    <v>J</v>
    <v>J</v>
    <v>J</v>
    <v>J</v>
    <v>J</v>
    <v>4</v>
    <v>Mechelen Racing</v>
    <v>115</v>
    <v>Onderhoud Mechelen</v>
    <v>144</v>
    <v>2371</v>
    <v>2371</v>
    <v>Hybride streek</v>
    <v>12-m bus</v>
    <v>Bus</v>
  </rv>
  <rv s="0">
    <v>0</v>
    <v>2372</v>
    <v>1</v>
    <v>Generic</v>
    <v>222A2</v>
    <v>Euro6</v>
    <v>1</v>
    <v>43671</v>
    <v>45175</v>
    <v>Antwerpen</v>
    <v>1</v>
    <v>J</v>
    <v>J</v>
    <v>J</v>
    <v>J</v>
    <v>J</v>
    <v>4</v>
    <v>Mechelen Racing</v>
    <v>115</v>
    <v>Onderhoud Mechelen</v>
    <v>144</v>
    <v>2372</v>
    <v>2372</v>
    <v>Hybride streek</v>
    <v>12-m bus</v>
    <v>Bus</v>
  </rv>
  <rv s="0">
    <v>0</v>
    <v>2373</v>
    <v>1</v>
    <v>Generic</v>
    <v>222A2</v>
    <v>Euro6</v>
    <v>1</v>
    <v>43710</v>
    <v>45175</v>
    <v>Antwerpen</v>
    <v>1</v>
    <v>J</v>
    <v>J</v>
    <v>J</v>
    <v>J</v>
    <v>J</v>
    <v>4</v>
    <v>Mechelen Racing</v>
    <v>115</v>
    <v>Onderhoud Mechelen</v>
    <v>144</v>
    <v>2373</v>
    <v>2373</v>
    <v>Hybride streek</v>
    <v>12-m bus</v>
    <v>Bus</v>
  </rv>
  <rv s="0">
    <v>0</v>
    <v>2374</v>
    <v>1</v>
    <v>Generic</v>
    <v>222A2</v>
    <v>Euro6</v>
    <v>1</v>
    <v>43777</v>
    <v>45175</v>
    <v>Antwerpen</v>
    <v>1</v>
    <v>J</v>
    <v>J</v>
    <v>J</v>
    <v>J</v>
    <v>J</v>
    <v>4</v>
    <v>Mechelen Racing</v>
    <v>115</v>
    <v>Onderhoud Mechelen</v>
    <v>144</v>
    <v>2374</v>
    <v>2374</v>
    <v>Hybride streek</v>
    <v>12-m bus</v>
    <v>Bus</v>
  </rv>
  <rv s="0">
    <v>0</v>
    <v>2375</v>
    <v>1</v>
    <v>Generic</v>
    <v>222A2</v>
    <v>Euro6</v>
    <v>1</v>
    <v>43735</v>
    <v>45175</v>
    <v>Antwerpen</v>
    <v>1</v>
    <v>J</v>
    <v>J</v>
    <v>J</v>
    <v>J</v>
    <v>J</v>
    <v>4</v>
    <v>Mechelen Racing</v>
    <v>115</v>
    <v>Onderhoud Mechelen</v>
    <v>144</v>
    <v>2375</v>
    <v>2375</v>
    <v>Hybride streek</v>
    <v>12-m bus</v>
    <v>Bus</v>
  </rv>
  <rv s="0">
    <v>0</v>
    <v>2376</v>
    <v>1</v>
    <v>Generic</v>
    <v>222A2</v>
    <v>Euro6</v>
    <v>1</v>
    <v>43735</v>
    <v>45175</v>
    <v>Antwerpen</v>
    <v>1</v>
    <v>J</v>
    <v>J</v>
    <v>J</v>
    <v>J</v>
    <v>J</v>
    <v>4</v>
    <v>Mechelen Racing</v>
    <v>115</v>
    <v>Onderhoud Mechelen</v>
    <v>144</v>
    <v>2376</v>
    <v>2376</v>
    <v>Hybride streek</v>
    <v>12-m bus</v>
    <v>Bus</v>
  </rv>
  <rv s="0">
    <v>0</v>
    <v>2377</v>
    <v>1</v>
    <v>Generic</v>
    <v>222A2</v>
    <v>Euro6</v>
    <v>1</v>
    <v>43739</v>
    <v>45175</v>
    <v>Antwerpen</v>
    <v>1</v>
    <v>J</v>
    <v>J</v>
    <v>J</v>
    <v>J</v>
    <v>J</v>
    <v>4</v>
    <v>Mechelen Racing</v>
    <v>115</v>
    <v>Onderhoud Mechelen</v>
    <v>144</v>
    <v>2377</v>
    <v>2377</v>
    <v>Hybride streek</v>
    <v>12-m bus</v>
    <v>Bus</v>
  </rv>
  <rv s="0">
    <v>0</v>
    <v>2378</v>
    <v>1</v>
    <v>Generic</v>
    <v>222A2</v>
    <v>Euro6</v>
    <v>1</v>
    <v>43739</v>
    <v>45175</v>
    <v>Antwerpen</v>
    <v>1</v>
    <v>J</v>
    <v>J</v>
    <v>J</v>
    <v>J</v>
    <v>J</v>
    <v>4</v>
    <v>Mechelen Racing</v>
    <v>115</v>
    <v>Onderhoud Mechelen</v>
    <v>144</v>
    <v>2378</v>
    <v>2378</v>
    <v>Hybride streek</v>
    <v>12-m bus</v>
    <v>Bus</v>
  </rv>
  <rv s="0">
    <v>0</v>
    <v>2379</v>
    <v>1</v>
    <v>Generic</v>
    <v>222A2</v>
    <v>Euro6</v>
    <v>1</v>
    <v>43739</v>
    <v>45175</v>
    <v>Antwerpen</v>
    <v>1</v>
    <v>J</v>
    <v>J</v>
    <v>J</v>
    <v>J</v>
    <v>J</v>
    <v>4</v>
    <v>Mechelen Racing</v>
    <v>115</v>
    <v>Onderhoud Mechelen</v>
    <v>144</v>
    <v>2379</v>
    <v>2379</v>
    <v>Hybride streek</v>
    <v>12-m bus</v>
    <v>Bus</v>
  </rv>
  <rv s="0">
    <v>0</v>
    <v>2380</v>
    <v>1</v>
    <v>Generic</v>
    <v>222A2</v>
    <v>Euro6</v>
    <v>1</v>
    <v>43746</v>
    <v>45175</v>
    <v>Antwerpen</v>
    <v>1</v>
    <v>J</v>
    <v>J</v>
    <v>J</v>
    <v>J</v>
    <v>J</v>
    <v>4</v>
    <v>Rumst</v>
    <v>119</v>
    <v>Onderhoud Mechelen</v>
    <v>144</v>
    <v>2380</v>
    <v>2380</v>
    <v>Hybride streek</v>
    <v>12-m bus</v>
    <v>Bus</v>
  </rv>
  <rv s="0">
    <v>0</v>
    <v>2381</v>
    <v>1</v>
    <v>Generic</v>
    <v>222A2</v>
    <v>Euro6</v>
    <v>1</v>
    <v>43769</v>
    <v>45175</v>
    <v>Antwerpen</v>
    <v>1</v>
    <v>J</v>
    <v>J</v>
    <v>J</v>
    <v>J</v>
    <v>J</v>
    <v>4</v>
    <v>Mechelen Racing</v>
    <v>115</v>
    <v>Onderhoud Mechelen</v>
    <v>144</v>
    <v>2381</v>
    <v>2381</v>
    <v>Hybride streek</v>
    <v>12-m bus</v>
    <v>Bus</v>
  </rv>
  <rv s="0">
    <v>0</v>
    <v>2382</v>
    <v>1</v>
    <v>Generic</v>
    <v>222A2</v>
    <v>Euro6</v>
    <v>1</v>
    <v>43769</v>
    <v>45175</v>
    <v>Antwerpen</v>
    <v>1</v>
    <v>J</v>
    <v>J</v>
    <v>J</v>
    <v>J</v>
    <v>J</v>
    <v>4</v>
    <v>Rumst</v>
    <v>119</v>
    <v>Onderhoud Mechelen</v>
    <v>144</v>
    <v>2382</v>
    <v>2382</v>
    <v>Hybride streek</v>
    <v>12-m bus</v>
    <v>Bus</v>
  </rv>
  <rv s="0">
    <v>0</v>
    <v>2383</v>
    <v>1</v>
    <v>Generic</v>
    <v>222A2</v>
    <v>Euro6</v>
    <v>1</v>
    <v>43769</v>
    <v>45175</v>
    <v>Antwerpen</v>
    <v>1</v>
    <v>J</v>
    <v>J</v>
    <v>J</v>
    <v>J</v>
    <v>J</v>
    <v>4</v>
    <v>Mechelen Racing</v>
    <v>115</v>
    <v>Onderhoud Mechelen</v>
    <v>144</v>
    <v>2383</v>
    <v>2383</v>
    <v>Hybride streek</v>
    <v>12-m bus</v>
    <v>Bus</v>
  </rv>
  <rv s="0">
    <v>0</v>
    <v>2384</v>
    <v>1</v>
    <v>Generic</v>
    <v>222A2</v>
    <v>Euro6</v>
    <v>1</v>
    <v>43773</v>
    <v>45175</v>
    <v>Antwerpen</v>
    <v>1</v>
    <v>J</v>
    <v>J</v>
    <v>J</v>
    <v>J</v>
    <v>J</v>
    <v>4</v>
    <v>Mechelen Racing</v>
    <v>115</v>
    <v>Onderhoud Mechelen</v>
    <v>144</v>
    <v>2384</v>
    <v>2384</v>
    <v>Hybride streek</v>
    <v>12-m bus</v>
    <v>Bus</v>
  </rv>
  <rv s="0">
    <v>0</v>
    <v>2385</v>
    <v>1</v>
    <v>Generic</v>
    <v>222A2</v>
    <v>Euro6</v>
    <v>1</v>
    <v>43777</v>
    <v>45175</v>
    <v>Antwerpen</v>
    <v>1</v>
    <v>J</v>
    <v>J</v>
    <v>J</v>
    <v>J</v>
    <v>J</v>
    <v>4</v>
    <v>Mechelen Racing</v>
    <v>115</v>
    <v>Onderhoud Mechelen</v>
    <v>144</v>
    <v>2385</v>
    <v>2385</v>
    <v>Hybride streek</v>
    <v>12-m bus</v>
    <v>Bus</v>
  </rv>
  <rv s="0">
    <v>0</v>
    <v>2386</v>
    <v>1</v>
    <v>Generic</v>
    <v>222A2</v>
    <v>Euro6</v>
    <v>1</v>
    <v>43777</v>
    <v>45175</v>
    <v>Antwerpen</v>
    <v>1</v>
    <v>J</v>
    <v>J</v>
    <v>J</v>
    <v>J</v>
    <v>J</v>
    <v>4</v>
    <v>Rumst</v>
    <v>119</v>
    <v>Onderhoud Mechelen</v>
    <v>144</v>
    <v>2386</v>
    <v>2386</v>
    <v>Hybride streek</v>
    <v>12-m bus</v>
    <v>Bus</v>
  </rv>
  <rv s="0">
    <v>0</v>
    <v>2387</v>
    <v>1</v>
    <v>Generic</v>
    <v>222A2</v>
    <v>Euro6</v>
    <v>1</v>
    <v>43854</v>
    <v>45175</v>
    <v>Vlaams-Brabant</v>
    <v>3</v>
    <v>J</v>
    <v>J</v>
    <v>J</v>
    <v>J</v>
    <v>J</v>
    <v>4</v>
    <v>Overijse</v>
    <v>115</v>
    <v>Onderhoud Overijse</v>
    <v>144</v>
    <v>2387</v>
    <v>2387</v>
    <v>Hybride streek</v>
    <v>12-m bus</v>
    <v>Bus</v>
  </rv>
  <rv s="0">
    <v>0</v>
    <v>2388</v>
    <v>1</v>
    <v>Generic</v>
    <v>222A2</v>
    <v>Euro6</v>
    <v>1</v>
    <v>43899</v>
    <v>45175</v>
    <v>Vlaams-Brabant</v>
    <v>3</v>
    <v>J</v>
    <v>J</v>
    <v>J</v>
    <v>J</v>
    <v>J</v>
    <v>4</v>
    <v>Overijse</v>
    <v>115</v>
    <v>Onderhoud Overijse</v>
    <v>144</v>
    <v>2388</v>
    <v>2388</v>
    <v>Hybride streek</v>
    <v>12-m bus</v>
    <v>Bus</v>
  </rv>
  <rv s="0">
    <v>0</v>
    <v>2389</v>
    <v>1</v>
    <v>Generic</v>
    <v>222A2</v>
    <v>Euro6</v>
    <v>1</v>
    <v>43663</v>
    <v>45175</v>
    <v>Oost-Vlaanderen</v>
    <v>2</v>
    <v>J</v>
    <v>J</v>
    <v>J</v>
    <v>J</v>
    <v>J</v>
    <v>4</v>
    <v>Destelbergen</v>
    <v>111</v>
    <v>Werkhuis Destelbergen</v>
    <v>142</v>
    <v>2389</v>
    <v>2389</v>
    <v>Hybride streek</v>
    <v>12-m bus</v>
    <v>Bus</v>
  </rv>
  <rv s="0">
    <v>0</v>
    <v>2390</v>
    <v>1</v>
    <v>Generic</v>
    <v>222A2</v>
    <v>Euro6</v>
    <v>1</v>
    <v>43663</v>
    <v>45175</v>
    <v>Oost-Vlaanderen</v>
    <v>2</v>
    <v>J</v>
    <v>J</v>
    <v>J</v>
    <v>J</v>
    <v>J</v>
    <v>4</v>
    <v>Destelbergen</v>
    <v>111</v>
    <v>Werkhuis Destelbergen</v>
    <v>142</v>
    <v>2390</v>
    <v>2390</v>
    <v>Hybride streek</v>
    <v>12-m bus</v>
    <v>Bus</v>
  </rv>
  <rv s="0">
    <v>0</v>
    <v>2391</v>
    <v>1</v>
    <v>Generic</v>
    <v>222A2</v>
    <v>Euro6</v>
    <v>1</v>
    <v>43655</v>
    <v>45175</v>
    <v>Oost-Vlaanderen</v>
    <v>2</v>
    <v>J</v>
    <v>J</v>
    <v>J</v>
    <v>J</v>
    <v>J</v>
    <v>4</v>
    <v>Destelbergen</v>
    <v>111</v>
    <v>Werkhuis Destelbergen</v>
    <v>142</v>
    <v>2391</v>
    <v>2391</v>
    <v>Hybride streek</v>
    <v>12-m bus</v>
    <v>Bus</v>
  </rv>
  <rv s="0">
    <v>0</v>
    <v>2392</v>
    <v>1</v>
    <v>Generic</v>
    <v>222A2</v>
    <v>Euro6</v>
    <v>1</v>
    <v>43670</v>
    <v>45175</v>
    <v>Antwerpen</v>
    <v>1</v>
    <v>J</v>
    <v>J</v>
    <v>J</v>
    <v>J</v>
    <v>J</v>
    <v>4</v>
    <v>Mechelen Racing</v>
    <v>115</v>
    <v>Onderhoud Mechelen</v>
    <v>144</v>
    <v>2392</v>
    <v>2392</v>
    <v>Hybride streek</v>
    <v>12-m bus</v>
    <v>Bus</v>
  </rv>
  <rv s="0">
    <v>0</v>
    <v>2393</v>
    <v>1</v>
    <v>Generic</v>
    <v>222A2</v>
    <v>Euro6</v>
    <v>1</v>
    <v>43670</v>
    <v>45175</v>
    <v>Oost-Vlaanderen</v>
    <v>2</v>
    <v>J</v>
    <v>J</v>
    <v>J</v>
    <v>J</v>
    <v>J</v>
    <v>4</v>
    <v>Destelbergen</v>
    <v>111</v>
    <v>Werkhuis Destelbergen</v>
    <v>142</v>
    <v>2393</v>
    <v>2393</v>
    <v>Hybride streek</v>
    <v>12-m bus</v>
    <v>Bus</v>
  </rv>
  <rv s="0">
    <v>0</v>
    <v>2394</v>
    <v>1</v>
    <v>Generic</v>
    <v>222A2</v>
    <v>Euro6</v>
    <v>1</v>
    <v>43707</v>
    <v>45175</v>
    <v>Oost-Vlaanderen</v>
    <v>2</v>
    <v>J</v>
    <v>J</v>
    <v>J</v>
    <v>J</v>
    <v>J</v>
    <v>4</v>
    <v>Destelbergen</v>
    <v>111</v>
    <v>Werkhuis Destelbergen</v>
    <v>142</v>
    <v>2394</v>
    <v>2394</v>
    <v>Hybride streek</v>
    <v>12-m bus</v>
    <v>Bus</v>
  </rv>
  <rv s="0">
    <v>0</v>
    <v>2395</v>
    <v>1</v>
    <v>Generic</v>
    <v>222A2</v>
    <v>Euro6</v>
    <v>1</v>
    <v>43707</v>
    <v>45175</v>
    <v>Oost-Vlaanderen</v>
    <v>2</v>
    <v>J</v>
    <v>J</v>
    <v>J</v>
    <v>J</v>
    <v>J</v>
    <v>4</v>
    <v>Destelbergen</v>
    <v>111</v>
    <v>Werkhuis Destelbergen</v>
    <v>142</v>
    <v>2395</v>
    <v>2395</v>
    <v>Hybride streek</v>
    <v>12-m bus</v>
    <v>Bus</v>
  </rv>
  <rv s="0">
    <v>0</v>
    <v>2396</v>
    <v>1</v>
    <v>Generic</v>
    <v>222A2</v>
    <v>Euro6</v>
    <v>1</v>
    <v>43725</v>
    <v>45175</v>
    <v>Antwerpen</v>
    <v>1</v>
    <v>J</v>
    <v>J</v>
    <v>J</v>
    <v>J</v>
    <v>J</v>
    <v>4</v>
    <v>Onbekend</v>
    <v>#</v>
    <v>Onbekend</v>
    <v>#</v>
    <v>2396</v>
    <v>2396</v>
    <v>Hybride streek</v>
    <v>12-m bus</v>
    <v>Bus</v>
  </rv>
  <rv s="0">
    <v>0</v>
    <v>2397</v>
    <v>1</v>
    <v>Generic</v>
    <v>222A2</v>
    <v>Euro6</v>
    <v>1</v>
    <v>43748</v>
    <v>45175</v>
    <v>Antwerpen</v>
    <v>1</v>
    <v>J</v>
    <v>J</v>
    <v>J</v>
    <v>J</v>
    <v>J</v>
    <v>4</v>
    <v>Onbekend</v>
    <v>#</v>
    <v>Onbekend</v>
    <v>#</v>
    <v>2397</v>
    <v>2397</v>
    <v>Hybride streek</v>
    <v>12-m bus</v>
    <v>Bus</v>
  </rv>
  <rv s="0">
    <v>0</v>
    <v>2398</v>
    <v>1</v>
    <v>Generic</v>
    <v>222A2</v>
    <v>Euro6</v>
    <v>1</v>
    <v>43748</v>
    <v>45175</v>
    <v>Oost-Vlaanderen</v>
    <v>2</v>
    <v>J</v>
    <v>J</v>
    <v>J</v>
    <v>J</v>
    <v>J</v>
    <v>4</v>
    <v>Destelbergen</v>
    <v>111</v>
    <v>Werkhuis Destelbergen</v>
    <v>142</v>
    <v>2398</v>
    <v>2398</v>
    <v>Hybride streek</v>
    <v>12-m bus</v>
    <v>Bus</v>
  </rv>
  <rv s="0">
    <v>0</v>
    <v>2399</v>
    <v>1</v>
    <v>Generic</v>
    <v>222A2</v>
    <v>Euro6</v>
    <v>1</v>
    <v>43748</v>
    <v>45175</v>
    <v>Oost-Vlaanderen</v>
    <v>2</v>
    <v>J</v>
    <v>J</v>
    <v>J</v>
    <v>J</v>
    <v>J</v>
    <v>4</v>
    <v>Destelbergen</v>
    <v>111</v>
    <v>Werkhuis Destelbergen</v>
    <v>142</v>
    <v>2399</v>
    <v>2399</v>
    <v>Hybride streek</v>
    <v>12-m bus</v>
    <v>Bus</v>
  </rv>
  <rv s="0">
    <v>0</v>
    <v>2400</v>
    <v>1</v>
    <v>Generic</v>
    <v>222A2</v>
    <v>Euro6</v>
    <v>1</v>
    <v>43748</v>
    <v>45175</v>
    <v>Antwerpen</v>
    <v>1</v>
    <v>J</v>
    <v>J</v>
    <v>J</v>
    <v>J</v>
    <v>J</v>
    <v>4</v>
    <v>Onbekend</v>
    <v>#</v>
    <v>Onbekend</v>
    <v>#</v>
    <v>2400</v>
    <v>2400</v>
    <v>Hybride streek</v>
    <v>12-m bus</v>
    <v>Bus</v>
  </rv>
  <rv s="0">
    <v>0</v>
    <v>2401</v>
    <v>1</v>
    <v>Generic</v>
    <v>222A2</v>
    <v>Euro6</v>
    <v>1</v>
    <v>43748</v>
    <v>45175</v>
    <v>Vlaams-Brabant</v>
    <v>3</v>
    <v>J</v>
    <v>J</v>
    <v>J</v>
    <v>J</v>
    <v>J</v>
    <v>4</v>
    <v>Overijse</v>
    <v>115</v>
    <v>Onderhoud Overijse</v>
    <v>144</v>
    <v>2401</v>
    <v>2401</v>
    <v>Hybride streek</v>
    <v>12-m bus</v>
    <v>Bus</v>
  </rv>
  <rv s="0">
    <v>0</v>
    <v>2402</v>
    <v>1</v>
    <v>Generic</v>
    <v>222A2</v>
    <v>Euro6</v>
    <v>1</v>
    <v>43773</v>
    <v>45175</v>
    <v>Vlaams-Brabant</v>
    <v>3</v>
    <v>J</v>
    <v>J</v>
    <v>J</v>
    <v>J</v>
    <v>J</v>
    <v>4</v>
    <v>Overijse</v>
    <v>115</v>
    <v>Onderhoud Overijse</v>
    <v>144</v>
    <v>2402</v>
    <v>2402</v>
    <v>Hybride streek</v>
    <v>12-m bus</v>
    <v>Bus</v>
  </rv>
  <rv s="0">
    <v>0</v>
    <v>2403</v>
    <v>1</v>
    <v>Generic</v>
    <v>222A2</v>
    <v>Euro6</v>
    <v>1</v>
    <v>43784</v>
    <v>45175</v>
    <v>Vlaams-Brabant</v>
    <v>3</v>
    <v>J</v>
    <v>J</v>
    <v>J</v>
    <v>J</v>
    <v>J</v>
    <v>4</v>
    <v>Overijse</v>
    <v>115</v>
    <v>Onderhoud Overijse</v>
    <v>144</v>
    <v>2403</v>
    <v>2403</v>
    <v>Hybride streek</v>
    <v>12-m bus</v>
    <v>Bus</v>
  </rv>
  <rv s="0">
    <v>0</v>
    <v>2404</v>
    <v>1</v>
    <v>Generic</v>
    <v>222A2</v>
    <v>Euro6</v>
    <v>1</v>
    <v>43784</v>
    <v>45175</v>
    <v>Vlaams-Brabant</v>
    <v>3</v>
    <v>J</v>
    <v>J</v>
    <v>J</v>
    <v>J</v>
    <v>J</v>
    <v>4</v>
    <v>Overijse</v>
    <v>115</v>
    <v>Onderhoud Overijse</v>
    <v>144</v>
    <v>2404</v>
    <v>2404</v>
    <v>Hybride streek</v>
    <v>12-m bus</v>
    <v>Bus</v>
  </rv>
  <rv s="0">
    <v>0</v>
    <v>2405</v>
    <v>1</v>
    <v>Generic</v>
    <v>222A2</v>
    <v>Euro6</v>
    <v>1</v>
    <v>43784</v>
    <v>45175</v>
    <v>Vlaams-Brabant</v>
    <v>3</v>
    <v>J</v>
    <v>J</v>
    <v>J</v>
    <v>J</v>
    <v>J</v>
    <v>4</v>
    <v>Overijse</v>
    <v>115</v>
    <v>Onderhoud Overijse</v>
    <v>144</v>
    <v>2405</v>
    <v>2405</v>
    <v>Hybride streek</v>
    <v>12-m bus</v>
    <v>Bus</v>
  </rv>
  <rv s="0">
    <v>0</v>
    <v>2406</v>
    <v>1</v>
    <v>Generic</v>
    <v>222A2</v>
    <v>Euro6</v>
    <v>1</v>
    <v>43784</v>
    <v>45175</v>
    <v>Vlaams-Brabant</v>
    <v>3</v>
    <v>J</v>
    <v>J</v>
    <v>J</v>
    <v>J</v>
    <v>J</v>
    <v>4</v>
    <v>Overijse</v>
    <v>115</v>
    <v>Onderhoud Overijse</v>
    <v>144</v>
    <v>2406</v>
    <v>2406</v>
    <v>Hybride streek</v>
    <v>12-m bus</v>
    <v>Bus</v>
  </rv>
  <rv s="0">
    <v>0</v>
    <v>2409</v>
    <v>1</v>
    <v>Generic</v>
    <v>222A2</v>
    <v>Euro6</v>
    <v>1</v>
    <v>43644</v>
    <v>45175</v>
    <v>Antwerpen</v>
    <v>1</v>
    <v>J</v>
    <v>J</v>
    <v>J</v>
    <v>J</v>
    <v>J</v>
    <v>4</v>
    <v>Mechelen Racing</v>
    <v>115</v>
    <v>Onderhoud Mechelen</v>
    <v>144</v>
    <v>2409</v>
    <v>2409</v>
    <v>Hybride streek</v>
    <v>12-m bus</v>
    <v>Bus</v>
  </rv>
  <rv s="0">
    <v>0</v>
    <v>2410</v>
    <v>1</v>
    <v>Generic</v>
    <v>222A2</v>
    <v>Euro6</v>
    <v>1</v>
    <v>43735</v>
    <v>45175</v>
    <v>Vlaams-Brabant</v>
    <v>3</v>
    <v>J</v>
    <v>J</v>
    <v>J</v>
    <v>J</v>
    <v>J</v>
    <v>4</v>
    <v>Vilvoorde</v>
    <v>133</v>
    <v>Onderhoud Vilvoorde</v>
    <v>150</v>
    <v>2410</v>
    <v>2410</v>
    <v>Hybride streek</v>
    <v>12-m bus</v>
    <v>Bus</v>
  </rv>
  <rv s="0">
    <v>0</v>
    <v>2411</v>
    <v>1</v>
    <v>Generic</v>
    <v>222A2</v>
    <v>Euro6</v>
    <v>1</v>
    <v>43670</v>
    <v>45175</v>
    <v>Vlaams-Brabant</v>
    <v>3</v>
    <v>J</v>
    <v>J</v>
    <v>J</v>
    <v>J</v>
    <v>J</v>
    <v>4</v>
    <v>Vilvoorde</v>
    <v>133</v>
    <v>Onderhoud Vilvoorde</v>
    <v>150</v>
    <v>2411</v>
    <v>2411</v>
    <v>Hybride streek</v>
    <v>12-m bus</v>
    <v>Bus</v>
  </rv>
  <rv s="0">
    <v>0</v>
    <v>2412</v>
    <v>1</v>
    <v>Generic</v>
    <v>222A2</v>
    <v>Euro6</v>
    <v>1</v>
    <v>43811</v>
    <v>45175</v>
    <v>Vlaams-Brabant</v>
    <v>3</v>
    <v>J</v>
    <v>J</v>
    <v>J</v>
    <v>J</v>
    <v>J</v>
    <v>4</v>
    <v>Vilvoorde</v>
    <v>133</v>
    <v>Onderhoud Vilvoorde</v>
    <v>150</v>
    <v>2412</v>
    <v>2412</v>
    <v>Hybride streek</v>
    <v>12-m bus</v>
    <v>Bus</v>
  </rv>
  <rv s="0">
    <v>0</v>
    <v>2413</v>
    <v>1</v>
    <v>Generic</v>
    <v>222A2</v>
    <v>Euro6</v>
    <v>1</v>
    <v>43725</v>
    <v>45175</v>
    <v>Vlaams-Brabant</v>
    <v>3</v>
    <v>J</v>
    <v>J</v>
    <v>J</v>
    <v>J</v>
    <v>J</v>
    <v>4</v>
    <v>Vilvoorde</v>
    <v>133</v>
    <v>Onderhoud Vilvoorde</v>
    <v>150</v>
    <v>2413</v>
    <v>2413</v>
    <v>Hybride streek</v>
    <v>12-m bus</v>
    <v>Bus</v>
  </rv>
  <rv s="0">
    <v>0</v>
    <v>2414</v>
    <v>1</v>
    <v>Generic</v>
    <v>222A2</v>
    <v>Euro6</v>
    <v>1</v>
    <v>43657</v>
    <v>45175</v>
    <v>Vlaams-Brabant</v>
    <v>3</v>
    <v>J</v>
    <v>J</v>
    <v>J</v>
    <v>J</v>
    <v>J</v>
    <v>4</v>
    <v>Vilvoorde</v>
    <v>133</v>
    <v>Onderhoud Vilvoorde</v>
    <v>150</v>
    <v>2414</v>
    <v>2414</v>
    <v>Hybride streek</v>
    <v>12-m bus</v>
    <v>Bus</v>
  </rv>
  <rv s="0">
    <v>0</v>
    <v>2415</v>
    <v>1</v>
    <v>Generic</v>
    <v>222A2</v>
    <v>Euro6</v>
    <v>1</v>
    <v>43657</v>
    <v>45175</v>
    <v>Vlaams-Brabant</v>
    <v>3</v>
    <v>J</v>
    <v>J</v>
    <v>J</v>
    <v>J</v>
    <v>J</v>
    <v>4</v>
    <v>Vilvoorde</v>
    <v>133</v>
    <v>Onderhoud Vilvoorde</v>
    <v>150</v>
    <v>2415</v>
    <v>2415</v>
    <v>Hybride streek</v>
    <v>12-m bus</v>
    <v>Bus</v>
  </rv>
  <rv s="0">
    <v>0</v>
    <v>2416</v>
    <v>1</v>
    <v>Generic</v>
    <v>222A2</v>
    <v>Euro6</v>
    <v>1</v>
    <v>43663</v>
    <v>45175</v>
    <v>Vlaams-Brabant</v>
    <v>3</v>
    <v>J</v>
    <v>J</v>
    <v>J</v>
    <v>J</v>
    <v>J</v>
    <v>4</v>
    <v>Vilvoorde</v>
    <v>133</v>
    <v>Onderhoud Vilvoorde</v>
    <v>150</v>
    <v>2416</v>
    <v>2416</v>
    <v>Hybride streek</v>
    <v>12-m bus</v>
    <v>Bus</v>
  </rv>
  <rv s="0">
    <v>0</v>
    <v>2417</v>
    <v>1</v>
    <v>Generic</v>
    <v>222A2</v>
    <v>Euro6</v>
    <v>1</v>
    <v>43707</v>
    <v>45175</v>
    <v>Vlaams-Brabant</v>
    <v>3</v>
    <v>J</v>
    <v>J</v>
    <v>J</v>
    <v>J</v>
    <v>J</v>
    <v>4</v>
    <v>Vilvoorde</v>
    <v>133</v>
    <v>Onderhoud Vilvoorde</v>
    <v>150</v>
    <v>2417</v>
    <v>2417</v>
    <v>Hybride streek</v>
    <v>12-m bus</v>
    <v>Bus</v>
  </rv>
  <rv s="0">
    <v>0</v>
    <v>2418</v>
    <v>1</v>
    <v>Generic</v>
    <v>222A2</v>
    <v>Euro6</v>
    <v>1</v>
    <v>43670</v>
    <v>45175</v>
    <v>Vlaams-Brabant</v>
    <v>3</v>
    <v>J</v>
    <v>J</v>
    <v>J</v>
    <v>J</v>
    <v>J</v>
    <v>4</v>
    <v>Vilvoorde</v>
    <v>133</v>
    <v>Onderhoud Vilvoorde</v>
    <v>150</v>
    <v>2418</v>
    <v>2418</v>
    <v>Hybride streek</v>
    <v>12-m bus</v>
    <v>Bus</v>
  </rv>
  <rv s="0">
    <v>0</v>
    <v>2419</v>
    <v>1</v>
    <v>Generic</v>
    <v>222A2</v>
    <v>Euro6</v>
    <v>1</v>
    <v>43725</v>
    <v>45175</v>
    <v>Vlaams-Brabant</v>
    <v>3</v>
    <v>J</v>
    <v>J</v>
    <v>J</v>
    <v>J</v>
    <v>J</v>
    <v>4</v>
    <v>Vilvoorde</v>
    <v>133</v>
    <v>Onderhoud Vilvoorde</v>
    <v>150</v>
    <v>2419</v>
    <v>2419</v>
    <v>Hybride streek</v>
    <v>12-m bus</v>
    <v>Bus</v>
  </rv>
  <rv s="0">
    <v>0</v>
    <v>2420</v>
    <v>1</v>
    <v>Generic</v>
    <v>222A2</v>
    <v>Euro6</v>
    <v>1</v>
    <v>43725</v>
    <v>45175</v>
    <v>Vlaams-Brabant</v>
    <v>3</v>
    <v>J</v>
    <v>J</v>
    <v>J</v>
    <v>J</v>
    <v>J</v>
    <v>4</v>
    <v>Vilvoorde</v>
    <v>133</v>
    <v>Onderhoud Vilvoorde</v>
    <v>150</v>
    <v>2420</v>
    <v>2420</v>
    <v>Hybride streek</v>
    <v>12-m bus</v>
    <v>Bus</v>
  </rv>
  <rv s="0">
    <v>0</v>
    <v>2421</v>
    <v>1</v>
    <v>Generic</v>
    <v>222A2</v>
    <v>Euro6</v>
    <v>1</v>
    <v>43725</v>
    <v>45175</v>
    <v>Vlaams-Brabant</v>
    <v>3</v>
    <v>J</v>
    <v>J</v>
    <v>J</v>
    <v>J</v>
    <v>J</v>
    <v>4</v>
    <v>Vilvoorde</v>
    <v>133</v>
    <v>Onderhoud Vilvoorde</v>
    <v>150</v>
    <v>2421</v>
    <v>2421</v>
    <v>Hybride streek</v>
    <v>12-m bus</v>
    <v>Bus</v>
  </rv>
  <rv s="0">
    <v>0</v>
    <v>2422</v>
    <v>1</v>
    <v>Generic</v>
    <v>222A2</v>
    <v>Euro6</v>
    <v>1</v>
    <v>43725</v>
    <v>45175</v>
    <v>Vlaams-Brabant</v>
    <v>3</v>
    <v>J</v>
    <v>J</v>
    <v>J</v>
    <v>J</v>
    <v>J</v>
    <v>4</v>
    <v>Vilvoorde</v>
    <v>133</v>
    <v>Onderhoud Vilvoorde</v>
    <v>150</v>
    <v>2422</v>
    <v>2422</v>
    <v>Hybride streek</v>
    <v>12-m bus</v>
    <v>Bus</v>
  </rv>
  <rv s="0">
    <v>0</v>
    <v>2423</v>
    <v>1</v>
    <v>Generic</v>
    <v>222A2</v>
    <v>Euro6</v>
    <v>1</v>
    <v>43735</v>
    <v>45175</v>
    <v>Vlaams-Brabant</v>
    <v>3</v>
    <v>J</v>
    <v>J</v>
    <v>J</v>
    <v>J</v>
    <v>J</v>
    <v>4</v>
    <v>Vilvoorde</v>
    <v>133</v>
    <v>Onderhoud Vilvoorde</v>
    <v>150</v>
    <v>2423</v>
    <v>2423</v>
    <v>Hybride streek</v>
    <v>12-m bus</v>
    <v>Bus</v>
  </rv>
  <rv s="0">
    <v>0</v>
    <v>2424</v>
    <v>1</v>
    <v>Generic</v>
    <v>222A2</v>
    <v>Euro6</v>
    <v>1</v>
    <v>43735</v>
    <v>45175</v>
    <v>Vlaams-Brabant</v>
    <v>3</v>
    <v>J</v>
    <v>J</v>
    <v>J</v>
    <v>J</v>
    <v>J</v>
    <v>4</v>
    <v>Vilvoorde</v>
    <v>133</v>
    <v>Onderhoud Vilvoorde</v>
    <v>150</v>
    <v>2424</v>
    <v>2424</v>
    <v>Hybride streek</v>
    <v>12-m bus</v>
    <v>Bus</v>
  </rv>
  <rv s="0">
    <v>0</v>
    <v>2425</v>
    <v>1</v>
    <v>Generic</v>
    <v>222A2</v>
    <v>Euro6</v>
    <v>1</v>
    <v>43735</v>
    <v>45175</v>
    <v>Vlaams-Brabant</v>
    <v>3</v>
    <v>J</v>
    <v>J</v>
    <v>J</v>
    <v>J</v>
    <v>J</v>
    <v>4</v>
    <v>Vilvoorde</v>
    <v>133</v>
    <v>Onderhoud Vilvoorde</v>
    <v>150</v>
    <v>2425</v>
    <v>2425</v>
    <v>Hybride streek</v>
    <v>12-m bus</v>
    <v>Bus</v>
  </rv>
  <rv s="0">
    <v>0</v>
    <v>2426</v>
    <v>1</v>
    <v>Generic</v>
    <v>222A2</v>
    <v>Euro6</v>
    <v>1</v>
    <v>43735</v>
    <v>45175</v>
    <v>Antwerpen</v>
    <v>1</v>
    <v>J</v>
    <v>J</v>
    <v>J</v>
    <v>J</v>
    <v>J</v>
    <v>4</v>
    <v>Onbekend</v>
    <v>#</v>
    <v>Onbekend</v>
    <v>#</v>
    <v>2426</v>
    <v>2426</v>
    <v>Hybride streek</v>
    <v>12-m bus</v>
    <v>Bus</v>
  </rv>
  <rv s="0">
    <v>0</v>
    <v>2427</v>
    <v>1</v>
    <v>Generic</v>
    <v>222A2</v>
    <v>Euro6</v>
    <v>1</v>
    <v>43749</v>
    <v>45175</v>
    <v>Vlaams-Brabant</v>
    <v>3</v>
    <v>J</v>
    <v>J</v>
    <v>J</v>
    <v>J</v>
    <v>J</v>
    <v>4</v>
    <v>Leuven Noord</v>
    <v>124</v>
    <v>Onderhoud Leuven Noord</v>
    <v>152</v>
    <v>2427</v>
    <v>2427</v>
    <v>Hybride streek</v>
    <v>12-m bus</v>
    <v>Bus</v>
  </rv>
  <rv s="0">
    <v>0</v>
    <v>2428</v>
    <v>1</v>
    <v>Generic</v>
    <v>222A2</v>
    <v>Euro6</v>
    <v>1</v>
    <v>43749</v>
    <v>45175</v>
    <v>Vlaams-Brabant</v>
    <v>3</v>
    <v>J</v>
    <v>J</v>
    <v>J</v>
    <v>J</v>
    <v>J</v>
    <v>4</v>
    <v>Leuven Noord</v>
    <v>124</v>
    <v>Onderhoud Leuven Noord</v>
    <v>152</v>
    <v>2428</v>
    <v>2428</v>
    <v>Hybride streek</v>
    <v>12-m bus</v>
    <v>Bus</v>
  </rv>
  <rv s="0">
    <v>0</v>
    <v>2429</v>
    <v>1</v>
    <v>Generic</v>
    <v>222A2</v>
    <v>Euro6</v>
    <v>1</v>
    <v>43749</v>
    <v>45175</v>
    <v>Vlaams-Brabant</v>
    <v>3</v>
    <v>J</v>
    <v>J</v>
    <v>J</v>
    <v>J</v>
    <v>J</v>
    <v>4</v>
    <v>Leuven Noord</v>
    <v>124</v>
    <v>Onderhoud Leuven Noord</v>
    <v>152</v>
    <v>2429</v>
    <v>2429</v>
    <v>Hybride streek</v>
    <v>12-m bus</v>
    <v>Bus</v>
  </rv>
  <rv s="0">
    <v>0</v>
    <v>2430</v>
    <v>1</v>
    <v>Generic</v>
    <v>222A2</v>
    <v>Euro6</v>
    <v>1</v>
    <v>43756</v>
    <v>45175</v>
    <v>Vlaams-Brabant</v>
    <v>3</v>
    <v>J</v>
    <v>J</v>
    <v>J</v>
    <v>J</v>
    <v>J</v>
    <v>4</v>
    <v>Leuven Noord</v>
    <v>124</v>
    <v>Onderhoud Leuven Noord</v>
    <v>152</v>
    <v>2430</v>
    <v>2430</v>
    <v>Hybride streek</v>
    <v>12-m bus</v>
    <v>Bus</v>
  </rv>
  <rv s="0">
    <v>0</v>
    <v>2431</v>
    <v>1</v>
    <v>Generic</v>
    <v>222A2</v>
    <v>Euro6</v>
    <v>1</v>
    <v>43756</v>
    <v>45175</v>
    <v>Vlaams-Brabant</v>
    <v>3</v>
    <v>J</v>
    <v>J</v>
    <v>J</v>
    <v>J</v>
    <v>J</v>
    <v>4</v>
    <v>Leuven Noord</v>
    <v>124</v>
    <v>Onderhoud Leuven Noord</v>
    <v>152</v>
    <v>2431</v>
    <v>2431</v>
    <v>Hybride streek</v>
    <v>12-m bus</v>
    <v>Bus</v>
  </rv>
  <rv s="0">
    <v>0</v>
    <v>2432</v>
    <v>1</v>
    <v>Generic</v>
    <v>222A2</v>
    <v>Euro6</v>
    <v>1</v>
    <v>43787</v>
    <v>45175</v>
    <v>Vlaams-Brabant</v>
    <v>3</v>
    <v>J</v>
    <v>J</v>
    <v>J</v>
    <v>J</v>
    <v>J</v>
    <v>4</v>
    <v>Overijse</v>
    <v>115</v>
    <v>Onderhoud Overijse</v>
    <v>144</v>
    <v>2432</v>
    <v>2432</v>
    <v>Hybride streek</v>
    <v>12-m bus</v>
    <v>Bus</v>
  </rv>
  <rv s="0">
    <v>0</v>
    <v>2433</v>
    <v>1</v>
    <v>Generic</v>
    <v>222A2</v>
    <v>Euro6</v>
    <v>1</v>
    <v>43756</v>
    <v>45175</v>
    <v>Vlaams-Brabant</v>
    <v>3</v>
    <v>J</v>
    <v>J</v>
    <v>J</v>
    <v>J</v>
    <v>J</v>
    <v>4</v>
    <v>Overijse</v>
    <v>115</v>
    <v>Onderhoud Overijse</v>
    <v>144</v>
    <v>2433</v>
    <v>2433</v>
    <v>Hybride streek</v>
    <v>12-m bus</v>
    <v>Bus</v>
  </rv>
  <rv s="0">
    <v>0</v>
    <v>2434</v>
    <v>1</v>
    <v>Generic</v>
    <v>222A2</v>
    <v>Euro6</v>
    <v>1</v>
    <v>43756</v>
    <v>45175</v>
    <v>Vlaams-Brabant</v>
    <v>3</v>
    <v>J</v>
    <v>J</v>
    <v>J</v>
    <v>J</v>
    <v>J</v>
    <v>4</v>
    <v>Overijse</v>
    <v>115</v>
    <v>Onderhoud Overijse</v>
    <v>144</v>
    <v>2434</v>
    <v>2434</v>
    <v>Hybride streek</v>
    <v>12-m bus</v>
    <v>Bus</v>
  </rv>
  <rv s="0">
    <v>0</v>
    <v>2435</v>
    <v>1</v>
    <v>Generic</v>
    <v>222A2</v>
    <v>Euro6</v>
    <v>1</v>
    <v>43756</v>
    <v>45175</v>
    <v>Vlaams-Brabant</v>
    <v>3</v>
    <v>J</v>
    <v>J</v>
    <v>J</v>
    <v>J</v>
    <v>J</v>
    <v>4</v>
    <v>Overijse</v>
    <v>115</v>
    <v>Onderhoud Overijse</v>
    <v>144</v>
    <v>2435</v>
    <v>2435</v>
    <v>Hybride streek</v>
    <v>12-m bus</v>
    <v>Bus</v>
  </rv>
  <rv s="0">
    <v>0</v>
    <v>2436</v>
    <v>1</v>
    <v>Generic</v>
    <v>222A2</v>
    <v>Euro6</v>
    <v>1</v>
    <v>43756</v>
    <v>45175</v>
    <v>Vlaams-Brabant</v>
    <v>3</v>
    <v>J</v>
    <v>J</v>
    <v>J</v>
    <v>J</v>
    <v>J</v>
    <v>4</v>
    <v>Overijse</v>
    <v>115</v>
    <v>Onderhoud Overijse</v>
    <v>144</v>
    <v>2436</v>
    <v>2436</v>
    <v>Hybride streek</v>
    <v>12-m bus</v>
    <v>Bus</v>
  </rv>
  <rv s="0">
    <v>0</v>
    <v>2437</v>
    <v>1</v>
    <v>Generic</v>
    <v>222A2</v>
    <v>Euro6</v>
    <v>1</v>
    <v>44005</v>
    <v>45175</v>
    <v>Vlaams-Brabant</v>
    <v>3</v>
    <v>J</v>
    <v>J</v>
    <v>J</v>
    <v>J</v>
    <v>J</v>
    <v>3</v>
    <v>Leuven Noord</v>
    <v>124</v>
    <v>Onderhoud Leuven Noord</v>
    <v>152</v>
    <v>2437</v>
    <v>2437</v>
    <v>Hybride streek</v>
    <v>12-m bus</v>
    <v>Bus</v>
  </rv>
  <rv s="0">
    <v>0</v>
    <v>2438</v>
    <v>1</v>
    <v>Generic</v>
    <v>222A2</v>
    <v>Euro6</v>
    <v>1</v>
    <v>44025</v>
    <v>45175</v>
    <v>Vlaams-Brabant</v>
    <v>3</v>
    <v>J</v>
    <v>J</v>
    <v>J</v>
    <v>J</v>
    <v>J</v>
    <v>3</v>
    <v>Leuven Noord</v>
    <v>124</v>
    <v>Onderhoud Leuven Noord</v>
    <v>152</v>
    <v>2438</v>
    <v>2438</v>
    <v>Hybride streek</v>
    <v>12-m bus</v>
    <v>Bus</v>
  </rv>
  <rv s="0">
    <v>0</v>
    <v>2439</v>
    <v>1</v>
    <v>Generic</v>
    <v>222A2</v>
    <v>Euro6</v>
    <v>1</v>
    <v>44021</v>
    <v>45175</v>
    <v>Vlaams-Brabant</v>
    <v>3</v>
    <v>J</v>
    <v>J</v>
    <v>J</v>
    <v>J</v>
    <v>J</v>
    <v>3</v>
    <v>Leuven Noord</v>
    <v>124</v>
    <v>Onderhoud Leuven Noord</v>
    <v>152</v>
    <v>2439</v>
    <v>2439</v>
    <v>Hybride streek</v>
    <v>12-m bus</v>
    <v>Bus</v>
  </rv>
  <rv s="0">
    <v>0</v>
    <v>2440</v>
    <v>1</v>
    <v>Generic</v>
    <v>222A2</v>
    <v>Euro6</v>
    <v>1</v>
    <v>44021</v>
    <v>45175</v>
    <v>Vlaams-Brabant</v>
    <v>3</v>
    <v>J</v>
    <v>J</v>
    <v>J</v>
    <v>J</v>
    <v>J</v>
    <v>3</v>
    <v>Leuven Noord</v>
    <v>124</v>
    <v>Onderhoud Leuven Noord</v>
    <v>152</v>
    <v>2440</v>
    <v>2440</v>
    <v>Hybride streek</v>
    <v>12-m bus</v>
    <v>Bus</v>
  </rv>
  <rv s="0">
    <v>0</v>
    <v>2441</v>
    <v>1</v>
    <v>Generic</v>
    <v>222A2</v>
    <v>Euro6</v>
    <v>1</v>
    <v>44054</v>
    <v>45175</v>
    <v>Vlaams-Brabant</v>
    <v>3</v>
    <v>J</v>
    <v>J</v>
    <v>J</v>
    <v>J</v>
    <v>J</v>
    <v>3</v>
    <v>Onbekend</v>
    <v>#</v>
    <v>Onbekend</v>
    <v>#</v>
    <v>2441</v>
    <v>2441</v>
    <v>Hybride streek</v>
    <v>12-m bus</v>
    <v>Bus</v>
  </rv>
  <rv s="0">
    <v>0</v>
    <v>2442</v>
    <v>1</v>
    <v>Generic</v>
    <v>222A2</v>
    <v>Euro6</v>
    <v>1</v>
    <v>44025</v>
    <v>45175</v>
    <v>Antwerpen</v>
    <v>1</v>
    <v>J</v>
    <v>J</v>
    <v>J</v>
    <v>J</v>
    <v>J</v>
    <v>3</v>
    <v>Autobussen Berchem</v>
    <v>126</v>
    <v>OC Berchem</v>
    <v>145</v>
    <v>2442</v>
    <v>2442</v>
    <v>Hybride streek</v>
    <v>12-m bus</v>
    <v>Bus</v>
  </rv>
  <rv s="0">
    <v>0</v>
    <v>2443</v>
    <v>1</v>
    <v>Generic</v>
    <v>222A2</v>
    <v>Euro6</v>
    <v>1</v>
    <v>44054</v>
    <v>45175</v>
    <v>Antwerpen</v>
    <v>1</v>
    <v>J</v>
    <v>J</v>
    <v>J</v>
    <v>J</v>
    <v>J</v>
    <v>3</v>
    <v>Autobussen Berchem</v>
    <v>126</v>
    <v>OC Berchem</v>
    <v>145</v>
    <v>2443</v>
    <v>2443</v>
    <v>Hybride streek</v>
    <v>12-m bus</v>
    <v>Bus</v>
  </rv>
  <rv s="0">
    <v>0</v>
    <v>2444</v>
    <v>1</v>
    <v>Generic</v>
    <v>222A2</v>
    <v>Euro6</v>
    <v>1</v>
    <v>44096</v>
    <v>45175</v>
    <v>Antwerpen</v>
    <v>1</v>
    <v>J</v>
    <v>J</v>
    <v>J</v>
    <v>J</v>
    <v>J</v>
    <v>3</v>
    <v>Autobussen Berchem</v>
    <v>126</v>
    <v>OC Berchem</v>
    <v>145</v>
    <v>2444</v>
    <v>2444</v>
    <v>Hybride streek</v>
    <v>12-m bus</v>
    <v>Bus</v>
  </rv>
  <rv s="0">
    <v>0</v>
    <v>2445</v>
    <v>1</v>
    <v>Generic</v>
    <v>222A2</v>
    <v>Euro6</v>
    <v>1</v>
    <v>44026</v>
    <v>45175</v>
    <v>Antwerpen</v>
    <v>1</v>
    <v>J</v>
    <v>J</v>
    <v>J</v>
    <v>J</v>
    <v>J</v>
    <v>3</v>
    <v>Onbekend</v>
    <v>#</v>
    <v>Onbekend</v>
    <v>#</v>
    <v>2445</v>
    <v>2445</v>
    <v>Hybride streek</v>
    <v>12-m bus</v>
    <v>Bus</v>
  </rv>
  <rv s="0">
    <v>0</v>
    <v>2446</v>
    <v>1</v>
    <v>Generic</v>
    <v>222A2</v>
    <v>Euro6</v>
    <v>1</v>
    <v>44054</v>
    <v>45175</v>
    <v>Antwerpen</v>
    <v>1</v>
    <v>J</v>
    <v>J</v>
    <v>J</v>
    <v>J</v>
    <v>J</v>
    <v>3</v>
    <v>Onbekend</v>
    <v>#</v>
    <v>Onbekend</v>
    <v>#</v>
    <v>2446</v>
    <v>2446</v>
    <v>Hybride streek</v>
    <v>12-m bus</v>
    <v>Bus</v>
  </rv>
  <rv s="0">
    <v>0</v>
    <v>2447</v>
    <v>1</v>
    <v>Generic</v>
    <v>222C</v>
    <v>Euro6</v>
    <v>1</v>
    <v>44085</v>
    <v>45175</v>
    <v>West-Vlaanderen</v>
    <v>5</v>
    <v>J</v>
    <v>J</v>
    <v>J</v>
    <v>J</v>
    <v>J</v>
    <v>3</v>
    <v>Brugge</v>
    <v>125</v>
    <v>Onderhoud Brugge</v>
    <v>142</v>
    <v>2447</v>
    <v>2447</v>
    <v>City Hybride</v>
    <v>Kleine bus</v>
    <v>Bus</v>
  </rv>
  <rv s="0">
    <v>0</v>
    <v>2448</v>
    <v>1</v>
    <v>Generic</v>
    <v>222C</v>
    <v>Euro6</v>
    <v>1</v>
    <v>44030</v>
    <v>45175</v>
    <v>West-Vlaanderen</v>
    <v>5</v>
    <v>J</v>
    <v>J</v>
    <v>J</v>
    <v>J</v>
    <v>J</v>
    <v>3</v>
    <v>Brugge</v>
    <v>125</v>
    <v>Onderhoud Brugge</v>
    <v>142</v>
    <v>2448</v>
    <v>2448</v>
    <v>City Hybride</v>
    <v>Kleine bus</v>
    <v>Bus</v>
  </rv>
  <rv s="0">
    <v>0</v>
    <v>2449</v>
    <v>1</v>
    <v>Generic</v>
    <v>222C</v>
    <v>Euro6</v>
    <v>1</v>
    <v>44186</v>
    <v>45175</v>
    <v>West-Vlaanderen</v>
    <v>5</v>
    <v>J</v>
    <v>J</v>
    <v>J</v>
    <v>J</v>
    <v>J</v>
    <v>3</v>
    <v>Brugge</v>
    <v>125</v>
    <v>Onderhoud Brugge</v>
    <v>142</v>
    <v>2449</v>
    <v>2449</v>
    <v>City Hybride</v>
    <v>Kleine bus</v>
    <v>Bus</v>
  </rv>
  <rv s="0">
    <v>0</v>
    <v>2450</v>
    <v>1</v>
    <v>Generic</v>
    <v>222C</v>
    <v>Euro6</v>
    <v>1</v>
    <v>44036</v>
    <v>45175</v>
    <v>West-Vlaanderen</v>
    <v>5</v>
    <v>J</v>
    <v>J</v>
    <v>J</v>
    <v>J</v>
    <v>J</v>
    <v>3</v>
    <v>Brugge</v>
    <v>125</v>
    <v>Onderhoud Brugge</v>
    <v>142</v>
    <v>2450</v>
    <v>2450</v>
    <v>City Hybride</v>
    <v>Kleine bus</v>
    <v>Bus</v>
  </rv>
  <rv s="0">
    <v>0</v>
    <v>2451</v>
    <v>1</v>
    <v>Generic</v>
    <v>222C</v>
    <v>Euro6</v>
    <v>1</v>
    <v>44030</v>
    <v>45175</v>
    <v>West-Vlaanderen</v>
    <v>5</v>
    <v>J</v>
    <v>J</v>
    <v>J</v>
    <v>J</v>
    <v>J</v>
    <v>3</v>
    <v>Brugge</v>
    <v>125</v>
    <v>Onderhoud Brugge</v>
    <v>142</v>
    <v>2451</v>
    <v>2451</v>
    <v>City Hybride</v>
    <v>Kleine bus</v>
    <v>Bus</v>
  </rv>
  <rv s="0">
    <v>0</v>
    <v>2452</v>
    <v>1</v>
    <v>Generic</v>
    <v>222C</v>
    <v>Euro6</v>
    <v>1</v>
    <v>44036</v>
    <v>45175</v>
    <v>West-Vlaanderen</v>
    <v>5</v>
    <v>J</v>
    <v>J</v>
    <v>J</v>
    <v>J</v>
    <v>J</v>
    <v>3</v>
    <v>Brugge</v>
    <v>125</v>
    <v>Onderhoud Brugge</v>
    <v>142</v>
    <v>2452</v>
    <v>2452</v>
    <v>City Hybride</v>
    <v>Kleine bus</v>
    <v>Bus</v>
  </rv>
  <rv s="0">
    <v>0</v>
    <v>2453</v>
    <v>1</v>
    <v>Generic</v>
    <v>222C</v>
    <v>Euro6</v>
    <v>1</v>
    <v>44030</v>
    <v>45175</v>
    <v>West-Vlaanderen</v>
    <v>5</v>
    <v>J</v>
    <v>J</v>
    <v>J</v>
    <v>J</v>
    <v>J</v>
    <v>3</v>
    <v>Brugge</v>
    <v>125</v>
    <v>Onderhoud Brugge</v>
    <v>142</v>
    <v>2453</v>
    <v>2453</v>
    <v>City Hybride</v>
    <v>Kleine bus</v>
    <v>Bus</v>
  </rv>
  <rv s="0">
    <v>0</v>
    <v>2454</v>
    <v>1</v>
    <v>Generic</v>
    <v>222C</v>
    <v>Euro6</v>
    <v>1</v>
    <v>44030</v>
    <v>45175</v>
    <v>West-Vlaanderen</v>
    <v>5</v>
    <v>J</v>
    <v>J</v>
    <v>J</v>
    <v>J</v>
    <v>J</v>
    <v>3</v>
    <v>Brugge</v>
    <v>125</v>
    <v>Onderhoud Brugge</v>
    <v>142</v>
    <v>2454</v>
    <v>2454</v>
    <v>City Hybride</v>
    <v>Kleine bus</v>
    <v>Bus</v>
  </rv>
  <rv s="0">
    <v>0</v>
    <v>2455</v>
    <v>1</v>
    <v>Generic</v>
    <v>222C</v>
    <v>Euro6</v>
    <v>1</v>
    <v>44082</v>
    <v>45175</v>
    <v>West-Vlaanderen</v>
    <v>5</v>
    <v>J</v>
    <v>J</v>
    <v>J</v>
    <v>J</v>
    <v>J</v>
    <v>3</v>
    <v>Brugge</v>
    <v>125</v>
    <v>Onderhoud Brugge</v>
    <v>142</v>
    <v>2455</v>
    <v>2455</v>
    <v>City Hybride</v>
    <v>Kleine bus</v>
    <v>Bus</v>
  </rv>
  <rv s="0">
    <v>0</v>
    <v>2456</v>
    <v>1</v>
    <v>Generic</v>
    <v>222C</v>
    <v>Euro6</v>
    <v>1</v>
    <v>44030</v>
    <v>45175</v>
    <v>West-Vlaanderen</v>
    <v>5</v>
    <v>J</v>
    <v>J</v>
    <v>J</v>
    <v>J</v>
    <v>J</v>
    <v>3</v>
    <v>Brugge</v>
    <v>125</v>
    <v>Onderhoud Brugge</v>
    <v>142</v>
    <v>2456</v>
    <v>2456</v>
    <v>City Hybride</v>
    <v>Kleine bus</v>
    <v>Bus</v>
  </rv>
  <rv s="0">
    <v>0</v>
    <v>2457</v>
    <v>1</v>
    <v>Generic</v>
    <v>222C</v>
    <v>Euro6</v>
    <v>1</v>
    <v>44085</v>
    <v>45175</v>
    <v>West-Vlaanderen</v>
    <v>5</v>
    <v>J</v>
    <v>J</v>
    <v>J</v>
    <v>J</v>
    <v>J</v>
    <v>3</v>
    <v>Brugge</v>
    <v>125</v>
    <v>Onderhoud Brugge</v>
    <v>142</v>
    <v>2457</v>
    <v>2457</v>
    <v>City Hybride</v>
    <v>Kleine bus</v>
    <v>Bus</v>
  </rv>
  <rv s="0">
    <v>0</v>
    <v>2458</v>
    <v>1</v>
    <v>Generic</v>
    <v>222C</v>
    <v>Euro6</v>
    <v>1</v>
    <v>44082</v>
    <v>45175</v>
    <v>West-Vlaanderen</v>
    <v>5</v>
    <v>J</v>
    <v>J</v>
    <v>J</v>
    <v>J</v>
    <v>J</v>
    <v>3</v>
    <v>Brugge</v>
    <v>125</v>
    <v>Onderhoud Brugge</v>
    <v>142</v>
    <v>2458</v>
    <v>2458</v>
    <v>City Hybride</v>
    <v>Kleine bus</v>
    <v>Bus</v>
  </rv>
  <rv s="0">
    <v>0</v>
    <v>2459</v>
    <v>1</v>
    <v>Generic</v>
    <v>222C</v>
    <v>Euro6</v>
    <v>1</v>
    <v>44085</v>
    <v>45175</v>
    <v>West-Vlaanderen</v>
    <v>5</v>
    <v>J</v>
    <v>J</v>
    <v>J</v>
    <v>J</v>
    <v>J</v>
    <v>3</v>
    <v>Brugge</v>
    <v>125</v>
    <v>Onderhoud Brugge</v>
    <v>142</v>
    <v>2459</v>
    <v>2459</v>
    <v>City Hybride</v>
    <v>Kleine bus</v>
    <v>Bus</v>
  </rv>
  <rv s="0">
    <v>0</v>
    <v>2460</v>
    <v>1</v>
    <v>Generic</v>
    <v>222C</v>
    <v>Euro6</v>
    <v>1</v>
    <v>44082</v>
    <v>45175</v>
    <v>West-Vlaanderen</v>
    <v>5</v>
    <v>J</v>
    <v>J</v>
    <v>J</v>
    <v>J</v>
    <v>J</v>
    <v>3</v>
    <v>Brugge</v>
    <v>125</v>
    <v>Onderhoud Brugge</v>
    <v>142</v>
    <v>2460</v>
    <v>2460</v>
    <v>City Hybride</v>
    <v>Kleine bus</v>
    <v>Bus</v>
  </rv>
  <rv s="0">
    <v>0</v>
    <v>2461</v>
    <v>1</v>
    <v>Generic</v>
    <v>222C</v>
    <v>Euro6</v>
    <v>1</v>
    <v>44036</v>
    <v>45175</v>
    <v>West-Vlaanderen</v>
    <v>5</v>
    <v>J</v>
    <v>J</v>
    <v>J</v>
    <v>J</v>
    <v>J</v>
    <v>3</v>
    <v>Brugge</v>
    <v>125</v>
    <v>Onderhoud Brugge</v>
    <v>142</v>
    <v>2461</v>
    <v>2461</v>
    <v>City Hybride</v>
    <v>Kleine bus</v>
    <v>Bus</v>
  </rv>
  <rv s="0">
    <v>0</v>
    <v>2462</v>
    <v>1</v>
    <v>Generic</v>
    <v>222C</v>
    <v>Euro6</v>
    <v>1</v>
    <v>44036</v>
    <v>45175</v>
    <v>West-Vlaanderen</v>
    <v>5</v>
    <v>J</v>
    <v>J</v>
    <v>J</v>
    <v>J</v>
    <v>J</v>
    <v>3</v>
    <v>Brugge</v>
    <v>125</v>
    <v>Onderhoud Brugge</v>
    <v>142</v>
    <v>2462</v>
    <v>2462</v>
    <v>City Hybride</v>
    <v>Kleine bus</v>
    <v>Bus</v>
  </rv>
  <rv s="0">
    <v>0</v>
    <v>2463</v>
    <v>1</v>
    <v>Generic</v>
    <v>222C</v>
    <v>Euro6</v>
    <v>1</v>
    <v>44088</v>
    <v>45175</v>
    <v>West-Vlaanderen</v>
    <v>5</v>
    <v>J</v>
    <v>J</v>
    <v>J</v>
    <v>J</v>
    <v>J</v>
    <v>3</v>
    <v>Brugge</v>
    <v>125</v>
    <v>Onderhoud Brugge</v>
    <v>142</v>
    <v>2463</v>
    <v>2463</v>
    <v>City Hybride</v>
    <v>Kleine bus</v>
    <v>Bus</v>
  </rv>
  <rv s="0">
    <v>0</v>
    <v>2464</v>
    <v>1</v>
    <v>Generic</v>
    <v>222C</v>
    <v>Euro6</v>
    <v>1</v>
    <v>44088</v>
    <v>45175</v>
    <v>West-Vlaanderen</v>
    <v>5</v>
    <v>J</v>
    <v>J</v>
    <v>J</v>
    <v>J</v>
    <v>J</v>
    <v>3</v>
    <v>Brugge</v>
    <v>125</v>
    <v>Onderhoud Brugge</v>
    <v>142</v>
    <v>2464</v>
    <v>2464</v>
    <v>City Hybride</v>
    <v>Kleine bus</v>
    <v>Bus</v>
  </rv>
  <rv s="0">
    <v>0</v>
    <v>2465</v>
    <v>1</v>
    <v>Generic</v>
    <v>222C</v>
    <v>Euro6</v>
    <v>1</v>
    <v>44082</v>
    <v>45175</v>
    <v>West-Vlaanderen</v>
    <v>5</v>
    <v>J</v>
    <v>J</v>
    <v>J</v>
    <v>J</v>
    <v>J</v>
    <v>3</v>
    <v>Brugge</v>
    <v>125</v>
    <v>Onderhoud Brugge</v>
    <v>142</v>
    <v>2465</v>
    <v>2465</v>
    <v>City Hybride</v>
    <v>Kleine bus</v>
    <v>Bus</v>
  </rv>
  <rv s="0">
    <v>0</v>
    <v>2466</v>
    <v>1</v>
    <v>Generic</v>
    <v>222C</v>
    <v>Euro6</v>
    <v>1</v>
    <v>44113</v>
    <v>45175</v>
    <v>West-Vlaanderen</v>
    <v>5</v>
    <v>J</v>
    <v>J</v>
    <v>J</v>
    <v>J</v>
    <v>J</v>
    <v>3</v>
    <v>Brugge</v>
    <v>125</v>
    <v>Onderhoud Brugge</v>
    <v>142</v>
    <v>2466</v>
    <v>2466</v>
    <v>City Hybride</v>
    <v>Kleine bus</v>
    <v>Bus</v>
  </rv>
  <rv s="0">
    <v>0</v>
    <v>2467</v>
    <v>1</v>
    <v>Generic</v>
    <v>222C</v>
    <v>Euro6</v>
    <v>1</v>
    <v>44105</v>
    <v>45175</v>
    <v>West-Vlaanderen</v>
    <v>5</v>
    <v>J</v>
    <v>J</v>
    <v>J</v>
    <v>J</v>
    <v>J</v>
    <v>3</v>
    <v>Brugge</v>
    <v>125</v>
    <v>Onderhoud Brugge</v>
    <v>142</v>
    <v>2467</v>
    <v>2467</v>
    <v>City Hybride</v>
    <v>Kleine bus</v>
    <v>Bus</v>
  </rv>
  <rv s="0">
    <v>0</v>
    <v>2468</v>
    <v>1</v>
    <v>Generic</v>
    <v>222C</v>
    <v>Euro6</v>
    <v>1</v>
    <v>44099</v>
    <v>45175</v>
    <v>West-Vlaanderen</v>
    <v>5</v>
    <v>J</v>
    <v>J</v>
    <v>J</v>
    <v>J</v>
    <v>J</v>
    <v>3</v>
    <v>Brugge</v>
    <v>125</v>
    <v>Onderhoud Brugge</v>
    <v>142</v>
    <v>2468</v>
    <v>2468</v>
    <v>City Hybride</v>
    <v>Kleine bus</v>
    <v>Bus</v>
  </rv>
  <rv s="0">
    <v>0</v>
    <v>2469</v>
    <v>1</v>
    <v>Generic</v>
    <v>222C</v>
    <v>Euro6</v>
    <v>1</v>
    <v>44120</v>
    <v>45175</v>
    <v>West-Vlaanderen</v>
    <v>5</v>
    <v>J</v>
    <v>J</v>
    <v>J</v>
    <v>J</v>
    <v>J</v>
    <v>3</v>
    <v>Brugge</v>
    <v>125</v>
    <v>Onderhoud Brugge</v>
    <v>142</v>
    <v>2469</v>
    <v>2469</v>
    <v>City Hybride</v>
    <v>Kleine bus</v>
    <v>Bus</v>
  </rv>
  <rv s="0">
    <v>0</v>
    <v>2470</v>
    <v>1</v>
    <v>Generic</v>
    <v>222C</v>
    <v>Euro6</v>
    <v>1</v>
    <v>44113</v>
    <v>45175</v>
    <v>West-Vlaanderen</v>
    <v>5</v>
    <v>J</v>
    <v>J</v>
    <v>J</v>
    <v>J</v>
    <v>J</v>
    <v>3</v>
    <v>Brugge</v>
    <v>125</v>
    <v>Onderhoud Brugge</v>
    <v>142</v>
    <v>2470</v>
    <v>2470</v>
    <v>City Hybride</v>
    <v>Kleine bus</v>
    <v>Bus</v>
  </rv>
  <rv s="0">
    <v>0</v>
    <v>2471</v>
    <v>1</v>
    <v>Generic</v>
    <v>222C</v>
    <v>Euro6</v>
    <v>1</v>
    <v>44120</v>
    <v>45175</v>
    <v>West-Vlaanderen</v>
    <v>5</v>
    <v>J</v>
    <v>J</v>
    <v>J</v>
    <v>J</v>
    <v>J</v>
    <v>3</v>
    <v>Brugge</v>
    <v>125</v>
    <v>Onderhoud Brugge</v>
    <v>142</v>
    <v>2471</v>
    <v>2471</v>
    <v>City Hybride</v>
    <v>Kleine bus</v>
    <v>Bus</v>
  </rv>
  <rv s="0">
    <v>0</v>
    <v>2472</v>
    <v>1</v>
    <v>Generic</v>
    <v>222C</v>
    <v>Euro6</v>
    <v>1</v>
    <v>44127</v>
    <v>45175</v>
    <v>West-Vlaanderen</v>
    <v>5</v>
    <v>J</v>
    <v>J</v>
    <v>J</v>
    <v>J</v>
    <v>J</v>
    <v>3</v>
    <v>Brugge</v>
    <v>125</v>
    <v>Onderhoud Brugge</v>
    <v>142</v>
    <v>2472</v>
    <v>2472</v>
    <v>City Hybride</v>
    <v>Kleine bus</v>
    <v>Bus</v>
  </rv>
  <rv s="0">
    <v>0</v>
    <v>2473</v>
    <v>1</v>
    <v>Generic</v>
    <v>222C</v>
    <v>Euro6</v>
    <v>1</v>
    <v>44141</v>
    <v>45175</v>
    <v>West-Vlaanderen</v>
    <v>5</v>
    <v>J</v>
    <v>J</v>
    <v>J</v>
    <v>J</v>
    <v>J</v>
    <v>3</v>
    <v>Brugge</v>
    <v>125</v>
    <v>Onderhoud Brugge</v>
    <v>142</v>
    <v>2473</v>
    <v>2473</v>
    <v>City Hybride</v>
    <v>Kleine bus</v>
    <v>Bus</v>
  </rv>
  <rv s="0">
    <v>0</v>
    <v>2474</v>
    <v>1</v>
    <v>Generic</v>
    <v>222C</v>
    <v>Euro6</v>
    <v>1</v>
    <v>44126</v>
    <v>45175</v>
    <v>West-Vlaanderen</v>
    <v>5</v>
    <v>J</v>
    <v>J</v>
    <v>J</v>
    <v>J</v>
    <v>J</v>
    <v>3</v>
    <v>Brugge</v>
    <v>125</v>
    <v>Onderhoud Brugge</v>
    <v>142</v>
    <v>2474</v>
    <v>2474</v>
    <v>City Hybride</v>
    <v>Kleine bus</v>
    <v>Bus</v>
  </rv>
  <rv s="0">
    <v>0</v>
    <v>2475</v>
    <v>1</v>
    <v>Generic</v>
    <v>222C</v>
    <v>Euro6</v>
    <v>1</v>
    <v>44140</v>
    <v>45175</v>
    <v>West-Vlaanderen</v>
    <v>5</v>
    <v>J</v>
    <v>J</v>
    <v>J</v>
    <v>J</v>
    <v>J</v>
    <v>3</v>
    <v>Brugge</v>
    <v>125</v>
    <v>Onderhoud Brugge</v>
    <v>142</v>
    <v>2475</v>
    <v>2475</v>
    <v>City Hybride</v>
    <v>Kleine bus</v>
    <v>Bus</v>
  </rv>
  <rv s="0">
    <v>0</v>
    <v>2476</v>
    <v>1</v>
    <v>Generic</v>
    <v>222C</v>
    <v>Euro6</v>
    <v>1</v>
    <v>44148</v>
    <v>45175</v>
    <v>West-Vlaanderen</v>
    <v>5</v>
    <v>J</v>
    <v>J</v>
    <v>J</v>
    <v>J</v>
    <v>J</v>
    <v>3</v>
    <v>Brugge</v>
    <v>125</v>
    <v>Onderhoud Brugge</v>
    <v>142</v>
    <v>2476</v>
    <v>2476</v>
    <v>City Hybride</v>
    <v>Kleine bus</v>
    <v>Bus</v>
  </rv>
  <rv s="0">
    <v>0</v>
    <v>2477</v>
    <v>1</v>
    <v>Generic</v>
    <v>222C</v>
    <v>Euro6</v>
    <v>1</v>
    <v>44154</v>
    <v>45175</v>
    <v>West-Vlaanderen</v>
    <v>5</v>
    <v>J</v>
    <v>J</v>
    <v>J</v>
    <v>J</v>
    <v>J</v>
    <v>3</v>
    <v>Brugge</v>
    <v>125</v>
    <v>Onderhoud Brugge</v>
    <v>142</v>
    <v>2477</v>
    <v>2477</v>
    <v>City Hybride</v>
    <v>Kleine bus</v>
    <v>Bus</v>
  </rv>
  <rv s="0">
    <v>0</v>
    <v>2478</v>
    <v>1</v>
    <v>Generic</v>
    <v>222C</v>
    <v>Euro6</v>
    <v>1</v>
    <v>44161</v>
    <v>45175</v>
    <v>West-Vlaanderen</v>
    <v>5</v>
    <v>J</v>
    <v>J</v>
    <v>J</v>
    <v>J</v>
    <v>J</v>
    <v>3</v>
    <v>Brugge</v>
    <v>125</v>
    <v>Onderhoud Brugge</v>
    <v>142</v>
    <v>2478</v>
    <v>2478</v>
    <v>City Hybride</v>
    <v>Kleine bus</v>
    <v>Bus</v>
  </rv>
  <rv s="0">
    <v>0</v>
    <v>2479</v>
    <v>1</v>
    <v>Generic</v>
    <v>222C</v>
    <v>Euro6</v>
    <v>1</v>
    <v>44175</v>
    <v>45175</v>
    <v>West-Vlaanderen</v>
    <v>5</v>
    <v>J</v>
    <v>J</v>
    <v>J</v>
    <v>J</v>
    <v>J</v>
    <v>3</v>
    <v>Brugge</v>
    <v>125</v>
    <v>Onderhoud Brugge</v>
    <v>142</v>
    <v>2479</v>
    <v>2479</v>
    <v>City Hybride</v>
    <v>Kleine bus</v>
    <v>Bus</v>
  </rv>
  <rv s="0">
    <v>0</v>
    <v>2480</v>
    <v>1</v>
    <v>Generic</v>
    <v>222C</v>
    <v>Euro6</v>
    <v>1</v>
    <v>44183</v>
    <v>45175</v>
    <v>West-Vlaanderen</v>
    <v>5</v>
    <v>J</v>
    <v>J</v>
    <v>J</v>
    <v>J</v>
    <v>J</v>
    <v>3</v>
    <v>Brugge</v>
    <v>125</v>
    <v>Onderhoud Brugge</v>
    <v>142</v>
    <v>2480</v>
    <v>2480</v>
    <v>City Hybride</v>
    <v>Kleine bus</v>
    <v>Bus</v>
  </rv>
  <rv s="0">
    <v>0</v>
    <v>2481</v>
    <v>1</v>
    <v>Generic</v>
    <v>222C</v>
    <v>Euro6</v>
    <v>1</v>
    <v>44183</v>
    <v>45175</v>
    <v>West-Vlaanderen</v>
    <v>5</v>
    <v>J</v>
    <v>J</v>
    <v>J</v>
    <v>J</v>
    <v>J</v>
    <v>3</v>
    <v>Brugge</v>
    <v>125</v>
    <v>Onderhoud Brugge</v>
    <v>142</v>
    <v>2481</v>
    <v>2481</v>
    <v>City Hybride</v>
    <v>Kleine bus</v>
    <v>Bus</v>
  </rv>
  <rv s="0">
    <v>0</v>
    <v>2482</v>
    <v>1</v>
    <v>Generic</v>
    <v>222C</v>
    <v>Euro6</v>
    <v>2</v>
    <v>44183</v>
    <v>45175</v>
    <v>Centrale Diensten</v>
    <v>9</v>
    <v>J</v>
    <v>J</v>
    <v>J</v>
    <v>J</v>
    <v>J</v>
    <v>3</v>
    <v>Brugge</v>
    <v>125</v>
    <v>Onderhoud Brugge</v>
    <v>142</v>
    <v>2482</v>
    <v>2482</v>
    <v>City Hybride</v>
    <v>Kleine bus</v>
    <v>Bus</v>
  </rv>
  <rv s="0">
    <v>0</v>
    <v>2483</v>
    <v>1</v>
    <v>Generic</v>
    <v>222F</v>
    <v>Euro6</v>
    <v>1</v>
    <v>43802</v>
    <v>45175</v>
    <v>Antwerpen</v>
    <v>1</v>
    <v>J</v>
    <v>J</v>
    <v>J</v>
    <v>J</v>
    <v>J</v>
    <v>4</v>
    <v>Turnhout</v>
    <v>122</v>
    <v>Onderhoud Turnhout</v>
    <v>143</v>
    <v>2483</v>
    <v>2483</v>
    <v>Lage vloer streek</v>
    <v>Gelede bus</v>
    <v>Bus</v>
  </rv>
  <rv s="0">
    <v>0</v>
    <v>2484</v>
    <v>1</v>
    <v>Generic</v>
    <v>222F</v>
    <v>Euro6</v>
    <v>1</v>
    <v>43818</v>
    <v>45175</v>
    <v>Antwerpen</v>
    <v>1</v>
    <v>J</v>
    <v>J</v>
    <v>J</v>
    <v>J</v>
    <v>J</v>
    <v>4</v>
    <v>Turnhout</v>
    <v>122</v>
    <v>Onderhoud Turnhout</v>
    <v>143</v>
    <v>2484</v>
    <v>2484</v>
    <v>Lage vloer streek</v>
    <v>Gelede bus</v>
    <v>Bus</v>
  </rv>
  <rv s="0">
    <v>0</v>
    <v>2485</v>
    <v>1</v>
    <v>Generic</v>
    <v>222F</v>
    <v>Euro6</v>
    <v>1</v>
    <v>43822</v>
    <v>45175</v>
    <v>Vlaams-Brabant</v>
    <v>3</v>
    <v>J</v>
    <v>J</v>
    <v>J</v>
    <v>J</v>
    <v>J</v>
    <v>4</v>
    <v>Meerbeke</v>
    <v>116</v>
    <v>Onderhoud Dilbeek</v>
    <v>146</v>
    <v>2485</v>
    <v>2485</v>
    <v>Lage vloer streek</v>
    <v>Gelede bus</v>
    <v>Bus</v>
  </rv>
  <rv s="0">
    <v>0</v>
    <v>2486</v>
    <v>1</v>
    <v>Generic</v>
    <v>222F</v>
    <v>Euro6</v>
    <v>1</v>
    <v>43819</v>
    <v>45175</v>
    <v>Antwerpen</v>
    <v>1</v>
    <v>J</v>
    <v>J</v>
    <v>J</v>
    <v>J</v>
    <v>J</v>
    <v>4</v>
    <v>Turnhout</v>
    <v>122</v>
    <v>Onderhoud Turnhout</v>
    <v>143</v>
    <v>2486</v>
    <v>2486</v>
    <v>Lage vloer streek</v>
    <v>Gelede bus</v>
    <v>Bus</v>
  </rv>
  <rv s="0">
    <v>0</v>
    <v>2487</v>
    <v>1</v>
    <v>Generic</v>
    <v>222F</v>
    <v>Euro6</v>
    <v>1</v>
    <v>43822</v>
    <v>45175</v>
    <v>Antwerpen</v>
    <v>1</v>
    <v>J</v>
    <v>J</v>
    <v>J</v>
    <v>J</v>
    <v>J</v>
    <v>4</v>
    <v>Turnhout</v>
    <v>122</v>
    <v>Onderhoud Turnhout</v>
    <v>143</v>
    <v>2487</v>
    <v>2487</v>
    <v>Lage vloer streek</v>
    <v>Gelede bus</v>
    <v>Bus</v>
  </rv>
  <rv s="0">
    <v>0</v>
    <v>2488</v>
    <v>1</v>
    <v>Generic</v>
    <v>222F</v>
    <v>Euro6</v>
    <v>1</v>
    <v>43879</v>
    <v>45175</v>
    <v>Vlaams-Brabant</v>
    <v>3</v>
    <v>J</v>
    <v>J</v>
    <v>J</v>
    <v>J</v>
    <v>J</v>
    <v>4</v>
    <v>Dilbeek</v>
    <v>113</v>
    <v>Onderhoud Dilbeek</v>
    <v>146</v>
    <v>2488</v>
    <v>2488</v>
    <v>Lage vloer streek</v>
    <v>Gelede bus</v>
    <v>Bus</v>
  </rv>
  <rv s="0">
    <v>0</v>
    <v>2489</v>
    <v>1</v>
    <v>Generic</v>
    <v>222F</v>
    <v>Euro6</v>
    <v>1</v>
    <v>43854</v>
    <v>45175</v>
    <v>Vlaams-Brabant</v>
    <v>3</v>
    <v>J</v>
    <v>J</v>
    <v>J</v>
    <v>J</v>
    <v>J</v>
    <v>4</v>
    <v>Meerbeke</v>
    <v>116</v>
    <v>Onderhoud Dilbeek</v>
    <v>146</v>
    <v>2489</v>
    <v>2489</v>
    <v>Lage vloer streek</v>
    <v>Gelede bus</v>
    <v>Bus</v>
  </rv>
  <rv s="0">
    <v>0</v>
    <v>2490</v>
    <v>1</v>
    <v>Generic</v>
    <v>222F</v>
    <v>Euro6</v>
    <v>1</v>
    <v>43802</v>
    <v>45175</v>
    <v>Antwerpen</v>
    <v>1</v>
    <v>J</v>
    <v>J</v>
    <v>J</v>
    <v>J</v>
    <v>J</v>
    <v>4</v>
    <v>Turnhout</v>
    <v>122</v>
    <v>Onderhoud Turnhout</v>
    <v>143</v>
    <v>2490</v>
    <v>2490</v>
    <v>Lage vloer streek</v>
    <v>Gelede bus</v>
    <v>Bus</v>
  </rv>
  <rv s="0">
    <v>0</v>
    <v>2491</v>
    <v>1</v>
    <v>Generic</v>
    <v>222F</v>
    <v>Euro6</v>
    <v>1</v>
    <v>43818</v>
    <v>45175</v>
    <v>Antwerpen</v>
    <v>1</v>
    <v>J</v>
    <v>J</v>
    <v>J</v>
    <v>J</v>
    <v>J</v>
    <v>4</v>
    <v>Turnhout</v>
    <v>122</v>
    <v>Onderhoud Turnhout</v>
    <v>143</v>
    <v>2491</v>
    <v>2491</v>
    <v>Lage vloer streek</v>
    <v>Gelede bus</v>
    <v>Bus</v>
  </rv>
  <rv s="0">
    <v>0</v>
    <v>2492</v>
    <v>1</v>
    <v>Generic</v>
    <v>222F</v>
    <v>Euro6</v>
    <v>1</v>
    <v>43854</v>
    <v>45175</v>
    <v>Vlaams-Brabant</v>
    <v>3</v>
    <v>J</v>
    <v>J</v>
    <v>J</v>
    <v>J</v>
    <v>J</v>
    <v>4</v>
    <v>Meerbeke</v>
    <v>116</v>
    <v>Onderhoud Dilbeek</v>
    <v>146</v>
    <v>2492</v>
    <v>2492</v>
    <v>Lage vloer streek</v>
    <v>Gelede bus</v>
    <v>Bus</v>
  </rv>
  <rv s="0">
    <v>0</v>
    <v>2493</v>
    <v>1</v>
    <v>Generic</v>
    <v>222F</v>
    <v>Euro6</v>
    <v>1</v>
    <v>43850</v>
    <v>45175</v>
    <v>Vlaams-Brabant</v>
    <v>3</v>
    <v>J</v>
    <v>J</v>
    <v>J</v>
    <v>J</v>
    <v>J</v>
    <v>4</v>
    <v>Meerbeke</v>
    <v>116</v>
    <v>Onderhoud Dilbeek</v>
    <v>146</v>
    <v>2493</v>
    <v>2493</v>
    <v>Lage vloer streek</v>
    <v>Gelede bus</v>
    <v>Bus</v>
  </rv>
  <rv s="0">
    <v>0</v>
    <v>2494</v>
    <v>1</v>
    <v>Generic</v>
    <v>222F</v>
    <v>Euro6</v>
    <v>1</v>
    <v>43861</v>
    <v>45175</v>
    <v>Vlaams-Brabant</v>
    <v>3</v>
    <v>J</v>
    <v>J</v>
    <v>J</v>
    <v>J</v>
    <v>J</v>
    <v>4</v>
    <v>Meerbeke</v>
    <v>116</v>
    <v>Onderhoud Dilbeek</v>
    <v>146</v>
    <v>2494</v>
    <v>2494</v>
    <v>Lage vloer streek</v>
    <v>Gelede bus</v>
    <v>Bus</v>
  </rv>
  <rv s="0">
    <v>0</v>
    <v>2495</v>
    <v>1</v>
    <v>Generic</v>
    <v>222F</v>
    <v>Euro6</v>
    <v>1</v>
    <v>43861</v>
    <v>45175</v>
    <v>Vlaams-Brabant</v>
    <v>3</v>
    <v>J</v>
    <v>J</v>
    <v>J</v>
    <v>J</v>
    <v>J</v>
    <v>4</v>
    <v>Meerbeke</v>
    <v>116</v>
    <v>Onderhoud Dilbeek</v>
    <v>146</v>
    <v>2495</v>
    <v>2495</v>
    <v>Lage vloer streek</v>
    <v>Gelede bus</v>
    <v>Bus</v>
  </rv>
  <rv s="0">
    <v>0</v>
    <v>2496</v>
    <v>1</v>
    <v>Generic</v>
    <v>222F</v>
    <v>Euro6</v>
    <v>1</v>
    <v>43816</v>
    <v>45175</v>
    <v>Antwerpen</v>
    <v>1</v>
    <v>J</v>
    <v>J</v>
    <v>J</v>
    <v>J</v>
    <v>J</v>
    <v>4</v>
    <v>Turnhout</v>
    <v>122</v>
    <v>Onderhoud Turnhout</v>
    <v>143</v>
    <v>2496</v>
    <v>2496</v>
    <v>Lage vloer streek</v>
    <v>Gelede bus</v>
    <v>Bus</v>
  </rv>
  <rv s="0">
    <v>0</v>
    <v>2497</v>
    <v>1</v>
    <v>Generic</v>
    <v>222F</v>
    <v>Euro6</v>
    <v>1</v>
    <v>43850</v>
    <v>45175</v>
    <v>Vlaams-Brabant</v>
    <v>3</v>
    <v>J</v>
    <v>J</v>
    <v>J</v>
    <v>J</v>
    <v>J</v>
    <v>4</v>
    <v>Meerbeke</v>
    <v>116</v>
    <v>Onderhoud Dilbeek</v>
    <v>146</v>
    <v>2497</v>
    <v>2497</v>
    <v>Lage vloer streek</v>
    <v>Gelede bus</v>
    <v>Bus</v>
  </rv>
  <rv s="0">
    <v>0</v>
    <v>2498</v>
    <v>1</v>
    <v>Generic</v>
    <v>222F</v>
    <v>Euro6</v>
    <v>1</v>
    <v>43817</v>
    <v>45175</v>
    <v>Antwerpen</v>
    <v>1</v>
    <v>J</v>
    <v>J</v>
    <v>J</v>
    <v>J</v>
    <v>J</v>
    <v>4</v>
    <v>Turnhout</v>
    <v>122</v>
    <v>Onderhoud Turnhout</v>
    <v>143</v>
    <v>2498</v>
    <v>2498</v>
    <v>Lage vloer streek</v>
    <v>Gelede bus</v>
    <v>Bus</v>
  </rv>
  <rv s="0">
    <v>0</v>
    <v>2499</v>
    <v>1</v>
    <v>Generic</v>
    <v>222F</v>
    <v>Euro6</v>
    <v>1</v>
    <v>43817</v>
    <v>45175</v>
    <v>Antwerpen</v>
    <v>1</v>
    <v>J</v>
    <v>J</v>
    <v>J</v>
    <v>J</v>
    <v>J</v>
    <v>4</v>
    <v>Turnhout</v>
    <v>122</v>
    <v>Onderhoud Turnhout</v>
    <v>143</v>
    <v>2499</v>
    <v>2499</v>
    <v>Lage vloer streek</v>
    <v>Gelede bus</v>
    <v>Bus</v>
  </rv>
  <rv s="0">
    <v>0</v>
    <v>2500</v>
    <v>1</v>
    <v>Generic</v>
    <v>222F</v>
    <v>Euro6</v>
    <v>1</v>
    <v>43816</v>
    <v>45175</v>
    <v>Antwerpen</v>
    <v>1</v>
    <v>J</v>
    <v>J</v>
    <v>J</v>
    <v>J</v>
    <v>J</v>
    <v>4</v>
    <v>Turnhout</v>
    <v>122</v>
    <v>Onderhoud Turnhout</v>
    <v>143</v>
    <v>2500</v>
    <v>2500</v>
    <v>Lage vloer streek</v>
    <v>Gelede bus</v>
    <v>Bus</v>
  </rv>
  <rv s="0">
    <v>0</v>
    <v>2501</v>
    <v>1</v>
    <v>Generic</v>
    <v>222F</v>
    <v>Euro6</v>
    <v>1</v>
    <v>43846</v>
    <v>45175</v>
    <v>Antwerpen</v>
    <v>1</v>
    <v>J</v>
    <v>J</v>
    <v>J</v>
    <v>J</v>
    <v>J</v>
    <v>4</v>
    <v>Turnhout</v>
    <v>122</v>
    <v>Onderhoud Turnhout</v>
    <v>143</v>
    <v>2501</v>
    <v>2501</v>
    <v>Lage vloer streek</v>
    <v>Gelede bus</v>
    <v>Bus</v>
  </rv>
  <rv s="0">
    <v>0</v>
    <v>2502</v>
    <v>1</v>
    <v>Generic</v>
    <v>222F</v>
    <v>Euro6</v>
    <v>1</v>
    <v>43817</v>
    <v>45175</v>
    <v>Antwerpen</v>
    <v>1</v>
    <v>J</v>
    <v>J</v>
    <v>J</v>
    <v>J</v>
    <v>J</v>
    <v>4</v>
    <v>Turnhout</v>
    <v>122</v>
    <v>Onderhoud Turnhout</v>
    <v>143</v>
    <v>2502</v>
    <v>2502</v>
    <v>Lage vloer streek</v>
    <v>Gelede bus</v>
    <v>Bus</v>
  </rv>
  <rv s="0">
    <v>0</v>
    <v>2503</v>
    <v>1</v>
    <v>Generic</v>
    <v>222F</v>
    <v>Euro6</v>
    <v>1</v>
    <v>43817</v>
    <v>45175</v>
    <v>Antwerpen</v>
    <v>1</v>
    <v>J</v>
    <v>J</v>
    <v>J</v>
    <v>J</v>
    <v>J</v>
    <v>4</v>
    <v>Turnhout</v>
    <v>122</v>
    <v>Onderhoud Turnhout</v>
    <v>143</v>
    <v>2503</v>
    <v>2503</v>
    <v>Lage vloer streek</v>
    <v>Gelede bus</v>
    <v>Bus</v>
  </rv>
  <rv s="0">
    <v>0</v>
    <v>2504</v>
    <v>1</v>
    <v>Generic</v>
    <v>222F</v>
    <v>Euro6</v>
    <v>1</v>
    <v>43847</v>
    <v>45175</v>
    <v>Antwerpen</v>
    <v>1</v>
    <v>J</v>
    <v>J</v>
    <v>J</v>
    <v>J</v>
    <v>J</v>
    <v>4</v>
    <v>Turnhout</v>
    <v>122</v>
    <v>Onderhoud Turnhout</v>
    <v>143</v>
    <v>2504</v>
    <v>2504</v>
    <v>Lage vloer streek</v>
    <v>Gelede bus</v>
    <v>Bus</v>
  </rv>
  <rv s="0">
    <v>0</v>
    <v>2505</v>
    <v>1</v>
    <v>Generic</v>
    <v>222F</v>
    <v>Euro6</v>
    <v>1</v>
    <v>43818</v>
    <v>45175</v>
    <v>Antwerpen</v>
    <v>1</v>
    <v>J</v>
    <v>J</v>
    <v>J</v>
    <v>J</v>
    <v>J</v>
    <v>4</v>
    <v>Turnhout</v>
    <v>122</v>
    <v>Onderhoud Turnhout</v>
    <v>143</v>
    <v>2505</v>
    <v>2505</v>
    <v>Lage vloer streek</v>
    <v>Gelede bus</v>
    <v>Bus</v>
  </rv>
  <rv s="0">
    <v>0</v>
    <v>2506</v>
    <v>1</v>
    <v>Generic</v>
    <v>222F</v>
    <v>Euro6</v>
    <v>1</v>
    <v>43846</v>
    <v>45175</v>
    <v>Antwerpen</v>
    <v>1</v>
    <v>J</v>
    <v>J</v>
    <v>J</v>
    <v>J</v>
    <v>J</v>
    <v>4</v>
    <v>Turnhout</v>
    <v>122</v>
    <v>Onderhoud Turnhout</v>
    <v>143</v>
    <v>2506</v>
    <v>2506</v>
    <v>Lage vloer streek</v>
    <v>Gelede bus</v>
    <v>Bus</v>
  </rv>
  <rv s="0">
    <v>0</v>
    <v>2507</v>
    <v>1</v>
    <v>Generic</v>
    <v>222F</v>
    <v>Euro6</v>
    <v>1</v>
    <v>43817</v>
    <v>45175</v>
    <v>Antwerpen</v>
    <v>1</v>
    <v>J</v>
    <v>J</v>
    <v>J</v>
    <v>J</v>
    <v>J</v>
    <v>4</v>
    <v>Turnhout</v>
    <v>122</v>
    <v>Onderhoud Turnhout</v>
    <v>143</v>
    <v>2507</v>
    <v>2507</v>
    <v>Lage vloer streek</v>
    <v>Gelede bus</v>
    <v>Bus</v>
  </rv>
  <rv s="0">
    <v>0</v>
    <v>2508</v>
    <v>1</v>
    <v>Generic</v>
    <v>222F</v>
    <v>Euro6</v>
    <v>1</v>
    <v>43846</v>
    <v>45175</v>
    <v>Antwerpen</v>
    <v>1</v>
    <v>J</v>
    <v>J</v>
    <v>J</v>
    <v>J</v>
    <v>J</v>
    <v>4</v>
    <v>Turnhout</v>
    <v>122</v>
    <v>Onderhoud Turnhout</v>
    <v>143</v>
    <v>2508</v>
    <v>2508</v>
    <v>Lage vloer streek</v>
    <v>Gelede bus</v>
    <v>Bus</v>
  </rv>
  <rv s="0">
    <v>0</v>
    <v>2509</v>
    <v>1</v>
    <v>Generic</v>
    <v>222F</v>
    <v>Euro6</v>
    <v>1</v>
    <v>43858</v>
    <v>45175</v>
    <v>Antwerpen</v>
    <v>1</v>
    <v>J</v>
    <v>J</v>
    <v>J</v>
    <v>J</v>
    <v>J</v>
    <v>4</v>
    <v>Hoogstraten</v>
    <v>123</v>
    <v>Onderhoud Turnhout</v>
    <v>143</v>
    <v>2509</v>
    <v>2509</v>
    <v>Lage vloer streek</v>
    <v>Gelede bus</v>
    <v>Bus</v>
  </rv>
  <rv s="0">
    <v>0</v>
    <v>2510</v>
    <v>1</v>
    <v>Generic</v>
    <v>222F</v>
    <v>Euro6</v>
    <v>1</v>
    <v>43858</v>
    <v>45175</v>
    <v>Antwerpen</v>
    <v>1</v>
    <v>J</v>
    <v>J</v>
    <v>J</v>
    <v>J</v>
    <v>J</v>
    <v>4</v>
    <v>Turnhout</v>
    <v>122</v>
    <v>Onderhoud Turnhout</v>
    <v>143</v>
    <v>2510</v>
    <v>2510</v>
    <v>Lage vloer streek</v>
    <v>Gelede bus</v>
    <v>Bus</v>
  </rv>
  <rv s="0">
    <v>0</v>
    <v>2511</v>
    <v>1</v>
    <v>Generic</v>
    <v>222F</v>
    <v>Euro6</v>
    <v>1</v>
    <v>43858</v>
    <v>45175</v>
    <v>Antwerpen</v>
    <v>1</v>
    <v>J</v>
    <v>J</v>
    <v>J</v>
    <v>J</v>
    <v>J</v>
    <v>4</v>
    <v>Turnhout</v>
    <v>122</v>
    <v>Onderhoud Turnhout</v>
    <v>143</v>
    <v>2511</v>
    <v>2511</v>
    <v>Lage vloer streek</v>
    <v>Gelede bus</v>
    <v>Bus</v>
  </rv>
  <rv s="0">
    <v>0</v>
    <v>2512</v>
    <v>1</v>
    <v>Generic</v>
    <v>222F</v>
    <v>Euro6</v>
    <v>1</v>
    <v>43822</v>
    <v>45175</v>
    <v>Antwerpen</v>
    <v>1</v>
    <v>J</v>
    <v>J</v>
    <v>J</v>
    <v>J</v>
    <v>J</v>
    <v>4</v>
    <v>Oostmalle</v>
    <v>125</v>
    <v>Onderhoud Turnhout</v>
    <v>143</v>
    <v>2512</v>
    <v>2512</v>
    <v>Lage vloer streek</v>
    <v>Gelede bus</v>
    <v>Bus</v>
  </rv>
  <rv s="0">
    <v>0</v>
    <v>2513</v>
    <v>1</v>
    <v>Generic</v>
    <v>222F</v>
    <v>Euro6</v>
    <v>1</v>
    <v>43851</v>
    <v>45175</v>
    <v>Antwerpen</v>
    <v>1</v>
    <v>J</v>
    <v>J</v>
    <v>J</v>
    <v>J</v>
    <v>J</v>
    <v>4</v>
    <v>Oostmalle</v>
    <v>125</v>
    <v>Onderhoud Turnhout</v>
    <v>143</v>
    <v>2513</v>
    <v>2513</v>
    <v>Lage vloer streek</v>
    <v>Gelede bus</v>
    <v>Bus</v>
  </rv>
  <rv s="0">
    <v>0</v>
    <v>2514</v>
    <v>1</v>
    <v>Generic</v>
    <v>222F</v>
    <v>Euro6</v>
    <v>1</v>
    <v>43850</v>
    <v>45175</v>
    <v>Antwerpen</v>
    <v>1</v>
    <v>J</v>
    <v>J</v>
    <v>J</v>
    <v>J</v>
    <v>J</v>
    <v>4</v>
    <v>Turnhout</v>
    <v>122</v>
    <v>Onderhoud Turnhout</v>
    <v>143</v>
    <v>2514</v>
    <v>2514</v>
    <v>Lage vloer streek</v>
    <v>Gelede bus</v>
    <v>Bus</v>
  </rv>
  <rv s="0">
    <v>0</v>
    <v>2515</v>
    <v>1</v>
    <v>Generic</v>
    <v>222F</v>
    <v>Euro6</v>
    <v>1</v>
    <v>43854</v>
    <v>45175</v>
    <v>Antwerpen</v>
    <v>1</v>
    <v>J</v>
    <v>J</v>
    <v>J</v>
    <v>J</v>
    <v>J</v>
    <v>4</v>
    <v>Turnhout</v>
    <v>122</v>
    <v>Onderhoud Turnhout</v>
    <v>143</v>
    <v>2515</v>
    <v>2515</v>
    <v>Lage vloer streek</v>
    <v>Gelede bus</v>
    <v>Bus</v>
  </rv>
  <rv s="0">
    <v>0</v>
    <v>2516</v>
    <v>1</v>
    <v>Generic</v>
    <v>222F</v>
    <v>Euro6</v>
    <v>1</v>
    <v>43851</v>
    <v>45175</v>
    <v>Antwerpen</v>
    <v>1</v>
    <v>J</v>
    <v>J</v>
    <v>J</v>
    <v>J</v>
    <v>J</v>
    <v>4</v>
    <v>Turnhout</v>
    <v>122</v>
    <v>Onderhoud Turnhout</v>
    <v>143</v>
    <v>2516</v>
    <v>2516</v>
    <v>Lage vloer streek</v>
    <v>Gelede bus</v>
    <v>Bus</v>
  </rv>
  <rv s="0">
    <v>0</v>
    <v>2517</v>
    <v>1</v>
    <v>Generic</v>
    <v>222F</v>
    <v>Euro6</v>
    <v>1</v>
    <v>43871</v>
    <v>45175</v>
    <v>Antwerpen</v>
    <v>1</v>
    <v>J</v>
    <v>J</v>
    <v>J</v>
    <v>J</v>
    <v>J</v>
    <v>4</v>
    <v>Oostmalle</v>
    <v>125</v>
    <v>Onderhoud Turnhout</v>
    <v>143</v>
    <v>2517</v>
    <v>2517</v>
    <v>Lage vloer streek</v>
    <v>Gelede bus</v>
    <v>Bus</v>
  </rv>
  <rv s="0">
    <v>0</v>
    <v>2518</v>
    <v>1</v>
    <v>Generic</v>
    <v>222F</v>
    <v>Euro6</v>
    <v>1</v>
    <v>43861</v>
    <v>45175</v>
    <v>Antwerpen</v>
    <v>1</v>
    <v>J</v>
    <v>J</v>
    <v>J</v>
    <v>J</v>
    <v>J</v>
    <v>4</v>
    <v>Turnhout</v>
    <v>122</v>
    <v>Onderhoud Turnhout</v>
    <v>143</v>
    <v>2518</v>
    <v>2518</v>
    <v>Lage vloer streek</v>
    <v>Gelede bus</v>
    <v>Bus</v>
  </rv>
  <rv s="0">
    <v>0</v>
    <v>2519</v>
    <v>1</v>
    <v>Generic</v>
    <v>222F</v>
    <v>Euro6</v>
    <v>1</v>
    <v>43854</v>
    <v>45175</v>
    <v>Antwerpen</v>
    <v>1</v>
    <v>J</v>
    <v>J</v>
    <v>J</v>
    <v>J</v>
    <v>J</v>
    <v>4</v>
    <v>Turnhout</v>
    <v>122</v>
    <v>Onderhoud Turnhout</v>
    <v>143</v>
    <v>2519</v>
    <v>2519</v>
    <v>Lage vloer streek</v>
    <v>Gelede bus</v>
    <v>Bus</v>
  </rv>
  <rv s="0">
    <v>0</v>
    <v>2520</v>
    <v>1</v>
    <v>Generic</v>
    <v>222F</v>
    <v>Euro6</v>
    <v>1</v>
    <v>43920</v>
    <v>45175</v>
    <v>Antwerpen</v>
    <v>1</v>
    <v>J</v>
    <v>J</v>
    <v>J</v>
    <v>J</v>
    <v>J</v>
    <v>3</v>
    <v>Oostmalle</v>
    <v>125</v>
    <v>Onderhoud Turnhout</v>
    <v>143</v>
    <v>2520</v>
    <v>2520</v>
    <v>Lage vloer streek</v>
    <v>Gelede bus</v>
    <v>Bus</v>
  </rv>
  <rv s="0">
    <v>0</v>
    <v>2521</v>
    <v>1</v>
    <v>Generic</v>
    <v>222F</v>
    <v>Euro6</v>
    <v>1</v>
    <v>43861</v>
    <v>45175</v>
    <v>Antwerpen</v>
    <v>1</v>
    <v>J</v>
    <v>J</v>
    <v>J</v>
    <v>J</v>
    <v>J</v>
    <v>4</v>
    <v>Turnhout</v>
    <v>122</v>
    <v>Onderhoud Turnhout</v>
    <v>143</v>
    <v>2521</v>
    <v>2521</v>
    <v>Lage vloer streek</v>
    <v>Gelede bus</v>
    <v>Bus</v>
  </rv>
  <rv s="0">
    <v>0</v>
    <v>2522</v>
    <v>1</v>
    <v>Generic</v>
    <v>222F</v>
    <v>Euro6</v>
    <v>1</v>
    <v>43861</v>
    <v>45175</v>
    <v>Antwerpen</v>
    <v>1</v>
    <v>J</v>
    <v>J</v>
    <v>J</v>
    <v>J</v>
    <v>J</v>
    <v>4</v>
    <v>Turnhout</v>
    <v>122</v>
    <v>Onderhoud Turnhout</v>
    <v>143</v>
    <v>2522</v>
    <v>2522</v>
    <v>Lage vloer streek</v>
    <v>Gelede bus</v>
    <v>Bus</v>
  </rv>
  <rv s="0">
    <v>0</v>
    <v>2523</v>
    <v>1</v>
    <v>Generic</v>
    <v>222F</v>
    <v>Euro6</v>
    <v>1</v>
    <v>43851</v>
    <v>45175</v>
    <v>Antwerpen</v>
    <v>1</v>
    <v>J</v>
    <v>J</v>
    <v>J</v>
    <v>J</v>
    <v>J</v>
    <v>4</v>
    <v>Turnhout</v>
    <v>122</v>
    <v>Onderhoud Turnhout</v>
    <v>143</v>
    <v>2523</v>
    <v>2523</v>
    <v>Lage vloer streek</v>
    <v>Gelede bus</v>
    <v>Bus</v>
  </rv>
  <rv s="0">
    <v>0</v>
    <v>2524</v>
    <v>1</v>
    <v>Generic</v>
    <v>222F</v>
    <v>Euro6</v>
    <v>1</v>
    <v>43851</v>
    <v>45175</v>
    <v>Antwerpen</v>
    <v>1</v>
    <v>J</v>
    <v>J</v>
    <v>J</v>
    <v>J</v>
    <v>J</v>
    <v>4</v>
    <v>Turnhout</v>
    <v>122</v>
    <v>Onderhoud Turnhout</v>
    <v>143</v>
    <v>2524</v>
    <v>2524</v>
    <v>Lage vloer streek</v>
    <v>Gelede bus</v>
    <v>Bus</v>
  </rv>
  <rv s="0">
    <v>0</v>
    <v>2525</v>
    <v>1</v>
    <v>Generic</v>
    <v>222F</v>
    <v>Euro6</v>
    <v>1</v>
    <v>43854</v>
    <v>45175</v>
    <v>Antwerpen</v>
    <v>1</v>
    <v>J</v>
    <v>J</v>
    <v>J</v>
    <v>J</v>
    <v>J</v>
    <v>4</v>
    <v>Oostmalle</v>
    <v>125</v>
    <v>Onderhoud Turnhout</v>
    <v>143</v>
    <v>2525</v>
    <v>2525</v>
    <v>Lage vloer streek</v>
    <v>Gelede bus</v>
    <v>Bus</v>
  </rv>
  <rv s="0">
    <v>0</v>
    <v>2526</v>
    <v>1</v>
    <v>Generic</v>
    <v>222F</v>
    <v>Euro6</v>
    <v>1</v>
    <v>43868</v>
    <v>45175</v>
    <v>Vlaams-Brabant</v>
    <v>3</v>
    <v>J</v>
    <v>J</v>
    <v>J</v>
    <v>J</v>
    <v>J</v>
    <v>4</v>
    <v>Meerbeke</v>
    <v>116</v>
    <v>Onderhoud Dilbeek</v>
    <v>146</v>
    <v>2526</v>
    <v>2526</v>
    <v>Lage vloer streek</v>
    <v>Gelede bus</v>
    <v>Bus</v>
  </rv>
  <rv s="0">
    <v>0</v>
    <v>2527</v>
    <v>1</v>
    <v>Generic</v>
    <v>222F</v>
    <v>Euro6</v>
    <v>1</v>
    <v>43868</v>
    <v>45175</v>
    <v>Vlaams-Brabant</v>
    <v>3</v>
    <v>J</v>
    <v>J</v>
    <v>J</v>
    <v>J</v>
    <v>J</v>
    <v>4</v>
    <v>Meerbeke</v>
    <v>116</v>
    <v>Onderhoud Dilbeek</v>
    <v>146</v>
    <v>2527</v>
    <v>2527</v>
    <v>Lage vloer streek</v>
    <v>Gelede bus</v>
    <v>Bus</v>
  </rv>
  <rv s="0">
    <v>0</v>
    <v>2528</v>
    <v>1</v>
    <v>Generic</v>
    <v>222F</v>
    <v>Euro6</v>
    <v>1</v>
    <v>43871</v>
    <v>45175</v>
    <v>Vlaams-Brabant</v>
    <v>3</v>
    <v>J</v>
    <v>J</v>
    <v>J</v>
    <v>J</v>
    <v>J</v>
    <v>4</v>
    <v>Meerbeke</v>
    <v>116</v>
    <v>Onderhoud Dilbeek</v>
    <v>146</v>
    <v>2528</v>
    <v>2528</v>
    <v>Lage vloer streek</v>
    <v>Gelede bus</v>
    <v>Bus</v>
  </rv>
  <rv s="0">
    <v>0</v>
    <v>2529</v>
    <v>1</v>
    <v>Generic</v>
    <v>222F</v>
    <v>Euro6</v>
    <v>1</v>
    <v>43868</v>
    <v>45175</v>
    <v>Vlaams-Brabant</v>
    <v>3</v>
    <v>J</v>
    <v>J</v>
    <v>J</v>
    <v>J</v>
    <v>J</v>
    <v>4</v>
    <v>Meerbeke</v>
    <v>116</v>
    <v>Onderhoud Dilbeek</v>
    <v>146</v>
    <v>2529</v>
    <v>2529</v>
    <v>Lage vloer streek</v>
    <v>Gelede bus</v>
    <v>Bus</v>
  </rv>
  <rv s="0">
    <v>0</v>
    <v>2530</v>
    <v>1</v>
    <v>Generic</v>
    <v>222F</v>
    <v>Euro6</v>
    <v>1</v>
    <v>43868</v>
    <v>45175</v>
    <v>Vlaams-Brabant</v>
    <v>3</v>
    <v>J</v>
    <v>J</v>
    <v>J</v>
    <v>J</v>
    <v>J</v>
    <v>4</v>
    <v>Meerbeke</v>
    <v>116</v>
    <v>Onderhoud Dilbeek</v>
    <v>146</v>
    <v>2530</v>
    <v>2530</v>
    <v>Lage vloer streek</v>
    <v>Gelede bus</v>
    <v>Bus</v>
  </rv>
  <rv s="0">
    <v>0</v>
    <v>2531</v>
    <v>1</v>
    <v>Generic</v>
    <v>222F</v>
    <v>Euro6</v>
    <v>1</v>
    <v>43920</v>
    <v>45175</v>
    <v>Vlaams-Brabant</v>
    <v>3</v>
    <v>J</v>
    <v>J</v>
    <v>J</v>
    <v>J</v>
    <v>J</v>
    <v>3</v>
    <v>Meerbeke</v>
    <v>116</v>
    <v>Onderhoud Dilbeek</v>
    <v>146</v>
    <v>2531</v>
    <v>2531</v>
    <v>Lage vloer streek</v>
    <v>Gelede bus</v>
    <v>Bus</v>
  </rv>
  <rv s="0">
    <v>0</v>
    <v>2532</v>
    <v>1</v>
    <v>Generic</v>
    <v>222F</v>
    <v>Euro6</v>
    <v>1</v>
    <v>43871</v>
    <v>45175</v>
    <v>Vlaams-Brabant</v>
    <v>3</v>
    <v>J</v>
    <v>J</v>
    <v>J</v>
    <v>J</v>
    <v>J</v>
    <v>4</v>
    <v>Meerbeke</v>
    <v>116</v>
    <v>Onderhoud Dilbeek</v>
    <v>146</v>
    <v>2532</v>
    <v>2532</v>
    <v>Lage vloer streek</v>
    <v>Gelede bus</v>
    <v>Bus</v>
  </rv>
  <rv s="0">
    <v>0</v>
    <v>2533</v>
    <v>1</v>
    <v>Generic</v>
    <v>222F</v>
    <v>Euro6</v>
    <v>1</v>
    <v>43920</v>
    <v>45175</v>
    <v>Vlaams-Brabant</v>
    <v>3</v>
    <v>J</v>
    <v>J</v>
    <v>J</v>
    <v>J</v>
    <v>J</v>
    <v>3</v>
    <v>Meerbeke</v>
    <v>116</v>
    <v>Onderhoud Dilbeek</v>
    <v>146</v>
    <v>2533</v>
    <v>2533</v>
    <v>Lage vloer streek</v>
    <v>Gelede bus</v>
    <v>Bus</v>
  </rv>
  <rv s="0">
    <v>0</v>
    <v>2534</v>
    <v>1</v>
    <v>Generic</v>
    <v>222F</v>
    <v>Euro6</v>
    <v>1</v>
    <v>43871</v>
    <v>45175</v>
    <v>Vlaams-Brabant</v>
    <v>3</v>
    <v>J</v>
    <v>J</v>
    <v>J</v>
    <v>J</v>
    <v>J</v>
    <v>4</v>
    <v>Meerbeke</v>
    <v>116</v>
    <v>Onderhoud Dilbeek</v>
    <v>146</v>
    <v>2534</v>
    <v>2534</v>
    <v>Lage vloer streek</v>
    <v>Gelede bus</v>
    <v>Bus</v>
  </rv>
  <rv s="0">
    <v>0</v>
    <v>2535</v>
    <v>1</v>
    <v>Generic</v>
    <v>222F</v>
    <v>Euro6</v>
    <v>1</v>
    <v>43879</v>
    <v>45175</v>
    <v>Antwerpen</v>
    <v>1</v>
    <v>J</v>
    <v>J</v>
    <v>J</v>
    <v>J</v>
    <v>J</v>
    <v>4</v>
    <v>Turnhout</v>
    <v>122</v>
    <v>Onderhoud Turnhout</v>
    <v>143</v>
    <v>2535</v>
    <v>2535</v>
    <v>Lage vloer streek</v>
    <v>Gelede bus</v>
    <v>Bus</v>
  </rv>
  <rv s="0">
    <v>0</v>
    <v>2536</v>
    <v>1</v>
    <v>Generic</v>
    <v>222F</v>
    <v>Euro6</v>
    <v>1</v>
    <v>43920</v>
    <v>45175</v>
    <v>Antwerpen</v>
    <v>1</v>
    <v>J</v>
    <v>J</v>
    <v>J</v>
    <v>J</v>
    <v>J</v>
    <v>3</v>
    <v>Turnhout</v>
    <v>122</v>
    <v>Onderhoud Turnhout</v>
    <v>143</v>
    <v>2536</v>
    <v>2536</v>
    <v>Lage vloer streek</v>
    <v>Gelede bus</v>
    <v>Bus</v>
  </rv>
  <rv s="0">
    <v>0</v>
    <v>2537</v>
    <v>1</v>
    <v>Generic</v>
    <v>222F</v>
    <v>Euro6</v>
    <v>1</v>
    <v>43881</v>
    <v>45175</v>
    <v>Antwerpen</v>
    <v>1</v>
    <v>J</v>
    <v>J</v>
    <v>J</v>
    <v>J</v>
    <v>J</v>
    <v>4</v>
    <v>Turnhout</v>
    <v>122</v>
    <v>Onderhoud Turnhout</v>
    <v>143</v>
    <v>2537</v>
    <v>2537</v>
    <v>Lage vloer streek</v>
    <v>Gelede bus</v>
    <v>Bus</v>
  </rv>
  <rv s="0">
    <v>0</v>
    <v>2538</v>
    <v>1</v>
    <v>Generic</v>
    <v>222GHI</v>
    <v>0E</v>
    <v>1</v>
    <v>43817</v>
    <v>45175</v>
    <v>Vlaams-Brabant</v>
    <v>3</v>
    <v>J</v>
    <v>J</v>
    <v>J</v>
    <v>N</v>
    <v>J</v>
    <v>4</v>
    <v>Autobussen Berchem</v>
    <v>126</v>
    <v>OC Berchem</v>
    <v>145</v>
    <v>2538</v>
    <v>2538</v>
    <v>12m LV E-bus</v>
    <v>E-Bus</v>
    <v>Bus</v>
  </rv>
  <rv s="0">
    <v>0</v>
    <v>2539</v>
    <v>1</v>
    <v>Generic</v>
    <v>222GHI</v>
    <v>0E</v>
    <v>1</v>
    <v>43879</v>
    <v>45175</v>
    <v>Vlaams-Brabant</v>
    <v>3</v>
    <v>J</v>
    <v>J</v>
    <v>J</v>
    <v>N</v>
    <v>J</v>
    <v>4</v>
    <v>Leuven Noord</v>
    <v>124</v>
    <v>Onderhoud Leuven Noord</v>
    <v>152</v>
    <v>2539</v>
    <v>2539</v>
    <v>12m LV E-bus</v>
    <v>E-Bus</v>
    <v>Bus</v>
  </rv>
  <rv s="0">
    <v>0</v>
    <v>2540</v>
    <v>1</v>
    <v>Generic</v>
    <v>222GHI</v>
    <v>0E</v>
    <v>1</v>
    <v>43818</v>
    <v>45175</v>
    <v>Vlaams-Brabant</v>
    <v>3</v>
    <v>J</v>
    <v>J</v>
    <v>J</v>
    <v>N</v>
    <v>J</v>
    <v>4</v>
    <v>Leuven Noord</v>
    <v>124</v>
    <v>Onderhoud Leuven Noord</v>
    <v>152</v>
    <v>2540</v>
    <v>2540</v>
    <v>12m LV E-bus</v>
    <v>E-Bus</v>
    <v>Bus</v>
  </rv>
  <rv s="0">
    <v>0</v>
    <v>2541</v>
    <v>1</v>
    <v>Generic</v>
    <v>222GHI</v>
    <v>0E</v>
    <v>1</v>
    <v>43826</v>
    <v>45175</v>
    <v>Vlaams-Brabant</v>
    <v>3</v>
    <v>J</v>
    <v>J</v>
    <v>J</v>
    <v>N</v>
    <v>J</v>
    <v>4</v>
    <v>Leuven Noord</v>
    <v>124</v>
    <v>Onderhoud Leuven Noord</v>
    <v>152</v>
    <v>2541</v>
    <v>2541</v>
    <v>12m LV E-bus</v>
    <v>E-Bus</v>
    <v>Bus</v>
  </rv>
  <rv s="0">
    <v>0</v>
    <v>2542</v>
    <v>1</v>
    <v>Generic</v>
    <v>222GHI</v>
    <v>0E</v>
    <v>1</v>
    <v>43928</v>
    <v>45175</v>
    <v>Vlaams-Brabant</v>
    <v>3</v>
    <v>J</v>
    <v>J</v>
    <v>J</v>
    <v>N</v>
    <v>J</v>
    <v>3</v>
    <v>Leuven Noord</v>
    <v>124</v>
    <v>Onderhoud Leuven Noord</v>
    <v>152</v>
    <v>2542</v>
    <v>2542</v>
    <v>12m LV E-bus</v>
    <v>E-Bus</v>
    <v>Bus</v>
  </rv>
  <rv s="0">
    <v>0</v>
    <v>2543</v>
    <v>1</v>
    <v>Generic</v>
    <v>222GHI</v>
    <v>0E</v>
    <v>1</v>
    <v>43900</v>
    <v>45175</v>
    <v>Antwerpen</v>
    <v>1</v>
    <v>J</v>
    <v>J</v>
    <v>J</v>
    <v>N</v>
    <v>J</v>
    <v>4</v>
    <v>Autobussen Berchem</v>
    <v>126</v>
    <v>OC Berchem</v>
    <v>145</v>
    <v>2543</v>
    <v>2543</v>
    <v>12m LV E-bus</v>
    <v>E-Bus</v>
    <v>Bus</v>
  </rv>
  <rv s="0">
    <v>0</v>
    <v>2544</v>
    <v>1</v>
    <v>Generic</v>
    <v>222GHI</v>
    <v>0E</v>
    <v>1</v>
    <v>43850</v>
    <v>45175</v>
    <v>Antwerpen</v>
    <v>1</v>
    <v>J</v>
    <v>J</v>
    <v>J</v>
    <v>N</v>
    <v>J</v>
    <v>4</v>
    <v>Autobussen Berchem</v>
    <v>126</v>
    <v>OC Berchem</v>
    <v>145</v>
    <v>2544</v>
    <v>2544</v>
    <v>12m LV E-bus</v>
    <v>E-Bus</v>
    <v>Bus</v>
  </rv>
  <rv s="0">
    <v>0</v>
    <v>2545</v>
    <v>1</v>
    <v>Generic</v>
    <v>222GHI</v>
    <v>0E</v>
    <v>1</v>
    <v>44026</v>
    <v>45175</v>
    <v>Antwerpen</v>
    <v>1</v>
    <v>J</v>
    <v>J</v>
    <v>J</v>
    <v>N</v>
    <v>J</v>
    <v>3</v>
    <v>Autobussen Berchem</v>
    <v>126</v>
    <v>OC Berchem</v>
    <v>145</v>
    <v>2545</v>
    <v>2545</v>
    <v>12m LV E-bus</v>
    <v>E-Bus</v>
    <v>Bus</v>
  </rv>
  <rv s="0">
    <v>0</v>
    <v>2546</v>
    <v>1</v>
    <v>Generic</v>
    <v>222GHI</v>
    <v>0E</v>
    <v>1</v>
    <v>44132</v>
    <v>45175</v>
    <v>Oost-Vlaanderen</v>
    <v>2</v>
    <v>J</v>
    <v>J</v>
    <v>J</v>
    <v>N</v>
    <v>J</v>
    <v>3</v>
    <v>Gentbrugge</v>
    <v>112</v>
    <v>Werkhuis Gentbrugge</v>
    <v>141</v>
    <v>2546</v>
    <v>2546</v>
    <v>12m LV E-bus</v>
    <v>E-Bus</v>
    <v>Bus</v>
  </rv>
  <rv s="0">
    <v>0</v>
    <v>2547</v>
    <v>1</v>
    <v>Generic</v>
    <v>222GHI</v>
    <v>0E</v>
    <v>1</v>
    <v>44025</v>
    <v>45175</v>
    <v>Antwerpen</v>
    <v>1</v>
    <v>J</v>
    <v>J</v>
    <v>J</v>
    <v>N</v>
    <v>J</v>
    <v>3</v>
    <v>Autobussen Berchem</v>
    <v>126</v>
    <v>OC Berchem</v>
    <v>145</v>
    <v>2547</v>
    <v>2547</v>
    <v>12m LV E-bus</v>
    <v>E-Bus</v>
    <v>Bus</v>
  </rv>
  <rv s="0">
    <v>0</v>
    <v>2548</v>
    <v>1</v>
    <v>Generic</v>
    <v>222GHI</v>
    <v>0E</v>
    <v>1</v>
    <v>44132</v>
    <v>45175</v>
    <v>Oost-Vlaanderen</v>
    <v>2</v>
    <v>J</v>
    <v>J</v>
    <v>J</v>
    <v>N</v>
    <v>J</v>
    <v>3</v>
    <v>Gentbrugge</v>
    <v>112</v>
    <v>Werkhuis Gentbrugge</v>
    <v>141</v>
    <v>2548</v>
    <v>2548</v>
    <v>12m LV E-bus</v>
    <v>E-Bus</v>
    <v>Bus</v>
  </rv>
  <rv s="0">
    <v>0</v>
    <v>2549</v>
    <v>1</v>
    <v>Generic</v>
    <v>222GHI</v>
    <v>0E</v>
    <v>1</v>
    <v>44112</v>
    <v>45175</v>
    <v>Oost-Vlaanderen</v>
    <v>2</v>
    <v>J</v>
    <v>J</v>
    <v>J</v>
    <v>N</v>
    <v>J</v>
    <v>3</v>
    <v>Gentbrugge</v>
    <v>112</v>
    <v>Werkhuis Gentbrugge</v>
    <v>141</v>
    <v>2549</v>
    <v>2549</v>
    <v>12m LV E-bus</v>
    <v>E-Bus</v>
    <v>Bus</v>
  </rv>
  <rv s="0">
    <v>0</v>
    <v>2550</v>
    <v>1</v>
    <v>Generic</v>
    <v>222GHI</v>
    <v>0E</v>
    <v>1</v>
    <v>44025</v>
    <v>45175</v>
    <v>Antwerpen</v>
    <v>1</v>
    <v>J</v>
    <v>J</v>
    <v>J</v>
    <v>N</v>
    <v>J</v>
    <v>3</v>
    <v>Autobussen Berchem</v>
    <v>126</v>
    <v>OC Berchem</v>
    <v>145</v>
    <v>2550</v>
    <v>2550</v>
    <v>12m LV E-bus</v>
    <v>E-Bus</v>
    <v>Bus</v>
  </rv>
  <rv s="0">
    <v>0</v>
    <v>2551</v>
    <v>1</v>
    <v>Generic</v>
    <v>223B</v>
    <v>Euro6</v>
    <v>1</v>
    <v>44090</v>
    <v>45175</v>
    <v>Vlaams-Brabant</v>
    <v>3</v>
    <v>J</v>
    <v>J</v>
    <v>J</v>
    <v>J</v>
    <v>J</v>
    <v>3</v>
    <v>Grimbergen</v>
    <v>114</v>
    <v>Onderhoud Grimbergen</v>
    <v>148</v>
    <v>2551</v>
    <v>2551</v>
    <v>Hybride streek</v>
    <v>12-m bus</v>
    <v>Bus</v>
  </rv>
  <rv s="0">
    <v>0</v>
    <v>2552</v>
    <v>1</v>
    <v>Generic</v>
    <v>223B</v>
    <v>Euro6</v>
    <v>1</v>
    <v>44069</v>
    <v>45175</v>
    <v>Vlaams-Brabant</v>
    <v>3</v>
    <v>J</v>
    <v>J</v>
    <v>J</v>
    <v>J</v>
    <v>J</v>
    <v>3</v>
    <v>Grimbergen</v>
    <v>114</v>
    <v>Onderhoud Grimbergen</v>
    <v>148</v>
    <v>2552</v>
    <v>2552</v>
    <v>Hybride streek</v>
    <v>12-m bus</v>
    <v>Bus</v>
  </rv>
  <rv s="0">
    <v>0</v>
    <v>2553</v>
    <v>1</v>
    <v>Generic</v>
    <v>223B</v>
    <v>Euro6</v>
    <v>1</v>
    <v>44081</v>
    <v>45175</v>
    <v>Vlaams-Brabant</v>
    <v>3</v>
    <v>J</v>
    <v>J</v>
    <v>J</v>
    <v>J</v>
    <v>J</v>
    <v>3</v>
    <v>Grimbergen</v>
    <v>114</v>
    <v>Onderhoud Grimbergen</v>
    <v>148</v>
    <v>2553</v>
    <v>2553</v>
    <v>Hybride streek</v>
    <v>12-m bus</v>
    <v>Bus</v>
  </rv>
  <rv s="0">
    <v>0</v>
    <v>2554</v>
    <v>1</v>
    <v>Generic</v>
    <v>223B</v>
    <v>Euro6</v>
    <v>1</v>
    <v>44315</v>
    <v>45175</v>
    <v>Vlaams-Brabant</v>
    <v>3</v>
    <v>J</v>
    <v>J</v>
    <v>J</v>
    <v>J</v>
    <v>J</v>
    <v>2</v>
    <v>Grimbergen</v>
    <v>114</v>
    <v>Onderhoud Grimbergen</v>
    <v>148</v>
    <v>2554</v>
    <v>2554</v>
    <v>Hybride streek</v>
    <v>12-m bus</v>
    <v>Bus</v>
  </rv>
  <rv s="0">
    <v>0</v>
    <v>2555</v>
    <v>1</v>
    <v>Generic</v>
    <v>223B</v>
    <v>Euro6</v>
    <v>1</v>
    <v>44069</v>
    <v>45175</v>
    <v>Vlaams-Brabant</v>
    <v>3</v>
    <v>J</v>
    <v>J</v>
    <v>J</v>
    <v>J</v>
    <v>J</v>
    <v>3</v>
    <v>Grimbergen</v>
    <v>114</v>
    <v>Onderhoud Grimbergen</v>
    <v>148</v>
    <v>2555</v>
    <v>2555</v>
    <v>Hybride streek</v>
    <v>12-m bus</v>
    <v>Bus</v>
  </rv>
  <rv s="0">
    <v>0</v>
    <v>2556</v>
    <v>1</v>
    <v>Generic</v>
    <v>223B</v>
    <v>Euro6</v>
    <v>1</v>
    <v>44081</v>
    <v>45175</v>
    <v>Vlaams-Brabant</v>
    <v>3</v>
    <v>J</v>
    <v>J</v>
    <v>J</v>
    <v>J</v>
    <v>J</v>
    <v>3</v>
    <v>Grimbergen</v>
    <v>114</v>
    <v>Onderhoud Grimbergen</v>
    <v>148</v>
    <v>2556</v>
    <v>2556</v>
    <v>Hybride streek</v>
    <v>12-m bus</v>
    <v>Bus</v>
  </rv>
  <rv s="0">
    <v>0</v>
    <v>2557</v>
    <v>1</v>
    <v>Generic</v>
    <v>223B</v>
    <v>Euro6</v>
    <v>1</v>
    <v>44082</v>
    <v>45175</v>
    <v>Vlaams-Brabant</v>
    <v>3</v>
    <v>J</v>
    <v>J</v>
    <v>J</v>
    <v>J</v>
    <v>J</v>
    <v>3</v>
    <v>Grimbergen</v>
    <v>114</v>
    <v>Onderhoud Grimbergen</v>
    <v>148</v>
    <v>2557</v>
    <v>2557</v>
    <v>Hybride streek</v>
    <v>12-m bus</v>
    <v>Bus</v>
  </rv>
  <rv s="0">
    <v>0</v>
    <v>2558</v>
    <v>1</v>
    <v>Generic</v>
    <v>223B</v>
    <v>Euro6</v>
    <v>1</v>
    <v>44082</v>
    <v>45175</v>
    <v>Vlaams-Brabant</v>
    <v>3</v>
    <v>J</v>
    <v>J</v>
    <v>J</v>
    <v>J</v>
    <v>J</v>
    <v>3</v>
    <v>Grimbergen</v>
    <v>114</v>
    <v>Onderhoud Grimbergen</v>
    <v>148</v>
    <v>2558</v>
    <v>2558</v>
    <v>Hybride streek</v>
    <v>12-m bus</v>
    <v>Bus</v>
  </rv>
  <rv s="0">
    <v>0</v>
    <v>2559</v>
    <v>1</v>
    <v>Generic</v>
    <v>223B</v>
    <v>Euro6</v>
    <v>1</v>
    <v>44118</v>
    <v>45175</v>
    <v>Vlaams-Brabant</v>
    <v>3</v>
    <v>J</v>
    <v>J</v>
    <v>J</v>
    <v>J</v>
    <v>J</v>
    <v>3</v>
    <v>Grimbergen</v>
    <v>114</v>
    <v>Onderhoud Grimbergen</v>
    <v>148</v>
    <v>2559</v>
    <v>2559</v>
    <v>Hybride streek</v>
    <v>12-m bus</v>
    <v>Bus</v>
  </rv>
  <rv s="0">
    <v>0</v>
    <v>2560</v>
    <v>1</v>
    <v>Generic</v>
    <v>223B</v>
    <v>Euro6</v>
    <v>1</v>
    <v>44090</v>
    <v>45175</v>
    <v>Vlaams-Brabant</v>
    <v>3</v>
    <v>J</v>
    <v>J</v>
    <v>J</v>
    <v>J</v>
    <v>J</v>
    <v>3</v>
    <v>Grimbergen</v>
    <v>114</v>
    <v>Onderhoud Grimbergen</v>
    <v>148</v>
    <v>2560</v>
    <v>2560</v>
    <v>Hybride streek</v>
    <v>12-m bus</v>
    <v>Bus</v>
  </rv>
  <rv s="0">
    <v>0</v>
    <v>2561</v>
    <v>1</v>
    <v>Generic</v>
    <v>223B</v>
    <v>Euro6</v>
    <v>1</v>
    <v>44082</v>
    <v>45175</v>
    <v>Vlaams-Brabant</v>
    <v>3</v>
    <v>J</v>
    <v>J</v>
    <v>J</v>
    <v>J</v>
    <v>J</v>
    <v>3</v>
    <v>Grimbergen</v>
    <v>114</v>
    <v>Onderhoud Grimbergen</v>
    <v>148</v>
    <v>2561</v>
    <v>2561</v>
    <v>Hybride streek</v>
    <v>12-m bus</v>
    <v>Bus</v>
  </rv>
  <rv s="0">
    <v>0</v>
    <v>2562</v>
    <v>1</v>
    <v>Generic</v>
    <v>223B</v>
    <v>Euro6</v>
    <v>1</v>
    <v>44096</v>
    <v>45175</v>
    <v>Vlaams-Brabant</v>
    <v>3</v>
    <v>J</v>
    <v>J</v>
    <v>J</v>
    <v>J</v>
    <v>J</v>
    <v>3</v>
    <v>Grimbergen</v>
    <v>114</v>
    <v>Onderhoud Grimbergen</v>
    <v>148</v>
    <v>2562</v>
    <v>2562</v>
    <v>Hybride streek</v>
    <v>12-m bus</v>
    <v>Bus</v>
  </rv>
  <rv s="0">
    <v>0</v>
    <v>2563</v>
    <v>1</v>
    <v>Generic</v>
    <v>223B</v>
    <v>Euro6</v>
    <v>1</v>
    <v>44089</v>
    <v>45175</v>
    <v>Vlaams-Brabant</v>
    <v>3</v>
    <v>J</v>
    <v>J</v>
    <v>J</v>
    <v>J</v>
    <v>J</v>
    <v>3</v>
    <v>Grimbergen</v>
    <v>114</v>
    <v>Onderhoud Grimbergen</v>
    <v>148</v>
    <v>2563</v>
    <v>2563</v>
    <v>Hybride streek</v>
    <v>12-m bus</v>
    <v>Bus</v>
  </rv>
  <rv s="0">
    <v>0</v>
    <v>2564</v>
    <v>1</v>
    <v>Generic</v>
    <v>223B</v>
    <v>Euro6</v>
    <v>1</v>
    <v>44089</v>
    <v>45175</v>
    <v>Vlaams-Brabant</v>
    <v>3</v>
    <v>J</v>
    <v>J</v>
    <v>J</v>
    <v>J</v>
    <v>J</v>
    <v>3</v>
    <v>Grimbergen</v>
    <v>114</v>
    <v>Onderhoud Grimbergen</v>
    <v>148</v>
    <v>2564</v>
    <v>2564</v>
    <v>Hybride streek</v>
    <v>12-m bus</v>
    <v>Bus</v>
  </rv>
  <rv s="0">
    <v>0</v>
    <v>2565</v>
    <v>1</v>
    <v>Generic</v>
    <v>223B</v>
    <v>Euro6</v>
    <v>1</v>
    <v>44103</v>
    <v>45175</v>
    <v>Vlaams-Brabant</v>
    <v>3</v>
    <v>J</v>
    <v>J</v>
    <v>J</v>
    <v>J</v>
    <v>J</v>
    <v>3</v>
    <v>Grimbergen</v>
    <v>114</v>
    <v>Onderhoud Grimbergen</v>
    <v>148</v>
    <v>2565</v>
    <v>2565</v>
    <v>Hybride streek</v>
    <v>12-m bus</v>
    <v>Bus</v>
  </rv>
  <rv s="0">
    <v>0</v>
    <v>2566</v>
    <v>1</v>
    <v>Generic</v>
    <v>223B</v>
    <v>Euro6</v>
    <v>1</v>
    <v>44088</v>
    <v>45175</v>
    <v>Vlaams-Brabant</v>
    <v>3</v>
    <v>J</v>
    <v>J</v>
    <v>J</v>
    <v>J</v>
    <v>J</v>
    <v>3</v>
    <v>Grimbergen</v>
    <v>114</v>
    <v>Onderhoud Grimbergen</v>
    <v>148</v>
    <v>2566</v>
    <v>2566</v>
    <v>Hybride streek</v>
    <v>12-m bus</v>
    <v>Bus</v>
  </rv>
  <rv s="0">
    <v>0</v>
    <v>2567</v>
    <v>1</v>
    <v>Generic</v>
    <v>223B</v>
    <v>Euro6</v>
    <v>1</v>
    <v>44189</v>
    <v>45175</v>
    <v>Vlaams-Brabant</v>
    <v>3</v>
    <v>J</v>
    <v>J</v>
    <v>J</v>
    <v>J</v>
    <v>J</v>
    <v>3</v>
    <v>Grimbergen</v>
    <v>114</v>
    <v>Onderhoud Grimbergen</v>
    <v>148</v>
    <v>2567</v>
    <v>2567</v>
    <v>Hybride streek</v>
    <v>12-m bus</v>
    <v>Bus</v>
  </rv>
  <rv s="0">
    <v>0</v>
    <v>2568</v>
    <v>1</v>
    <v>Generic</v>
    <v>223B</v>
    <v>Euro6</v>
    <v>1</v>
    <v>44109</v>
    <v>45175</v>
    <v>Vlaams-Brabant</v>
    <v>3</v>
    <v>J</v>
    <v>J</v>
    <v>J</v>
    <v>J</v>
    <v>J</v>
    <v>3</v>
    <v>Grimbergen</v>
    <v>114</v>
    <v>Onderhoud Grimbergen</v>
    <v>148</v>
    <v>2568</v>
    <v>2568</v>
    <v>Hybride streek</v>
    <v>12-m bus</v>
    <v>Bus</v>
  </rv>
  <rv s="0">
    <v>0</v>
    <v>2569</v>
    <v>1</v>
    <v>Generic</v>
    <v>223B</v>
    <v>Euro6</v>
    <v>1</v>
    <v>44090</v>
    <v>45175</v>
    <v>Vlaams-Brabant</v>
    <v>3</v>
    <v>J</v>
    <v>J</v>
    <v>J</v>
    <v>J</v>
    <v>J</v>
    <v>3</v>
    <v>Grimbergen</v>
    <v>114</v>
    <v>Onderhoud Grimbergen</v>
    <v>148</v>
    <v>2569</v>
    <v>2569</v>
    <v>Hybride streek</v>
    <v>12-m bus</v>
    <v>Bus</v>
  </rv>
  <rv s="0">
    <v>0</v>
    <v>2570</v>
    <v>1</v>
    <v>Generic</v>
    <v>223B</v>
    <v>Euro6</v>
    <v>1</v>
    <v>44110</v>
    <v>45175</v>
    <v>Vlaams-Brabant</v>
    <v>3</v>
    <v>J</v>
    <v>J</v>
    <v>J</v>
    <v>J</v>
    <v>J</v>
    <v>3</v>
    <v>Grimbergen</v>
    <v>114</v>
    <v>Onderhoud Grimbergen</v>
    <v>148</v>
    <v>2570</v>
    <v>2570</v>
    <v>Hybride streek</v>
    <v>12-m bus</v>
    <v>Bus</v>
  </rv>
  <rv s="0">
    <v>0</v>
    <v>2571</v>
    <v>1</v>
    <v>Generic</v>
    <v>223B</v>
    <v>Euro6</v>
    <v>1</v>
    <v>44123</v>
    <v>45175</v>
    <v>Vlaams-Brabant</v>
    <v>3</v>
    <v>J</v>
    <v>J</v>
    <v>J</v>
    <v>J</v>
    <v>J</v>
    <v>3</v>
    <v>Grimbergen</v>
    <v>114</v>
    <v>Onderhoud Grimbergen</v>
    <v>148</v>
    <v>2571</v>
    <v>2571</v>
    <v>Hybride streek</v>
    <v>12-m bus</v>
    <v>Bus</v>
  </rv>
  <rv s="0">
    <v>0</v>
    <v>2572</v>
    <v>1</v>
    <v>Generic</v>
    <v>223B</v>
    <v>Euro6</v>
    <v>1</v>
    <v>44102</v>
    <v>45175</v>
    <v>Vlaams-Brabant</v>
    <v>3</v>
    <v>J</v>
    <v>J</v>
    <v>J</v>
    <v>J</v>
    <v>J</v>
    <v>3</v>
    <v>Grimbergen</v>
    <v>114</v>
    <v>Onderhoud Grimbergen</v>
    <v>148</v>
    <v>2572</v>
    <v>2572</v>
    <v>Hybride streek</v>
    <v>12-m bus</v>
    <v>Bus</v>
  </rv>
  <rv s="0">
    <v>0</v>
    <v>2573</v>
    <v>1</v>
    <v>Generic</v>
    <v>223B</v>
    <v>Euro6</v>
    <v>1</v>
    <v>44103</v>
    <v>45175</v>
    <v>Vlaams-Brabant</v>
    <v>3</v>
    <v>J</v>
    <v>J</v>
    <v>J</v>
    <v>J</v>
    <v>J</v>
    <v>3</v>
    <v>Grimbergen</v>
    <v>114</v>
    <v>Onderhoud Grimbergen</v>
    <v>148</v>
    <v>2573</v>
    <v>2573</v>
    <v>Hybride streek</v>
    <v>12-m bus</v>
    <v>Bus</v>
  </rv>
  <rv s="0">
    <v>0</v>
    <v>2574</v>
    <v>1</v>
    <v>Generic</v>
    <v>223B</v>
    <v>Euro6</v>
    <v>1</v>
    <v>44123</v>
    <v>45175</v>
    <v>Vlaams-Brabant</v>
    <v>3</v>
    <v>J</v>
    <v>J</v>
    <v>J</v>
    <v>J</v>
    <v>J</v>
    <v>3</v>
    <v>Grimbergen</v>
    <v>114</v>
    <v>Onderhoud Grimbergen</v>
    <v>148</v>
    <v>2574</v>
    <v>2574</v>
    <v>Hybride streek</v>
    <v>12-m bus</v>
    <v>Bus</v>
  </rv>
  <rv s="0">
    <v>0</v>
    <v>2575</v>
    <v>1</v>
    <v>Generic</v>
    <v>223B</v>
    <v>Euro6</v>
    <v>1</v>
    <v>44131</v>
    <v>45175</v>
    <v>Vlaams-Brabant</v>
    <v>3</v>
    <v>J</v>
    <v>J</v>
    <v>J</v>
    <v>J</v>
    <v>J</v>
    <v>3</v>
    <v>Grimbergen</v>
    <v>114</v>
    <v>Onderhoud Grimbergen</v>
    <v>148</v>
    <v>2575</v>
    <v>2575</v>
    <v>Hybride streek</v>
    <v>12-m bus</v>
    <v>Bus</v>
  </rv>
  <rv s="0">
    <v>0</v>
    <v>2576</v>
    <v>1</v>
    <v>Generic</v>
    <v>223B</v>
    <v>Euro6</v>
    <v>1</v>
    <v>44131</v>
    <v>45175</v>
    <v>Vlaams-Brabant</v>
    <v>3</v>
    <v>J</v>
    <v>J</v>
    <v>J</v>
    <v>J</v>
    <v>J</v>
    <v>3</v>
    <v>Grimbergen</v>
    <v>114</v>
    <v>Onderhoud Grimbergen</v>
    <v>148</v>
    <v>2576</v>
    <v>2576</v>
    <v>Hybride streek</v>
    <v>12-m bus</v>
    <v>Bus</v>
  </rv>
  <rv s="0">
    <v>0</v>
    <v>2577</v>
    <v>1</v>
    <v>Generic</v>
    <v>223B</v>
    <v>Euro6</v>
    <v>1</v>
    <v>44110</v>
    <v>45175</v>
    <v>Vlaams-Brabant</v>
    <v>3</v>
    <v>J</v>
    <v>J</v>
    <v>J</v>
    <v>J</v>
    <v>J</v>
    <v>3</v>
    <v>Grimbergen</v>
    <v>114</v>
    <v>Onderhoud Grimbergen</v>
    <v>148</v>
    <v>2577</v>
    <v>2577</v>
    <v>Hybride streek</v>
    <v>12-m bus</v>
    <v>Bus</v>
  </rv>
  <rv s="0">
    <v>0</v>
    <v>2578</v>
    <v>1</v>
    <v>Generic</v>
    <v>223B</v>
    <v>Euro6</v>
    <v>1</v>
    <v>44102</v>
    <v>45175</v>
    <v>Vlaams-Brabant</v>
    <v>3</v>
    <v>J</v>
    <v>J</v>
    <v>J</v>
    <v>J</v>
    <v>J</v>
    <v>3</v>
    <v>Grimbergen</v>
    <v>114</v>
    <v>Onderhoud Grimbergen</v>
    <v>148</v>
    <v>2578</v>
    <v>2578</v>
    <v>Hybride streek</v>
    <v>12-m bus</v>
    <v>Bus</v>
  </rv>
  <rv s="0">
    <v>0</v>
    <v>2579</v>
    <v>1</v>
    <v>Generic</v>
    <v>223B</v>
    <v>Euro6</v>
    <v>1</v>
    <v>44131</v>
    <v>45175</v>
    <v>Vlaams-Brabant</v>
    <v>3</v>
    <v>J</v>
    <v>J</v>
    <v>J</v>
    <v>J</v>
    <v>J</v>
    <v>3</v>
    <v>Grimbergen</v>
    <v>114</v>
    <v>Onderhoud Grimbergen</v>
    <v>148</v>
    <v>2579</v>
    <v>2579</v>
    <v>Hybride streek</v>
    <v>12-m bus</v>
    <v>Bus</v>
  </rv>
  <rv s="0">
    <v>0</v>
    <v>2580</v>
    <v>1</v>
    <v>Generic</v>
    <v>223B</v>
    <v>Euro6</v>
    <v>1</v>
    <v>44109</v>
    <v>45175</v>
    <v>Vlaams-Brabant</v>
    <v>3</v>
    <v>J</v>
    <v>J</v>
    <v>J</v>
    <v>J</v>
    <v>J</v>
    <v>3</v>
    <v>Grimbergen</v>
    <v>114</v>
    <v>Onderhoud Grimbergen</v>
    <v>148</v>
    <v>2580</v>
    <v>2580</v>
    <v>Hybride streek</v>
    <v>12-m bus</v>
    <v>Bus</v>
  </rv>
  <rv s="0">
    <v>0</v>
    <v>2581</v>
    <v>1</v>
    <v>Generic</v>
    <v>223B</v>
    <v>Euro6</v>
    <v>1</v>
    <v>44123</v>
    <v>45175</v>
    <v>Vlaams-Brabant</v>
    <v>3</v>
    <v>J</v>
    <v>J</v>
    <v>J</v>
    <v>J</v>
    <v>J</v>
    <v>3</v>
    <v>Grimbergen</v>
    <v>114</v>
    <v>Onderhoud Grimbergen</v>
    <v>148</v>
    <v>2581</v>
    <v>2581</v>
    <v>Hybride streek</v>
    <v>12-m bus</v>
    <v>Bus</v>
  </rv>
  <rv s="0">
    <v>0</v>
    <v>2582</v>
    <v>1</v>
    <v>Generic</v>
    <v>223B</v>
    <v>Euro6</v>
    <v>1</v>
    <v>44137</v>
    <v>45175</v>
    <v>Vlaams-Brabant</v>
    <v>3</v>
    <v>J</v>
    <v>J</v>
    <v>J</v>
    <v>J</v>
    <v>J</v>
    <v>3</v>
    <v>Grimbergen</v>
    <v>114</v>
    <v>Onderhoud Grimbergen</v>
    <v>148</v>
    <v>2582</v>
    <v>2582</v>
    <v>Hybride streek</v>
    <v>12-m bus</v>
    <v>Bus</v>
  </rv>
  <rv s="0">
    <v>0</v>
    <v>2583</v>
    <v>1</v>
    <v>Generic</v>
    <v>223B</v>
    <v>Euro6</v>
    <v>1</v>
    <v>44139</v>
    <v>45175</v>
    <v>Vlaams-Brabant</v>
    <v>3</v>
    <v>J</v>
    <v>J</v>
    <v>J</v>
    <v>J</v>
    <v>J</v>
    <v>3</v>
    <v>Grimbergen</v>
    <v>114</v>
    <v>Onderhoud Grimbergen</v>
    <v>148</v>
    <v>2583</v>
    <v>2583</v>
    <v>Hybride streek</v>
    <v>12-m bus</v>
    <v>Bus</v>
  </rv>
  <rv s="0">
    <v>0</v>
    <v>2584</v>
    <v>1</v>
    <v>Generic</v>
    <v>223B</v>
    <v>Euro6</v>
    <v>1</v>
    <v>44137</v>
    <v>45175</v>
    <v>Vlaams-Brabant</v>
    <v>3</v>
    <v>J</v>
    <v>J</v>
    <v>J</v>
    <v>J</v>
    <v>J</v>
    <v>3</v>
    <v>Grimbergen</v>
    <v>114</v>
    <v>Onderhoud Grimbergen</v>
    <v>148</v>
    <v>2584</v>
    <v>2584</v>
    <v>Hybride streek</v>
    <v>12-m bus</v>
    <v>Bus</v>
  </rv>
  <rv s="0">
    <v>0</v>
    <v>2585</v>
    <v>1</v>
    <v>Generic</v>
    <v>223B</v>
    <v>Euro6</v>
    <v>1</v>
    <v>44137</v>
    <v>45175</v>
    <v>Vlaams-Brabant</v>
    <v>3</v>
    <v>J</v>
    <v>J</v>
    <v>J</v>
    <v>J</v>
    <v>J</v>
    <v>3</v>
    <v>Grimbergen</v>
    <v>114</v>
    <v>Onderhoud Grimbergen</v>
    <v>148</v>
    <v>2585</v>
    <v>2585</v>
    <v>Hybride streek</v>
    <v>12-m bus</v>
    <v>Bus</v>
  </rv>
  <rv s="0">
    <v>0</v>
    <v>2586</v>
    <v>1</v>
    <v>Generic</v>
    <v>223B</v>
    <v>Euro6</v>
    <v>1</v>
    <v>44154</v>
    <v>45175</v>
    <v>Vlaams-Brabant</v>
    <v>3</v>
    <v>J</v>
    <v>J</v>
    <v>J</v>
    <v>J</v>
    <v>J</v>
    <v>3</v>
    <v>Grimbergen</v>
    <v>114</v>
    <v>Onderhoud Grimbergen</v>
    <v>148</v>
    <v>2586</v>
    <v>2586</v>
    <v>Hybride streek</v>
    <v>12-m bus</v>
    <v>Bus</v>
  </rv>
  <rv s="0">
    <v>0</v>
    <v>2587</v>
    <v>1</v>
    <v>Generic</v>
    <v>223B</v>
    <v>Euro6</v>
    <v>1</v>
    <v>44124</v>
    <v>45175</v>
    <v>Vlaams-Brabant</v>
    <v>3</v>
    <v>J</v>
    <v>J</v>
    <v>J</v>
    <v>J</v>
    <v>J</v>
    <v>3</v>
    <v>Asse</v>
    <v>118</v>
    <v>Onderhoud Grimbergen</v>
    <v>148</v>
    <v>2587</v>
    <v>2587</v>
    <v>Hybride streek</v>
    <v>12-m bus</v>
    <v>Bus</v>
  </rv>
  <rv s="0">
    <v>0</v>
    <v>2588</v>
    <v>1</v>
    <v>Generic</v>
    <v>223B</v>
    <v>Euro6</v>
    <v>1</v>
    <v>44137</v>
    <v>45175</v>
    <v>Vlaams-Brabant</v>
    <v>3</v>
    <v>J</v>
    <v>J</v>
    <v>J</v>
    <v>J</v>
    <v>J</v>
    <v>3</v>
    <v>Asse</v>
    <v>118</v>
    <v>Onderhoud Grimbergen</v>
    <v>148</v>
    <v>2588</v>
    <v>2588</v>
    <v>Hybride streek</v>
    <v>12-m bus</v>
    <v>Bus</v>
  </rv>
  <rv s="0">
    <v>0</v>
    <v>2589</v>
    <v>1</v>
    <v>Generic</v>
    <v>223B</v>
    <v>Euro6</v>
    <v>1</v>
    <v>44162</v>
    <v>45175</v>
    <v>Vlaams-Brabant</v>
    <v>3</v>
    <v>J</v>
    <v>J</v>
    <v>J</v>
    <v>J</v>
    <v>J</v>
    <v>3</v>
    <v>Asse</v>
    <v>118</v>
    <v>Onderhoud Grimbergen</v>
    <v>148</v>
    <v>2589</v>
    <v>2589</v>
    <v>Hybride streek</v>
    <v>12-m bus</v>
    <v>Bus</v>
  </rv>
  <rv s="0">
    <v>0</v>
    <v>2590</v>
    <v>1</v>
    <v>Generic</v>
    <v>223B</v>
    <v>Euro6</v>
    <v>1</v>
    <v>44181</v>
    <v>45175</v>
    <v>Vlaams-Brabant</v>
    <v>3</v>
    <v>J</v>
    <v>J</v>
    <v>J</v>
    <v>J</v>
    <v>J</v>
    <v>3</v>
    <v>Asse</v>
    <v>118</v>
    <v>Onderhoud Grimbergen</v>
    <v>148</v>
    <v>2590</v>
    <v>2590</v>
    <v>Hybride streek</v>
    <v>12-m bus</v>
    <v>Bus</v>
  </rv>
  <rv s="0">
    <v>0</v>
    <v>2591</v>
    <v>1</v>
    <v>Generic</v>
    <v>223B</v>
    <v>Euro6</v>
    <v>1</v>
    <v>44148</v>
    <v>45175</v>
    <v>Vlaams-Brabant</v>
    <v>3</v>
    <v>J</v>
    <v>J</v>
    <v>J</v>
    <v>J</v>
    <v>J</v>
    <v>3</v>
    <v>Asse</v>
    <v>118</v>
    <v>Onderhoud Grimbergen</v>
    <v>148</v>
    <v>2591</v>
    <v>2591</v>
    <v>Hybride streek</v>
    <v>12-m bus</v>
    <v>Bus</v>
  </rv>
  <rv s="0">
    <v>0</v>
    <v>2592</v>
    <v>1</v>
    <v>Generic</v>
    <v>223B</v>
    <v>Euro6</v>
    <v>1</v>
    <v>44181</v>
    <v>45175</v>
    <v>Vlaams-Brabant</v>
    <v>3</v>
    <v>J</v>
    <v>J</v>
    <v>J</v>
    <v>J</v>
    <v>J</v>
    <v>3</v>
    <v>Asse</v>
    <v>118</v>
    <v>Onderhoud Grimbergen</v>
    <v>148</v>
    <v>2592</v>
    <v>2592</v>
    <v>Hybride streek</v>
    <v>12-m bus</v>
    <v>Bus</v>
  </rv>
  <rv s="0">
    <v>0</v>
    <v>2593</v>
    <v>1</v>
    <v>Generic</v>
    <v>223B</v>
    <v>Euro6</v>
    <v>1</v>
    <v>44148</v>
    <v>45175</v>
    <v>Vlaams-Brabant</v>
    <v>3</v>
    <v>J</v>
    <v>J</v>
    <v>J</v>
    <v>J</v>
    <v>J</v>
    <v>3</v>
    <v>Asse</v>
    <v>118</v>
    <v>Onderhoud Grimbergen</v>
    <v>148</v>
    <v>2593</v>
    <v>2593</v>
    <v>Hybride streek</v>
    <v>12-m bus</v>
    <v>Bus</v>
  </rv>
  <rv s="0">
    <v>0</v>
    <v>2594</v>
    <v>1</v>
    <v>Generic</v>
    <v>223B</v>
    <v>Euro6</v>
    <v>1</v>
    <v>44180</v>
    <v>45175</v>
    <v>Vlaams-Brabant</v>
    <v>3</v>
    <v>J</v>
    <v>J</v>
    <v>J</v>
    <v>J</v>
    <v>J</v>
    <v>3</v>
    <v>Asse</v>
    <v>118</v>
    <v>Onderhoud Grimbergen</v>
    <v>148</v>
    <v>2594</v>
    <v>2594</v>
    <v>Hybride streek</v>
    <v>12-m bus</v>
    <v>Bus</v>
  </rv>
  <rv s="0">
    <v>0</v>
    <v>2595</v>
    <v>1</v>
    <v>Generic</v>
    <v>223B</v>
    <v>Euro6</v>
    <v>1</v>
    <v>44154</v>
    <v>45175</v>
    <v>Vlaams-Brabant</v>
    <v>3</v>
    <v>J</v>
    <v>J</v>
    <v>J</v>
    <v>J</v>
    <v>J</v>
    <v>3</v>
    <v>Asse</v>
    <v>118</v>
    <v>Onderhoud Grimbergen</v>
    <v>148</v>
    <v>2595</v>
    <v>2595</v>
    <v>Hybride streek</v>
    <v>12-m bus</v>
    <v>Bus</v>
  </rv>
  <rv s="0">
    <v>0</v>
    <v>2596</v>
    <v>1</v>
    <v>Generic</v>
    <v>223B</v>
    <v>Euro6</v>
    <v>1</v>
    <v>44180</v>
    <v>45175</v>
    <v>Vlaams-Brabant</v>
    <v>3</v>
    <v>J</v>
    <v>J</v>
    <v>J</v>
    <v>J</v>
    <v>J</v>
    <v>3</v>
    <v>Asse</v>
    <v>118</v>
    <v>Onderhoud Grimbergen</v>
    <v>148</v>
    <v>2596</v>
    <v>2596</v>
    <v>Hybride streek</v>
    <v>12-m bus</v>
    <v>Bus</v>
  </rv>
  <rv s="0">
    <v>0</v>
    <v>2597</v>
    <v>1</v>
    <v>Generic</v>
    <v>223B</v>
    <v>Euro6</v>
    <v>1</v>
    <v>44204</v>
    <v>45175</v>
    <v>Vlaams-Brabant</v>
    <v>3</v>
    <v>J</v>
    <v>J</v>
    <v>J</v>
    <v>J</v>
    <v>J</v>
    <v>3</v>
    <v>Asse</v>
    <v>118</v>
    <v>Onderhoud Grimbergen</v>
    <v>148</v>
    <v>2597</v>
    <v>2597</v>
    <v>Hybride streek</v>
    <v>12-m bus</v>
    <v>Bus</v>
  </rv>
  <rv s="0">
    <v>0</v>
    <v>2598</v>
    <v>1</v>
    <v>Generic</v>
    <v>223B</v>
    <v>Euro6</v>
    <v>1</v>
    <v>44188</v>
    <v>45175</v>
    <v>Vlaams-Brabant</v>
    <v>3</v>
    <v>J</v>
    <v>J</v>
    <v>J</v>
    <v>J</v>
    <v>J</v>
    <v>3</v>
    <v>Asse</v>
    <v>118</v>
    <v>Onderhoud Grimbergen</v>
    <v>148</v>
    <v>2598</v>
    <v>2598</v>
    <v>Hybride streek</v>
    <v>12-m bus</v>
    <v>Bus</v>
  </rv>
  <rv s="0">
    <v>0</v>
    <v>2599</v>
    <v>1</v>
    <v>Generic</v>
    <v>223B</v>
    <v>Euro6</v>
    <v>1</v>
    <v>44271</v>
    <v>45175</v>
    <v>Vlaams-Brabant</v>
    <v>3</v>
    <v>J</v>
    <v>J</v>
    <v>J</v>
    <v>J</v>
    <v>J</v>
    <v>3</v>
    <v>Asse</v>
    <v>118</v>
    <v>Onderhoud Grimbergen</v>
    <v>148</v>
    <v>2599</v>
    <v>2599</v>
    <v>Hybride streek</v>
    <v>12-m bus</v>
    <v>Bus</v>
  </rv>
  <rv s="0">
    <v>0</v>
    <v>2600</v>
    <v>1</v>
    <v>Generic</v>
    <v>223B</v>
    <v>Euro6</v>
    <v>1</v>
    <v>44217</v>
    <v>45175</v>
    <v>Vlaams-Brabant</v>
    <v>3</v>
    <v>J</v>
    <v>J</v>
    <v>J</v>
    <v>J</v>
    <v>J</v>
    <v>3</v>
    <v>Asse</v>
    <v>118</v>
    <v>Onderhoud Grimbergen</v>
    <v>148</v>
    <v>2600</v>
    <v>2600</v>
    <v>Hybride streek</v>
    <v>12-m bus</v>
    <v>Bus</v>
  </rv>
  <rv s="0">
    <v>0</v>
    <v>2601</v>
    <v>1</v>
    <v>Generic</v>
    <v>223B</v>
    <v>Euro6</v>
    <v>1</v>
    <v>44217</v>
    <v>45175</v>
    <v>Vlaams-Brabant</v>
    <v>3</v>
    <v>J</v>
    <v>J</v>
    <v>J</v>
    <v>J</v>
    <v>J</v>
    <v>3</v>
    <v>Asse</v>
    <v>118</v>
    <v>Onderhoud Grimbergen</v>
    <v>148</v>
    <v>2601</v>
    <v>2601</v>
    <v>Hybride streek</v>
    <v>12-m bus</v>
    <v>Bus</v>
  </rv>
  <rv s="0">
    <v>0</v>
    <v>2602</v>
    <v>1</v>
    <v>Generic</v>
    <v>223B</v>
    <v>Euro6</v>
    <v>1</v>
    <v>44204</v>
    <v>45175</v>
    <v>Vlaams-Brabant</v>
    <v>3</v>
    <v>J</v>
    <v>J</v>
    <v>J</v>
    <v>J</v>
    <v>J</v>
    <v>3</v>
    <v>Asse</v>
    <v>118</v>
    <v>Onderhoud Grimbergen</v>
    <v>148</v>
    <v>2602</v>
    <v>2602</v>
    <v>Hybride streek</v>
    <v>12-m bus</v>
    <v>Bus</v>
  </rv>
  <rv s="0">
    <v>0</v>
    <v>2603</v>
    <v>1</v>
    <v>Generic</v>
    <v>223B</v>
    <v>Euro6</v>
    <v>1</v>
    <v>44271</v>
    <v>45175</v>
    <v>Vlaams-Brabant</v>
    <v>3</v>
    <v>J</v>
    <v>J</v>
    <v>J</v>
    <v>J</v>
    <v>J</v>
    <v>3</v>
    <v>Londerzeel</v>
    <v>130</v>
    <v>Onderhoud Grimbergen</v>
    <v>148</v>
    <v>2603</v>
    <v>2603</v>
    <v>Hybride streek</v>
    <v>12-m bus</v>
    <v>Bus</v>
  </rv>
  <rv s="0">
    <v>0</v>
    <v>2604</v>
    <v>1</v>
    <v>Generic</v>
    <v>223B</v>
    <v>Euro6</v>
    <v>1</v>
    <v>44217</v>
    <v>45175</v>
    <v>Vlaams-Brabant</v>
    <v>3</v>
    <v>J</v>
    <v>J</v>
    <v>J</v>
    <v>J</v>
    <v>J</v>
    <v>3</v>
    <v>Londerzeel</v>
    <v>130</v>
    <v>Onderhoud Grimbergen</v>
    <v>148</v>
    <v>2604</v>
    <v>2604</v>
    <v>Hybride streek</v>
    <v>12-m bus</v>
    <v>Bus</v>
  </rv>
  <rv s="0">
    <v>0</v>
    <v>2605</v>
    <v>1</v>
    <v>Generic</v>
    <v>223B</v>
    <v>Euro6</v>
    <v>1</v>
    <v>44250</v>
    <v>45175</v>
    <v>Vlaams-Brabant</v>
    <v>3</v>
    <v>J</v>
    <v>J</v>
    <v>J</v>
    <v>J</v>
    <v>J</v>
    <v>3</v>
    <v>Londerzeel</v>
    <v>130</v>
    <v>Onderhoud Grimbergen</v>
    <v>148</v>
    <v>2605</v>
    <v>2605</v>
    <v>Hybride streek</v>
    <v>12-m bus</v>
    <v>Bus</v>
  </rv>
  <rv s="0">
    <v>0</v>
    <v>2606</v>
    <v>1</v>
    <v>Generic</v>
    <v>223B</v>
    <v>Euro6</v>
    <v>1</v>
    <v>44253</v>
    <v>45175</v>
    <v>Vlaams-Brabant</v>
    <v>3</v>
    <v>J</v>
    <v>J</v>
    <v>J</v>
    <v>J</v>
    <v>J</v>
    <v>3</v>
    <v>Londerzeel</v>
    <v>130</v>
    <v>Onderhoud Grimbergen</v>
    <v>148</v>
    <v>2606</v>
    <v>2606</v>
    <v>Hybride streek</v>
    <v>12-m bus</v>
    <v>Bus</v>
  </rv>
  <rv s="0">
    <v>0</v>
    <v>2607</v>
    <v>1</v>
    <v>Generic</v>
    <v>223B</v>
    <v>Euro6</v>
    <v>1</v>
    <v>44253</v>
    <v>45175</v>
    <v>Vlaams-Brabant</v>
    <v>3</v>
    <v>J</v>
    <v>J</v>
    <v>J</v>
    <v>J</v>
    <v>J</v>
    <v>3</v>
    <v>Londerzeel</v>
    <v>130</v>
    <v>Onderhoud Grimbergen</v>
    <v>148</v>
    <v>2607</v>
    <v>2607</v>
    <v>Hybride streek</v>
    <v>12-m bus</v>
    <v>Bus</v>
  </rv>
  <rv s="0">
    <v>0</v>
    <v>2608</v>
    <v>1</v>
    <v>Generic</v>
    <v>223B</v>
    <v>Euro6</v>
    <v>1</v>
    <v>44250</v>
    <v>45175</v>
    <v>Vlaams-Brabant</v>
    <v>3</v>
    <v>J</v>
    <v>J</v>
    <v>J</v>
    <v>J</v>
    <v>J</v>
    <v>3</v>
    <v>Londerzeel</v>
    <v>130</v>
    <v>Onderhoud Grimbergen</v>
    <v>148</v>
    <v>2608</v>
    <v>2608</v>
    <v>Hybride streek</v>
    <v>12-m bus</v>
    <v>Bus</v>
  </rv>
  <rv s="0">
    <v>0</v>
    <v>2609</v>
    <v>1</v>
    <v>Generic</v>
    <v>223B</v>
    <v>Euro6</v>
    <v>1</v>
    <v>44250</v>
    <v>45175</v>
    <v>Vlaams-Brabant</v>
    <v>3</v>
    <v>J</v>
    <v>J</v>
    <v>J</v>
    <v>J</v>
    <v>J</v>
    <v>3</v>
    <v>Londerzeel</v>
    <v>130</v>
    <v>Onderhoud Grimbergen</v>
    <v>148</v>
    <v>2609</v>
    <v>2609</v>
    <v>Hybride streek</v>
    <v>12-m bus</v>
    <v>Bus</v>
  </rv>
  <rv s="0">
    <v>0</v>
    <v>2610</v>
    <v>1</v>
    <v>Generic</v>
    <v>223B</v>
    <v>Euro6</v>
    <v>1</v>
    <v>44267</v>
    <v>45175</v>
    <v>Vlaams-Brabant</v>
    <v>3</v>
    <v>J</v>
    <v>J</v>
    <v>J</v>
    <v>J</v>
    <v>J</v>
    <v>3</v>
    <v>Londerzeel</v>
    <v>130</v>
    <v>Onderhoud Grimbergen</v>
    <v>148</v>
    <v>2610</v>
    <v>2610</v>
    <v>Hybride streek</v>
    <v>12-m bus</v>
    <v>Bus</v>
  </rv>
  <rv s="0">
    <v>0</v>
    <v>2611</v>
    <v>1</v>
    <v>Generic</v>
    <v>223B</v>
    <v>Euro6</v>
    <v>1</v>
    <v>44253</v>
    <v>45175</v>
    <v>Vlaams-Brabant</v>
    <v>3</v>
    <v>J</v>
    <v>J</v>
    <v>J</v>
    <v>J</v>
    <v>J</v>
    <v>3</v>
    <v>Londerzeel</v>
    <v>130</v>
    <v>Onderhoud Grimbergen</v>
    <v>148</v>
    <v>2611</v>
    <v>2611</v>
    <v>Hybride streek</v>
    <v>12-m bus</v>
    <v>Bus</v>
  </rv>
  <rv s="0">
    <v>0</v>
    <v>2612</v>
    <v>1</v>
    <v>Generic</v>
    <v>223B</v>
    <v>Euro6</v>
    <v>1</v>
    <v>44363</v>
    <v>45175</v>
    <v>Vlaams-Brabant</v>
    <v>3</v>
    <v>J</v>
    <v>J</v>
    <v>J</v>
    <v>J</v>
    <v>J</v>
    <v>2</v>
    <v>Londerzeel</v>
    <v>130</v>
    <v>Onderhoud Grimbergen</v>
    <v>148</v>
    <v>2612</v>
    <v>2612</v>
    <v>Hybride streek</v>
    <v>12-m bus</v>
    <v>Bus</v>
  </rv>
  <rv s="0">
    <v>0</v>
    <v>2613</v>
    <v>1</v>
    <v>Generic</v>
    <v>223B</v>
    <v>Euro6</v>
    <v>1</v>
    <v>44386</v>
    <v>45175</v>
    <v>Vlaams-Brabant</v>
    <v>3</v>
    <v>J</v>
    <v>J</v>
    <v>J</v>
    <v>J</v>
    <v>J</v>
    <v>2</v>
    <v>Londerzeel</v>
    <v>130</v>
    <v>Onderhoud Grimbergen</v>
    <v>148</v>
    <v>2613</v>
    <v>2613</v>
    <v>Hybride streek</v>
    <v>12-m bus</v>
    <v>Bus</v>
  </rv>
  <rv s="0">
    <v>0</v>
    <v>2614</v>
    <v>1</v>
    <v>Generic</v>
    <v>223B</v>
    <v>Euro6</v>
    <v>1</v>
    <v>44355</v>
    <v>45175</v>
    <v>Vlaams-Brabant</v>
    <v>3</v>
    <v>J</v>
    <v>J</v>
    <v>J</v>
    <v>J</v>
    <v>J</v>
    <v>2</v>
    <v>Londerzeel</v>
    <v>130</v>
    <v>Onderhoud Grimbergen</v>
    <v>148</v>
    <v>2614</v>
    <v>2614</v>
    <v>Hybride streek</v>
    <v>12-m bus</v>
    <v>Bus</v>
  </rv>
  <rv s="0">
    <v>0</v>
    <v>2615</v>
    <v>1</v>
    <v>Generic</v>
    <v>223B</v>
    <v>Euro6</v>
    <v>1</v>
    <v>44355</v>
    <v>45175</v>
    <v>Vlaams-Brabant</v>
    <v>3</v>
    <v>J</v>
    <v>J</v>
    <v>J</v>
    <v>J</v>
    <v>J</v>
    <v>2</v>
    <v>Londerzeel</v>
    <v>130</v>
    <v>Onderhoud Grimbergen</v>
    <v>148</v>
    <v>2615</v>
    <v>2615</v>
    <v>Hybride streek</v>
    <v>12-m bus</v>
    <v>Bus</v>
  </rv>
  <rv s="0">
    <v>0</v>
    <v>2616</v>
    <v>1</v>
    <v>Generic</v>
    <v>223B</v>
    <v>Euro6</v>
    <v>1</v>
    <v>44377</v>
    <v>45175</v>
    <v>Vlaams-Brabant</v>
    <v>3</v>
    <v>J</v>
    <v>J</v>
    <v>J</v>
    <v>J</v>
    <v>J</v>
    <v>2</v>
    <v>Londerzeel</v>
    <v>130</v>
    <v>Onderhoud Grimbergen</v>
    <v>148</v>
    <v>2616</v>
    <v>2616</v>
    <v>Hybride streek</v>
    <v>12-m bus</v>
    <v>Bus</v>
  </rv>
  <rv s="0">
    <v>0</v>
    <v>2617</v>
    <v>1</v>
    <v>Generic</v>
    <v>223B</v>
    <v>Euro6</v>
    <v>1</v>
    <v>44253</v>
    <v>45175</v>
    <v>Vlaams-Brabant</v>
    <v>3</v>
    <v>J</v>
    <v>J</v>
    <v>J</v>
    <v>J</v>
    <v>J</v>
    <v>3</v>
    <v>Londerzeel</v>
    <v>130</v>
    <v>Onderhoud Grimbergen</v>
    <v>148</v>
    <v>2617</v>
    <v>2617</v>
    <v>Hybride streek</v>
    <v>12-m bus</v>
    <v>Bus</v>
  </rv>
  <rv s="0">
    <v>0</v>
    <v>2618</v>
    <v>1</v>
    <v>Generic</v>
    <v>223B</v>
    <v>Euro6</v>
    <v>1</v>
    <v>44266</v>
    <v>45175</v>
    <v>Vlaams-Brabant</v>
    <v>3</v>
    <v>J</v>
    <v>J</v>
    <v>J</v>
    <v>J</v>
    <v>J</v>
    <v>3</v>
    <v>Londerzeel</v>
    <v>130</v>
    <v>Onderhoud Grimbergen</v>
    <v>148</v>
    <v>2618</v>
    <v>2618</v>
    <v>Hybride streek</v>
    <v>12-m bus</v>
    <v>Bus</v>
  </rv>
  <rv s="0">
    <v>0</v>
    <v>2619</v>
    <v>1</v>
    <v>Generic</v>
    <v>223B</v>
    <v>Euro6</v>
    <v>1</v>
    <v>44272</v>
    <v>45175</v>
    <v>Vlaams-Brabant</v>
    <v>3</v>
    <v>J</v>
    <v>J</v>
    <v>J</v>
    <v>J</v>
    <v>J</v>
    <v>2</v>
    <v>Tielt</v>
    <v>122</v>
    <v>Onderhoud Tielt</v>
    <v>151</v>
    <v>2619</v>
    <v>2619</v>
    <v>Hybride streek</v>
    <v>12-m bus</v>
    <v>Bus</v>
  </rv>
  <rv s="0">
    <v>0</v>
    <v>2620</v>
    <v>1</v>
    <v>Generic</v>
    <v>223B</v>
    <v>Euro6</v>
    <v>1</v>
    <v>44272</v>
    <v>45175</v>
    <v>Vlaams-Brabant</v>
    <v>3</v>
    <v>J</v>
    <v>J</v>
    <v>J</v>
    <v>J</v>
    <v>J</v>
    <v>2</v>
    <v>Tielt</v>
    <v>122</v>
    <v>Onderhoud Tielt</v>
    <v>151</v>
    <v>2620</v>
    <v>2620</v>
    <v>Hybride streek</v>
    <v>12-m bus</v>
    <v>Bus</v>
  </rv>
  <rv s="0">
    <v>0</v>
    <v>2621</v>
    <v>1</v>
    <v>Generic</v>
    <v>223B</v>
    <v>Euro6</v>
    <v>1</v>
    <v>44340</v>
    <v>45175</v>
    <v>Vlaams-Brabant</v>
    <v>3</v>
    <v>J</v>
    <v>J</v>
    <v>J</v>
    <v>J</v>
    <v>J</v>
    <v>2</v>
    <v>Tielt</v>
    <v>122</v>
    <v>Onderhoud Tielt</v>
    <v>151</v>
    <v>2621</v>
    <v>2621</v>
    <v>Hybride streek</v>
    <v>12-m bus</v>
    <v>Bus</v>
  </rv>
  <rv s="0">
    <v>0</v>
    <v>2622</v>
    <v>1</v>
    <v>Generic</v>
    <v>223B</v>
    <v>Euro6</v>
    <v>1</v>
    <v>44335</v>
    <v>45175</v>
    <v>Vlaams-Brabant</v>
    <v>3</v>
    <v>J</v>
    <v>J</v>
    <v>J</v>
    <v>J</v>
    <v>J</v>
    <v>2</v>
    <v>Tielt</v>
    <v>122</v>
    <v>Onderhoud Tielt</v>
    <v>151</v>
    <v>2622</v>
    <v>2622</v>
    <v>Hybride streek</v>
    <v>12-m bus</v>
    <v>Bus</v>
  </rv>
  <rv s="0">
    <v>0</v>
    <v>2623</v>
    <v>1</v>
    <v>Generic</v>
    <v>223B</v>
    <v>Euro6</v>
    <v>1</v>
    <v>44286</v>
    <v>45175</v>
    <v>Vlaams-Brabant</v>
    <v>3</v>
    <v>J</v>
    <v>J</v>
    <v>J</v>
    <v>J</v>
    <v>J</v>
    <v>2</v>
    <v>Tielt</v>
    <v>122</v>
    <v>Onderhoud Tielt</v>
    <v>151</v>
    <v>2623</v>
    <v>2623</v>
    <v>Hybride streek</v>
    <v>12-m bus</v>
    <v>Bus</v>
  </rv>
  <rv s="0">
    <v>0</v>
    <v>2624</v>
    <v>1</v>
    <v>Generic</v>
    <v>223B</v>
    <v>Euro6</v>
    <v>1</v>
    <v>44302</v>
    <v>45175</v>
    <v>Vlaams-Brabant</v>
    <v>3</v>
    <v>J</v>
    <v>J</v>
    <v>J</v>
    <v>J</v>
    <v>J</v>
    <v>2</v>
    <v>Tielt</v>
    <v>122</v>
    <v>Onderhoud Tielt</v>
    <v>151</v>
    <v>2624</v>
    <v>2624</v>
    <v>Hybride streek</v>
    <v>12-m bus</v>
    <v>Bus</v>
  </rv>
  <rv s="0">
    <v>0</v>
    <v>2625</v>
    <v>1</v>
    <v>Generic</v>
    <v>223B</v>
    <v>Euro6</v>
    <v>1</v>
    <v>44363</v>
    <v>45175</v>
    <v>Vlaams-Brabant</v>
    <v>3</v>
    <v>J</v>
    <v>J</v>
    <v>J</v>
    <v>J</v>
    <v>J</v>
    <v>2</v>
    <v>Tielt</v>
    <v>122</v>
    <v>Onderhoud Tielt</v>
    <v>151</v>
    <v>2625</v>
    <v>2625</v>
    <v>Hybride streek</v>
    <v>12-m bus</v>
    <v>Bus</v>
  </rv>
  <rv s="0">
    <v>0</v>
    <v>2626</v>
    <v>1</v>
    <v>Generic</v>
    <v>223B</v>
    <v>Euro6</v>
    <v>1</v>
    <v>44424</v>
    <v>45175</v>
    <v>Vlaams-Brabant</v>
    <v>3</v>
    <v>J</v>
    <v>J</v>
    <v>J</v>
    <v>J</v>
    <v>J</v>
    <v>2</v>
    <v>Tielt</v>
    <v>122</v>
    <v>Onderhoud Tielt</v>
    <v>151</v>
    <v>2626</v>
    <v>2626</v>
    <v>Hybride streek</v>
    <v>12-m bus</v>
    <v>Bus</v>
  </rv>
  <rv s="0">
    <v>0</v>
    <v>2627</v>
    <v>1</v>
    <v>Generic</v>
    <v>223B</v>
    <v>Euro6</v>
    <v>1</v>
    <v>44368</v>
    <v>45175</v>
    <v>Vlaams-Brabant</v>
    <v>3</v>
    <v>J</v>
    <v>J</v>
    <v>J</v>
    <v>J</v>
    <v>J</v>
    <v>2</v>
    <v>Tielt</v>
    <v>122</v>
    <v>Onderhoud Tielt</v>
    <v>151</v>
    <v>2627</v>
    <v>2627</v>
    <v>Hybride streek</v>
    <v>12-m bus</v>
    <v>Bus</v>
  </rv>
  <rv s="0">
    <v>0</v>
    <v>2628</v>
    <v>1</v>
    <v>Generic</v>
    <v>223B</v>
    <v>Euro6</v>
    <v>1</v>
    <v>44389</v>
    <v>45175</v>
    <v>Vlaams-Brabant</v>
    <v>3</v>
    <v>J</v>
    <v>J</v>
    <v>J</v>
    <v>J</v>
    <v>J</v>
    <v>2</v>
    <v>Tielt</v>
    <v>122</v>
    <v>Onderhoud Tielt</v>
    <v>151</v>
    <v>2628</v>
    <v>2628</v>
    <v>Hybride streek</v>
    <v>12-m bus</v>
    <v>Bus</v>
  </rv>
  <rv s="0">
    <v>0</v>
    <v>2629</v>
    <v>1</v>
    <v>Generic</v>
    <v>223B</v>
    <v>Euro6</v>
    <v>1</v>
    <v>44424</v>
    <v>45175</v>
    <v>Vlaams-Brabant</v>
    <v>3</v>
    <v>J</v>
    <v>J</v>
    <v>J</v>
    <v>J</v>
    <v>J</v>
    <v>2</v>
    <v>Tielt</v>
    <v>122</v>
    <v>Onderhoud Tielt</v>
    <v>151</v>
    <v>2629</v>
    <v>2629</v>
    <v>Hybride streek</v>
    <v>12-m bus</v>
    <v>Bus</v>
  </rv>
  <rv s="0">
    <v>0</v>
    <v>2630</v>
    <v>1</v>
    <v>Generic</v>
    <v>223B</v>
    <v>Euro6</v>
    <v>1</v>
    <v>44424</v>
    <v>45175</v>
    <v>Vlaams-Brabant</v>
    <v>3</v>
    <v>J</v>
    <v>J</v>
    <v>J</v>
    <v>J</v>
    <v>J</v>
    <v>2</v>
    <v>Tielt</v>
    <v>122</v>
    <v>Onderhoud Tielt</v>
    <v>151</v>
    <v>2630</v>
    <v>2630</v>
    <v>Hybride streek</v>
    <v>12-m bus</v>
    <v>Bus</v>
  </rv>
  <rv s="0">
    <v>0</v>
    <v>2631</v>
    <v>1</v>
    <v>Generic</v>
    <v>223C</v>
    <v>Euro6</v>
    <v>1</v>
    <v>44789</v>
    <v>45175</v>
    <v>Antwerpen</v>
    <v>1</v>
    <v>J</v>
    <v>J</v>
    <v>J</v>
    <v>J</v>
    <v>J</v>
    <v>1</v>
    <v>Tjalkstraat</v>
    <v>111</v>
    <v>Onderhoud Tjalkstraat</v>
    <v>142</v>
    <v>2631</v>
    <v>2631</v>
    <v>Hybride streek</v>
    <v>Gelede bus</v>
    <v>Bus</v>
  </rv>
  <rv s="0">
    <v>0</v>
    <v>2632</v>
    <v>1</v>
    <v>Generic</v>
    <v>223C</v>
    <v>Euro6</v>
    <v>1</v>
    <v>44783</v>
    <v>45175</v>
    <v>Antwerpen</v>
    <v>1</v>
    <v>J</v>
    <v>J</v>
    <v>J</v>
    <v>J</v>
    <v>J</v>
    <v>1</v>
    <v>Tjalkstraat</v>
    <v>111</v>
    <v>Onderhoud Tjalkstraat</v>
    <v>142</v>
    <v>2632</v>
    <v>2632</v>
    <v>Hybride streek</v>
    <v>Gelede bus</v>
    <v>Bus</v>
  </rv>
  <rv s="0">
    <v>0</v>
    <v>2633</v>
    <v>1</v>
    <v>Generic</v>
    <v>223C</v>
    <v>Euro6</v>
    <v>1</v>
    <v>44279</v>
    <v>45175</v>
    <v>Antwerpen</v>
    <v>1</v>
    <v>J</v>
    <v>J</v>
    <v>J</v>
    <v>J</v>
    <v>J</v>
    <v>2</v>
    <v>Tjalkstraat</v>
    <v>111</v>
    <v>Onderhoud Tjalkstraat</v>
    <v>142</v>
    <v>2633</v>
    <v>2633</v>
    <v>Hybride streek</v>
    <v>Gelede bus</v>
    <v>Bus</v>
  </rv>
  <rv s="0">
    <v>0</v>
    <v>2634</v>
    <v>1</v>
    <v>Generic</v>
    <v>223C</v>
    <v>Euro6</v>
    <v>1</v>
    <v>44574</v>
    <v>45175</v>
    <v>Antwerpen</v>
    <v>1</v>
    <v>J</v>
    <v>J</v>
    <v>J</v>
    <v>J</v>
    <v>J</v>
    <v>2</v>
    <v>Tjalkstraat</v>
    <v>111</v>
    <v>Onderhoud Tjalkstraat</v>
    <v>142</v>
    <v>2634</v>
    <v>2634</v>
    <v>Hybride streek</v>
    <v>Gelede bus</v>
    <v>Bus</v>
  </rv>
  <rv s="0">
    <v>0</v>
    <v>2635</v>
    <v>1</v>
    <v>Generic</v>
    <v>223C</v>
    <v>Euro6</v>
    <v>1</v>
    <v>44279</v>
    <v>45175</v>
    <v>Antwerpen</v>
    <v>1</v>
    <v>J</v>
    <v>J</v>
    <v>J</v>
    <v>J</v>
    <v>J</v>
    <v>2</v>
    <v>Tjalkstraat</v>
    <v>111</v>
    <v>Onderhoud Tjalkstraat</v>
    <v>142</v>
    <v>2635</v>
    <v>2635</v>
    <v>Hybride streek</v>
    <v>Gelede bus</v>
    <v>Bus</v>
  </rv>
  <rv s="0">
    <v>0</v>
    <v>2636</v>
    <v>1</v>
    <v>Generic</v>
    <v>223C</v>
    <v>Euro6</v>
    <v>1</v>
    <v>44285</v>
    <v>45175</v>
    <v>Antwerpen</v>
    <v>1</v>
    <v>J</v>
    <v>J</v>
    <v>J</v>
    <v>J</v>
    <v>J</v>
    <v>2</v>
    <v>Tjalkstraat</v>
    <v>111</v>
    <v>Onderhoud Tjalkstraat</v>
    <v>142</v>
    <v>2636</v>
    <v>2636</v>
    <v>Hybride streek</v>
    <v>Gelede bus</v>
    <v>Bus</v>
  </rv>
  <rv s="0">
    <v>0</v>
    <v>2637</v>
    <v>1</v>
    <v>Generic</v>
    <v>223C</v>
    <v>Euro6</v>
    <v>1</v>
    <v>44279</v>
    <v>45175</v>
    <v>Antwerpen</v>
    <v>1</v>
    <v>J</v>
    <v>J</v>
    <v>J</v>
    <v>J</v>
    <v>J</v>
    <v>2</v>
    <v>Tjalkstraat</v>
    <v>111</v>
    <v>Onderhoud Tjalkstraat</v>
    <v>142</v>
    <v>2637</v>
    <v>2637</v>
    <v>Hybride streek</v>
    <v>Gelede bus</v>
    <v>Bus</v>
  </rv>
  <rv s="0">
    <v>0</v>
    <v>2638</v>
    <v>1</v>
    <v>Generic</v>
    <v>223C</v>
    <v>Euro6</v>
    <v>1</v>
    <v>44225</v>
    <v>45175</v>
    <v>Antwerpen</v>
    <v>1</v>
    <v>J</v>
    <v>J</v>
    <v>J</v>
    <v>J</v>
    <v>J</v>
    <v>3</v>
    <v>Tjalkstraat</v>
    <v>111</v>
    <v>Onderhoud Tjalkstraat</v>
    <v>142</v>
    <v>2638</v>
    <v>2638</v>
    <v>Hybride streek</v>
    <v>Gelede bus</v>
    <v>Bus</v>
  </rv>
  <rv s="0">
    <v>0</v>
    <v>2639</v>
    <v>1</v>
    <v>Generic</v>
    <v>223C</v>
    <v>Euro6</v>
    <v>1</v>
    <v>44225</v>
    <v>45175</v>
    <v>Antwerpen</v>
    <v>1</v>
    <v>J</v>
    <v>J</v>
    <v>J</v>
    <v>J</v>
    <v>J</v>
    <v>3</v>
    <v>Tjalkstraat</v>
    <v>111</v>
    <v>Onderhoud Tjalkstraat</v>
    <v>142</v>
    <v>2639</v>
    <v>2639</v>
    <v>Hybride streek</v>
    <v>Gelede bus</v>
    <v>Bus</v>
  </rv>
  <rv s="0">
    <v>0</v>
    <v>2640</v>
    <v>1</v>
    <v>Generic</v>
    <v>223C</v>
    <v>Euro6</v>
    <v>1</v>
    <v>44348</v>
    <v>45175</v>
    <v>Antwerpen</v>
    <v>1</v>
    <v>J</v>
    <v>J</v>
    <v>J</v>
    <v>J</v>
    <v>J</v>
    <v>2</v>
    <v>Tjalkstraat</v>
    <v>111</v>
    <v>Onderhoud Tjalkstraat</v>
    <v>142</v>
    <v>2640</v>
    <v>2640</v>
    <v>Hybride streek</v>
    <v>Gelede bus</v>
    <v>Bus</v>
  </rv>
  <rv s="0">
    <v>0</v>
    <v>2641</v>
    <v>1</v>
    <v>Generic</v>
    <v>223C</v>
    <v>Euro6</v>
    <v>1</v>
    <v>44270</v>
    <v>45175</v>
    <v>Antwerpen</v>
    <v>1</v>
    <v>J</v>
    <v>J</v>
    <v>J</v>
    <v>J</v>
    <v>J</v>
    <v>3</v>
    <v>Tjalkstraat</v>
    <v>111</v>
    <v>Onderhoud Tjalkstraat</v>
    <v>142</v>
    <v>2641</v>
    <v>2641</v>
    <v>Hybride streek</v>
    <v>Gelede bus</v>
    <v>Bus</v>
  </rv>
  <rv s="0">
    <v>0</v>
    <v>2642</v>
    <v>1</v>
    <v>Generic</v>
    <v>223C</v>
    <v>Euro6</v>
    <v>1</v>
    <v>44270</v>
    <v>45175</v>
    <v>Antwerpen</v>
    <v>1</v>
    <v>J</v>
    <v>J</v>
    <v>J</v>
    <v>J</v>
    <v>J</v>
    <v>3</v>
    <v>Broechem</v>
    <v>129</v>
    <v>Onderhoud Tjalkstraat</v>
    <v>142</v>
    <v>2642</v>
    <v>2642</v>
    <v>Hybride streek</v>
    <v>Gelede bus</v>
    <v>Bus</v>
  </rv>
  <rv s="0">
    <v>0</v>
    <v>2643</v>
    <v>1</v>
    <v>Generic</v>
    <v>223C</v>
    <v>Euro6</v>
    <v>1</v>
    <v>44279</v>
    <v>45175</v>
    <v>Antwerpen</v>
    <v>1</v>
    <v>J</v>
    <v>J</v>
    <v>J</v>
    <v>J</v>
    <v>J</v>
    <v>2</v>
    <v>Broechem</v>
    <v>129</v>
    <v>Onderhoud Tjalkstraat</v>
    <v>142</v>
    <v>2643</v>
    <v>2643</v>
    <v>Hybride streek</v>
    <v>Gelede bus</v>
    <v>Bus</v>
  </rv>
  <rv s="0">
    <v>0</v>
    <v>2644</v>
    <v>1</v>
    <v>Generic</v>
    <v>223C</v>
    <v>Euro6</v>
    <v>1</v>
    <v>44867</v>
    <v>45175</v>
    <v>Antwerpen</v>
    <v>1</v>
    <v>J</v>
    <v>J</v>
    <v>J</v>
    <v>J</v>
    <v>J</v>
    <v>1</v>
    <v>Broechem</v>
    <v>129</v>
    <v>Onderhoud Tjalkstraat</v>
    <v>142</v>
    <v>2644</v>
    <v>2644</v>
    <v>Hybride streek</v>
    <v>Gelede bus</v>
    <v>Bus</v>
  </rv>
  <rv s="0">
    <v>0</v>
    <v>2645</v>
    <v>1</v>
    <v>Generic</v>
    <v>223C</v>
    <v>Euro6</v>
    <v>1</v>
    <v>44270</v>
    <v>45175</v>
    <v>Antwerpen</v>
    <v>1</v>
    <v>J</v>
    <v>J</v>
    <v>J</v>
    <v>J</v>
    <v>J</v>
    <v>3</v>
    <v>Broechem</v>
    <v>129</v>
    <v>Onderhoud Tjalkstraat</v>
    <v>142</v>
    <v>2645</v>
    <v>2645</v>
    <v>Hybride streek</v>
    <v>Gelede bus</v>
    <v>Bus</v>
  </rv>
  <rv s="0">
    <v>0</v>
    <v>2646</v>
    <v>1</v>
    <v>Generic</v>
    <v>223C</v>
    <v>Euro6</v>
    <v>1</v>
    <v>44285</v>
    <v>45175</v>
    <v>Antwerpen</v>
    <v>1</v>
    <v>J</v>
    <v>J</v>
    <v>J</v>
    <v>J</v>
    <v>J</v>
    <v>2</v>
    <v>Broechem</v>
    <v>129</v>
    <v>Onderhoud Tjalkstraat</v>
    <v>142</v>
    <v>2646</v>
    <v>2646</v>
    <v>Hybride streek</v>
    <v>Gelede bus</v>
    <v>Bus</v>
  </rv>
  <rv s="0">
    <v>0</v>
    <v>2647</v>
    <v>1</v>
    <v>Generic</v>
    <v>223C</v>
    <v>Euro6</v>
    <v>1</v>
    <v>44295</v>
    <v>45175</v>
    <v>Antwerpen</v>
    <v>1</v>
    <v>J</v>
    <v>J</v>
    <v>J</v>
    <v>J</v>
    <v>J</v>
    <v>2</v>
    <v>Broechem</v>
    <v>129</v>
    <v>Onderhoud Tjalkstraat</v>
    <v>142</v>
    <v>2647</v>
    <v>2647</v>
    <v>Hybride streek</v>
    <v>Gelede bus</v>
    <v>Bus</v>
  </rv>
  <rv s="0">
    <v>0</v>
    <v>2648</v>
    <v>1</v>
    <v>Generic</v>
    <v>223C</v>
    <v>Euro6</v>
    <v>1</v>
    <v>44295</v>
    <v>45175</v>
    <v>Antwerpen</v>
    <v>1</v>
    <v>J</v>
    <v>J</v>
    <v>J</v>
    <v>J</v>
    <v>J</v>
    <v>2</v>
    <v>Broechem</v>
    <v>129</v>
    <v>Onderhoud Tjalkstraat</v>
    <v>142</v>
    <v>2648</v>
    <v>2648</v>
    <v>Hybride streek</v>
    <v>Gelede bus</v>
    <v>Bus</v>
  </rv>
  <rv s="0">
    <v>0</v>
    <v>2649</v>
    <v>1</v>
    <v>Generic</v>
    <v>223C</v>
    <v>Euro6</v>
    <v>1</v>
    <v>44286</v>
    <v>45175</v>
    <v>Antwerpen</v>
    <v>1</v>
    <v>J</v>
    <v>J</v>
    <v>J</v>
    <v>J</v>
    <v>J</v>
    <v>2</v>
    <v>Broechem</v>
    <v>129</v>
    <v>Onderhoud Tjalkstraat</v>
    <v>142</v>
    <v>2649</v>
    <v>2649</v>
    <v>Hybride streek</v>
    <v>Gelede bus</v>
    <v>Bus</v>
  </rv>
  <rv s="0">
    <v>0</v>
    <v>2650</v>
    <v>1</v>
    <v>Generic</v>
    <v>223C</v>
    <v>Euro6</v>
    <v>1</v>
    <v>44286</v>
    <v>45175</v>
    <v>Antwerpen</v>
    <v>1</v>
    <v>J</v>
    <v>J</v>
    <v>J</v>
    <v>J</v>
    <v>J</v>
    <v>2</v>
    <v>Broechem</v>
    <v>129</v>
    <v>Onderhoud Tjalkstraat</v>
    <v>142</v>
    <v>2650</v>
    <v>2650</v>
    <v>Hybride streek</v>
    <v>Gelede bus</v>
    <v>Bus</v>
  </rv>
  <rv s="0">
    <v>0</v>
    <v>2651</v>
    <v>1</v>
    <v>Generic</v>
    <v>223C</v>
    <v>Euro6</v>
    <v>1</v>
    <v>44335</v>
    <v>45175</v>
    <v>Vlaams-Brabant</v>
    <v>3</v>
    <v>J</v>
    <v>J</v>
    <v>J</v>
    <v>J</v>
    <v>J</v>
    <v>2</v>
    <v>Grimbergen</v>
    <v>114</v>
    <v>Onderhoud Grimbergen</v>
    <v>148</v>
    <v>2651</v>
    <v>2651</v>
    <v>Hybride streek</v>
    <v>Gelede bus</v>
    <v>Bus</v>
  </rv>
  <rv s="0">
    <v>0</v>
    <v>2652</v>
    <v>1</v>
    <v>Generic</v>
    <v>223C</v>
    <v>Euro6</v>
    <v>1</v>
    <v>44340</v>
    <v>45175</v>
    <v>Vlaams-Brabant</v>
    <v>3</v>
    <v>J</v>
    <v>J</v>
    <v>J</v>
    <v>J</v>
    <v>J</v>
    <v>2</v>
    <v>Grimbergen</v>
    <v>114</v>
    <v>Onderhoud Grimbergen</v>
    <v>148</v>
    <v>2652</v>
    <v>2652</v>
    <v>Hybride streek</v>
    <v>Gelede bus</v>
    <v>Bus</v>
  </rv>
  <rv s="0">
    <v>0</v>
    <v>2653</v>
    <v>1</v>
    <v>Generic</v>
    <v>223C</v>
    <v>Euro6</v>
    <v>1</v>
    <v>44335</v>
    <v>45175</v>
    <v>Vlaams-Brabant</v>
    <v>3</v>
    <v>J</v>
    <v>J</v>
    <v>J</v>
    <v>J</v>
    <v>J</v>
    <v>2</v>
    <v>Grimbergen</v>
    <v>114</v>
    <v>Onderhoud Grimbergen</v>
    <v>148</v>
    <v>2653</v>
    <v>2653</v>
    <v>Hybride streek</v>
    <v>Gelede bus</v>
    <v>Bus</v>
  </rv>
  <rv s="0">
    <v>0</v>
    <v>2654</v>
    <v>1</v>
    <v>Generic</v>
    <v>223C</v>
    <v>Euro6</v>
    <v>1</v>
    <v>44343</v>
    <v>45175</v>
    <v>Vlaams-Brabant</v>
    <v>3</v>
    <v>J</v>
    <v>J</v>
    <v>J</v>
    <v>J</v>
    <v>J</v>
    <v>2</v>
    <v>Grimbergen</v>
    <v>114</v>
    <v>Onderhoud Grimbergen</v>
    <v>148</v>
    <v>2654</v>
    <v>2654</v>
    <v>Hybride streek</v>
    <v>Gelede bus</v>
    <v>Bus</v>
  </rv>
  <rv s="0">
    <v>0</v>
    <v>2655</v>
    <v>1</v>
    <v>Generic</v>
    <v>223C</v>
    <v>Euro6</v>
    <v>1</v>
    <v>44326</v>
    <v>45175</v>
    <v>Vlaams-Brabant</v>
    <v>3</v>
    <v>J</v>
    <v>J</v>
    <v>J</v>
    <v>J</v>
    <v>J</v>
    <v>2</v>
    <v>Grimbergen</v>
    <v>114</v>
    <v>Onderhoud Grimbergen</v>
    <v>148</v>
    <v>2655</v>
    <v>2655</v>
    <v>Hybride streek</v>
    <v>Gelede bus</v>
    <v>Bus</v>
  </rv>
  <rv s="0">
    <v>0</v>
    <v>2656</v>
    <v>1</v>
    <v>Generic</v>
    <v>223C</v>
    <v>Euro6</v>
    <v>1</v>
    <v>44335</v>
    <v>45175</v>
    <v>Vlaams-Brabant</v>
    <v>3</v>
    <v>J</v>
    <v>J</v>
    <v>J</v>
    <v>J</v>
    <v>J</v>
    <v>2</v>
    <v>Grimbergen</v>
    <v>114</v>
    <v>Onderhoud Grimbergen</v>
    <v>148</v>
    <v>2656</v>
    <v>2656</v>
    <v>Hybride streek</v>
    <v>Gelede bus</v>
    <v>Bus</v>
  </rv>
  <rv s="0">
    <v>0</v>
    <v>2657</v>
    <v>1</v>
    <v>Generic</v>
    <v>223C</v>
    <v>Euro6</v>
    <v>1</v>
    <v>44343</v>
    <v>45175</v>
    <v>Vlaams-Brabant</v>
    <v>3</v>
    <v>J</v>
    <v>J</v>
    <v>J</v>
    <v>J</v>
    <v>J</v>
    <v>2</v>
    <v>Grimbergen</v>
    <v>114</v>
    <v>Onderhoud Grimbergen</v>
    <v>148</v>
    <v>2657</v>
    <v>2657</v>
    <v>Hybride streek</v>
    <v>Gelede bus</v>
    <v>Bus</v>
  </rv>
  <rv s="0">
    <v>0</v>
    <v>2658</v>
    <v>1</v>
    <v>Generic</v>
    <v>223C</v>
    <v>Euro6</v>
    <v>1</v>
    <v>44348</v>
    <v>45175</v>
    <v>Vlaams-Brabant</v>
    <v>3</v>
    <v>J</v>
    <v>J</v>
    <v>J</v>
    <v>J</v>
    <v>J</v>
    <v>2</v>
    <v>Grimbergen</v>
    <v>114</v>
    <v>Onderhoud Grimbergen</v>
    <v>148</v>
    <v>2658</v>
    <v>2658</v>
    <v>Hybride streek</v>
    <v>Gelede bus</v>
    <v>Bus</v>
  </rv>
  <rv s="0">
    <v>0</v>
    <v>2659</v>
    <v>1</v>
    <v>Generic</v>
    <v>223C</v>
    <v>Euro6</v>
    <v>1</v>
    <v>44326</v>
    <v>45175</v>
    <v>Vlaams-Brabant</v>
    <v>3</v>
    <v>J</v>
    <v>J</v>
    <v>J</v>
    <v>J</v>
    <v>J</v>
    <v>2</v>
    <v>Grimbergen</v>
    <v>114</v>
    <v>Onderhoud Grimbergen</v>
    <v>148</v>
    <v>2659</v>
    <v>2659</v>
    <v>Hybride streek</v>
    <v>Gelede bus</v>
    <v>Bus</v>
  </rv>
  <rv s="0">
    <v>0</v>
    <v>2660</v>
    <v>1</v>
    <v>Generic</v>
    <v>223C</v>
    <v>Euro6</v>
    <v>1</v>
    <v>44327</v>
    <v>45175</v>
    <v>Vlaams-Brabant</v>
    <v>3</v>
    <v>J</v>
    <v>J</v>
    <v>J</v>
    <v>J</v>
    <v>J</v>
    <v>2</v>
    <v>Grimbergen</v>
    <v>114</v>
    <v>Onderhoud Grimbergen</v>
    <v>148</v>
    <v>2660</v>
    <v>2660</v>
    <v>Hybride streek</v>
    <v>Gelede bus</v>
    <v>Bus</v>
  </rv>
  <rv s="0">
    <v>0</v>
    <v>2661</v>
    <v>1</v>
    <v>Generic</v>
    <v>223C</v>
    <v>Euro6</v>
    <v>1</v>
    <v>44327</v>
    <v>45175</v>
    <v>Vlaams-Brabant</v>
    <v>3</v>
    <v>J</v>
    <v>J</v>
    <v>J</v>
    <v>J</v>
    <v>J</v>
    <v>2</v>
    <v>Grimbergen</v>
    <v>114</v>
    <v>Onderhoud Grimbergen</v>
    <v>148</v>
    <v>2661</v>
    <v>2661</v>
    <v>Hybride streek</v>
    <v>Gelede bus</v>
    <v>Bus</v>
  </rv>
  <rv s="0">
    <v>0</v>
    <v>2662</v>
    <v>1</v>
    <v>Generic</v>
    <v>223C</v>
    <v>Euro6</v>
    <v>1</v>
    <v>44341</v>
    <v>45175</v>
    <v>Vlaams-Brabant</v>
    <v>3</v>
    <v>J</v>
    <v>J</v>
    <v>J</v>
    <v>J</v>
    <v>J</v>
    <v>2</v>
    <v>Grimbergen</v>
    <v>114</v>
    <v>Onderhoud Grimbergen</v>
    <v>148</v>
    <v>2662</v>
    <v>2662</v>
    <v>Hybride streek</v>
    <v>Gelede bus</v>
    <v>Bus</v>
  </rv>
  <rv s="0">
    <v>0</v>
    <v>2663</v>
    <v>1</v>
    <v>Generic</v>
    <v>223C</v>
    <v>Euro6</v>
    <v>1</v>
    <v>44285</v>
    <v>45175</v>
    <v>Vlaams-Brabant</v>
    <v>3</v>
    <v>J</v>
    <v>J</v>
    <v>J</v>
    <v>J</v>
    <v>J</v>
    <v>2</v>
    <v>Grimbergen</v>
    <v>114</v>
    <v>Onderhoud Grimbergen</v>
    <v>148</v>
    <v>2663</v>
    <v>2663</v>
    <v>Hybride streek</v>
    <v>Gelede bus</v>
    <v>Bus</v>
  </rv>
  <rv s="0">
    <v>0</v>
    <v>2664</v>
    <v>1</v>
    <v>Generic</v>
    <v>223C</v>
    <v>Euro6</v>
    <v>1</v>
    <v>44327</v>
    <v>45175</v>
    <v>Vlaams-Brabant</v>
    <v>3</v>
    <v>J</v>
    <v>J</v>
    <v>J</v>
    <v>J</v>
    <v>J</v>
    <v>2</v>
    <v>Grimbergen</v>
    <v>114</v>
    <v>Onderhoud Grimbergen</v>
    <v>148</v>
    <v>2664</v>
    <v>2664</v>
    <v>Hybride streek</v>
    <v>Gelede bus</v>
    <v>Bus</v>
  </rv>
  <rv s="0">
    <v>0</v>
    <v>2665</v>
    <v>1</v>
    <v>Generic</v>
    <v>223C</v>
    <v>Euro6</v>
    <v>1</v>
    <v>44335</v>
    <v>45175</v>
    <v>Vlaams-Brabant</v>
    <v>3</v>
    <v>J</v>
    <v>J</v>
    <v>J</v>
    <v>J</v>
    <v>J</v>
    <v>2</v>
    <v>Grimbergen</v>
    <v>114</v>
    <v>Onderhoud Grimbergen</v>
    <v>148</v>
    <v>2665</v>
    <v>2665</v>
    <v>Hybride streek</v>
    <v>Gelede bus</v>
    <v>Bus</v>
  </rv>
  <rv s="0">
    <v>0</v>
    <v>2666</v>
    <v>1</v>
    <v>Generic</v>
    <v>223C</v>
    <v>Euro6</v>
    <v>1</v>
    <v>44335</v>
    <v>45175</v>
    <v>Vlaams-Brabant</v>
    <v>3</v>
    <v>J</v>
    <v>J</v>
    <v>J</v>
    <v>J</v>
    <v>J</v>
    <v>2</v>
    <v>Grimbergen</v>
    <v>114</v>
    <v>Onderhoud Grimbergen</v>
    <v>148</v>
    <v>2666</v>
    <v>2666</v>
    <v>Hybride streek</v>
    <v>Gelede bus</v>
    <v>Bus</v>
  </rv>
  <rv s="0">
    <v>0</v>
    <v>2667</v>
    <v>1</v>
    <v>Generic</v>
    <v>223C</v>
    <v>Euro6</v>
    <v>1</v>
    <v>44341</v>
    <v>45175</v>
    <v>Vlaams-Brabant</v>
    <v>3</v>
    <v>J</v>
    <v>J</v>
    <v>J</v>
    <v>J</v>
    <v>J</v>
    <v>2</v>
    <v>Grimbergen</v>
    <v>114</v>
    <v>Onderhoud Grimbergen</v>
    <v>148</v>
    <v>2667</v>
    <v>2667</v>
    <v>Hybride streek</v>
    <v>Gelede bus</v>
    <v>Bus</v>
  </rv>
  <rv s="0">
    <v>0</v>
    <v>2668</v>
    <v>1</v>
    <v>Generic</v>
    <v>223C</v>
    <v>Euro6</v>
    <v>1</v>
    <v>44349</v>
    <v>45175</v>
    <v>Vlaams-Brabant</v>
    <v>3</v>
    <v>J</v>
    <v>J</v>
    <v>J</v>
    <v>J</v>
    <v>J</v>
    <v>2</v>
    <v>Grimbergen</v>
    <v>114</v>
    <v>Onderhoud Grimbergen</v>
    <v>148</v>
    <v>2668</v>
    <v>2668</v>
    <v>Hybride streek</v>
    <v>Gelede bus</v>
    <v>Bus</v>
  </rv>
  <rv s="0">
    <v>0</v>
    <v>2669</v>
    <v>1</v>
    <v>Generic</v>
    <v>223C</v>
    <v>Euro6</v>
    <v>1</v>
    <v>44349</v>
    <v>45175</v>
    <v>Vlaams-Brabant</v>
    <v>3</v>
    <v>J</v>
    <v>J</v>
    <v>J</v>
    <v>J</v>
    <v>J</v>
    <v>2</v>
    <v>Grimbergen</v>
    <v>114</v>
    <v>Onderhoud Grimbergen</v>
    <v>148</v>
    <v>2669</v>
    <v>2669</v>
    <v>Hybride streek</v>
    <v>Gelede bus</v>
    <v>Bus</v>
  </rv>
  <rv s="0">
    <v>0</v>
    <v>2670</v>
    <v>1</v>
    <v>Generic</v>
    <v>223C</v>
    <v>Euro6</v>
    <v>1</v>
    <v>44370</v>
    <v>45175</v>
    <v>Vlaams-Brabant</v>
    <v>3</v>
    <v>J</v>
    <v>J</v>
    <v>J</v>
    <v>J</v>
    <v>J</v>
    <v>2</v>
    <v>Grimbergen</v>
    <v>114</v>
    <v>Onderhoud Grimbergen</v>
    <v>148</v>
    <v>2670</v>
    <v>2670</v>
    <v>Hybride streek</v>
    <v>Gelede bus</v>
    <v>Bus</v>
  </rv>
  <rv s="0">
    <v>0</v>
    <v>2671</v>
    <v>1</v>
    <v>Generic</v>
    <v>223C</v>
    <v>Euro6</v>
    <v>1</v>
    <v>44363</v>
    <v>45175</v>
    <v>Vlaams-Brabant</v>
    <v>3</v>
    <v>J</v>
    <v>J</v>
    <v>J</v>
    <v>J</v>
    <v>J</v>
    <v>2</v>
    <v>Grimbergen</v>
    <v>114</v>
    <v>Onderhoud Grimbergen</v>
    <v>148</v>
    <v>2671</v>
    <v>2671</v>
    <v>Hybride streek</v>
    <v>Gelede bus</v>
    <v>Bus</v>
  </rv>
  <rv s="0">
    <v>0</v>
    <v>2672</v>
    <v>1</v>
    <v>Generic</v>
    <v>223C</v>
    <v>Euro6</v>
    <v>1</v>
    <v>44355</v>
    <v>45175</v>
    <v>Vlaams-Brabant</v>
    <v>3</v>
    <v>J</v>
    <v>J</v>
    <v>J</v>
    <v>J</v>
    <v>J</v>
    <v>2</v>
    <v>Grimbergen</v>
    <v>114</v>
    <v>Onderhoud Grimbergen</v>
    <v>148</v>
    <v>2672</v>
    <v>2672</v>
    <v>Hybride streek</v>
    <v>Gelede bus</v>
    <v>Bus</v>
  </rv>
  <rv s="0">
    <v>0</v>
    <v>2673</v>
    <v>1</v>
    <v>Generic</v>
    <v>223C</v>
    <v>Euro6</v>
    <v>1</v>
    <v>44389</v>
    <v>45175</v>
    <v>Vlaams-Brabant</v>
    <v>3</v>
    <v>J</v>
    <v>J</v>
    <v>J</v>
    <v>J</v>
    <v>J</v>
    <v>2</v>
    <v>Grimbergen</v>
    <v>114</v>
    <v>Onderhoud Grimbergen</v>
    <v>148</v>
    <v>2673</v>
    <v>2673</v>
    <v>Hybride streek</v>
    <v>Gelede bus</v>
    <v>Bus</v>
  </rv>
  <rv s="0">
    <v>0</v>
    <v>2674</v>
    <v>1</v>
    <v>Generic</v>
    <v>223C</v>
    <v>Euro6</v>
    <v>1</v>
    <v>44363</v>
    <v>45175</v>
    <v>Vlaams-Brabant</v>
    <v>3</v>
    <v>J</v>
    <v>J</v>
    <v>J</v>
    <v>J</v>
    <v>J</v>
    <v>2</v>
    <v>Grimbergen</v>
    <v>114</v>
    <v>Onderhoud Grimbergen</v>
    <v>148</v>
    <v>2674</v>
    <v>2674</v>
    <v>Hybride streek</v>
    <v>Gelede bus</v>
    <v>Bus</v>
  </rv>
  <rv s="0">
    <v>0</v>
    <v>2675</v>
    <v>1</v>
    <v>Generic</v>
    <v>223C</v>
    <v>Euro6</v>
    <v>1</v>
    <v>44350</v>
    <v>45175</v>
    <v>Vlaams-Brabant</v>
    <v>3</v>
    <v>J</v>
    <v>J</v>
    <v>J</v>
    <v>J</v>
    <v>J</v>
    <v>2</v>
    <v>Grimbergen</v>
    <v>114</v>
    <v>Onderhoud Grimbergen</v>
    <v>148</v>
    <v>2675</v>
    <v>2675</v>
    <v>Hybride streek</v>
    <v>Gelede bus</v>
    <v>Bus</v>
  </rv>
  <rv s="0">
    <v>0</v>
    <v>2676</v>
    <v>1</v>
    <v>Generic</v>
    <v>223C</v>
    <v>Euro6</v>
    <v>1</v>
    <v>44385</v>
    <v>45175</v>
    <v>Vlaams-Brabant</v>
    <v>3</v>
    <v>J</v>
    <v>J</v>
    <v>J</v>
    <v>J</v>
    <v>J</v>
    <v>2</v>
    <v>Grimbergen</v>
    <v>114</v>
    <v>Onderhoud Grimbergen</v>
    <v>148</v>
    <v>2676</v>
    <v>2676</v>
    <v>Hybride streek</v>
    <v>Gelede bus</v>
    <v>Bus</v>
  </rv>
  <rv s="0">
    <v>0</v>
    <v>2677</v>
    <v>1</v>
    <v>Generic</v>
    <v>223C</v>
    <v>Euro6</v>
    <v>1</v>
    <v>44370</v>
    <v>45175</v>
    <v>Vlaams-Brabant</v>
    <v>3</v>
    <v>J</v>
    <v>J</v>
    <v>J</v>
    <v>J</v>
    <v>J</v>
    <v>2</v>
    <v>Grimbergen</v>
    <v>114</v>
    <v>Onderhoud Grimbergen</v>
    <v>148</v>
    <v>2677</v>
    <v>2677</v>
    <v>Hybride streek</v>
    <v>Gelede bus</v>
    <v>Bus</v>
  </rv>
  <rv s="0">
    <v>0</v>
    <v>2678</v>
    <v>1</v>
    <v>Generic</v>
    <v>223C</v>
    <v>Euro6</v>
    <v>1</v>
    <v>44389</v>
    <v>45175</v>
    <v>Vlaams-Brabant</v>
    <v>3</v>
    <v>J</v>
    <v>J</v>
    <v>J</v>
    <v>J</v>
    <v>J</v>
    <v>2</v>
    <v>Grimbergen</v>
    <v>114</v>
    <v>Onderhoud Grimbergen</v>
    <v>148</v>
    <v>2678</v>
    <v>2678</v>
    <v>Hybride streek</v>
    <v>Gelede bus</v>
    <v>Bus</v>
  </rv>
  <rv s="0">
    <v>0</v>
    <v>2679</v>
    <v>1</v>
    <v>Generic</v>
    <v>223C</v>
    <v>Euro6</v>
    <v>1</v>
    <v>44389</v>
    <v>45175</v>
    <v>Vlaams-Brabant</v>
    <v>3</v>
    <v>J</v>
    <v>J</v>
    <v>J</v>
    <v>J</v>
    <v>J</v>
    <v>2</v>
    <v>Grimbergen</v>
    <v>114</v>
    <v>Onderhoud Grimbergen</v>
    <v>148</v>
    <v>2679</v>
    <v>2679</v>
    <v>Hybride streek</v>
    <v>Gelede bus</v>
    <v>Bus</v>
  </rv>
  <rv s="0">
    <v>0</v>
    <v>2680</v>
    <v>1</v>
    <v>Generic</v>
    <v>223C</v>
    <v>Euro6</v>
    <v>1</v>
    <v>44376</v>
    <v>45175</v>
    <v>Vlaams-Brabant</v>
    <v>3</v>
    <v>J</v>
    <v>J</v>
    <v>J</v>
    <v>J</v>
    <v>J</v>
    <v>2</v>
    <v>Grimbergen</v>
    <v>114</v>
    <v>Onderhoud Grimbergen</v>
    <v>148</v>
    <v>2680</v>
    <v>2680</v>
    <v>Hybride streek</v>
    <v>Gelede bus</v>
    <v>Bus</v>
  </rv>
  <rv s="0">
    <v>0</v>
    <v>2681</v>
    <v>1</v>
    <v>Generic</v>
    <v>223C</v>
    <v>Euro6</v>
    <v>1</v>
    <v>44389</v>
    <v>45175</v>
    <v>Vlaams-Brabant</v>
    <v>3</v>
    <v>J</v>
    <v>J</v>
    <v>J</v>
    <v>J</v>
    <v>J</v>
    <v>2</v>
    <v>Grimbergen</v>
    <v>114</v>
    <v>Onderhoud Grimbergen</v>
    <v>148</v>
    <v>2681</v>
    <v>2681</v>
    <v>Hybride streek</v>
    <v>Gelede bus</v>
    <v>Bus</v>
  </rv>
  <rv s="0">
    <v>0</v>
    <v>2682</v>
    <v>1</v>
    <v>Generic</v>
    <v>223C</v>
    <v>Euro6</v>
    <v>1</v>
    <v>44424</v>
    <v>45175</v>
    <v>Vlaams-Brabant</v>
    <v>3</v>
    <v>J</v>
    <v>J</v>
    <v>J</v>
    <v>J</v>
    <v>J</v>
    <v>2</v>
    <v>Grimbergen</v>
    <v>114</v>
    <v>Onderhoud Grimbergen</v>
    <v>148</v>
    <v>2682</v>
    <v>2682</v>
    <v>Hybride streek</v>
    <v>Gelede bus</v>
    <v>Bus</v>
  </rv>
  <rv s="0">
    <v>0</v>
    <v>2683</v>
    <v>1</v>
    <v>Generic</v>
    <v>223C</v>
    <v>Euro6</v>
    <v>1</v>
    <v>44448</v>
    <v>45175</v>
    <v>Vlaams-Brabant</v>
    <v>3</v>
    <v>J</v>
    <v>J</v>
    <v>J</v>
    <v>J</v>
    <v>J</v>
    <v>2</v>
    <v>Grimbergen</v>
    <v>114</v>
    <v>Onderhoud Grimbergen</v>
    <v>148</v>
    <v>2683</v>
    <v>2683</v>
    <v>Hybride streek</v>
    <v>Gelede bus</v>
    <v>Bus</v>
  </rv>
  <rv s="0">
    <v>0</v>
    <v>2684</v>
    <v>1</v>
    <v>Generic</v>
    <v>223C</v>
    <v>Euro6</v>
    <v>1</v>
    <v>44424</v>
    <v>45175</v>
    <v>Vlaams-Brabant</v>
    <v>3</v>
    <v>J</v>
    <v>J</v>
    <v>J</v>
    <v>J</v>
    <v>J</v>
    <v>2</v>
    <v>Grimbergen</v>
    <v>114</v>
    <v>Onderhoud Grimbergen</v>
    <v>148</v>
    <v>2684</v>
    <v>2684</v>
    <v>Hybride streek</v>
    <v>Gelede bus</v>
    <v>Bus</v>
  </rv>
  <rv s="0">
    <v>0</v>
    <v>2685</v>
    <v>1</v>
    <v>Generic</v>
    <v>223C</v>
    <v>Euro6</v>
    <v>1</v>
    <v>44387</v>
    <v>45175</v>
    <v>Vlaams-Brabant</v>
    <v>3</v>
    <v>J</v>
    <v>J</v>
    <v>J</v>
    <v>J</v>
    <v>J</v>
    <v>2</v>
    <v>Grimbergen</v>
    <v>114</v>
    <v>Onderhoud Grimbergen</v>
    <v>148</v>
    <v>2685</v>
    <v>2685</v>
    <v>Hybride streek</v>
    <v>Gelede bus</v>
    <v>Bus</v>
  </rv>
  <rv s="0">
    <v>0</v>
    <v>2686</v>
    <v>1</v>
    <v>Generic</v>
    <v>223C</v>
    <v>Euro6</v>
    <v>1</v>
    <v>44392</v>
    <v>45175</v>
    <v>Vlaams-Brabant</v>
    <v>3</v>
    <v>J</v>
    <v>J</v>
    <v>J</v>
    <v>J</v>
    <v>J</v>
    <v>2</v>
    <v>Grimbergen</v>
    <v>114</v>
    <v>Onderhoud Grimbergen</v>
    <v>148</v>
    <v>2686</v>
    <v>2686</v>
    <v>Hybride streek</v>
    <v>Gelede bus</v>
    <v>Bus</v>
  </rv>
  <rv s="0">
    <v>0</v>
    <v>2687</v>
    <v>1</v>
    <v>Generic</v>
    <v>223C</v>
    <v>Euro6</v>
    <v>1</v>
    <v>44428</v>
    <v>45175</v>
    <v>Antwerpen</v>
    <v>1</v>
    <v>J</v>
    <v>J</v>
    <v>J</v>
    <v>J</v>
    <v>J</v>
    <v>2</v>
    <v>Tjalkstraat</v>
    <v>111</v>
    <v>Onderhoud Tjalkstraat</v>
    <v>142</v>
    <v>2687</v>
    <v>2687</v>
    <v>Hybride streek</v>
    <v>Gelede bus</v>
    <v>Bus</v>
  </rv>
  <rv s="0">
    <v>0</v>
    <v>2688</v>
    <v>1</v>
    <v>Generic</v>
    <v>223C</v>
    <v>Euro6</v>
    <v>1</v>
    <v>44442</v>
    <v>45175</v>
    <v>Antwerpen</v>
    <v>1</v>
    <v>J</v>
    <v>J</v>
    <v>J</v>
    <v>J</v>
    <v>J</v>
    <v>2</v>
    <v>Tjalkstraat</v>
    <v>111</v>
    <v>Onderhoud Tjalkstraat</v>
    <v>142</v>
    <v>2688</v>
    <v>2688</v>
    <v>Hybride streek</v>
    <v>Gelede bus</v>
    <v>Bus</v>
  </rv>
  <rv s="0">
    <v>0</v>
    <v>2689</v>
    <v>1</v>
    <v>Generic</v>
    <v>223C</v>
    <v>Euro6</v>
    <v>1</v>
    <v>44537</v>
    <v>45175</v>
    <v>Antwerpen</v>
    <v>1</v>
    <v>J</v>
    <v>J</v>
    <v>J</v>
    <v>J</v>
    <v>J</v>
    <v>2</v>
    <v>Tjalkstraat</v>
    <v>111</v>
    <v>Onderhoud Tjalkstraat</v>
    <v>142</v>
    <v>2689</v>
    <v>2689</v>
    <v>Hybride streek</v>
    <v>Gelede bus</v>
    <v>Bus</v>
  </rv>
  <rv s="0">
    <v>0</v>
    <v>2690</v>
    <v>1</v>
    <v>Generic</v>
    <v>223C</v>
    <v>Euro6</v>
    <v>1</v>
    <v>44428</v>
    <v>45175</v>
    <v>Antwerpen</v>
    <v>1</v>
    <v>J</v>
    <v>J</v>
    <v>J</v>
    <v>J</v>
    <v>J</v>
    <v>2</v>
    <v>Tjalkstraat</v>
    <v>111</v>
    <v>Onderhoud Tjalkstraat</v>
    <v>142</v>
    <v>2690</v>
    <v>2690</v>
    <v>Hybride streek</v>
    <v>Gelede bus</v>
    <v>Bus</v>
  </rv>
  <rv s="0">
    <v>0</v>
    <v>2691</v>
    <v>1</v>
    <v>Generic</v>
    <v>223C</v>
    <v>Euro6</v>
    <v>1</v>
    <v>44442</v>
    <v>45175</v>
    <v>Antwerpen</v>
    <v>1</v>
    <v>J</v>
    <v>J</v>
    <v>J</v>
    <v>J</v>
    <v>J</v>
    <v>2</v>
    <v>Tjalkstraat</v>
    <v>111</v>
    <v>Onderhoud Tjalkstraat</v>
    <v>142</v>
    <v>2691</v>
    <v>2691</v>
    <v>Hybride streek</v>
    <v>Gelede bus</v>
    <v>Bus</v>
  </rv>
  <rv s="0">
    <v>0</v>
    <v>2692</v>
    <v>1</v>
    <v>Generic</v>
    <v>223C</v>
    <v>Euro6</v>
    <v>1</v>
    <v>44434</v>
    <v>45175</v>
    <v>Antwerpen</v>
    <v>1</v>
    <v>J</v>
    <v>J</v>
    <v>J</v>
    <v>J</v>
    <v>J</v>
    <v>2</v>
    <v>Tjalkstraat</v>
    <v>111</v>
    <v>Onderhoud Tjalkstraat</v>
    <v>142</v>
    <v>2692</v>
    <v>2692</v>
    <v>Hybride streek</v>
    <v>Gelede bus</v>
    <v>Bus</v>
  </rv>
  <rv s="0">
    <v>0</v>
    <v>2693</v>
    <v>1</v>
    <v>Generic</v>
    <v>223C</v>
    <v>Euro6</v>
    <v>1</v>
    <v>44490</v>
    <v>45175</v>
    <v>Antwerpen</v>
    <v>1</v>
    <v>J</v>
    <v>J</v>
    <v>J</v>
    <v>J</v>
    <v>J</v>
    <v>2</v>
    <v>Tjalkstraat</v>
    <v>111</v>
    <v>Onderhoud Tjalkstraat</v>
    <v>142</v>
    <v>2693</v>
    <v>2693</v>
    <v>Hybride streek</v>
    <v>Gelede bus</v>
    <v>Bus</v>
  </rv>
  <rv s="0">
    <v>0</v>
    <v>2694</v>
    <v>1</v>
    <v>Generic</v>
    <v>223C</v>
    <v>Euro6</v>
    <v>1</v>
    <v>44442</v>
    <v>45175</v>
    <v>Antwerpen</v>
    <v>1</v>
    <v>J</v>
    <v>J</v>
    <v>J</v>
    <v>J</v>
    <v>J</v>
    <v>2</v>
    <v>Tjalkstraat</v>
    <v>111</v>
    <v>Onderhoud Tjalkstraat</v>
    <v>142</v>
    <v>2694</v>
    <v>2694</v>
    <v>Hybride streek</v>
    <v>Gelede bus</v>
    <v>Bus</v>
  </rv>
  <rv s="0">
    <v>0</v>
    <v>2695</v>
    <v>1</v>
    <v>Generic</v>
    <v>223C</v>
    <v>Euro6</v>
    <v>1</v>
    <v>44448</v>
    <v>45175</v>
    <v>Antwerpen</v>
    <v>1</v>
    <v>J</v>
    <v>J</v>
    <v>J</v>
    <v>J</v>
    <v>J</v>
    <v>2</v>
    <v>Tjalkstraat</v>
    <v>111</v>
    <v>Onderhoud Tjalkstraat</v>
    <v>142</v>
    <v>2695</v>
    <v>2695</v>
    <v>Hybride streek</v>
    <v>Gelede bus</v>
    <v>Bus</v>
  </rv>
  <rv s="0">
    <v>0</v>
    <v>2696</v>
    <v>1</v>
    <v>Generic</v>
    <v>223C</v>
    <v>Euro6</v>
    <v>1</v>
    <v>44481</v>
    <v>45175</v>
    <v>Antwerpen</v>
    <v>1</v>
    <v>J</v>
    <v>J</v>
    <v>J</v>
    <v>J</v>
    <v>J</v>
    <v>2</v>
    <v>Tjalkstraat</v>
    <v>111</v>
    <v>Onderhoud Tjalkstraat</v>
    <v>142</v>
    <v>2696</v>
    <v>2696</v>
    <v>Hybride streek</v>
    <v>Gelede bus</v>
    <v>Bus</v>
  </rv>
  <rv s="0">
    <v>0</v>
    <v>2697</v>
    <v>1</v>
    <v>Generic</v>
    <v>223C</v>
    <v>Euro6</v>
    <v>1</v>
    <v>44490</v>
    <v>45175</v>
    <v>Antwerpen</v>
    <v>1</v>
    <v>J</v>
    <v>J</v>
    <v>J</v>
    <v>J</v>
    <v>J</v>
    <v>2</v>
    <v>Tjalkstraat</v>
    <v>111</v>
    <v>Onderhoud Tjalkstraat</v>
    <v>142</v>
    <v>2697</v>
    <v>2697</v>
    <v>Hybride streek</v>
    <v>Gelede bus</v>
    <v>Bus</v>
  </rv>
  <rv s="0">
    <v>0</v>
    <v>2698</v>
    <v>1</v>
    <v>Generic</v>
    <v>223C</v>
    <v>Euro6</v>
    <v>1</v>
    <v>44424</v>
    <v>45175</v>
    <v>Antwerpen</v>
    <v>1</v>
    <v>J</v>
    <v>J</v>
    <v>J</v>
    <v>J</v>
    <v>J</v>
    <v>2</v>
    <v>Tjalkstraat</v>
    <v>111</v>
    <v>Onderhoud Tjalkstraat</v>
    <v>142</v>
    <v>2698</v>
    <v>2698</v>
    <v>Hybride streek</v>
    <v>Gelede bus</v>
    <v>Bus</v>
  </rv>
  <rv s="0">
    <v>0</v>
    <v>2699</v>
    <v>1</v>
    <v>Generic</v>
    <v>223C</v>
    <v>Euro6</v>
    <v>1</v>
    <v>44550</v>
    <v>45175</v>
    <v>Antwerpen</v>
    <v>1</v>
    <v>J</v>
    <v>J</v>
    <v>J</v>
    <v>J</v>
    <v>J</v>
    <v>2</v>
    <v>Tjalkstraat</v>
    <v>111</v>
    <v>Onderhoud Tjalkstraat</v>
    <v>142</v>
    <v>2699</v>
    <v>2699</v>
    <v>Hybride streek</v>
    <v>Gelede bus</v>
    <v>Bus</v>
  </rv>
  <rv s="0">
    <v>0</v>
    <v>2700</v>
    <v>1</v>
    <v>Generic</v>
    <v>223C</v>
    <v>Euro6</v>
    <v>1</v>
    <v>44434</v>
    <v>45175</v>
    <v>Vlaams-Brabant</v>
    <v>3</v>
    <v>J</v>
    <v>J</v>
    <v>J</v>
    <v>J</v>
    <v>J</v>
    <v>2</v>
    <v>Leuven Noord</v>
    <v>124</v>
    <v>Onderhoud Leuven Noord</v>
    <v>152</v>
    <v>2700</v>
    <v>2700</v>
    <v>Hybride streek</v>
    <v>Gelede bus</v>
    <v>Bus</v>
  </rv>
  <rv s="0">
    <v>0</v>
    <v>2701</v>
    <v>1</v>
    <v>Generic</v>
    <v>223C</v>
    <v>Euro6</v>
    <v>1</v>
    <v>44460</v>
    <v>45175</v>
    <v>Vlaams-Brabant</v>
    <v>3</v>
    <v>J</v>
    <v>J</v>
    <v>J</v>
    <v>J</v>
    <v>J</v>
    <v>2</v>
    <v>Leuven Noord</v>
    <v>124</v>
    <v>Onderhoud Leuven Noord</v>
    <v>152</v>
    <v>2701</v>
    <v>2701</v>
    <v>Hybride streek</v>
    <v>Gelede bus</v>
    <v>Bus</v>
  </rv>
  <rv s="0">
    <v>0</v>
    <v>2702</v>
    <v>1</v>
    <v>Generic</v>
    <v>223C</v>
    <v>Euro6</v>
    <v>1</v>
    <v>44498</v>
    <v>45175</v>
    <v>Vlaams-Brabant</v>
    <v>3</v>
    <v>J</v>
    <v>J</v>
    <v>J</v>
    <v>J</v>
    <v>J</v>
    <v>2</v>
    <v>Leuven Noord</v>
    <v>124</v>
    <v>Onderhoud Leuven Noord</v>
    <v>152</v>
    <v>2702</v>
    <v>2702</v>
    <v>Hybride streek</v>
    <v>Gelede bus</v>
    <v>Bus</v>
  </rv>
  <rv s="0">
    <v>0</v>
    <v>2703</v>
    <v>1</v>
    <v>Generic</v>
    <v>223C</v>
    <v>Euro6</v>
    <v>1</v>
    <v>44498</v>
    <v>45175</v>
    <v>Vlaams-Brabant</v>
    <v>3</v>
    <v>J</v>
    <v>J</v>
    <v>J</v>
    <v>J</v>
    <v>J</v>
    <v>2</v>
    <v>Leuven Noord</v>
    <v>124</v>
    <v>Onderhoud Leuven Noord</v>
    <v>152</v>
    <v>2703</v>
    <v>2703</v>
    <v>Hybride streek</v>
    <v>Gelede bus</v>
    <v>Bus</v>
  </rv>
  <rv s="0">
    <v>0</v>
    <v>2704</v>
    <v>1</v>
    <v>Generic</v>
    <v>223C</v>
    <v>Euro6</v>
    <v>1</v>
    <v>44537</v>
    <v>45175</v>
    <v>Vlaams-Brabant</v>
    <v>3</v>
    <v>J</v>
    <v>J</v>
    <v>J</v>
    <v>J</v>
    <v>J</v>
    <v>2</v>
    <v>Leuven Noord</v>
    <v>124</v>
    <v>Onderhoud Leuven Noord</v>
    <v>152</v>
    <v>2704</v>
    <v>2704</v>
    <v>Hybride streek</v>
    <v>Gelede bus</v>
    <v>Bus</v>
  </rv>
  <rv s="0">
    <v>0</v>
    <v>2705</v>
    <v>1</v>
    <v>Generic</v>
    <v>223C</v>
    <v>Euro6</v>
    <v>1</v>
    <v>44515</v>
    <v>45175</v>
    <v>Vlaams-Brabant</v>
    <v>3</v>
    <v>J</v>
    <v>J</v>
    <v>J</v>
    <v>J</v>
    <v>J</v>
    <v>2</v>
    <v>Leuven Noord</v>
    <v>124</v>
    <v>Onderhoud Leuven Noord</v>
    <v>152</v>
    <v>2705</v>
    <v>2705</v>
    <v>Hybride streek</v>
    <v>Gelede bus</v>
    <v>Bus</v>
  </rv>
  <rv s="0">
    <v>0</v>
    <v>2706</v>
    <v>1</v>
    <v>Generic</v>
    <v>223C</v>
    <v>Euro6</v>
    <v>1</v>
    <v>44544</v>
    <v>45175</v>
    <v>Vlaams-Brabant</v>
    <v>3</v>
    <v>J</v>
    <v>J</v>
    <v>J</v>
    <v>J</v>
    <v>J</v>
    <v>2</v>
    <v>Leuven Noord</v>
    <v>124</v>
    <v>Onderhoud Leuven Noord</v>
    <v>152</v>
    <v>2706</v>
    <v>2706</v>
    <v>Hybride streek</v>
    <v>Gelede bus</v>
    <v>Bus</v>
  </rv>
  <rv s="0">
    <v>0</v>
    <v>2707</v>
    <v>1</v>
    <v>Generic</v>
    <v>223C</v>
    <v>Euro6</v>
    <v>1</v>
    <v>44544</v>
    <v>45175</v>
    <v>Vlaams-Brabant</v>
    <v>3</v>
    <v>J</v>
    <v>J</v>
    <v>J</v>
    <v>J</v>
    <v>J</v>
    <v>2</v>
    <v>Leuven Noord</v>
    <v>124</v>
    <v>Onderhoud Leuven Noord</v>
    <v>152</v>
    <v>2707</v>
    <v>2707</v>
    <v>Hybride streek</v>
    <v>Gelede bus</v>
    <v>Bus</v>
  </rv>
  <rv s="0">
    <v>0</v>
    <v>2708</v>
    <v>1</v>
    <v>Generic</v>
    <v>223C</v>
    <v>Euro6</v>
    <v>1</v>
    <v>44498</v>
    <v>45175</v>
    <v>Vlaams-Brabant</v>
    <v>3</v>
    <v>J</v>
    <v>J</v>
    <v>J</v>
    <v>J</v>
    <v>J</v>
    <v>2</v>
    <v>Leuven Noord</v>
    <v>124</v>
    <v>Onderhoud Leuven Noord</v>
    <v>152</v>
    <v>2708</v>
    <v>2708</v>
    <v>Hybride streek</v>
    <v>Gelede bus</v>
    <v>Bus</v>
  </rv>
  <rv s="0">
    <v>0</v>
    <v>2709</v>
    <v>1</v>
    <v>Generic</v>
    <v>223C</v>
    <v>Euro6</v>
    <v>1</v>
    <v>44481</v>
    <v>45175</v>
    <v>Vlaams-Brabant</v>
    <v>3</v>
    <v>J</v>
    <v>J</v>
    <v>J</v>
    <v>J</v>
    <v>J</v>
    <v>2</v>
    <v>Leuven Noord</v>
    <v>124</v>
    <v>Onderhoud Leuven Noord</v>
    <v>152</v>
    <v>2709</v>
    <v>2709</v>
    <v>Hybride streek</v>
    <v>Gelede bus</v>
    <v>Bus</v>
  </rv>
  <rv s="0">
    <v>0</v>
    <v>2710</v>
    <v>1</v>
    <v>Generic</v>
    <v>223C</v>
    <v>Euro6</v>
    <v>1</v>
    <v>44490</v>
    <v>45175</v>
    <v>Vlaams-Brabant</v>
    <v>3</v>
    <v>J</v>
    <v>J</v>
    <v>J</v>
    <v>J</v>
    <v>J</v>
    <v>2</v>
    <v>Leuven Noord</v>
    <v>124</v>
    <v>Onderhoud Leuven Noord</v>
    <v>152</v>
    <v>2710</v>
    <v>2710</v>
    <v>Hybride streek</v>
    <v>Gelede bus</v>
    <v>Bus</v>
  </rv>
  <rv s="0">
    <v>0</v>
    <v>2711</v>
    <v>1</v>
    <v>Generic</v>
    <v>223C</v>
    <v>Euro6</v>
    <v>1</v>
    <v>44544</v>
    <v>45175</v>
    <v>Vlaams-Brabant</v>
    <v>3</v>
    <v>J</v>
    <v>J</v>
    <v>J</v>
    <v>J</v>
    <v>J</v>
    <v>2</v>
    <v>Leuven Noord</v>
    <v>124</v>
    <v>Onderhoud Leuven Noord</v>
    <v>152</v>
    <v>2711</v>
    <v>2711</v>
    <v>Hybride streek</v>
    <v>Gelede bus</v>
    <v>Bus</v>
  </rv>
  <rv s="0">
    <v>0</v>
    <v>2712</v>
    <v>1</v>
    <v>Generic</v>
    <v>223C</v>
    <v>Euro6</v>
    <v>1</v>
    <v>44490</v>
    <v>45175</v>
    <v>Vlaams-Brabant</v>
    <v>3</v>
    <v>J</v>
    <v>J</v>
    <v>J</v>
    <v>J</v>
    <v>J</v>
    <v>2</v>
    <v>Leuven Noord</v>
    <v>124</v>
    <v>Onderhoud Leuven Noord</v>
    <v>152</v>
    <v>2712</v>
    <v>2712</v>
    <v>Hybride streek</v>
    <v>Gelede bus</v>
    <v>Bus</v>
  </rv>
  <rv s="0">
    <v>0</v>
    <v>2713</v>
    <v>1</v>
    <v>Generic</v>
    <v>223C</v>
    <v>Euro6</v>
    <v>1</v>
    <v>44544</v>
    <v>45175</v>
    <v>Vlaams-Brabant</v>
    <v>3</v>
    <v>J</v>
    <v>J</v>
    <v>J</v>
    <v>J</v>
    <v>J</v>
    <v>2</v>
    <v>Tielt</v>
    <v>122</v>
    <v>Onderhoud Tielt</v>
    <v>151</v>
    <v>2713</v>
    <v>2713</v>
    <v>Hybride streek</v>
    <v>Gelede bus</v>
    <v>Bus</v>
  </rv>
  <rv s="0">
    <v>0</v>
    <v>2714</v>
    <v>1</v>
    <v>Generic</v>
    <v>223C</v>
    <v>Euro6</v>
    <v>1</v>
    <v>44434</v>
    <v>45175</v>
    <v>Vlaams-Brabant</v>
    <v>3</v>
    <v>J</v>
    <v>J</v>
    <v>J</v>
    <v>J</v>
    <v>J</v>
    <v>2</v>
    <v>Tielt</v>
    <v>122</v>
    <v>Onderhoud Tielt</v>
    <v>151</v>
    <v>2714</v>
    <v>2714</v>
    <v>Hybride streek</v>
    <v>Gelede bus</v>
    <v>Bus</v>
  </rv>
  <rv s="0">
    <v>0</v>
    <v>2715</v>
    <v>1</v>
    <v>Generic</v>
    <v>223C</v>
    <v>Euro6</v>
    <v>1</v>
    <v>44587</v>
    <v>45175</v>
    <v>Vlaams-Brabant</v>
    <v>3</v>
    <v>J</v>
    <v>J</v>
    <v>J</v>
    <v>J</v>
    <v>J</v>
    <v>2</v>
    <v>Tielt</v>
    <v>122</v>
    <v>Onderhoud Tielt</v>
    <v>151</v>
    <v>2715</v>
    <v>2715</v>
    <v>Hybride streek</v>
    <v>Gelede bus</v>
    <v>Bus</v>
  </rv>
  <rv s="0">
    <v>0</v>
    <v>2716</v>
    <v>1</v>
    <v>Generic</v>
    <v>223C</v>
    <v>Euro6</v>
    <v>1</v>
    <v>44544</v>
    <v>45175</v>
    <v>Vlaams-Brabant</v>
    <v>3</v>
    <v>J</v>
    <v>J</v>
    <v>J</v>
    <v>J</v>
    <v>J</v>
    <v>2</v>
    <v>Tielt</v>
    <v>122</v>
    <v>Onderhoud Tielt</v>
    <v>151</v>
    <v>2716</v>
    <v>2716</v>
    <v>Hybride streek</v>
    <v>Gelede bus</v>
    <v>Bus</v>
  </rv>
  <rv s="0">
    <v>0</v>
    <v>2717</v>
    <v>1</v>
    <v>Generic</v>
    <v>223C</v>
    <v>Euro6</v>
    <v>1</v>
    <v>44434</v>
    <v>45175</v>
    <v>Vlaams-Brabant</v>
    <v>3</v>
    <v>J</v>
    <v>J</v>
    <v>J</v>
    <v>J</v>
    <v>J</v>
    <v>2</v>
    <v>Tielt</v>
    <v>122</v>
    <v>Onderhoud Tielt</v>
    <v>151</v>
    <v>2717</v>
    <v>2717</v>
    <v>Hybride streek</v>
    <v>Gelede bus</v>
    <v>Bus</v>
  </rv>
  <rv s="0">
    <v>0</v>
    <v>2718</v>
    <v>1</v>
    <v>Generic</v>
    <v>223C</v>
    <v>Euro6</v>
    <v>1</v>
    <v>44434</v>
    <v>45175</v>
    <v>Vlaams-Brabant</v>
    <v>3</v>
    <v>J</v>
    <v>J</v>
    <v>J</v>
    <v>J</v>
    <v>J</v>
    <v>2</v>
    <v>Tielt</v>
    <v>122</v>
    <v>Onderhoud Tielt</v>
    <v>151</v>
    <v>2718</v>
    <v>2718</v>
    <v>Hybride streek</v>
    <v>Gelede bus</v>
    <v>Bus</v>
  </rv>
  <rv s="0">
    <v>0</v>
    <v>2719</v>
    <v>1</v>
    <v>Generic</v>
    <v>223C</v>
    <v>Euro6</v>
    <v>1</v>
    <v>44448</v>
    <v>45175</v>
    <v>Vlaams-Brabant</v>
    <v>3</v>
    <v>J</v>
    <v>J</v>
    <v>J</v>
    <v>J</v>
    <v>J</v>
    <v>2</v>
    <v>Tielt</v>
    <v>122</v>
    <v>Onderhoud Tielt</v>
    <v>151</v>
    <v>2719</v>
    <v>2719</v>
    <v>Hybride streek</v>
    <v>Gelede bus</v>
    <v>Bus</v>
  </rv>
  <rv s="0">
    <v>0</v>
    <v>2720</v>
    <v>1</v>
    <v>Generic</v>
    <v>223C</v>
    <v>Euro6</v>
    <v>1</v>
    <v>44460</v>
    <v>45175</v>
    <v>Vlaams-Brabant</v>
    <v>3</v>
    <v>J</v>
    <v>J</v>
    <v>J</v>
    <v>J</v>
    <v>J</v>
    <v>2</v>
    <v>Tielt</v>
    <v>122</v>
    <v>Onderhoud Tielt</v>
    <v>151</v>
    <v>2720</v>
    <v>2720</v>
    <v>Hybride streek</v>
    <v>Gelede bus</v>
    <v>Bus</v>
  </rv>
  <rv s="0">
    <v>0</v>
    <v>2721</v>
    <v>1</v>
    <v>Generic</v>
    <v>223C</v>
    <v>Euro6</v>
    <v>1</v>
    <v>44460</v>
    <v>45175</v>
    <v>Vlaams-Brabant</v>
    <v>3</v>
    <v>J</v>
    <v>J</v>
    <v>J</v>
    <v>J</v>
    <v>J</v>
    <v>2</v>
    <v>Tielt</v>
    <v>122</v>
    <v>Onderhoud Tielt</v>
    <v>151</v>
    <v>2721</v>
    <v>2721</v>
    <v>Hybride streek</v>
    <v>Gelede bus</v>
    <v>Bus</v>
  </rv>
  <rv s="0">
    <v>0</v>
    <v>2722</v>
    <v>1</v>
    <v>Generic</v>
    <v>223C</v>
    <v>Euro6</v>
    <v>1</v>
    <v>44544</v>
    <v>45175</v>
    <v>Vlaams-Brabant</v>
    <v>3</v>
    <v>J</v>
    <v>J</v>
    <v>J</v>
    <v>J</v>
    <v>J</v>
    <v>2</v>
    <v>Tielt</v>
    <v>122</v>
    <v>Onderhoud Tielt</v>
    <v>151</v>
    <v>2722</v>
    <v>2722</v>
    <v>Hybride streek</v>
    <v>Gelede bus</v>
    <v>Bus</v>
  </rv>
  <rv s="0">
    <v>0</v>
    <v>2723</v>
    <v>1</v>
    <v>Generic</v>
    <v>223C</v>
    <v>Euro6</v>
    <v>1</v>
    <v>44515</v>
    <v>45175</v>
    <v>Vlaams-Brabant</v>
    <v>3</v>
    <v>J</v>
    <v>J</v>
    <v>J</v>
    <v>J</v>
    <v>J</v>
    <v>2</v>
    <v>Tielt</v>
    <v>122</v>
    <v>Onderhoud Tielt</v>
    <v>151</v>
    <v>2723</v>
    <v>2723</v>
    <v>Hybride streek</v>
    <v>Gelede bus</v>
    <v>Bus</v>
  </rv>
  <rv s="0">
    <v>0</v>
    <v>2724</v>
    <v>1</v>
    <v>Generic</v>
    <v>223C</v>
    <v>Euro6</v>
    <v>1</v>
    <v>44580</v>
    <v>45175</v>
    <v>Vlaams-Brabant</v>
    <v>3</v>
    <v>J</v>
    <v>J</v>
    <v>J</v>
    <v>J</v>
    <v>J</v>
    <v>2</v>
    <v>Tielt</v>
    <v>122</v>
    <v>Onderhoud Tielt</v>
    <v>151</v>
    <v>2724</v>
    <v>2724</v>
    <v>Hybride streek</v>
    <v>Gelede bus</v>
    <v>Bus</v>
  </rv>
  <rv s="0">
    <v>0</v>
    <v>2725</v>
    <v>1</v>
    <v>Generic</v>
    <v>223C</v>
    <v>Euro6</v>
    <v>1</v>
    <v>44544</v>
    <v>45175</v>
    <v>Vlaams-Brabant</v>
    <v>3</v>
    <v>J</v>
    <v>J</v>
    <v>J</v>
    <v>J</v>
    <v>J</v>
    <v>2</v>
    <v>Tielt</v>
    <v>122</v>
    <v>Onderhoud Tielt</v>
    <v>151</v>
    <v>2725</v>
    <v>2725</v>
    <v>Hybride streek</v>
    <v>Gelede bus</v>
    <v>Bus</v>
  </rv>
  <rv s="0">
    <v>0</v>
    <v>2726</v>
    <v>1</v>
    <v>Generic</v>
    <v>223C</v>
    <v>Euro6</v>
    <v>1</v>
    <v>44574</v>
    <v>45175</v>
    <v>Vlaams-Brabant</v>
    <v>3</v>
    <v>J</v>
    <v>J</v>
    <v>J</v>
    <v>J</v>
    <v>J</v>
    <v>2</v>
    <v>Tielt</v>
    <v>122</v>
    <v>Onderhoud Tielt</v>
    <v>151</v>
    <v>2726</v>
    <v>2726</v>
    <v>Hybride streek</v>
    <v>Gelede bus</v>
    <v>Bus</v>
  </rv>
  <rv s="0">
    <v>0</v>
    <v>2727</v>
    <v>1</v>
    <v>Generic</v>
    <v>223C</v>
    <v>Euro6</v>
    <v>1</v>
    <v>44544</v>
    <v>45175</v>
    <v>Vlaams-Brabant</v>
    <v>3</v>
    <v>J</v>
    <v>J</v>
    <v>J</v>
    <v>J</v>
    <v>J</v>
    <v>2</v>
    <v>Tielt</v>
    <v>122</v>
    <v>Onderhoud Tielt</v>
    <v>151</v>
    <v>2727</v>
    <v>2727</v>
    <v>Hybride streek</v>
    <v>Gelede bus</v>
    <v>Bus</v>
  </rv>
  <rv s="0">
    <v>0</v>
    <v>2728</v>
    <v>1</v>
    <v>Generic</v>
    <v>223C</v>
    <v>Euro6</v>
    <v>1</v>
    <v>44551</v>
    <v>45175</v>
    <v>Vlaams-Brabant</v>
    <v>3</v>
    <v>J</v>
    <v>J</v>
    <v>J</v>
    <v>J</v>
    <v>J</v>
    <v>2</v>
    <v>Tielt</v>
    <v>122</v>
    <v>Onderhoud Tielt</v>
    <v>151</v>
    <v>2728</v>
    <v>2728</v>
    <v>Hybride streek</v>
    <v>Gelede bus</v>
    <v>Bus</v>
  </rv>
  <rv s="0">
    <v>0</v>
    <v>2729</v>
    <v>1</v>
    <v>Generic</v>
    <v>223C</v>
    <v>Euro6</v>
    <v>1</v>
    <v>44551</v>
    <v>45175</v>
    <v>Vlaams-Brabant</v>
    <v>3</v>
    <v>J</v>
    <v>J</v>
    <v>J</v>
    <v>J</v>
    <v>J</v>
    <v>2</v>
    <v>Tielt</v>
    <v>122</v>
    <v>Onderhoud Tielt</v>
    <v>151</v>
    <v>2729</v>
    <v>2729</v>
    <v>Hybride streek</v>
    <v>Gelede bus</v>
    <v>Bus</v>
  </rv>
  <rv s="0">
    <v>0</v>
    <v>2730</v>
    <v>1</v>
    <v>Generic</v>
    <v>223C</v>
    <v>Euro6</v>
    <v>1</v>
    <v>44551</v>
    <v>45175</v>
    <v>Vlaams-Brabant</v>
    <v>3</v>
    <v>J</v>
    <v>J</v>
    <v>J</v>
    <v>J</v>
    <v>J</v>
    <v>2</v>
    <v>Tielt</v>
    <v>122</v>
    <v>Onderhoud Tielt</v>
    <v>151</v>
    <v>2730</v>
    <v>2730</v>
    <v>Hybride streek</v>
    <v>Gelede bus</v>
    <v>Bus</v>
  </rv>
  <rv s="0">
    <v>0</v>
    <v>2731</v>
    <v>1</v>
    <v>Generic</v>
    <v>223C</v>
    <v>Euro6</v>
    <v>1</v>
    <v>44600</v>
    <v>45175</v>
    <v>Vlaams-Brabant</v>
    <v>3</v>
    <v>J</v>
    <v>J</v>
    <v>J</v>
    <v>J</v>
    <v>J</v>
    <v>2</v>
    <v>Tielt</v>
    <v>122</v>
    <v>Onderhoud Tielt</v>
    <v>151</v>
    <v>2731</v>
    <v>2731</v>
    <v>Hybride streek</v>
    <v>Gelede bus</v>
    <v>Bus</v>
  </rv>
  <rv s="0">
    <v>0</v>
    <v>2732</v>
    <v>1</v>
    <v>Generic</v>
    <v>223C</v>
    <v>Euro6</v>
    <v>1</v>
    <v>44574</v>
    <v>45175</v>
    <v>Vlaams-Brabant</v>
    <v>3</v>
    <v>J</v>
    <v>J</v>
    <v>J</v>
    <v>J</v>
    <v>J</v>
    <v>2</v>
    <v>Tielt</v>
    <v>122</v>
    <v>Onderhoud Tielt</v>
    <v>151</v>
    <v>2732</v>
    <v>2732</v>
    <v>Hybride streek</v>
    <v>Gelede bus</v>
    <v>Bus</v>
  </rv>
  <rv s="0">
    <v>0</v>
    <v>2733</v>
    <v>1</v>
    <v>Generic</v>
    <v>223C</v>
    <v>Euro6</v>
    <v>1</v>
    <v>44550</v>
    <v>45175</v>
    <v>Vlaams-Brabant</v>
    <v>3</v>
    <v>J</v>
    <v>J</v>
    <v>J</v>
    <v>J</v>
    <v>J</v>
    <v>2</v>
    <v>Tielt</v>
    <v>122</v>
    <v>Onderhoud Tielt</v>
    <v>151</v>
    <v>2733</v>
    <v>2733</v>
    <v>Hybride streek</v>
    <v>Gelede bus</v>
    <v>Bus</v>
  </rv>
  <rv s="0">
    <v>0</v>
    <v>2734</v>
    <v>1</v>
    <v>Generic</v>
    <v>223C</v>
    <v>Euro6</v>
    <v>1</v>
    <v>44586</v>
    <v>45175</v>
    <v>Vlaams-Brabant</v>
    <v>3</v>
    <v>J</v>
    <v>J</v>
    <v>J</v>
    <v>J</v>
    <v>J</v>
    <v>2</v>
    <v>Tielt</v>
    <v>122</v>
    <v>Onderhoud Tielt</v>
    <v>151</v>
    <v>2734</v>
    <v>2734</v>
    <v>Hybride streek</v>
    <v>Gelede bus</v>
    <v>Bus</v>
  </rv>
  <rv s="0">
    <v>0</v>
    <v>2735</v>
    <v>1</v>
    <v>Generic</v>
    <v>223C</v>
    <v>Euro6</v>
    <v>1</v>
    <v>44594</v>
    <v>45175</v>
    <v>Vlaams-Brabant</v>
    <v>3</v>
    <v>J</v>
    <v>J</v>
    <v>J</v>
    <v>J</v>
    <v>J</v>
    <v>2</v>
    <v>Tielt</v>
    <v>122</v>
    <v>Onderhoud Tielt</v>
    <v>151</v>
    <v>2735</v>
    <v>2735</v>
    <v>Hybride streek</v>
    <v>Gelede bus</v>
    <v>Bus</v>
  </rv>
  <rv s="0">
    <v>0</v>
    <v>2736</v>
    <v>1</v>
    <v>Generic</v>
    <v>223C</v>
    <v>Euro6</v>
    <v>1</v>
    <v>44581</v>
    <v>45175</v>
    <v>Vlaams-Brabant</v>
    <v>3</v>
    <v>J</v>
    <v>J</v>
    <v>J</v>
    <v>J</v>
    <v>J</v>
    <v>2</v>
    <v>Tielt</v>
    <v>122</v>
    <v>Onderhoud Tielt</v>
    <v>151</v>
    <v>2736</v>
    <v>2736</v>
    <v>Hybride streek</v>
    <v>Gelede bus</v>
    <v>Bus</v>
  </rv>
  <rv s="0">
    <v>0</v>
    <v>2737</v>
    <v>1</v>
    <v>Generic</v>
    <v>223C</v>
    <v>Euro6</v>
    <v>1</v>
    <v>44579</v>
    <v>45175</v>
    <v>Vlaams-Brabant</v>
    <v>3</v>
    <v>J</v>
    <v>J</v>
    <v>J</v>
    <v>J</v>
    <v>J</v>
    <v>2</v>
    <v>Tielt</v>
    <v>122</v>
    <v>Onderhoud Tielt</v>
    <v>151</v>
    <v>2737</v>
    <v>2737</v>
    <v>Hybride streek</v>
    <v>Gelede bus</v>
    <v>Bus</v>
  </rv>
  <rv s="0">
    <v>0</v>
    <v>2738</v>
    <v>1</v>
    <v>Generic</v>
    <v>223C</v>
    <v>Euro6</v>
    <v>1</v>
    <v>44574</v>
    <v>45175</v>
    <v>Vlaams-Brabant</v>
    <v>3</v>
    <v>J</v>
    <v>J</v>
    <v>J</v>
    <v>J</v>
    <v>J</v>
    <v>2</v>
    <v>Tielt</v>
    <v>122</v>
    <v>Onderhoud Tielt</v>
    <v>151</v>
    <v>2738</v>
    <v>2738</v>
    <v>Hybride streek</v>
    <v>Gelede bus</v>
    <v>Bus</v>
  </rv>
  <rv s="0">
    <v>0</v>
    <v>2739</v>
    <v>1</v>
    <v>Generic</v>
    <v>223C</v>
    <v>Euro6</v>
    <v>1</v>
    <v>44600</v>
    <v>45175</v>
    <v>Vlaams-Brabant</v>
    <v>3</v>
    <v>J</v>
    <v>J</v>
    <v>J</v>
    <v>J</v>
    <v>J</v>
    <v>2</v>
    <v>Tielt</v>
    <v>122</v>
    <v>Onderhoud Tielt</v>
    <v>151</v>
    <v>2739</v>
    <v>2739</v>
    <v>Hybride streek</v>
    <v>Gelede bus</v>
    <v>Bus</v>
  </rv>
  <rv s="0">
    <v>0</v>
    <v>2740</v>
    <v>1</v>
    <v>Generic</v>
    <v>223C</v>
    <v>Euro6</v>
    <v>1</v>
    <v>44601</v>
    <v>45175</v>
    <v>Vlaams-Brabant</v>
    <v>3</v>
    <v>J</v>
    <v>J</v>
    <v>J</v>
    <v>J</v>
    <v>J</v>
    <v>2</v>
    <v>Tielt</v>
    <v>122</v>
    <v>Onderhoud Tielt</v>
    <v>151</v>
    <v>2740</v>
    <v>2740</v>
    <v>Hybride streek</v>
    <v>Gelede bus</v>
    <v>Bus</v>
  </rv>
  <rv s="0">
    <v>0</v>
    <v>2741</v>
    <v>1</v>
    <v>Generic</v>
    <v>223C</v>
    <v>Euro6</v>
    <v>1</v>
    <v>44610</v>
    <v>45175</v>
    <v>Vlaams-Brabant</v>
    <v>3</v>
    <v>J</v>
    <v>J</v>
    <v>J</v>
    <v>J</v>
    <v>J</v>
    <v>2</v>
    <v>Tielt</v>
    <v>122</v>
    <v>Onderhoud Tielt</v>
    <v>151</v>
    <v>2741</v>
    <v>2741</v>
    <v>Hybride streek</v>
    <v>Gelede bus</v>
    <v>Bus</v>
  </rv>
  <rv s="0">
    <v>0</v>
    <v>2742</v>
    <v>1</v>
    <v>Generic</v>
    <v>223C</v>
    <v>Euro6</v>
    <v>1</v>
    <v>44586</v>
    <v>45175</v>
    <v>Vlaams-Brabant</v>
    <v>3</v>
    <v>J</v>
    <v>J</v>
    <v>J</v>
    <v>J</v>
    <v>J</v>
    <v>2</v>
    <v>Overijse</v>
    <v>115</v>
    <v>Onderhoud Overijse</v>
    <v>144</v>
    <v>2742</v>
    <v>2742</v>
    <v>Hybride streek</v>
    <v>Gelede bus</v>
    <v>Bus</v>
  </rv>
  <rv s="0">
    <v>0</v>
    <v>2743</v>
    <v>1</v>
    <v>Generic</v>
    <v>223C</v>
    <v>Euro6</v>
    <v>1</v>
    <v>44627</v>
    <v>45175</v>
    <v>Vlaams-Brabant</v>
    <v>3</v>
    <v>J</v>
    <v>J</v>
    <v>J</v>
    <v>J</v>
    <v>J</v>
    <v>2</v>
    <v>Overijse</v>
    <v>115</v>
    <v>Onderhoud Overijse</v>
    <v>144</v>
    <v>2743</v>
    <v>2743</v>
    <v>Hybride streek</v>
    <v>Gelede bus</v>
    <v>Bus</v>
  </rv>
  <rv s="0">
    <v>0</v>
    <v>2744</v>
    <v>1</v>
    <v>Generic</v>
    <v>223C</v>
    <v>Euro6</v>
    <v>1</v>
    <v>44640</v>
    <v>45175</v>
    <v>Vlaams-Brabant</v>
    <v>3</v>
    <v>J</v>
    <v>J</v>
    <v>J</v>
    <v>J</v>
    <v>J</v>
    <v>1</v>
    <v>Overijse</v>
    <v>115</v>
    <v>Onderhoud Overijse</v>
    <v>144</v>
    <v>2744</v>
    <v>2744</v>
    <v>Hybride streek</v>
    <v>Gelede bus</v>
    <v>Bus</v>
  </rv>
  <rv s="0">
    <v>0</v>
    <v>2745</v>
    <v>1</v>
    <v>Generic</v>
    <v>223C</v>
    <v>Euro6</v>
    <v>1</v>
    <v>44600</v>
    <v>45175</v>
    <v>Vlaams-Brabant</v>
    <v>3</v>
    <v>J</v>
    <v>J</v>
    <v>J</v>
    <v>J</v>
    <v>J</v>
    <v>2</v>
    <v>Overijse</v>
    <v>115</v>
    <v>Onderhoud Overijse</v>
    <v>144</v>
    <v>2745</v>
    <v>2745</v>
    <v>Hybride streek</v>
    <v>Gelede bus</v>
    <v>Bus</v>
  </rv>
  <rv s="0">
    <v>0</v>
    <v>2746</v>
    <v>1</v>
    <v>Generic</v>
    <v>223C</v>
    <v>Euro6</v>
    <v>1</v>
    <v>44644</v>
    <v>45175</v>
    <v>Vlaams-Brabant</v>
    <v>3</v>
    <v>J</v>
    <v>J</v>
    <v>J</v>
    <v>J</v>
    <v>J</v>
    <v>1</v>
    <v>Overijse</v>
    <v>115</v>
    <v>Onderhoud Overijse</v>
    <v>144</v>
    <v>2746</v>
    <v>2746</v>
    <v>Hybride streek</v>
    <v>Gelede bus</v>
    <v>Bus</v>
  </rv>
  <rv s="0">
    <v>0</v>
    <v>2747</v>
    <v>1</v>
    <v>Generic</v>
    <v>223C</v>
    <v>Euro6</v>
    <v>1</v>
    <v>44589</v>
    <v>45175</v>
    <v>Vlaams-Brabant</v>
    <v>3</v>
    <v>J</v>
    <v>J</v>
    <v>J</v>
    <v>J</v>
    <v>J</v>
    <v>2</v>
    <v>Vilvoorde</v>
    <v>133</v>
    <v>Onderhoud Vilvoorde</v>
    <v>150</v>
    <v>2747</v>
    <v>2747</v>
    <v>Hybride streek</v>
    <v>Gelede bus</v>
    <v>Bus</v>
  </rv>
  <rv s="0">
    <v>0</v>
    <v>2748</v>
    <v>1</v>
    <v>Generic</v>
    <v>223C</v>
    <v>Euro6</v>
    <v>1</v>
    <v>44600</v>
    <v>45175</v>
    <v>Vlaams-Brabant</v>
    <v>3</v>
    <v>J</v>
    <v>J</v>
    <v>J</v>
    <v>J</v>
    <v>J</v>
    <v>2</v>
    <v>Vilvoorde</v>
    <v>133</v>
    <v>Onderhoud Vilvoorde</v>
    <v>150</v>
    <v>2748</v>
    <v>2748</v>
    <v>Hybride streek</v>
    <v>Gelede bus</v>
    <v>Bus</v>
  </rv>
  <rv s="0">
    <v>0</v>
    <v>2749</v>
    <v>1</v>
    <v>Generic</v>
    <v>223C</v>
    <v>Euro6</v>
    <v>1</v>
    <v>44627</v>
    <v>45175</v>
    <v>Vlaams-Brabant</v>
    <v>3</v>
    <v>J</v>
    <v>J</v>
    <v>J</v>
    <v>J</v>
    <v>J</v>
    <v>2</v>
    <v>Vilvoorde</v>
    <v>133</v>
    <v>Onderhoud Vilvoorde</v>
    <v>150</v>
    <v>2749</v>
    <v>2749</v>
    <v>Hybride streek</v>
    <v>Gelede bus</v>
    <v>Bus</v>
  </rv>
  <rv s="0">
    <v>0</v>
    <v>2750</v>
    <v>1</v>
    <v>Generic</v>
    <v>223C</v>
    <v>Euro6</v>
    <v>1</v>
    <v>44627</v>
    <v>45175</v>
    <v>Vlaams-Brabant</v>
    <v>3</v>
    <v>J</v>
    <v>J</v>
    <v>J</v>
    <v>J</v>
    <v>J</v>
    <v>2</v>
    <v>Vilvoorde</v>
    <v>133</v>
    <v>Onderhoud Vilvoorde</v>
    <v>150</v>
    <v>2750</v>
    <v>2750</v>
    <v>Hybride streek</v>
    <v>Gelede bus</v>
    <v>Bus</v>
  </rv>
  <rv s="0">
    <v>0</v>
    <v>2751</v>
    <v>1</v>
    <v>Generic</v>
    <v>223C2A</v>
    <v>Euro6</v>
    <v>1</v>
    <v>44749</v>
    <v>45175</v>
    <v>Antwerpen</v>
    <v>1</v>
    <v>J</v>
    <v>J</v>
    <v>J</v>
    <v>J</v>
    <v>J</v>
    <v>1</v>
    <v>Turnhout</v>
    <v>122</v>
    <v>Onderhoud Turnhout</v>
    <v>143</v>
    <v>2751</v>
    <v>2751</v>
    <v>Hybride streek</v>
    <v>Gelede bus</v>
    <v>Bus</v>
  </rv>
  <rv s="0">
    <v>0</v>
    <v>2752</v>
    <v>1</v>
    <v>Generic</v>
    <v>223C2A</v>
    <v>Euro6</v>
    <v>1</v>
    <v>44755</v>
    <v>45175</v>
    <v>Antwerpen</v>
    <v>1</v>
    <v>J</v>
    <v>J</v>
    <v>J</v>
    <v>J</v>
    <v>J</v>
    <v>1</v>
    <v>Turnhout</v>
    <v>122</v>
    <v>Onderhoud Turnhout</v>
    <v>143</v>
    <v>2752</v>
    <v>2752</v>
    <v>Hybride streek</v>
    <v>Gelede bus</v>
    <v>Bus</v>
  </rv>
  <rv s="0">
    <v>0</v>
    <v>2753</v>
    <v>1</v>
    <v>Generic</v>
    <v>223C2A</v>
    <v>Euro6</v>
    <v>1</v>
    <v>44740</v>
    <v>45175</v>
    <v>Antwerpen</v>
    <v>1</v>
    <v>J</v>
    <v>J</v>
    <v>J</v>
    <v>J</v>
    <v>J</v>
    <v>1</v>
    <v>Turnhout</v>
    <v>122</v>
    <v>Onderhoud Turnhout</v>
    <v>143</v>
    <v>2753</v>
    <v>2753</v>
    <v>Hybride streek</v>
    <v>Gelede bus</v>
    <v>Bus</v>
  </rv>
  <rv s="0">
    <v>0</v>
    <v>2754</v>
    <v>1</v>
    <v>Generic</v>
    <v>223C2A</v>
    <v>Euro6</v>
    <v>1</v>
    <v>44740</v>
    <v>45175</v>
    <v>Antwerpen</v>
    <v>1</v>
    <v>J</v>
    <v>J</v>
    <v>J</v>
    <v>J</v>
    <v>J</v>
    <v>1</v>
    <v>Turnhout</v>
    <v>122</v>
    <v>Onderhoud Turnhout</v>
    <v>143</v>
    <v>2754</v>
    <v>2754</v>
    <v>Hybride streek</v>
    <v>Gelede bus</v>
    <v>Bus</v>
  </rv>
  <rv s="0">
    <v>0</v>
    <v>2755</v>
    <v>1</v>
    <v>Generic</v>
    <v>223C2A</v>
    <v>Euro6</v>
    <v>1</v>
    <v>44741</v>
    <v>45175</v>
    <v>Antwerpen</v>
    <v>1</v>
    <v>J</v>
    <v>J</v>
    <v>J</v>
    <v>J</v>
    <v>J</v>
    <v>1</v>
    <v>Turnhout</v>
    <v>122</v>
    <v>Onderhoud Turnhout</v>
    <v>143</v>
    <v>2755</v>
    <v>2755</v>
    <v>Hybride streek</v>
    <v>Gelede bus</v>
    <v>Bus</v>
  </rv>
  <rv s="0">
    <v>0</v>
    <v>2756</v>
    <v>1</v>
    <v>Generic</v>
    <v>223C2A</v>
    <v>Euro6</v>
    <v>1</v>
    <v>44824</v>
    <v>45175</v>
    <v>Antwerpen</v>
    <v>1</v>
    <v>J</v>
    <v>J</v>
    <v>J</v>
    <v>J</v>
    <v>J</v>
    <v>1</v>
    <v>Turnhout</v>
    <v>122</v>
    <v>Onderhoud Turnhout</v>
    <v>143</v>
    <v>2756</v>
    <v>2756</v>
    <v>Hybride streek</v>
    <v>Gelede bus</v>
    <v>Bus</v>
  </rv>
  <rv s="0">
    <v>0</v>
    <v>2757</v>
    <v>1</v>
    <v>Generic</v>
    <v>223C2A</v>
    <v>Euro6</v>
    <v>1</v>
    <v>44749</v>
    <v>45175</v>
    <v>Antwerpen</v>
    <v>1</v>
    <v>J</v>
    <v>J</v>
    <v>J</v>
    <v>J</v>
    <v>J</v>
    <v>1</v>
    <v>Turnhout</v>
    <v>122</v>
    <v>Onderhoud Turnhout</v>
    <v>143</v>
    <v>2757</v>
    <v>2757</v>
    <v>Hybride streek</v>
    <v>Gelede bus</v>
    <v>Bus</v>
  </rv>
  <rv s="0">
    <v>0</v>
    <v>2758</v>
    <v>1</v>
    <v>Generic</v>
    <v>223C2A</v>
    <v>Euro6</v>
    <v>1</v>
    <v>44824</v>
    <v>45175</v>
    <v>Antwerpen</v>
    <v>1</v>
    <v>J</v>
    <v>J</v>
    <v>J</v>
    <v>J</v>
    <v>J</v>
    <v>1</v>
    <v>Turnhout</v>
    <v>122</v>
    <v>Onderhoud Turnhout</v>
    <v>143</v>
    <v>2758</v>
    <v>2758</v>
    <v>Hybride streek</v>
    <v>Gelede bus</v>
    <v>Bus</v>
  </rv>
  <rv s="0">
    <v>0</v>
    <v>2759</v>
    <v>1</v>
    <v>Generic</v>
    <v>223C2A</v>
    <v>Euro6</v>
    <v>1</v>
    <v>44819</v>
    <v>45175</v>
    <v>Antwerpen</v>
    <v>1</v>
    <v>J</v>
    <v>J</v>
    <v>J</v>
    <v>J</v>
    <v>J</v>
    <v>1</v>
    <v>Turnhout</v>
    <v>122</v>
    <v>Onderhoud Turnhout</v>
    <v>143</v>
    <v>2759</v>
    <v>2759</v>
    <v>Hybride streek</v>
    <v>Gelede bus</v>
    <v>Bus</v>
  </rv>
  <rv s="0">
    <v>0</v>
    <v>2760</v>
    <v>1</v>
    <v>Generic</v>
    <v>223C2A</v>
    <v>Euro6</v>
    <v>1</v>
    <v>44824</v>
    <v>45175</v>
    <v>Antwerpen</v>
    <v>1</v>
    <v>J</v>
    <v>J</v>
    <v>J</v>
    <v>J</v>
    <v>J</v>
    <v>1</v>
    <v>Tjalkstraat</v>
    <v>111</v>
    <v>Onderhoud Tjalkstraat</v>
    <v>142</v>
    <v>2760</v>
    <v>2760</v>
    <v>Hybride streek</v>
    <v>Gelede bus</v>
    <v>Bus</v>
  </rv>
  <rv s="0">
    <v>0</v>
    <v>2761</v>
    <v>1</v>
    <v>Generic</v>
    <v>223C2A</v>
    <v>Euro6</v>
    <v>1</v>
    <v>44756</v>
    <v>45175</v>
    <v>Antwerpen</v>
    <v>1</v>
    <v>J</v>
    <v>J</v>
    <v>J</v>
    <v>J</v>
    <v>J</v>
    <v>1</v>
    <v>Tjalkstraat</v>
    <v>111</v>
    <v>Onderhoud Tjalkstraat</v>
    <v>142</v>
    <v>2761</v>
    <v>2761</v>
    <v>Hybride streek</v>
    <v>Gelede bus</v>
    <v>Bus</v>
  </rv>
  <rv s="0">
    <v>0</v>
    <v>2762</v>
    <v>1</v>
    <v>Generic</v>
    <v>223C2A</v>
    <v>Euro6</v>
    <v>1</v>
    <v>44824</v>
    <v>45175</v>
    <v>Antwerpen</v>
    <v>1</v>
    <v>J</v>
    <v>J</v>
    <v>J</v>
    <v>J</v>
    <v>J</v>
    <v>1</v>
    <v>Tjalkstraat</v>
    <v>111</v>
    <v>Onderhoud Tjalkstraat</v>
    <v>142</v>
    <v>2762</v>
    <v>2762</v>
    <v>Hybride streek</v>
    <v>Gelede bus</v>
    <v>Bus</v>
  </rv>
  <rv s="0">
    <v>0</v>
    <v>2763</v>
    <v>1</v>
    <v>Generic</v>
    <v>223C2A</v>
    <v>Euro6</v>
    <v>1</v>
    <v>44819</v>
    <v>45175</v>
    <v>Antwerpen</v>
    <v>1</v>
    <v>J</v>
    <v>J</v>
    <v>J</v>
    <v>J</v>
    <v>J</v>
    <v>1</v>
    <v>Tjalkstraat</v>
    <v>111</v>
    <v>Onderhoud Tjalkstraat</v>
    <v>142</v>
    <v>2763</v>
    <v>2763</v>
    <v>Hybride streek</v>
    <v>Gelede bus</v>
    <v>Bus</v>
  </rv>
  <rv s="0">
    <v>0</v>
    <v>2764</v>
    <v>1</v>
    <v>Generic</v>
    <v>223C2A</v>
    <v>Euro6</v>
    <v>1</v>
    <v>44846</v>
    <v>45175</v>
    <v>Antwerpen</v>
    <v>1</v>
    <v>J</v>
    <v>J</v>
    <v>J</v>
    <v>J</v>
    <v>J</v>
    <v>1</v>
    <v>Tjalkstraat</v>
    <v>111</v>
    <v>Onderhoud Tjalkstraat</v>
    <v>142</v>
    <v>2764</v>
    <v>2764</v>
    <v>Hybride streek</v>
    <v>Gelede bus</v>
    <v>Bus</v>
  </rv>
  <rv s="0">
    <v>0</v>
    <v>2765</v>
    <v>1</v>
    <v>Generic</v>
    <v>223C2A</v>
    <v>Euro6</v>
    <v>1</v>
    <v>44819</v>
    <v>45175</v>
    <v>Antwerpen</v>
    <v>1</v>
    <v>J</v>
    <v>J</v>
    <v>J</v>
    <v>J</v>
    <v>J</v>
    <v>1</v>
    <v>Tjalkstraat</v>
    <v>111</v>
    <v>Onderhoud Tjalkstraat</v>
    <v>142</v>
    <v>2765</v>
    <v>2765</v>
    <v>Hybride streek</v>
    <v>Gelede bus</v>
    <v>Bus</v>
  </rv>
  <rv s="0">
    <v>0</v>
    <v>2766</v>
    <v>1</v>
    <v>Generic</v>
    <v>223C2A</v>
    <v>Euro6</v>
    <v>1</v>
    <v>44824</v>
    <v>45175</v>
    <v>Antwerpen</v>
    <v>1</v>
    <v>J</v>
    <v>J</v>
    <v>J</v>
    <v>J</v>
    <v>J</v>
    <v>1</v>
    <v>Tjalkstraat</v>
    <v>111</v>
    <v>Onderhoud Tjalkstraat</v>
    <v>142</v>
    <v>2766</v>
    <v>2766</v>
    <v>Hybride streek</v>
    <v>Gelede bus</v>
    <v>Bus</v>
  </rv>
  <rv s="0">
    <v>0</v>
    <v>2767</v>
    <v>1</v>
    <v>Generic</v>
    <v>223C2A</v>
    <v>Euro6</v>
    <v>1</v>
    <v>44824</v>
    <v>45175</v>
    <v>Antwerpen</v>
    <v>1</v>
    <v>J</v>
    <v>J</v>
    <v>J</v>
    <v>J</v>
    <v>J</v>
    <v>1</v>
    <v>Tjalkstraat</v>
    <v>111</v>
    <v>Onderhoud Tjalkstraat</v>
    <v>142</v>
    <v>2767</v>
    <v>2767</v>
    <v>Hybride streek</v>
    <v>Gelede bus</v>
    <v>Bus</v>
  </rv>
  <rv s="0">
    <v>0</v>
    <v>2768</v>
    <v>1</v>
    <v>Generic</v>
    <v>223C2A</v>
    <v>Euro6</v>
    <v>1</v>
    <v>44846</v>
    <v>45175</v>
    <v>Antwerpen</v>
    <v>1</v>
    <v>J</v>
    <v>J</v>
    <v>J</v>
    <v>J</v>
    <v>J</v>
    <v>1</v>
    <v>Tjalkstraat</v>
    <v>111</v>
    <v>Onderhoud Tjalkstraat</v>
    <v>142</v>
    <v>2768</v>
    <v>2768</v>
    <v>Hybride streek</v>
    <v>Gelede bus</v>
    <v>Bus</v>
  </rv>
  <rv s="0">
    <v>0</v>
    <v>2769</v>
    <v>1</v>
    <v>Generic</v>
    <v>223C2A</v>
    <v>Euro6</v>
    <v>1</v>
    <v>44888</v>
    <v>45175</v>
    <v>Antwerpen</v>
    <v>1</v>
    <v>J</v>
    <v>J</v>
    <v>J</v>
    <v>J</v>
    <v>J</v>
    <v>1</v>
    <v>Tjalkstraat</v>
    <v>111</v>
    <v>Onderhoud Tjalkstraat</v>
    <v>142</v>
    <v>2769</v>
    <v>2769</v>
    <v>Hybride streek</v>
    <v>Gelede bus</v>
    <v>Bus</v>
  </rv>
  <rv s="0">
    <v>0</v>
    <v>2770</v>
    <v>1</v>
    <v>Generic</v>
    <v>223C2A</v>
    <v>Euro6</v>
    <v>1</v>
    <v>44852</v>
    <v>45175</v>
    <v>Antwerpen</v>
    <v>1</v>
    <v>J</v>
    <v>J</v>
    <v>J</v>
    <v>J</v>
    <v>J</v>
    <v>1</v>
    <v>Tjalkstraat</v>
    <v>111</v>
    <v>Onderhoud Tjalkstraat</v>
    <v>142</v>
    <v>2770</v>
    <v>2770</v>
    <v>Hybride streek</v>
    <v>Gelede bus</v>
    <v>Bus</v>
  </rv>
  <rv s="0">
    <v>0</v>
    <v>2771</v>
    <v>1</v>
    <v>Generic</v>
    <v>223C2A</v>
    <v>Euro6</v>
    <v>1</v>
    <v>44846</v>
    <v>45175</v>
    <v>Antwerpen</v>
    <v>1</v>
    <v>J</v>
    <v>J</v>
    <v>J</v>
    <v>J</v>
    <v>J</v>
    <v>1</v>
    <v>Tjalkstraat</v>
    <v>111</v>
    <v>Onderhoud Tjalkstraat</v>
    <v>142</v>
    <v>2771</v>
    <v>2771</v>
    <v>Hybride streek</v>
    <v>Gelede bus</v>
    <v>Bus</v>
  </rv>
  <rv s="0">
    <v>0</v>
    <v>2772</v>
    <v>1</v>
    <v>Generic</v>
    <v>223C2A</v>
    <v>Euro6</v>
    <v>1</v>
    <v>44846</v>
    <v>45175</v>
    <v>Antwerpen</v>
    <v>1</v>
    <v>J</v>
    <v>J</v>
    <v>J</v>
    <v>J</v>
    <v>J</v>
    <v>1</v>
    <v>Tjalkstraat</v>
    <v>111</v>
    <v>Onderhoud Tjalkstraat</v>
    <v>142</v>
    <v>2772</v>
    <v>2772</v>
    <v>Hybride streek</v>
    <v>Gelede bus</v>
    <v>Bus</v>
  </rv>
  <rv s="0">
    <v>0</v>
    <v>2773</v>
    <v>1</v>
    <v>Generic</v>
    <v>223C2A</v>
    <v>Euro6</v>
    <v>1</v>
    <v>44850</v>
    <v>45175</v>
    <v>Antwerpen</v>
    <v>1</v>
    <v>J</v>
    <v>J</v>
    <v>J</v>
    <v>J</v>
    <v>J</v>
    <v>1</v>
    <v>Tjalkstraat</v>
    <v>111</v>
    <v>Onderhoud Tjalkstraat</v>
    <v>142</v>
    <v>2773</v>
    <v>2773</v>
    <v>Hybride streek</v>
    <v>Gelede bus</v>
    <v>Bus</v>
  </rv>
  <rv s="0">
    <v>0</v>
    <v>2774</v>
    <v>1</v>
    <v>Generic</v>
    <v>223C2A</v>
    <v>Euro6</v>
    <v>1</v>
    <v>44846</v>
    <v>45175</v>
    <v>Antwerpen</v>
    <v>1</v>
    <v>J</v>
    <v>J</v>
    <v>J</v>
    <v>J</v>
    <v>J</v>
    <v>1</v>
    <v>Tjalkstraat</v>
    <v>111</v>
    <v>Onderhoud Tjalkstraat</v>
    <v>142</v>
    <v>2774</v>
    <v>2774</v>
    <v>Hybride streek</v>
    <v>Gelede bus</v>
    <v>Bus</v>
  </rv>
  <rv s="0">
    <v>0</v>
    <v>2775</v>
    <v>1</v>
    <v>Generic</v>
    <v>223C2A</v>
    <v>Euro6</v>
    <v>1</v>
    <v>44867</v>
    <v>45175</v>
    <v>Antwerpen</v>
    <v>1</v>
    <v>J</v>
    <v>J</v>
    <v>J</v>
    <v>J</v>
    <v>J</v>
    <v>1</v>
    <v>Tjalkstraat</v>
    <v>111</v>
    <v>Onderhoud Tjalkstraat</v>
    <v>142</v>
    <v>2775</v>
    <v>2775</v>
    <v>Hybride streek</v>
    <v>Gelede bus</v>
    <v>Bus</v>
  </rv>
  <rv s="0">
    <v>0</v>
    <v>2776</v>
    <v>1</v>
    <v>Generic</v>
    <v>223C2A</v>
    <v>Euro6</v>
    <v>1</v>
    <v>44846</v>
    <v>45175</v>
    <v>Antwerpen</v>
    <v>1</v>
    <v>J</v>
    <v>J</v>
    <v>J</v>
    <v>J</v>
    <v>J</v>
    <v>1</v>
    <v>Tjalkstraat</v>
    <v>111</v>
    <v>Onderhoud Tjalkstraat</v>
    <v>142</v>
    <v>2776</v>
    <v>2776</v>
    <v>Hybride streek</v>
    <v>Gelede bus</v>
    <v>Bus</v>
  </rv>
  <rv s="0">
    <v>0</v>
    <v>2777</v>
    <v>1</v>
    <v>Generic</v>
    <v>223C2A</v>
    <v>Euro6</v>
    <v>1</v>
    <v>44846</v>
    <v>45175</v>
    <v>Antwerpen</v>
    <v>1</v>
    <v>J</v>
    <v>J</v>
    <v>J</v>
    <v>J</v>
    <v>J</v>
    <v>1</v>
    <v>Tjalkstraat</v>
    <v>111</v>
    <v>Onderhoud Tjalkstraat</v>
    <v>142</v>
    <v>2777</v>
    <v>2777</v>
    <v>Hybride streek</v>
    <v>Gelede bus</v>
    <v>Bus</v>
  </rv>
  <rv s="0">
    <v>0</v>
    <v>2778</v>
    <v>1</v>
    <v>Generic</v>
    <v>223C2A</v>
    <v>Euro6</v>
    <v>1</v>
    <v>44852</v>
    <v>45175</v>
    <v>Antwerpen</v>
    <v>1</v>
    <v>J</v>
    <v>J</v>
    <v>J</v>
    <v>J</v>
    <v>J</v>
    <v>1</v>
    <v>Tjalkstraat</v>
    <v>111</v>
    <v>Onderhoud Tjalkstraat</v>
    <v>142</v>
    <v>2778</v>
    <v>2778</v>
    <v>Hybride streek</v>
    <v>Gelede bus</v>
    <v>Bus</v>
  </rv>
  <rv s="0">
    <v>0</v>
    <v>2779</v>
    <v>1</v>
    <v>Generic</v>
    <v>223C2A</v>
    <v>Euro6</v>
    <v>1</v>
    <v>44867</v>
    <v>45175</v>
    <v>Antwerpen</v>
    <v>1</v>
    <v>J</v>
    <v>J</v>
    <v>J</v>
    <v>J</v>
    <v>J</v>
    <v>1</v>
    <v>Tjalkstraat</v>
    <v>111</v>
    <v>Onderhoud Tjalkstraat</v>
    <v>142</v>
    <v>2779</v>
    <v>2779</v>
    <v>Hybride streek</v>
    <v>Gelede bus</v>
    <v>Bus</v>
  </rv>
  <rv s="0">
    <v>0</v>
    <v>2780</v>
    <v>1</v>
    <v>Generic</v>
    <v>223C2A</v>
    <v>Euro6</v>
    <v>1</v>
    <v>44909</v>
    <v>45175</v>
    <v>Antwerpen</v>
    <v>1</v>
    <v>J</v>
    <v>J</v>
    <v>J</v>
    <v>J</v>
    <v>J</v>
    <v>1</v>
    <v>Tjalkstraat</v>
    <v>111</v>
    <v>Onderhoud Tjalkstraat</v>
    <v>142</v>
    <v>2780</v>
    <v>2780</v>
    <v>Hybride streek</v>
    <v>Gelede bus</v>
    <v>Bus</v>
  </rv>
  <rv s="0">
    <v>0</v>
    <v>2781</v>
    <v>1</v>
    <v>Generic</v>
    <v>223C2B</v>
    <v>Euro6</v>
    <v>1</v>
    <v>44979</v>
    <v>45175</v>
    <v>Vlaams-Brabant</v>
    <v>3</v>
    <v>J</v>
    <v>J</v>
    <v>J</v>
    <v>J</v>
    <v>J</v>
    <v>1</v>
    <v>Leuven Noord</v>
    <v>124</v>
    <v>Onderhoud Leuven Noord</v>
    <v>152</v>
    <v>2781</v>
    <v>2781</v>
    <v>Hybride streek</v>
    <v>Gelede bus</v>
    <v>Bus</v>
  </rv>
  <rv s="0">
    <v>0</v>
    <v>2782</v>
    <v>1</v>
    <v>Generic</v>
    <v>223C2B</v>
    <v>Euro6</v>
    <v>1</v>
    <v>44930</v>
    <v>45175</v>
    <v>Vlaams-Brabant</v>
    <v>3</v>
    <v>J</v>
    <v>J</v>
    <v>J</v>
    <v>J</v>
    <v>J</v>
    <v>1</v>
    <v>Leuven Noord</v>
    <v>124</v>
    <v>Onderhoud Leuven Noord</v>
    <v>152</v>
    <v>2782</v>
    <v>2782</v>
    <v>Hybride streek</v>
    <v>Gelede bus</v>
    <v>Bus</v>
  </rv>
  <rv s="0">
    <v>0</v>
    <v>2783</v>
    <v>1</v>
    <v>Generic</v>
    <v>223C2B</v>
    <v>Euro6</v>
    <v>1</v>
    <v>44862</v>
    <v>45175</v>
    <v>Vlaams-Brabant</v>
    <v>3</v>
    <v>J</v>
    <v>J</v>
    <v>J</v>
    <v>J</v>
    <v>J</v>
    <v>1</v>
    <v>Leuven Noord</v>
    <v>124</v>
    <v>Onderhoud Leuven Noord</v>
    <v>152</v>
    <v>2783</v>
    <v>2783</v>
    <v>Hybride streek</v>
    <v>Gelede bus</v>
    <v>Bus</v>
  </rv>
  <rv s="0">
    <v>0</v>
    <v>2784</v>
    <v>1</v>
    <v>Generic</v>
    <v>223C2B</v>
    <v>Euro6</v>
    <v>1</v>
    <v>44999</v>
    <v>45175</v>
    <v>Vlaams-Brabant</v>
    <v>3</v>
    <v>J</v>
    <v>J</v>
    <v>J</v>
    <v>J</v>
    <v>J</v>
    <v>1</v>
    <v>Leuven Noord</v>
    <v>124</v>
    <v>Onderhoud Leuven Noord</v>
    <v>152</v>
    <v>2784</v>
    <v>2784</v>
    <v>Hybride streek</v>
    <v>Gelede bus</v>
    <v>Bus</v>
  </rv>
  <rv s="0">
    <v>0</v>
    <v>2785</v>
    <v>1</v>
    <v>Generic</v>
    <v>223C2B</v>
    <v>Euro6</v>
    <v>1</v>
    <v>45006</v>
    <v>45175</v>
    <v>Vlaams-Brabant</v>
    <v>3</v>
    <v>J</v>
    <v>J</v>
    <v>J</v>
    <v>J</v>
    <v>J</v>
    <v>0</v>
    <v>Leuven Noord</v>
    <v>124</v>
    <v>Onderhoud Leuven Noord</v>
    <v>152</v>
    <v>2785</v>
    <v>2785</v>
    <v>Hybride streek</v>
    <v>Gelede bus</v>
    <v>Bus</v>
  </rv>
  <rv s="0">
    <v>0</v>
    <v>2786</v>
    <v>1</v>
    <v>Generic</v>
    <v>223C2B</v>
    <v>Euro6</v>
    <v>1</v>
    <v>45023</v>
    <v>45175</v>
    <v>Vlaams-Brabant</v>
    <v>3</v>
    <v>J</v>
    <v>J</v>
    <v>J</v>
    <v>J</v>
    <v>J</v>
    <v>0</v>
    <v>Leuven Noord</v>
    <v>124</v>
    <v>Onderhoud Leuven Noord</v>
    <v>152</v>
    <v>2786</v>
    <v>2786</v>
    <v>Hybride streek</v>
    <v>Gelede bus</v>
    <v>Bus</v>
  </rv>
  <rv s="0">
    <v>0</v>
    <v>2787</v>
    <v>1</v>
    <v>Generic</v>
    <v>223C2B</v>
    <v>Euro6</v>
    <v>1</v>
    <v>45016</v>
    <v>45175</v>
    <v>Vlaams-Brabant</v>
    <v>3</v>
    <v>J</v>
    <v>J</v>
    <v>J</v>
    <v>J</v>
    <v>J</v>
    <v>0</v>
    <v>Leuven Noord</v>
    <v>124</v>
    <v>Onderhoud Leuven Noord</v>
    <v>152</v>
    <v>2787</v>
    <v>2787</v>
    <v>Hybride streek</v>
    <v>Gelede bus</v>
    <v>Bus</v>
  </rv>
  <rv s="0">
    <v>0</v>
    <v>2788</v>
    <v>1</v>
    <v>Generic</v>
    <v>223C2B</v>
    <v>Euro6</v>
    <v>1</v>
    <v>44977</v>
    <v>45175</v>
    <v>Vlaams-Brabant</v>
    <v>3</v>
    <v>J</v>
    <v>J</v>
    <v>J</v>
    <v>J</v>
    <v>J</v>
    <v>1</v>
    <v>Leuven Noord</v>
    <v>124</v>
    <v>Onderhoud Leuven Noord</v>
    <v>152</v>
    <v>2788</v>
    <v>2788</v>
    <v>Hybride streek</v>
    <v>Gelede bus</v>
    <v>Bus</v>
  </rv>
  <rv s="0">
    <v>0</v>
    <v>2789</v>
    <v>1</v>
    <v>Generic</v>
    <v>223C2B</v>
    <v>Euro6</v>
    <v>1</v>
    <v>44909</v>
    <v>45175</v>
    <v>Vlaams-Brabant</v>
    <v>3</v>
    <v>J</v>
    <v>J</v>
    <v>J</v>
    <v>J</v>
    <v>J</v>
    <v>1</v>
    <v>Leuven Noord</v>
    <v>124</v>
    <v>Onderhoud Leuven Noord</v>
    <v>152</v>
    <v>2789</v>
    <v>2789</v>
    <v>Hybride streek</v>
    <v>Gelede bus</v>
    <v>Bus</v>
  </rv>
  <rv s="0">
    <v>0</v>
    <v>2790</v>
    <v>1</v>
    <v>Generic</v>
    <v>223C2B</v>
    <v>Euro6</v>
    <v>1</v>
    <v>44930</v>
    <v>45175</v>
    <v>Vlaams-Brabant</v>
    <v>3</v>
    <v>J</v>
    <v>J</v>
    <v>J</v>
    <v>J</v>
    <v>J</v>
    <v>1</v>
    <v>Leuven Noord</v>
    <v>124</v>
    <v>Onderhoud Leuven Noord</v>
    <v>152</v>
    <v>2790</v>
    <v>2790</v>
    <v>Hybride streek</v>
    <v>Gelede bus</v>
    <v>Bus</v>
  </rv>
  <rv s="0">
    <v>0</v>
    <v>2791</v>
    <v>1</v>
    <v>Generic</v>
    <v>223C2B</v>
    <v>Euro6</v>
    <v>1</v>
    <v>44911</v>
    <v>45175</v>
    <v>Vlaams-Brabant</v>
    <v>3</v>
    <v>J</v>
    <v>J</v>
    <v>J</v>
    <v>J</v>
    <v>J</v>
    <v>1</v>
    <v>Leuven Noord</v>
    <v>124</v>
    <v>Onderhoud Leuven Noord</v>
    <v>152</v>
    <v>2791</v>
    <v>2791</v>
    <v>Hybride streek</v>
    <v>Gelede bus</v>
    <v>Bus</v>
  </rv>
  <rv s="0">
    <v>0</v>
    <v>2792</v>
    <v>1</v>
    <v>Generic</v>
    <v>223C2B</v>
    <v>Euro6</v>
    <v>1</v>
    <v>44930</v>
    <v>45175</v>
    <v>Vlaams-Brabant</v>
    <v>3</v>
    <v>J</v>
    <v>J</v>
    <v>J</v>
    <v>J</v>
    <v>J</v>
    <v>1</v>
    <v>Leuven Noord</v>
    <v>124</v>
    <v>Onderhoud Leuven Noord</v>
    <v>152</v>
    <v>2792</v>
    <v>2792</v>
    <v>Hybride streek</v>
    <v>Gelede bus</v>
    <v>Bus</v>
  </rv>
  <rv s="0">
    <v>0</v>
    <v>2793</v>
    <v>1</v>
    <v>Generic</v>
    <v>223C2B</v>
    <v>Euro6</v>
    <v>1</v>
    <v>44967</v>
    <v>45175</v>
    <v>Vlaams-Brabant</v>
    <v>3</v>
    <v>J</v>
    <v>J</v>
    <v>J</v>
    <v>J</v>
    <v>J</v>
    <v>1</v>
    <v>Leuven Noord</v>
    <v>124</v>
    <v>Onderhoud Leuven Noord</v>
    <v>152</v>
    <v>2793</v>
    <v>2793</v>
    <v>Hybride streek</v>
    <v>Gelede bus</v>
    <v>Bus</v>
  </rv>
  <rv s="0">
    <v>0</v>
    <v>2794</v>
    <v>1</v>
    <v>Generic</v>
    <v>223C2B</v>
    <v>Euro6</v>
    <v>1</v>
    <v>44964</v>
    <v>45175</v>
    <v>Vlaams-Brabant</v>
    <v>3</v>
    <v>J</v>
    <v>J</v>
    <v>J</v>
    <v>J</v>
    <v>J</v>
    <v>1</v>
    <v>Leuven Noord</v>
    <v>124</v>
    <v>Onderhoud Leuven Noord</v>
    <v>152</v>
    <v>2794</v>
    <v>2794</v>
    <v>Hybride streek</v>
    <v>Gelede bus</v>
    <v>Bus</v>
  </rv>
  <rv s="0">
    <v>0</v>
    <v>2795</v>
    <v>1</v>
    <v>Generic</v>
    <v>223C2B</v>
    <v>Euro6</v>
    <v>1</v>
    <v>45083</v>
    <v>45175</v>
    <v>Antwerpen</v>
    <v>1</v>
    <v>J</v>
    <v>J</v>
    <v>J</v>
    <v>J</v>
    <v>J</v>
    <v>0</v>
    <v>Leuven Noord</v>
    <v>124</v>
    <v>Onderhoud Leuven Noord</v>
    <v>152</v>
    <v>2795</v>
    <v>2795</v>
    <v>Hybride streek</v>
    <v>Gelede bus</v>
    <v>Bus</v>
  </rv>
  <rv s="0">
    <v>0</v>
    <v>2796</v>
    <v>1</v>
    <v>Generic</v>
    <v>223C2B</v>
    <v>Euro6</v>
    <v>1</v>
    <v>45041</v>
    <v>45175</v>
    <v>Vlaams-Brabant</v>
    <v>3</v>
    <v>J</v>
    <v>J</v>
    <v>J</v>
    <v>J</v>
    <v>J</v>
    <v>0</v>
    <v>Leuven Noord</v>
    <v>124</v>
    <v>Onderhoud Leuven Noord</v>
    <v>152</v>
    <v>2796</v>
    <v>2796</v>
    <v>Hybride streek</v>
    <v>Gelede bus</v>
    <v>Bus</v>
  </rv>
  <rv s="0">
    <v>0</v>
    <v>2797</v>
    <v>1</v>
    <v>Generic</v>
    <v>223C2B</v>
    <v>Euro6</v>
    <v>1</v>
    <v>45006</v>
    <v>45175</v>
    <v>Limburg</v>
    <v>4</v>
    <v>J</v>
    <v>J</v>
    <v>J</v>
    <v>J</v>
    <v>J</v>
    <v>0</v>
    <v>Winterslag</v>
    <v>125</v>
    <v>Onderhoud Winterslag</v>
    <v>153</v>
    <v>2797</v>
    <v>2797</v>
    <v>Hybride streek</v>
    <v>Gelede bus</v>
    <v>Bus</v>
  </rv>
  <rv s="0">
    <v>0</v>
    <v>2798</v>
    <v>1</v>
    <v>Generic</v>
    <v>223C2B</v>
    <v>Euro6</v>
    <v>1</v>
    <v>45112</v>
    <v>45175</v>
    <v>Limburg</v>
    <v>4</v>
    <v>J</v>
    <v>J</v>
    <v>J</v>
    <v>J</v>
    <v>J</v>
    <v>0</v>
    <v>Onbekend</v>
    <v>#</v>
    <v>Onbekend</v>
    <v>#</v>
    <v>2798</v>
    <v>2798</v>
    <v>Hybride streek</v>
    <v>Gelede bus</v>
    <v>Bus</v>
  </rv>
  <rv s="0">
    <v>0</v>
    <v>2799</v>
    <v>1</v>
    <v>Generic</v>
    <v>223C2B</v>
    <v>Euro6</v>
    <v>1</v>
    <v>44973</v>
    <v>45175</v>
    <v>Antwerpen</v>
    <v>1</v>
    <v>J</v>
    <v>J</v>
    <v>J</v>
    <v>J</v>
    <v>J</v>
    <v>1</v>
    <v>Turnhout</v>
    <v>122</v>
    <v>Onderhoud Turnhout</v>
    <v>143</v>
    <v>2799</v>
    <v>2799</v>
    <v>Hybride streek</v>
    <v>Gelede bus</v>
    <v>Bus</v>
  </rv>
  <rv s="0">
    <v>0</v>
    <v>2800</v>
    <v>1</v>
    <v>Generic</v>
    <v>223C2B</v>
    <v>Euro6</v>
    <v>1</v>
    <v>44973</v>
    <v>45175</v>
    <v>Antwerpen</v>
    <v>1</v>
    <v>J</v>
    <v>J</v>
    <v>J</v>
    <v>J</v>
    <v>J</v>
    <v>1</v>
    <v>Turnhout</v>
    <v>122</v>
    <v>Onderhoud Turnhout</v>
    <v>143</v>
    <v>2800</v>
    <v>2800</v>
    <v>Hybride streek</v>
    <v>Gelede bus</v>
    <v>Bus</v>
  </rv>
  <rv s="0">
    <v>0</v>
    <v>2801</v>
    <v>1</v>
    <v>Generic</v>
    <v>223C2B</v>
    <v>Euro6</v>
    <v>1</v>
    <v>45006</v>
    <v>45175</v>
    <v>Antwerpen</v>
    <v>1</v>
    <v>J</v>
    <v>J</v>
    <v>J</v>
    <v>J</v>
    <v>J</v>
    <v>0</v>
    <v>Turnhout</v>
    <v>122</v>
    <v>Onderhoud Turnhout</v>
    <v>143</v>
    <v>2801</v>
    <v>2801</v>
    <v>Hybride streek</v>
    <v>Gelede bus</v>
    <v>Bus</v>
  </rv>
  <rv s="0">
    <v>0</v>
    <v>2802</v>
    <v>1</v>
    <v>Generic</v>
    <v>223C2B</v>
    <v>Euro6</v>
    <v>1</v>
    <v>44977</v>
    <v>45175</v>
    <v>Antwerpen</v>
    <v>1</v>
    <v>J</v>
    <v>J</v>
    <v>J</v>
    <v>J</v>
    <v>J</v>
    <v>1</v>
    <v>Turnhout</v>
    <v>122</v>
    <v>Onderhoud Turnhout</v>
    <v>143</v>
    <v>2802</v>
    <v>2802</v>
    <v>Hybride streek</v>
    <v>Gelede bus</v>
    <v>Bus</v>
  </rv>
  <rv s="0">
    <v>0</v>
    <v>2803</v>
    <v>1</v>
    <v>Generic</v>
    <v>223C2B</v>
    <v>Euro6</v>
    <v>1</v>
    <v>45084</v>
    <v>45175</v>
    <v>Antwerpen</v>
    <v>1</v>
    <v>J</v>
    <v>J</v>
    <v>J</v>
    <v>J</v>
    <v>J</v>
    <v>0</v>
    <v>Turnhout</v>
    <v>122</v>
    <v>Onderhoud Turnhout</v>
    <v>143</v>
    <v>2803</v>
    <v>2803</v>
    <v>Hybride streek</v>
    <v>Gelede bus</v>
    <v>Bus</v>
  </rv>
  <rv s="0">
    <v>0</v>
    <v>2804</v>
    <v>1</v>
    <v>Generic</v>
    <v>223C2B</v>
    <v>Euro6</v>
    <v>1</v>
    <v>45027</v>
    <v>45175</v>
    <v>Antwerpen</v>
    <v>1</v>
    <v>J</v>
    <v>J</v>
    <v>J</v>
    <v>J</v>
    <v>J</v>
    <v>0</v>
    <v>Destelbergen</v>
    <v>111</v>
    <v>Werkhuis Destelbergen</v>
    <v>142</v>
    <v>2804</v>
    <v>2804</v>
    <v>Hybride streek</v>
    <v>Gelede bus</v>
    <v>Bus</v>
  </rv>
  <rv s="0">
    <v>0</v>
    <v>2805</v>
    <v>1</v>
    <v>Generic</v>
    <v>223C2B</v>
    <v>Euro6</v>
    <v>1</v>
    <v>45083</v>
    <v>45175</v>
    <v>Antwerpen</v>
    <v>1</v>
    <v>J</v>
    <v>J</v>
    <v>J</v>
    <v>J</v>
    <v>J</v>
    <v>0</v>
    <v>Turnhout</v>
    <v>122</v>
    <v>Onderhoud Turnhout</v>
    <v>143</v>
    <v>2805</v>
    <v>2805</v>
    <v>Hybride streek</v>
    <v>Gelede bus</v>
    <v>Bus</v>
  </rv>
  <rv s="0">
    <v>0</v>
    <v>2806</v>
    <v>1</v>
    <v>Generic</v>
    <v>223C2B</v>
    <v>Euro6</v>
    <v>1</v>
    <v>45162</v>
    <v>45175</v>
    <v>Antwerpen</v>
    <v>1</v>
    <v>J</v>
    <v>J</v>
    <v>J</v>
    <v>J</v>
    <v>J</v>
    <v>0</v>
    <v>Onbekend</v>
    <v>#</v>
    <v>Onbekend</v>
    <v>#</v>
    <v>2806</v>
    <v>2806</v>
    <v>Hybride streek</v>
    <v>Gelede bus</v>
    <v>Bus</v>
  </rv>
  <rv s="0">
    <v>0</v>
    <v>2807</v>
    <v>1</v>
    <v>Generic</v>
    <v>223C2B</v>
    <v>Euro6</v>
    <v>1</v>
    <v>44909</v>
    <v>45175</v>
    <v>Antwerpen</v>
    <v>1</v>
    <v>J</v>
    <v>J</v>
    <v>J</v>
    <v>J</v>
    <v>J</v>
    <v>1</v>
    <v>Turnhout</v>
    <v>122</v>
    <v>Onderhoud Turnhout</v>
    <v>143</v>
    <v>2807</v>
    <v>2807</v>
    <v>Hybride streek</v>
    <v>Gelede bus</v>
    <v>Bus</v>
  </rv>
  <rv s="0">
    <v>0</v>
    <v>2808</v>
    <v>1</v>
    <v>Generic</v>
    <v>223C2B</v>
    <v>Euro6</v>
    <v>1</v>
    <v>44909</v>
    <v>45175</v>
    <v>Antwerpen</v>
    <v>1</v>
    <v>J</v>
    <v>J</v>
    <v>J</v>
    <v>J</v>
    <v>J</v>
    <v>1</v>
    <v>Turnhout</v>
    <v>122</v>
    <v>Onderhoud Turnhout</v>
    <v>143</v>
    <v>2808</v>
    <v>2808</v>
    <v>Hybride streek</v>
    <v>Gelede bus</v>
    <v>Bus</v>
  </rv>
  <rv s="0">
    <v>0</v>
    <v>2809</v>
    <v>1</v>
    <v>Generic</v>
    <v>223C2B</v>
    <v>Euro6</v>
    <v>1</v>
    <v>44911</v>
    <v>45175</v>
    <v>Antwerpen</v>
    <v>1</v>
    <v>J</v>
    <v>J</v>
    <v>J</v>
    <v>J</v>
    <v>J</v>
    <v>1</v>
    <v>Turnhout</v>
    <v>122</v>
    <v>Onderhoud Turnhout</v>
    <v>143</v>
    <v>2809</v>
    <v>2809</v>
    <v>Hybride streek</v>
    <v>Gelede bus</v>
    <v>Bus</v>
  </rv>
  <rv s="0">
    <v>0</v>
    <v>2810</v>
    <v>1</v>
    <v>Generic</v>
    <v>223C2B</v>
    <v>Euro6</v>
    <v>1</v>
    <v>44911</v>
    <v>45175</v>
    <v>Antwerpen</v>
    <v>1</v>
    <v>J</v>
    <v>J</v>
    <v>J</v>
    <v>J</v>
    <v>J</v>
    <v>1</v>
    <v>Turnhout</v>
    <v>122</v>
    <v>Onderhoud Turnhout</v>
    <v>143</v>
    <v>2810</v>
    <v>2810</v>
    <v>Hybride streek</v>
    <v>Gelede bus</v>
    <v>Bus</v>
  </rv>
  <rv s="0">
    <v>0</v>
    <v>2811</v>
    <v>1</v>
    <v>Generic</v>
    <v>223C2B</v>
    <v>Euro6</v>
    <v>1</v>
    <v>44958</v>
    <v>45175</v>
    <v>Oost-Vlaanderen</v>
    <v>2</v>
    <v>J</v>
    <v>J</v>
    <v>J</v>
    <v>J</v>
    <v>J</v>
    <v>1</v>
    <v>Destelbergen</v>
    <v>111</v>
    <v>Werkhuis Destelbergen</v>
    <v>142</v>
    <v>2811</v>
    <v>2811</v>
    <v>Hybride streek</v>
    <v>Gelede bus</v>
    <v>Bus</v>
  </rv>
  <rv s="0">
    <v>0</v>
    <v>2812</v>
    <v>1</v>
    <v>Generic</v>
    <v>223C2B</v>
    <v>Euro6</v>
    <v>1</v>
    <v>44958</v>
    <v>45175</v>
    <v>Oost-Vlaanderen</v>
    <v>2</v>
    <v>J</v>
    <v>J</v>
    <v>J</v>
    <v>J</v>
    <v>J</v>
    <v>1</v>
    <v>Destelbergen</v>
    <v>111</v>
    <v>Werkhuis Destelbergen</v>
    <v>142</v>
    <v>2812</v>
    <v>2812</v>
    <v>Hybride streek</v>
    <v>Gelede bus</v>
    <v>Bus</v>
  </rv>
  <rv s="0">
    <v>0</v>
    <v>2813</v>
    <v>1</v>
    <v>Generic</v>
    <v>223C2B</v>
    <v>Euro6</v>
    <v>1</v>
    <v>44911</v>
    <v>45175</v>
    <v>Oost-Vlaanderen</v>
    <v>2</v>
    <v>J</v>
    <v>J</v>
    <v>J</v>
    <v>J</v>
    <v>J</v>
    <v>1</v>
    <v>Destelbergen</v>
    <v>111</v>
    <v>Werkhuis Destelbergen</v>
    <v>142</v>
    <v>2813</v>
    <v>2813</v>
    <v>Hybride streek</v>
    <v>Gelede bus</v>
    <v>Bus</v>
  </rv>
  <rv s="0">
    <v>0</v>
    <v>2814</v>
    <v>1</v>
    <v>Generic</v>
    <v>223C2B</v>
    <v>Euro6</v>
    <v>1</v>
    <v>44917</v>
    <v>45175</v>
    <v>Oost-Vlaanderen</v>
    <v>2</v>
    <v>J</v>
    <v>J</v>
    <v>J</v>
    <v>J</v>
    <v>J</v>
    <v>1</v>
    <v>Destelbergen</v>
    <v>111</v>
    <v>Werkhuis Destelbergen</v>
    <v>142</v>
    <v>2814</v>
    <v>2814</v>
    <v>Hybride streek</v>
    <v>Gelede bus</v>
    <v>Bus</v>
  </rv>
  <rv s="0">
    <v>0</v>
    <v>2815</v>
    <v>1</v>
    <v>Generic</v>
    <v>223C2B</v>
    <v>Euro6</v>
    <v>1</v>
    <v>44930</v>
    <v>45175</v>
    <v>Oost-Vlaanderen</v>
    <v>2</v>
    <v>J</v>
    <v>J</v>
    <v>J</v>
    <v>J</v>
    <v>J</v>
    <v>1</v>
    <v>Destelbergen</v>
    <v>111</v>
    <v>Werkhuis Destelbergen</v>
    <v>142</v>
    <v>2815</v>
    <v>2815</v>
    <v>Hybride streek</v>
    <v>Gelede bus</v>
    <v>Bus</v>
  </rv>
  <rv s="0">
    <v>0</v>
    <v>2816</v>
    <v>1</v>
    <v>Generic</v>
    <v>223C2B</v>
    <v>Euro6</v>
    <v>1</v>
    <v>44946</v>
    <v>45175</v>
    <v>Oost-Vlaanderen</v>
    <v>2</v>
    <v>J</v>
    <v>J</v>
    <v>J</v>
    <v>J</v>
    <v>J</v>
    <v>1</v>
    <v>Destelbergen</v>
    <v>111</v>
    <v>Werkhuis Destelbergen</v>
    <v>142</v>
    <v>2816</v>
    <v>2816</v>
    <v>Hybride streek</v>
    <v>Gelede bus</v>
    <v>Bus</v>
  </rv>
  <rv s="0">
    <v>0</v>
    <v>2817</v>
    <v>1</v>
    <v>Generic</v>
    <v>223C2B</v>
    <v>Euro6</v>
    <v>1</v>
    <v>45048</v>
    <v>45175</v>
    <v>Oost-Vlaanderen</v>
    <v>2</v>
    <v>J</v>
    <v>J</v>
    <v>J</v>
    <v>J</v>
    <v>J</v>
    <v>0</v>
    <v>Destelbergen</v>
    <v>111</v>
    <v>Werkhuis Destelbergen</v>
    <v>142</v>
    <v>2817</v>
    <v>2817</v>
    <v>Hybride streek</v>
    <v>Gelede bus</v>
    <v>Bus</v>
  </rv>
  <rv s="0">
    <v>0</v>
    <v>2818</v>
    <v>1</v>
    <v>Generic</v>
    <v>223C2B</v>
    <v>Euro6</v>
    <v>1</v>
    <v>44946</v>
    <v>45175</v>
    <v>Oost-Vlaanderen</v>
    <v>2</v>
    <v>J</v>
    <v>J</v>
    <v>J</v>
    <v>J</v>
    <v>J</v>
    <v>1</v>
    <v>Destelbergen</v>
    <v>111</v>
    <v>Werkhuis Destelbergen</v>
    <v>142</v>
    <v>2818</v>
    <v>2818</v>
    <v>Hybride streek</v>
    <v>Gelede bus</v>
    <v>Bus</v>
  </rv>
  <rv s="0">
    <v>0</v>
    <v>2819</v>
    <v>1</v>
    <v>Generic</v>
    <v>223C2B</v>
    <v>Euro6</v>
    <v>1</v>
    <v>44930</v>
    <v>45175</v>
    <v>Oost-Vlaanderen</v>
    <v>2</v>
    <v>J</v>
    <v>J</v>
    <v>J</v>
    <v>J</v>
    <v>J</v>
    <v>1</v>
    <v>Destelbergen</v>
    <v>111</v>
    <v>Werkhuis Destelbergen</v>
    <v>142</v>
    <v>2819</v>
    <v>2819</v>
    <v>Hybride streek</v>
    <v>Gelede bus</v>
    <v>Bus</v>
  </rv>
  <rv s="0">
    <v>0</v>
    <v>2820</v>
    <v>1</v>
    <v>Generic</v>
    <v>223C2B</v>
    <v>Euro6</v>
    <v>1</v>
    <v>44917</v>
    <v>45175</v>
    <v>Oost-Vlaanderen</v>
    <v>2</v>
    <v>J</v>
    <v>J</v>
    <v>J</v>
    <v>J</v>
    <v>J</v>
    <v>1</v>
    <v>Destelbergen</v>
    <v>111</v>
    <v>Werkhuis Destelbergen</v>
    <v>142</v>
    <v>2820</v>
    <v>2820</v>
    <v>Hybride streek</v>
    <v>Gelede bus</v>
    <v>Bus</v>
  </rv>
  <rv s="0">
    <v>0</v>
    <v>2821</v>
    <v>1</v>
    <v>Generic</v>
    <v>223C3</v>
    <v>Euro6</v>
    <v>1</v>
    <v>45114</v>
    <v>45175</v>
    <v>Oost-Vlaanderen</v>
    <v>2</v>
    <v>J</v>
    <v>J</v>
    <v>J</v>
    <v>J</v>
    <v>J</v>
    <v>0</v>
    <v>Onbekend</v>
    <v>#</v>
    <v>Onbekend</v>
    <v>#</v>
    <v>2821</v>
    <v>2821</v>
    <v>Hybride streek</v>
    <v>Gelede bus</v>
    <v>Bus</v>
  </rv>
  <rv s="0">
    <v>0</v>
    <v>2822</v>
    <v>1</v>
    <v>Generic</v>
    <v>223C3</v>
    <v>Euro6</v>
    <v>1</v>
    <v>45027</v>
    <v>45175</v>
    <v>Oost-Vlaanderen</v>
    <v>2</v>
    <v>J</v>
    <v>J</v>
    <v>J</v>
    <v>J</v>
    <v>J</v>
    <v>0</v>
    <v>Destelbergen</v>
    <v>111</v>
    <v>Werkhuis Destelbergen</v>
    <v>142</v>
    <v>2822</v>
    <v>2822</v>
    <v>Hybride streek</v>
    <v>Gelede bus</v>
    <v>Bus</v>
  </rv>
  <rv s="0">
    <v>0</v>
    <v>2823</v>
    <v>1</v>
    <v>Generic</v>
    <v>223C3</v>
    <v>Euro6</v>
    <v>1</v>
    <v>45112</v>
    <v>45175</v>
    <v>Oost-Vlaanderen</v>
    <v>2</v>
    <v>J</v>
    <v>J</v>
    <v>J</v>
    <v>J</v>
    <v>J</v>
    <v>0</v>
    <v>Destelbergen</v>
    <v>111</v>
    <v>Werkhuis Destelbergen</v>
    <v>142</v>
    <v>2823</v>
    <v>2823</v>
    <v>Hybride streek</v>
    <v>Gelede bus</v>
    <v>Bus</v>
  </rv>
  <rv s="0">
    <v>0</v>
    <v>2824</v>
    <v>1</v>
    <v>Generic</v>
    <v>223C3</v>
    <v>Euro6</v>
    <v>1</v>
    <v>45084</v>
    <v>45175</v>
    <v>Oost-Vlaanderen</v>
    <v>2</v>
    <v>J</v>
    <v>J</v>
    <v>J</v>
    <v>J</v>
    <v>J</v>
    <v>0</v>
    <v>Destelbergen</v>
    <v>111</v>
    <v>Werkhuis Destelbergen</v>
    <v>142</v>
    <v>2824</v>
    <v>2824</v>
    <v>Hybride streek</v>
    <v>Gelede bus</v>
    <v>Bus</v>
  </rv>
  <rv s="0">
    <v>0</v>
    <v>2825</v>
    <v>1</v>
    <v>Generic</v>
    <v>223C3</v>
    <v>Euro6</v>
    <v>1</v>
    <v>45112</v>
    <v>45175</v>
    <v>Oost-Vlaanderen</v>
    <v>2</v>
    <v>J</v>
    <v>J</v>
    <v>J</v>
    <v>J</v>
    <v>J</v>
    <v>0</v>
    <v>Destelbergen</v>
    <v>111</v>
    <v>Werkhuis Destelbergen</v>
    <v>142</v>
    <v>2825</v>
    <v>2825</v>
    <v>Hybride streek</v>
    <v>Gelede bus</v>
    <v>Bus</v>
  </rv>
  <rv s="0">
    <v>0</v>
    <v>2826</v>
    <v>1</v>
    <v>Generic</v>
    <v>223C3</v>
    <v>Euro6</v>
    <v>1</v>
    <v>45041</v>
    <v>45175</v>
    <v>Oost-Vlaanderen</v>
    <v>2</v>
    <v>J</v>
    <v>J</v>
    <v>J</v>
    <v>J</v>
    <v>J</v>
    <v>0</v>
    <v>Destelbergen</v>
    <v>111</v>
    <v>Werkhuis Destelbergen</v>
    <v>142</v>
    <v>2826</v>
    <v>2826</v>
    <v>Hybride streek</v>
    <v>Gelede bus</v>
    <v>Bus</v>
  </rv>
  <rv s="0">
    <v>0</v>
    <v>2827</v>
    <v>1</v>
    <v>Generic</v>
    <v>223C3</v>
    <v>Euro6</v>
    <v>1</v>
    <v>45027</v>
    <v>45175</v>
    <v>Oost-Vlaanderen</v>
    <v>2</v>
    <v>J</v>
    <v>J</v>
    <v>J</v>
    <v>J</v>
    <v>J</v>
    <v>0</v>
    <v>Destelbergen</v>
    <v>111</v>
    <v>Werkhuis Destelbergen</v>
    <v>142</v>
    <v>2827</v>
    <v>2827</v>
    <v>Hybride streek</v>
    <v>Gelede bus</v>
    <v>Bus</v>
  </rv>
  <rv s="0">
    <v>0</v>
    <v>2828</v>
    <v>1</v>
    <v>Generic</v>
    <v>223C3</v>
    <v>Euro6</v>
    <v>1</v>
    <v>45089</v>
    <v>45175</v>
    <v>Oost-Vlaanderen</v>
    <v>2</v>
    <v>J</v>
    <v>J</v>
    <v>J</v>
    <v>J</v>
    <v>J</v>
    <v>0</v>
    <v>Destelbergen</v>
    <v>111</v>
    <v>Werkhuis Destelbergen</v>
    <v>142</v>
    <v>2828</v>
    <v>2828</v>
    <v>Hybride streek</v>
    <v>Gelede bus</v>
    <v>Bus</v>
  </rv>
  <rv s="0">
    <v>0</v>
    <v>2829</v>
    <v>1</v>
    <v>Generic</v>
    <v>223C3</v>
    <v>Euro6</v>
    <v>1</v>
    <v>45083</v>
    <v>45175</v>
    <v>Oost-Vlaanderen</v>
    <v>2</v>
    <v>J</v>
    <v>J</v>
    <v>J</v>
    <v>J</v>
    <v>J</v>
    <v>0</v>
    <v>Destelbergen</v>
    <v>111</v>
    <v>Werkhuis Destelbergen</v>
    <v>142</v>
    <v>2829</v>
    <v>2829</v>
    <v>Hybride streek</v>
    <v>Gelede bus</v>
    <v>Bus</v>
  </rv>
  <rv s="0">
    <v>0</v>
    <v>2830</v>
    <v>1</v>
    <v>Generic</v>
    <v>223C3</v>
    <v>Euro6</v>
    <v>1</v>
    <v>45068</v>
    <v>45175</v>
    <v>Oost-Vlaanderen</v>
    <v>2</v>
    <v>J</v>
    <v>J</v>
    <v>J</v>
    <v>J</v>
    <v>J</v>
    <v>0</v>
    <v>Destelbergen</v>
    <v>111</v>
    <v>Werkhuis Destelbergen</v>
    <v>142</v>
    <v>2830</v>
    <v>2830</v>
    <v>Hybride streek</v>
    <v>Gelede bus</v>
    <v>Bus</v>
  </rv>
  <rv s="0">
    <v>0</v>
    <v>2831</v>
    <v>1</v>
    <v>Generic</v>
    <v>223C3</v>
    <v>Euro6</v>
    <v>1</v>
    <v>45068</v>
    <v>45175</v>
    <v>Oost-Vlaanderen</v>
    <v>2</v>
    <v>J</v>
    <v>J</v>
    <v>J</v>
    <v>J</v>
    <v>J</v>
    <v>0</v>
    <v>Destelbergen</v>
    <v>111</v>
    <v>Werkhuis Destelbergen</v>
    <v>142</v>
    <v>2831</v>
    <v>2831</v>
    <v>Hybride streek</v>
    <v>Gelede bus</v>
    <v>Bus</v>
  </rv>
  <rv s="0">
    <v>0</v>
    <v>2832</v>
    <v>1</v>
    <v>Generic</v>
    <v>223C3</v>
    <v>Euro6</v>
    <v>1</v>
    <v>45089</v>
    <v>45175</v>
    <v>Oost-Vlaanderen</v>
    <v>2</v>
    <v>J</v>
    <v>J</v>
    <v>J</v>
    <v>J</v>
    <v>J</v>
    <v>0</v>
    <v>Destelbergen</v>
    <v>111</v>
    <v>Werkhuis Destelbergen</v>
    <v>142</v>
    <v>2832</v>
    <v>2832</v>
    <v>Hybride streek</v>
    <v>Gelede bus</v>
    <v>Bus</v>
  </rv>
  <rv s="0">
    <v>0</v>
    <v>2833</v>
    <v>1</v>
    <v>Generic</v>
    <v>223C3</v>
    <v>Euro6</v>
    <v>1</v>
    <v>45058</v>
    <v>45175</v>
    <v>Oost-Vlaanderen</v>
    <v>2</v>
    <v>J</v>
    <v>J</v>
    <v>J</v>
    <v>J</v>
    <v>J</v>
    <v>0</v>
    <v>Destelbergen</v>
    <v>111</v>
    <v>Werkhuis Destelbergen</v>
    <v>142</v>
    <v>2833</v>
    <v>2833</v>
    <v>Hybride streek</v>
    <v>Gelede bus</v>
    <v>Bus</v>
  </rv>
  <rv s="0">
    <v>0</v>
    <v>2834</v>
    <v>1</v>
    <v>Generic</v>
    <v>223C3</v>
    <v>Euro6</v>
    <v>1</v>
    <v>45084</v>
    <v>45175</v>
    <v>Oost-Vlaanderen</v>
    <v>2</v>
    <v>J</v>
    <v>J</v>
    <v>J</v>
    <v>J</v>
    <v>J</v>
    <v>0</v>
    <v>Destelbergen</v>
    <v>111</v>
    <v>Werkhuis Destelbergen</v>
    <v>142</v>
    <v>2834</v>
    <v>2834</v>
    <v>Hybride streek</v>
    <v>Gelede bus</v>
    <v>Bus</v>
  </rv>
  <rv s="3">
    <v>0</v>
    <v>2835</v>
    <v>1</v>
    <v>Generic</v>
    <v>223C3</v>
    <v>Euro6</v>
    <v>1</v>
    <v>401768</v>
    <v>45175</v>
    <v>Niet Beschikbaar</v>
    <v>?</v>
    <v>J</v>
    <v>J</v>
    <v>J</v>
    <v>J</v>
    <v>J</v>
    <v/>
    <v>Onbekend</v>
    <v>#</v>
    <v>Onbekend</v>
    <v>#</v>
    <v>2835</v>
    <v>2835</v>
    <v>Hybride streek</v>
    <v>Gelede bus</v>
    <v>Bus</v>
  </rv>
  <rv s="3">
    <v>0</v>
    <v>2836</v>
    <v>1</v>
    <v>Generic</v>
    <v>223C3</v>
    <v>Euro6</v>
    <v>1</v>
    <v>401768</v>
    <v>45175</v>
    <v>Niet Beschikbaar</v>
    <v>?</v>
    <v>J</v>
    <v>J</v>
    <v>J</v>
    <v>J</v>
    <v>J</v>
    <v/>
    <v>Onbekend</v>
    <v>#</v>
    <v>Onbekend</v>
    <v>#</v>
    <v>2836</v>
    <v>2836</v>
    <v>Hybride streek</v>
    <v>Gelede bus</v>
    <v>Bus</v>
  </rv>
  <rv s="0">
    <v>0</v>
    <v>2837</v>
    <v>1</v>
    <v>Generic</v>
    <v>223C3</v>
    <v>Euro6</v>
    <v>1</v>
    <v>45103</v>
    <v>45175</v>
    <v>Antwerpen</v>
    <v>1</v>
    <v>J</v>
    <v>J</v>
    <v>J</v>
    <v>J</v>
    <v>J</v>
    <v>0</v>
    <v>Turnhout</v>
    <v>122</v>
    <v>Onderhoud Turnhout</v>
    <v>143</v>
    <v>2837</v>
    <v>2837</v>
    <v>Hybride streek</v>
    <v>Gelede bus</v>
    <v>Bus</v>
  </rv>
  <rv s="0">
    <v>0</v>
    <v>2838</v>
    <v>1</v>
    <v>Generic</v>
    <v>223C3</v>
    <v>Euro6</v>
    <v>1</v>
    <v>45114</v>
    <v>45175</v>
    <v>Antwerpen</v>
    <v>1</v>
    <v>J</v>
    <v>J</v>
    <v>J</v>
    <v>J</v>
    <v>J</v>
    <v>0</v>
    <v>Onbekend</v>
    <v>#</v>
    <v>Onbekend</v>
    <v>#</v>
    <v>2838</v>
    <v>2838</v>
    <v>Hybride streek</v>
    <v>Gelede bus</v>
    <v>Bus</v>
  </rv>
  <rv s="0">
    <v>0</v>
    <v>2839</v>
    <v>1</v>
    <v>Generic</v>
    <v>223C3</v>
    <v>Euro6</v>
    <v>1</v>
    <v>45114</v>
    <v>45175</v>
    <v>Antwerpen</v>
    <v>1</v>
    <v>J</v>
    <v>J</v>
    <v>J</v>
    <v>J</v>
    <v>J</v>
    <v>0</v>
    <v>Turnhout</v>
    <v>122</v>
    <v>Onderhoud Turnhout</v>
    <v>143</v>
    <v>2839</v>
    <v>2839</v>
    <v>Hybride streek</v>
    <v>Gelede bus</v>
    <v>Bus</v>
  </rv>
  <rv s="0">
    <v>0</v>
    <v>2840</v>
    <v>1</v>
    <v>Generic</v>
    <v>223C3</v>
    <v>Euro6</v>
    <v>1</v>
    <v>45120</v>
    <v>45175</v>
    <v>Antwerpen</v>
    <v>1</v>
    <v>J</v>
    <v>J</v>
    <v>J</v>
    <v>J</v>
    <v>J</v>
    <v>0</v>
    <v>Turnhout</v>
    <v>122</v>
    <v>Onderhoud Turnhout</v>
    <v>143</v>
    <v>2840</v>
    <v>2840</v>
    <v>Hybride streek</v>
    <v>Gelede bus</v>
    <v>Bus</v>
  </rv>
  <rv s="0">
    <v>0</v>
    <v>2841</v>
    <v>1</v>
    <v>Generic</v>
    <v>223C3</v>
    <v>Euro6</v>
    <v>1</v>
    <v>45072</v>
    <v>45175</v>
    <v>Antwerpen</v>
    <v>1</v>
    <v>J</v>
    <v>J</v>
    <v>J</v>
    <v>J</v>
    <v>J</v>
    <v>0</v>
    <v>Turnhout</v>
    <v>122</v>
    <v>Onderhoud Turnhout</v>
    <v>143</v>
    <v>2841</v>
    <v>2841</v>
    <v>Hybride streek</v>
    <v>Gelede bus</v>
    <v>Bus</v>
  </rv>
  <rv s="0">
    <v>0</v>
    <v>2842</v>
    <v>1</v>
    <v>Generic</v>
    <v>223C3</v>
    <v>Euro6</v>
    <v>1</v>
    <v>45162</v>
    <v>45175</v>
    <v>Antwerpen</v>
    <v>1</v>
    <v>J</v>
    <v>J</v>
    <v>J</v>
    <v>J</v>
    <v>J</v>
    <v>0</v>
    <v>Onbekend</v>
    <v>#</v>
    <v>Onbekend</v>
    <v>#</v>
    <v>2842</v>
    <v>2842</v>
    <v>Hybride streek</v>
    <v>Gelede bus</v>
    <v>Bus</v>
  </rv>
  <rv s="3">
    <v>0</v>
    <v>2843</v>
    <v>1</v>
    <v>Generic</v>
    <v>223C3</v>
    <v>Euro6</v>
    <v>1</v>
    <v>401768</v>
    <v>45175</v>
    <v>Niet Beschikbaar</v>
    <v>?</v>
    <v>J</v>
    <v>J</v>
    <v>J</v>
    <v>J</v>
    <v>J</v>
    <v/>
    <v>Onbekend</v>
    <v>#</v>
    <v>Onbekend</v>
    <v>#</v>
    <v>2843</v>
    <v>2843</v>
    <v>Hybride streek</v>
    <v>Gelede bus</v>
    <v>Bus</v>
  </rv>
  <rv s="3">
    <v>0</v>
    <v>2844</v>
    <v>1</v>
    <v>Generic</v>
    <v>223C3</v>
    <v>Euro6</v>
    <v>1</v>
    <v>401768</v>
    <v>45175</v>
    <v>Niet Beschikbaar</v>
    <v>?</v>
    <v>J</v>
    <v>J</v>
    <v>J</v>
    <v>J</v>
    <v>J</v>
    <v/>
    <v>Onbekend</v>
    <v>#</v>
    <v>Onbekend</v>
    <v>#</v>
    <v>2844</v>
    <v>2844</v>
    <v>Hybride streek</v>
    <v>Gelede bus</v>
    <v>Bus</v>
  </rv>
  <rv s="3">
    <v>0</v>
    <v>2845</v>
    <v>1</v>
    <v>Generic</v>
    <v>223C3</v>
    <v>Euro6</v>
    <v>1</v>
    <v>401768</v>
    <v>45175</v>
    <v>Niet Beschikbaar</v>
    <v>?</v>
    <v>J</v>
    <v>J</v>
    <v>J</v>
    <v>J</v>
    <v>J</v>
    <v/>
    <v>Onbekend</v>
    <v>#</v>
    <v>Onbekend</v>
    <v>#</v>
    <v>2845</v>
    <v>2845</v>
    <v>Hybride streek</v>
    <v>Gelede bus</v>
    <v>Bus</v>
  </rv>
  <rv s="3">
    <v>0</v>
    <v>2846</v>
    <v>1</v>
    <v>Generic</v>
    <v>223C3</v>
    <v>Euro6</v>
    <v>1</v>
    <v>401768</v>
    <v>45175</v>
    <v>Niet Beschikbaar</v>
    <v>?</v>
    <v>J</v>
    <v>J</v>
    <v>J</v>
    <v>J</v>
    <v>J</v>
    <v/>
    <v>Onbekend</v>
    <v>#</v>
    <v>Onbekend</v>
    <v>#</v>
    <v>2846</v>
    <v>2846</v>
    <v>Hybride streek</v>
    <v>Gelede bus</v>
    <v>Bus</v>
  </rv>
  <rv s="3">
    <v>0</v>
    <v>2847</v>
    <v>1</v>
    <v>Generic</v>
    <v>223C3</v>
    <v>Euro6</v>
    <v>1</v>
    <v>401768</v>
    <v>45175</v>
    <v>Niet Beschikbaar</v>
    <v>?</v>
    <v>J</v>
    <v>J</v>
    <v>J</v>
    <v>J</v>
    <v>J</v>
    <v/>
    <v>Onbekend</v>
    <v>#</v>
    <v>Onbekend</v>
    <v>#</v>
    <v>2847</v>
    <v>2847</v>
    <v>Hybride streek</v>
    <v>Gelede bus</v>
    <v>Bus</v>
  </rv>
  <rv s="3">
    <v>0</v>
    <v>2848</v>
    <v>1</v>
    <v>Generic</v>
    <v>223C3</v>
    <v>Euro6</v>
    <v>1</v>
    <v>401768</v>
    <v>45175</v>
    <v>Niet Beschikbaar</v>
    <v>?</v>
    <v>J</v>
    <v>J</v>
    <v>J</v>
    <v>J</v>
    <v>J</v>
    <v/>
    <v>Onbekend</v>
    <v>#</v>
    <v>Onbekend</v>
    <v>#</v>
    <v>2848</v>
    <v>2848</v>
    <v>Hybride streek</v>
    <v>Gelede bus</v>
    <v>Bus</v>
  </rv>
  <rv s="3">
    <v>0</v>
    <v>2849</v>
    <v>1</v>
    <v>Generic</v>
    <v>223C3</v>
    <v>Euro6</v>
    <v>1</v>
    <v>401768</v>
    <v>45175</v>
    <v>Niet Beschikbaar</v>
    <v>?</v>
    <v>J</v>
    <v>J</v>
    <v>J</v>
    <v>J</v>
    <v>J</v>
    <v/>
    <v>Onbekend</v>
    <v>#</v>
    <v>Onbekend</v>
    <v>#</v>
    <v>2849</v>
    <v>2849</v>
    <v>Hybride streek</v>
    <v>Gelede bus</v>
    <v>Bus</v>
  </rv>
  <rv s="3">
    <v>0</v>
    <v>2850</v>
    <v>1</v>
    <v>Generic</v>
    <v>223C3</v>
    <v>Euro6</v>
    <v>1</v>
    <v>401768</v>
    <v>45175</v>
    <v>Niet Beschikbaar</v>
    <v>?</v>
    <v>J</v>
    <v>J</v>
    <v>J</v>
    <v>J</v>
    <v>J</v>
    <v/>
    <v>Onbekend</v>
    <v>#</v>
    <v>Onbekend</v>
    <v>#</v>
    <v>2850</v>
    <v>2850</v>
    <v>Hybride streek</v>
    <v>Gelede bus</v>
    <v>Bus</v>
  </rv>
  <rv s="3">
    <v>0</v>
    <v>2851</v>
    <v>1</v>
    <v>Generic</v>
    <v>223C3</v>
    <v>Euro6</v>
    <v>1</v>
    <v>401768</v>
    <v>45175</v>
    <v>Niet Beschikbaar</v>
    <v>?</v>
    <v>J</v>
    <v>J</v>
    <v>J</v>
    <v>J</v>
    <v>J</v>
    <v/>
    <v>Onbekend</v>
    <v>#</v>
    <v>Onbekend</v>
    <v>#</v>
    <v>2851</v>
    <v>2851</v>
    <v>Hybride streek</v>
    <v>Gelede bus</v>
    <v>Bus</v>
  </rv>
  <rv s="3">
    <v>0</v>
    <v>2852</v>
    <v>1</v>
    <v>Generic</v>
    <v>223C3</v>
    <v>Euro6</v>
    <v>1</v>
    <v>401768</v>
    <v>45175</v>
    <v>Niet Beschikbaar</v>
    <v>?</v>
    <v>J</v>
    <v>J</v>
    <v>J</v>
    <v>J</v>
    <v>J</v>
    <v/>
    <v>Onbekend</v>
    <v>#</v>
    <v>Onbekend</v>
    <v>#</v>
    <v>2852</v>
    <v>2852</v>
    <v>Hybride streek</v>
    <v>Gelede bus</v>
    <v>Bus</v>
  </rv>
  <rv s="3">
    <v>0</v>
    <v>2853</v>
    <v>1</v>
    <v>Generic</v>
    <v>223C3</v>
    <v>Euro6</v>
    <v>1</v>
    <v>401768</v>
    <v>45175</v>
    <v>Niet Beschikbaar</v>
    <v>?</v>
    <v>J</v>
    <v>J</v>
    <v>J</v>
    <v>J</v>
    <v>J</v>
    <v/>
    <v>Onbekend</v>
    <v>#</v>
    <v>Onbekend</v>
    <v>#</v>
    <v>2853</v>
    <v>2853</v>
    <v>Hybride streek</v>
    <v>Gelede bus</v>
    <v>Bus</v>
  </rv>
  <rv s="3">
    <v>0</v>
    <v>2854</v>
    <v>1</v>
    <v>Generic</v>
    <v>223C3</v>
    <v>Euro6</v>
    <v>1</v>
    <v>401768</v>
    <v>45175</v>
    <v>Niet Beschikbaar</v>
    <v>?</v>
    <v>J</v>
    <v>J</v>
    <v>J</v>
    <v>J</v>
    <v>J</v>
    <v/>
    <v>Onbekend</v>
    <v>#</v>
    <v>Onbekend</v>
    <v>#</v>
    <v>2854</v>
    <v>2854</v>
    <v>Hybride streek</v>
    <v>Gelede bus</v>
    <v>Bus</v>
  </rv>
  <rv s="3">
    <v>0</v>
    <v>2855</v>
    <v>1</v>
    <v>Generic</v>
    <v>223C3</v>
    <v>Euro6</v>
    <v>1</v>
    <v>401768</v>
    <v>45175</v>
    <v>Niet Beschikbaar</v>
    <v>?</v>
    <v>J</v>
    <v>J</v>
    <v>J</v>
    <v>J</v>
    <v>J</v>
    <v/>
    <v>Onbekend</v>
    <v>#</v>
    <v>Onbekend</v>
    <v>#</v>
    <v>2855</v>
    <v>2855</v>
    <v>Hybride streek</v>
    <v>Gelede bus</v>
    <v>Bus</v>
  </rv>
  <rv s="3">
    <v>0</v>
    <v>2856</v>
    <v>1</v>
    <v>Generic</v>
    <v>223C3</v>
    <v>Euro6</v>
    <v>1</v>
    <v>401768</v>
    <v>45175</v>
    <v>Niet Beschikbaar</v>
    <v>?</v>
    <v>J</v>
    <v>J</v>
    <v>J</v>
    <v>J</v>
    <v>J</v>
    <v/>
    <v>Onbekend</v>
    <v>#</v>
    <v>Onbekend</v>
    <v>#</v>
    <v>2856</v>
    <v>2856</v>
    <v>Hybride streek</v>
    <v>Gelede bus</v>
    <v>Bus</v>
  </rv>
  <rv s="3">
    <v>0</v>
    <v>2857</v>
    <v>1</v>
    <v>Generic</v>
    <v>223C3</v>
    <v>Euro6</v>
    <v>1</v>
    <v>401768</v>
    <v>45175</v>
    <v>Niet Beschikbaar</v>
    <v>?</v>
    <v>J</v>
    <v>J</v>
    <v>J</v>
    <v>J</v>
    <v>J</v>
    <v/>
    <v>Onbekend</v>
    <v>#</v>
    <v>Onbekend</v>
    <v>#</v>
    <v>2857</v>
    <v>2857</v>
    <v>Hybride streek</v>
    <v>Gelede bus</v>
    <v>Bus</v>
  </rv>
  <rv s="3">
    <v>0</v>
    <v>2858</v>
    <v>1</v>
    <v>Generic</v>
    <v>223C3</v>
    <v>Euro6</v>
    <v>1</v>
    <v>401768</v>
    <v>45175</v>
    <v>Niet Beschikbaar</v>
    <v>?</v>
    <v>J</v>
    <v>J</v>
    <v>J</v>
    <v>J</v>
    <v>J</v>
    <v/>
    <v>Onbekend</v>
    <v>#</v>
    <v>Onbekend</v>
    <v>#</v>
    <v>2858</v>
    <v>2858</v>
    <v>Hybride streek</v>
    <v>Gelede bus</v>
    <v>Bus</v>
  </rv>
  <rv s="3">
    <v>0</v>
    <v>2859</v>
    <v>1</v>
    <v>Generic</v>
    <v>223C3</v>
    <v>Euro6</v>
    <v>1</v>
    <v>401768</v>
    <v>45175</v>
    <v>Niet Beschikbaar</v>
    <v>?</v>
    <v>J</v>
    <v>J</v>
    <v>J</v>
    <v>J</v>
    <v>J</v>
    <v/>
    <v>Onbekend</v>
    <v>#</v>
    <v>Onbekend</v>
    <v>#</v>
    <v>2859</v>
    <v>2859</v>
    <v>Hybride streek</v>
    <v>Gelede bus</v>
    <v>Bus</v>
  </rv>
  <rv s="3">
    <v>0</v>
    <v>2860</v>
    <v>1</v>
    <v>Generic</v>
    <v>223C3</v>
    <v>Euro6</v>
    <v>1</v>
    <v>401768</v>
    <v>45175</v>
    <v>Niet Beschikbaar</v>
    <v>?</v>
    <v>J</v>
    <v>J</v>
    <v>J</v>
    <v>J</v>
    <v>J</v>
    <v/>
    <v>Onbekend</v>
    <v>#</v>
    <v>Onbekend</v>
    <v>#</v>
    <v>2860</v>
    <v>2860</v>
    <v>Hybride streek</v>
    <v>Gelede bus</v>
    <v>Bus</v>
  </rv>
  <rv s="3">
    <v>0</v>
    <v>2861</v>
    <v>1</v>
    <v>Generic</v>
    <v>223C3</v>
    <v>Euro6</v>
    <v>1</v>
    <v>401768</v>
    <v>45175</v>
    <v>Niet Beschikbaar</v>
    <v>?</v>
    <v>J</v>
    <v>J</v>
    <v>J</v>
    <v>J</v>
    <v>J</v>
    <v/>
    <v>Onbekend</v>
    <v>#</v>
    <v>Onbekend</v>
    <v>#</v>
    <v>2861</v>
    <v>2861</v>
    <v>Hybride streek</v>
    <v>Gelede bus</v>
    <v>Bus</v>
  </rv>
  <rv s="3">
    <v>0</v>
    <v>2862</v>
    <v>1</v>
    <v>Generic</v>
    <v>223C3</v>
    <v>Euro6</v>
    <v>1</v>
    <v>401768</v>
    <v>45175</v>
    <v>Niet Beschikbaar</v>
    <v>?</v>
    <v>J</v>
    <v>J</v>
    <v>J</v>
    <v>J</v>
    <v>J</v>
    <v/>
    <v>Onbekend</v>
    <v>#</v>
    <v>Onbekend</v>
    <v>#</v>
    <v>2862</v>
    <v>2862</v>
    <v>Hybride streek</v>
    <v>Gelede bus</v>
    <v>Bus</v>
  </rv>
  <rv s="3">
    <v>0</v>
    <v>2863</v>
    <v>1</v>
    <v>Generic</v>
    <v>223C3</v>
    <v>Euro6</v>
    <v>1</v>
    <v>401768</v>
    <v>45175</v>
    <v>Niet Beschikbaar</v>
    <v>?</v>
    <v>J</v>
    <v>J</v>
    <v>J</v>
    <v>J</v>
    <v>J</v>
    <v/>
    <v>Onbekend</v>
    <v>#</v>
    <v>Onbekend</v>
    <v>#</v>
    <v>2863</v>
    <v>2863</v>
    <v>Hybride streek</v>
    <v>Gelede bus</v>
    <v>Bus</v>
  </rv>
  <rv s="3">
    <v>0</v>
    <v>2864</v>
    <v>1</v>
    <v>Generic</v>
    <v>223C3</v>
    <v>Euro6</v>
    <v>1</v>
    <v>401768</v>
    <v>45175</v>
    <v>Niet Beschikbaar</v>
    <v>?</v>
    <v>J</v>
    <v>J</v>
    <v>J</v>
    <v>J</v>
    <v>J</v>
    <v/>
    <v>Onbekend</v>
    <v>#</v>
    <v>Onbekend</v>
    <v>#</v>
    <v>2864</v>
    <v>2864</v>
    <v>Hybride streek</v>
    <v>Gelede bus</v>
    <v>Bus</v>
  </rv>
  <rv s="3">
    <v>0</v>
    <v>2865</v>
    <v>1</v>
    <v>Generic</v>
    <v>224A</v>
    <v/>
    <v>1</v>
    <v>401768</v>
    <v>45175</v>
    <v>Niet Beschikbaar</v>
    <v>?</v>
    <v>J</v>
    <v>J</v>
    <v>J</v>
    <v/>
    <v>J</v>
    <v/>
    <v>Onbekend</v>
    <v>#</v>
    <v>Onbekend</v>
    <v>#</v>
    <v>2865</v>
    <v>2865</v>
    <v>12m LV E-bus</v>
    <v>E-Bus</v>
    <v>Bus</v>
  </rv>
  <rv s="3">
    <v>0</v>
    <v>2866</v>
    <v>1</v>
    <v>Generic</v>
    <v>224A</v>
    <v/>
    <v>1</v>
    <v>401768</v>
    <v>45175</v>
    <v>Niet Beschikbaar</v>
    <v>?</v>
    <v>J</v>
    <v>J</v>
    <v>J</v>
    <v/>
    <v>J</v>
    <v/>
    <v>Onbekend</v>
    <v>#</v>
    <v>Onbekend</v>
    <v>#</v>
    <v>2866</v>
    <v>2866</v>
    <v>12m LV E-bus</v>
    <v>E-Bus</v>
    <v>Bus</v>
  </rv>
  <rv s="0">
    <v>0</v>
    <v>2867</v>
    <v>1</v>
    <v>Generic</v>
    <v>224A</v>
    <v/>
    <v>1</v>
    <v>45069</v>
    <v>45175</v>
    <v>Limburg</v>
    <v>4</v>
    <v>J</v>
    <v>J</v>
    <v>J</v>
    <v/>
    <v>J</v>
    <v>0</v>
    <v>Winterslag</v>
    <v>125</v>
    <v>Onderhoud Winterslag</v>
    <v>153</v>
    <v>2867</v>
    <v>2867</v>
    <v>12m LV E-bus</v>
    <v>E-Bus</v>
    <v>Bus</v>
  </rv>
  <rv s="0">
    <v>0</v>
    <v>2868</v>
    <v>1</v>
    <v>Generic</v>
    <v>224A</v>
    <v/>
    <v>1</v>
    <v>45113</v>
    <v>45175</v>
    <v>Limburg</v>
    <v>4</v>
    <v>J</v>
    <v>J</v>
    <v>J</v>
    <v/>
    <v>J</v>
    <v>0</v>
    <v>Onbekend</v>
    <v>#</v>
    <v>Onbekend</v>
    <v>#</v>
    <v>2868</v>
    <v>2868</v>
    <v>12m LV E-bus</v>
    <v>E-Bus</v>
    <v>Bus</v>
  </rv>
  <rv s="0">
    <v>0</v>
    <v>2869</v>
    <v>1</v>
    <v>Generic</v>
    <v>224A</v>
    <v/>
    <v>1</v>
    <v>45121</v>
    <v>45175</v>
    <v>Limburg</v>
    <v>4</v>
    <v>J</v>
    <v>J</v>
    <v>J</v>
    <v/>
    <v>J</v>
    <v>0</v>
    <v>Winterslag</v>
    <v>125</v>
    <v>Onderhoud Winterslag</v>
    <v>153</v>
    <v>2869</v>
    <v>2869</v>
    <v>12m LV E-bus</v>
    <v>E-Bus</v>
    <v>Bus</v>
  </rv>
  <rv s="0">
    <v>0</v>
    <v>2870</v>
    <v>1</v>
    <v>Generic</v>
    <v>224A</v>
    <v/>
    <v>1</v>
    <v>45051</v>
    <v>45175</v>
    <v>Limburg</v>
    <v>4</v>
    <v>J</v>
    <v>J</v>
    <v>J</v>
    <v/>
    <v>J</v>
    <v>0</v>
    <v>Winterslag</v>
    <v>125</v>
    <v>Onderhoud Winterslag</v>
    <v>153</v>
    <v>2870</v>
    <v>2870</v>
    <v>12m LV E-bus</v>
    <v>E-Bus</v>
    <v>Bus</v>
  </rv>
  <rv s="0">
    <v>0</v>
    <v>2872</v>
    <v>1</v>
    <v>Generic</v>
    <v>224A</v>
    <v/>
    <v>1</v>
    <v>45051</v>
    <v>45175</v>
    <v>Limburg</v>
    <v>4</v>
    <v>J</v>
    <v>J</v>
    <v>J</v>
    <v/>
    <v>J</v>
    <v>0</v>
    <v>Winterslag</v>
    <v>125</v>
    <v>Onderhoud Winterslag</v>
    <v>153</v>
    <v>2872</v>
    <v>2872</v>
    <v>12m LV E-bus</v>
    <v>E-Bus</v>
    <v>Bus</v>
  </rv>
  <rv s="0">
    <v>0</v>
    <v>2873</v>
    <v>1</v>
    <v>Generic</v>
    <v>224A</v>
    <v/>
    <v>1</v>
    <v>45051</v>
    <v>45175</v>
    <v>Limburg</v>
    <v>4</v>
    <v>J</v>
    <v>J</v>
    <v>J</v>
    <v/>
    <v>J</v>
    <v>0</v>
    <v>Winterslag</v>
    <v>125</v>
    <v>Onderhoud Winterslag</v>
    <v>153</v>
    <v>2873</v>
    <v>2873</v>
    <v>12m LV E-bus</v>
    <v>E-Bus</v>
    <v>Bus</v>
  </rv>
  <rv s="0">
    <v>0</v>
    <v>2874</v>
    <v>1</v>
    <v>Generic</v>
    <v>224A</v>
    <v/>
    <v>1</v>
    <v>45069</v>
    <v>45175</v>
    <v>Limburg</v>
    <v>4</v>
    <v>J</v>
    <v>J</v>
    <v>J</v>
    <v/>
    <v>J</v>
    <v>0</v>
    <v>Winterslag</v>
    <v>125</v>
    <v>Onderhoud Winterslag</v>
    <v>153</v>
    <v>2874</v>
    <v>2874</v>
    <v>12m LV E-bus</v>
    <v>E-Bus</v>
    <v>Bus</v>
  </rv>
  <rv s="3">
    <v>0</v>
    <v>2875</v>
    <v>1</v>
    <v>Generic</v>
    <v>224A</v>
    <v/>
    <v>1</v>
    <v>401768</v>
    <v>45175</v>
    <v>Niet Beschikbaar</v>
    <v>?</v>
    <v>J</v>
    <v>J</v>
    <v>J</v>
    <v/>
    <v>J</v>
    <v/>
    <v>Onbekend</v>
    <v>#</v>
    <v>Onbekend</v>
    <v>#</v>
    <v>2875</v>
    <v>2875</v>
    <v>12m LV E-bus</v>
    <v>E-Bus</v>
    <v>Bus</v>
  </rv>
  <rv s="3">
    <v>0</v>
    <v>2876</v>
    <v>1</v>
    <v>Generic</v>
    <v>224A</v>
    <v/>
    <v>1</v>
    <v>401768</v>
    <v>45175</v>
    <v>Niet Beschikbaar</v>
    <v>?</v>
    <v>J</v>
    <v>J</v>
    <v>J</v>
    <v/>
    <v>J</v>
    <v/>
    <v>Onbekend</v>
    <v>#</v>
    <v>Onbekend</v>
    <v>#</v>
    <v>2876</v>
    <v>2876</v>
    <v>12m LV E-bus</v>
    <v>E-Bus</v>
    <v>Bus</v>
  </rv>
  <rv s="3">
    <v>0</v>
    <v>2877</v>
    <v>1</v>
    <v>Generic</v>
    <v>224A</v>
    <v/>
    <v>1</v>
    <v>401768</v>
    <v>45175</v>
    <v>Niet Beschikbaar</v>
    <v>?</v>
    <v>J</v>
    <v>J</v>
    <v>J</v>
    <v/>
    <v>J</v>
    <v/>
    <v>Onbekend</v>
    <v>#</v>
    <v>Onbekend</v>
    <v>#</v>
    <v>2877</v>
    <v>2877</v>
    <v>12m LV E-bus</v>
    <v>E-Bus</v>
    <v>Bus</v>
  </rv>
  <rv s="3">
    <v>0</v>
    <v>2878</v>
    <v>1</v>
    <v>Generic</v>
    <v>224A</v>
    <v/>
    <v>1</v>
    <v>401768</v>
    <v>45175</v>
    <v>Niet Beschikbaar</v>
    <v>?</v>
    <v>J</v>
    <v>J</v>
    <v>J</v>
    <v/>
    <v>J</v>
    <v/>
    <v>Onbekend</v>
    <v>#</v>
    <v>Onbekend</v>
    <v>#</v>
    <v>2878</v>
    <v>2878</v>
    <v>12m LV E-bus</v>
    <v>E-Bus</v>
    <v>Bus</v>
  </rv>
  <rv s="3">
    <v>0</v>
    <v>2879</v>
    <v>1</v>
    <v>Generic</v>
    <v>224A</v>
    <v/>
    <v>1</v>
    <v>401768</v>
    <v>45175</v>
    <v>Niet Beschikbaar</v>
    <v>?</v>
    <v>J</v>
    <v>J</v>
    <v>J</v>
    <v/>
    <v>J</v>
    <v/>
    <v>Onbekend</v>
    <v>#</v>
    <v>Onbekend</v>
    <v>#</v>
    <v>2879</v>
    <v>2879</v>
    <v>12m LV E-bus</v>
    <v>E-Bus</v>
    <v>Bus</v>
  </rv>
  <rv s="3">
    <v>0</v>
    <v>2880</v>
    <v>1</v>
    <v>Generic</v>
    <v>224A</v>
    <v/>
    <v>1</v>
    <v>401768</v>
    <v>45175</v>
    <v>Niet Beschikbaar</v>
    <v>?</v>
    <v>J</v>
    <v>J</v>
    <v>J</v>
    <v/>
    <v>J</v>
    <v/>
    <v>Onbekend</v>
    <v>#</v>
    <v>Onbekend</v>
    <v>#</v>
    <v>2880</v>
    <v>2880</v>
    <v>12m LV E-bus</v>
    <v>E-Bus</v>
    <v>Bus</v>
  </rv>
  <rv s="3">
    <v>0</v>
    <v>2881</v>
    <v>1</v>
    <v>Generic</v>
    <v>224A</v>
    <v/>
    <v>1</v>
    <v>401768</v>
    <v>45175</v>
    <v>Niet Beschikbaar</v>
    <v>?</v>
    <v>J</v>
    <v>J</v>
    <v>J</v>
    <v/>
    <v>J</v>
    <v/>
    <v>Onbekend</v>
    <v>#</v>
    <v>Onbekend</v>
    <v>#</v>
    <v>2881</v>
    <v>2881</v>
    <v>12m LV E-bus</v>
    <v>E-Bus</v>
    <v>Bus</v>
  </rv>
  <rv s="3">
    <v>0</v>
    <v>2882</v>
    <v>1</v>
    <v>Generic</v>
    <v>224A</v>
    <v/>
    <v>1</v>
    <v>401768</v>
    <v>45175</v>
    <v>Niet Beschikbaar</v>
    <v>?</v>
    <v>J</v>
    <v>J</v>
    <v>J</v>
    <v/>
    <v>J</v>
    <v/>
    <v>Onbekend</v>
    <v>#</v>
    <v>Onbekend</v>
    <v>#</v>
    <v>2882</v>
    <v>2882</v>
    <v>12m LV E-bus</v>
    <v>E-Bus</v>
    <v>Bus</v>
  </rv>
  <rv s="3">
    <v>0</v>
    <v>2883</v>
    <v>1</v>
    <v>Generic</v>
    <v>224A</v>
    <v/>
    <v>1</v>
    <v>401768</v>
    <v>45175</v>
    <v>Niet Beschikbaar</v>
    <v>?</v>
    <v>J</v>
    <v>J</v>
    <v>J</v>
    <v/>
    <v>J</v>
    <v/>
    <v>Onbekend</v>
    <v>#</v>
    <v>Onbekend</v>
    <v>#</v>
    <v>2883</v>
    <v>2883</v>
    <v>12m LV E-bus</v>
    <v>E-Bus</v>
    <v>Bus</v>
  </rv>
  <rv s="3">
    <v>0</v>
    <v>2884</v>
    <v>1</v>
    <v>Generic</v>
    <v>224A</v>
    <v/>
    <v>1</v>
    <v>401768</v>
    <v>45175</v>
    <v>Niet Beschikbaar</v>
    <v>?</v>
    <v>J</v>
    <v>J</v>
    <v>J</v>
    <v/>
    <v>J</v>
    <v/>
    <v>Onbekend</v>
    <v>#</v>
    <v>Onbekend</v>
    <v>#</v>
    <v>2884</v>
    <v>2884</v>
    <v>12m LV E-bus</v>
    <v>E-Bus</v>
    <v>Bus</v>
  </rv>
  <rv s="3">
    <v>0</v>
    <v>2885</v>
    <v>1</v>
    <v>Generic</v>
    <v>224A</v>
    <v/>
    <v>1</v>
    <v>401768</v>
    <v>45175</v>
    <v>Niet Beschikbaar</v>
    <v>?</v>
    <v>J</v>
    <v>J</v>
    <v>J</v>
    <v/>
    <v>J</v>
    <v/>
    <v>Onbekend</v>
    <v>#</v>
    <v>Onbekend</v>
    <v>#</v>
    <v>2885</v>
    <v>2885</v>
    <v>12m LV E-bus</v>
    <v>E-Bus</v>
    <v>Bus</v>
  </rv>
  <rv s="3">
    <v>0</v>
    <v>2886</v>
    <v>1</v>
    <v>Generic</v>
    <v>224A</v>
    <v/>
    <v>1</v>
    <v>401768</v>
    <v>45175</v>
    <v>Niet Beschikbaar</v>
    <v>?</v>
    <v>J</v>
    <v>J</v>
    <v>J</v>
    <v/>
    <v>J</v>
    <v/>
    <v>Onbekend</v>
    <v>#</v>
    <v>Onbekend</v>
    <v>#</v>
    <v>2886</v>
    <v>2886</v>
    <v>12m LV E-bus</v>
    <v>E-Bus</v>
    <v>Bus</v>
  </rv>
  <rv s="3">
    <v>0</v>
    <v>2887</v>
    <v>1</v>
    <v>Generic</v>
    <v>224A</v>
    <v/>
    <v>1</v>
    <v>401768</v>
    <v>45175</v>
    <v>Niet Beschikbaar</v>
    <v>?</v>
    <v>J</v>
    <v>J</v>
    <v>J</v>
    <v/>
    <v>J</v>
    <v/>
    <v>Onbekend</v>
    <v>#</v>
    <v>Onbekend</v>
    <v>#</v>
    <v>2887</v>
    <v>2887</v>
    <v>12m LV E-bus</v>
    <v>E-Bus</v>
    <v>Bus</v>
  </rv>
  <rv s="3">
    <v>0</v>
    <v>2888</v>
    <v>1</v>
    <v>Generic</v>
    <v>224A</v>
    <v/>
    <v>1</v>
    <v>401768</v>
    <v>45175</v>
    <v>Niet Beschikbaar</v>
    <v>?</v>
    <v>J</v>
    <v>J</v>
    <v>J</v>
    <v/>
    <v>J</v>
    <v/>
    <v>Onbekend</v>
    <v>#</v>
    <v>Onbekend</v>
    <v>#</v>
    <v>2888</v>
    <v>2888</v>
    <v>12m LV E-bus</v>
    <v>E-Bus</v>
    <v>Bus</v>
  </rv>
  <rv s="3">
    <v>0</v>
    <v>2889</v>
    <v>1</v>
    <v>Generic</v>
    <v>224A</v>
    <v/>
    <v>1</v>
    <v>401768</v>
    <v>45175</v>
    <v>Niet Beschikbaar</v>
    <v>?</v>
    <v>J</v>
    <v>J</v>
    <v>J</v>
    <v/>
    <v>J</v>
    <v/>
    <v>Onbekend</v>
    <v>#</v>
    <v>Onbekend</v>
    <v>#</v>
    <v>2889</v>
    <v>2889</v>
    <v>12m LV E-bus</v>
    <v>E-Bus</v>
    <v>Bus</v>
  </rv>
  <rv s="3">
    <v>0</v>
    <v>2890</v>
    <v>1</v>
    <v>Generic</v>
    <v>224A</v>
    <v/>
    <v>1</v>
    <v>401768</v>
    <v>45175</v>
    <v>Niet Beschikbaar</v>
    <v>?</v>
    <v>J</v>
    <v>J</v>
    <v>J</v>
    <v/>
    <v>J</v>
    <v/>
    <v>Onbekend</v>
    <v>#</v>
    <v>Onbekend</v>
    <v>#</v>
    <v>2890</v>
    <v>2890</v>
    <v>12m LV E-bus</v>
    <v>E-Bus</v>
    <v>Bus</v>
  </rv>
  <rv s="0">
    <v>0</v>
    <v>2891</v>
    <v>1</v>
    <v>Generic</v>
    <v>224A</v>
    <v/>
    <v>1</v>
    <v>45056</v>
    <v>45175</v>
    <v>West-Vlaanderen</v>
    <v>5</v>
    <v>J</v>
    <v>J</v>
    <v>J</v>
    <v/>
    <v>J</v>
    <v>0</v>
    <v>Kortrijk</v>
    <v>130</v>
    <v>Onderhoud Kortrijk</v>
    <v>145</v>
    <v>2891</v>
    <v>2891</v>
    <v>12m LV E-bus</v>
    <v>E-Bus</v>
    <v>Bus</v>
  </rv>
  <rv s="0">
    <v>0</v>
    <v>2892</v>
    <v>1</v>
    <v>Generic</v>
    <v>224A</v>
    <v/>
    <v>1</v>
    <v>45084</v>
    <v>45175</v>
    <v>West-Vlaanderen</v>
    <v>5</v>
    <v>J</v>
    <v>J</v>
    <v>J</v>
    <v/>
    <v>J</v>
    <v>0</v>
    <v>Kortrijk</v>
    <v>130</v>
    <v>Onderhoud Kortrijk</v>
    <v>145</v>
    <v>2892</v>
    <v>2892</v>
    <v>12m LV E-bus</v>
    <v>E-Bus</v>
    <v>Bus</v>
  </rv>
  <rv s="0">
    <v>0</v>
    <v>2893</v>
    <v>1</v>
    <v>Generic</v>
    <v>224A</v>
    <v/>
    <v>1</v>
    <v>45078</v>
    <v>45175</v>
    <v>West-Vlaanderen</v>
    <v>5</v>
    <v>J</v>
    <v>J</v>
    <v>J</v>
    <v/>
    <v>J</v>
    <v>0</v>
    <v>Kortrijk</v>
    <v>130</v>
    <v>Onderhoud Kortrijk</v>
    <v>145</v>
    <v>2893</v>
    <v>2893</v>
    <v>12m LV E-bus</v>
    <v>E-Bus</v>
    <v>Bus</v>
  </rv>
  <rv s="0">
    <v>0</v>
    <v>2894</v>
    <v>1</v>
    <v>Generic</v>
    <v>224A</v>
    <v/>
    <v>1</v>
    <v>45077</v>
    <v>45175</v>
    <v>West-Vlaanderen</v>
    <v>5</v>
    <v>J</v>
    <v>J</v>
    <v>J</v>
    <v/>
    <v>J</v>
    <v>0</v>
    <v>Kortrijk</v>
    <v>130</v>
    <v>Onderhoud Kortrijk</v>
    <v>145</v>
    <v>2894</v>
    <v>2894</v>
    <v>12m LV E-bus</v>
    <v>E-Bus</v>
    <v>Bus</v>
  </rv>
  <rv s="0">
    <v>0</v>
    <v>2895</v>
    <v>1</v>
    <v>Generic</v>
    <v>224A</v>
    <v/>
    <v>1</v>
    <v>45098</v>
    <v>45175</v>
    <v>West-Vlaanderen</v>
    <v>5</v>
    <v>J</v>
    <v>J</v>
    <v>J</v>
    <v/>
    <v>J</v>
    <v>0</v>
    <v>Kortrijk</v>
    <v>130</v>
    <v>Onderhoud Kortrijk</v>
    <v>145</v>
    <v>2895</v>
    <v>2895</v>
    <v>12m LV E-bus</v>
    <v>E-Bus</v>
    <v>Bus</v>
  </rv>
  <rv s="0">
    <v>0</v>
    <v>2896</v>
    <v>1</v>
    <v>Generic</v>
    <v>224A</v>
    <v/>
    <v>1</v>
    <v>45084</v>
    <v>45175</v>
    <v>West-Vlaanderen</v>
    <v>5</v>
    <v>J</v>
    <v>J</v>
    <v>J</v>
    <v/>
    <v>J</v>
    <v>0</v>
    <v>Kortrijk</v>
    <v>130</v>
    <v>Onderhoud Kortrijk</v>
    <v>145</v>
    <v>2896</v>
    <v>2896</v>
    <v>12m LV E-bus</v>
    <v>E-Bus</v>
    <v>Bus</v>
  </rv>
  <rv s="0">
    <v>0</v>
    <v>2897</v>
    <v>1</v>
    <v>Generic</v>
    <v>224A</v>
    <v/>
    <v>1</v>
    <v>45091</v>
    <v>45175</v>
    <v>West-Vlaanderen</v>
    <v>5</v>
    <v>J</v>
    <v>J</v>
    <v>J</v>
    <v/>
    <v>J</v>
    <v>0</v>
    <v>Kortrijk</v>
    <v>130</v>
    <v>Onderhoud Kortrijk</v>
    <v>145</v>
    <v>2897</v>
    <v>2897</v>
    <v>12m LV E-bus</v>
    <v>E-Bus</v>
    <v>Bus</v>
  </rv>
  <rv s="3">
    <v>0</v>
    <v>2898</v>
    <v>1</v>
    <v>Generic</v>
    <v>224A</v>
    <v/>
    <v>1</v>
    <v>401768</v>
    <v>45175</v>
    <v>Niet Beschikbaar</v>
    <v>?</v>
    <v>J</v>
    <v>J</v>
    <v>J</v>
    <v/>
    <v>J</v>
    <v/>
    <v>Onbekend</v>
    <v>#</v>
    <v>Onbekend</v>
    <v>#</v>
    <v>2898</v>
    <v>2898</v>
    <v>12m LV E-bus</v>
    <v>E-Bus</v>
    <v>Bus</v>
  </rv>
  <rv s="0">
    <v>0</v>
    <v>2899</v>
    <v>1</v>
    <v>Generic</v>
    <v>224A</v>
    <v/>
    <v>1</v>
    <v>45162</v>
    <v>45175</v>
    <v>West-Vlaanderen</v>
    <v>5</v>
    <v>J</v>
    <v>J</v>
    <v>J</v>
    <v/>
    <v>J</v>
    <v>0</v>
    <v>Onbekend</v>
    <v>#</v>
    <v>Onbekend</v>
    <v>#</v>
    <v>2899</v>
    <v>2899</v>
    <v>12m LV E-bus</v>
    <v>E-Bus</v>
    <v>Bus</v>
  </rv>
  <rv s="0">
    <v>0</v>
    <v>2900</v>
    <v>1</v>
    <v>Generic</v>
    <v>224A</v>
    <v/>
    <v>1</v>
    <v>45169</v>
    <v>45175</v>
    <v>West-Vlaanderen</v>
    <v>5</v>
    <v>J</v>
    <v>J</v>
    <v>J</v>
    <v/>
    <v>J</v>
    <v>0</v>
    <v>Onbekend</v>
    <v>#</v>
    <v>Onbekend</v>
    <v>#</v>
    <v>2900</v>
    <v>2900</v>
    <v>12m LV E-bus</v>
    <v>E-Bus</v>
    <v>Bus</v>
  </rv>
  <rv s="3">
    <v>0</v>
    <v>2901</v>
    <v>1</v>
    <v>Generic</v>
    <v>224B</v>
    <v/>
    <v>1</v>
    <v>401768</v>
    <v>45175</v>
    <v>Niet Beschikbaar</v>
    <v>?</v>
    <v>J</v>
    <v>J</v>
    <v>J</v>
    <v/>
    <v>J</v>
    <v/>
    <v>Onbekend</v>
    <v>#</v>
    <v>Onbekend</v>
    <v>#</v>
    <v>2901</v>
    <v>2901</v>
    <v>12m LV E-bus</v>
    <v>E-Bus</v>
    <v>Bus</v>
  </rv>
  <rv s="3">
    <v>0</v>
    <v>2902</v>
    <v>1</v>
    <v>Generic</v>
    <v>224B</v>
    <v/>
    <v>1</v>
    <v>401768</v>
    <v>45175</v>
    <v>Niet Beschikbaar</v>
    <v>?</v>
    <v>J</v>
    <v>J</v>
    <v>J</v>
    <v/>
    <v>J</v>
    <v/>
    <v>Onbekend</v>
    <v>#</v>
    <v>Onbekend</v>
    <v>#</v>
    <v>2902</v>
    <v>2902</v>
    <v>12m LV E-bus</v>
    <v>E-Bus</v>
    <v>Bus</v>
  </rv>
  <rv s="3">
    <v>0</v>
    <v>2903</v>
    <v>1</v>
    <v>Generic</v>
    <v>224B</v>
    <v/>
    <v>1</v>
    <v>401768</v>
    <v>45175</v>
    <v>Niet Beschikbaar</v>
    <v>?</v>
    <v>J</v>
    <v>J</v>
    <v>J</v>
    <v/>
    <v>J</v>
    <v/>
    <v>Onbekend</v>
    <v>#</v>
    <v>Onbekend</v>
    <v>#</v>
    <v>2903</v>
    <v>2903</v>
    <v>12m LV E-bus</v>
    <v>E-Bus</v>
    <v>Bus</v>
  </rv>
  <rv s="3">
    <v>0</v>
    <v>2904</v>
    <v>1</v>
    <v>Generic</v>
    <v>224B</v>
    <v/>
    <v>1</v>
    <v>401768</v>
    <v>45175</v>
    <v>Niet Beschikbaar</v>
    <v>?</v>
    <v>J</v>
    <v>J</v>
    <v>J</v>
    <v/>
    <v>J</v>
    <v/>
    <v>Onbekend</v>
    <v>#</v>
    <v>Onbekend</v>
    <v>#</v>
    <v>2904</v>
    <v>2904</v>
    <v>12m LV E-bus</v>
    <v>E-Bus</v>
    <v>Bus</v>
  </rv>
  <rv s="3">
    <v>0</v>
    <v>2905</v>
    <v>1</v>
    <v>Generic</v>
    <v>224B</v>
    <v/>
    <v>1</v>
    <v>401768</v>
    <v>45175</v>
    <v>Niet Beschikbaar</v>
    <v>?</v>
    <v>J</v>
    <v>J</v>
    <v>J</v>
    <v/>
    <v>J</v>
    <v/>
    <v>Onbekend</v>
    <v>#</v>
    <v>Onbekend</v>
    <v>#</v>
    <v>2905</v>
    <v>2905</v>
    <v>12m LV E-bus</v>
    <v>E-Bus</v>
    <v>Bus</v>
  </rv>
  <rv s="3">
    <v>0</v>
    <v>2906</v>
    <v>1</v>
    <v>Generic</v>
    <v>224B</v>
    <v/>
    <v>1</v>
    <v>401768</v>
    <v>45175</v>
    <v>Niet Beschikbaar</v>
    <v>?</v>
    <v>J</v>
    <v>J</v>
    <v>J</v>
    <v/>
    <v>J</v>
    <v/>
    <v>Onbekend</v>
    <v>#</v>
    <v>Onbekend</v>
    <v>#</v>
    <v>2906</v>
    <v>2906</v>
    <v>12m LV E-bus</v>
    <v>E-Bus</v>
    <v>Bus</v>
  </rv>
  <rv s="3">
    <v>0</v>
    <v>2907</v>
    <v>1</v>
    <v>Generic</v>
    <v>224B</v>
    <v/>
    <v>1</v>
    <v>401768</v>
    <v>45175</v>
    <v>Niet Beschikbaar</v>
    <v>?</v>
    <v>J</v>
    <v>J</v>
    <v>J</v>
    <v/>
    <v>J</v>
    <v/>
    <v>Onbekend</v>
    <v>#</v>
    <v>Onbekend</v>
    <v>#</v>
    <v>2907</v>
    <v>2907</v>
    <v>12m LV E-bus</v>
    <v>E-Bus</v>
    <v>Bus</v>
  </rv>
  <rv s="3">
    <v>0</v>
    <v>2908</v>
    <v>1</v>
    <v>Generic</v>
    <v>224B</v>
    <v/>
    <v>1</v>
    <v>401768</v>
    <v>45175</v>
    <v>Niet Beschikbaar</v>
    <v>?</v>
    <v>J</v>
    <v>J</v>
    <v>J</v>
    <v/>
    <v>J</v>
    <v/>
    <v>Onbekend</v>
    <v>#</v>
    <v>Onbekend</v>
    <v>#</v>
    <v>2908</v>
    <v>2908</v>
    <v>12m LV E-bus</v>
    <v>E-Bus</v>
    <v>Bus</v>
  </rv>
  <rv s="3">
    <v>0</v>
    <v>2909</v>
    <v>1</v>
    <v>Generic</v>
    <v>224B</v>
    <v/>
    <v>1</v>
    <v>401768</v>
    <v>45175</v>
    <v>Niet Beschikbaar</v>
    <v>?</v>
    <v>J</v>
    <v>J</v>
    <v>J</v>
    <v/>
    <v>J</v>
    <v/>
    <v>Onbekend</v>
    <v>#</v>
    <v>Onbekend</v>
    <v>#</v>
    <v>2909</v>
    <v>2909</v>
    <v>12m LV E-bus</v>
    <v>E-Bus</v>
    <v>Bus</v>
  </rv>
  <rv s="3">
    <v>0</v>
    <v>2910</v>
    <v>1</v>
    <v>Generic</v>
    <v>224B</v>
    <v/>
    <v>1</v>
    <v>401768</v>
    <v>45175</v>
    <v>Niet Beschikbaar</v>
    <v>?</v>
    <v>J</v>
    <v>J</v>
    <v>J</v>
    <v/>
    <v>J</v>
    <v/>
    <v>Onbekend</v>
    <v>#</v>
    <v>Onbekend</v>
    <v>#</v>
    <v>2910</v>
    <v>2910</v>
    <v>12m LV E-bus</v>
    <v>E-Bus</v>
    <v>Bus</v>
  </rv>
  <rv s="3">
    <v>0</v>
    <v>2911</v>
    <v>1</v>
    <v>Generic</v>
    <v>224B</v>
    <v/>
    <v>1</v>
    <v>401768</v>
    <v>45175</v>
    <v>Niet Beschikbaar</v>
    <v>?</v>
    <v>J</v>
    <v>J</v>
    <v>J</v>
    <v/>
    <v>J</v>
    <v/>
    <v>Onbekend</v>
    <v>#</v>
    <v>Onbekend</v>
    <v>#</v>
    <v>2911</v>
    <v>2911</v>
    <v>12m LV E-bus</v>
    <v>E-Bus</v>
    <v>Bus</v>
  </rv>
  <rv s="3">
    <v>0</v>
    <v>2912</v>
    <v>1</v>
    <v>Generic</v>
    <v>224B</v>
    <v/>
    <v>1</v>
    <v>401768</v>
    <v>45175</v>
    <v>Niet Beschikbaar</v>
    <v>?</v>
    <v>J</v>
    <v>J</v>
    <v>J</v>
    <v/>
    <v>J</v>
    <v/>
    <v>Onbekend</v>
    <v>#</v>
    <v>Onbekend</v>
    <v>#</v>
    <v>2912</v>
    <v>2912</v>
    <v>12m LV E-bus</v>
    <v>E-Bus</v>
    <v>Bus</v>
  </rv>
  <rv s="3">
    <v>0</v>
    <v>2913</v>
    <v>1</v>
    <v>Generic</v>
    <v>224B</v>
    <v/>
    <v>1</v>
    <v>401768</v>
    <v>45175</v>
    <v>Niet Beschikbaar</v>
    <v>?</v>
    <v>J</v>
    <v>J</v>
    <v>J</v>
    <v/>
    <v>J</v>
    <v/>
    <v>Onbekend</v>
    <v>#</v>
    <v>Onbekend</v>
    <v>#</v>
    <v>2913</v>
    <v>2913</v>
    <v>12m LV E-bus</v>
    <v>E-Bus</v>
    <v>Bus</v>
  </rv>
  <rv s="3">
    <v>0</v>
    <v>2914</v>
    <v>1</v>
    <v>Generic</v>
    <v>224B</v>
    <v/>
    <v>1</v>
    <v>401768</v>
    <v>45175</v>
    <v>Niet Beschikbaar</v>
    <v>?</v>
    <v>J</v>
    <v>J</v>
    <v>J</v>
    <v/>
    <v>J</v>
    <v/>
    <v>Onbekend</v>
    <v>#</v>
    <v>Onbekend</v>
    <v>#</v>
    <v>2914</v>
    <v>2914</v>
    <v>12m LV E-bus</v>
    <v>E-Bus</v>
    <v>Bus</v>
  </rv>
  <rv s="3">
    <v>0</v>
    <v>2915</v>
    <v>1</v>
    <v>Generic</v>
    <v>224B</v>
    <v/>
    <v>1</v>
    <v>401768</v>
    <v>45175</v>
    <v>Niet Beschikbaar</v>
    <v>?</v>
    <v>J</v>
    <v>J</v>
    <v>J</v>
    <v/>
    <v>J</v>
    <v/>
    <v>Onbekend</v>
    <v>#</v>
    <v>Onbekend</v>
    <v>#</v>
    <v>2915</v>
    <v>2915</v>
    <v>12m LV E-bus</v>
    <v>E-Bus</v>
    <v>Bus</v>
  </rv>
  <rv s="3">
    <v>0</v>
    <v>2916</v>
    <v>1</v>
    <v>Generic</v>
    <v>224B</v>
    <v/>
    <v>1</v>
    <v>401768</v>
    <v>45175</v>
    <v>Niet Beschikbaar</v>
    <v>?</v>
    <v>J</v>
    <v>J</v>
    <v>J</v>
    <v/>
    <v>J</v>
    <v/>
    <v>Onbekend</v>
    <v>#</v>
    <v>Onbekend</v>
    <v>#</v>
    <v>2916</v>
    <v>2916</v>
    <v>12m LV E-bus</v>
    <v>E-Bus</v>
    <v>Bus</v>
  </rv>
  <rv s="3">
    <v>0</v>
    <v>2917</v>
    <v>1</v>
    <v>Generic</v>
    <v>224B</v>
    <v/>
    <v>1</v>
    <v>401768</v>
    <v>45175</v>
    <v>Niet Beschikbaar</v>
    <v>?</v>
    <v>J</v>
    <v>J</v>
    <v>J</v>
    <v/>
    <v>J</v>
    <v/>
    <v>Onbekend</v>
    <v>#</v>
    <v>Onbekend</v>
    <v>#</v>
    <v>2917</v>
    <v>2917</v>
    <v>12m LV E-bus</v>
    <v>E-Bus</v>
    <v>Bus</v>
  </rv>
  <rv s="3">
    <v>0</v>
    <v>2918</v>
    <v>1</v>
    <v>Generic</v>
    <v>224B</v>
    <v/>
    <v>1</v>
    <v>401768</v>
    <v>45175</v>
    <v>Niet Beschikbaar</v>
    <v>?</v>
    <v>J</v>
    <v>J</v>
    <v>J</v>
    <v/>
    <v>J</v>
    <v/>
    <v>Onbekend</v>
    <v>#</v>
    <v>Onbekend</v>
    <v>#</v>
    <v>2918</v>
    <v>2918</v>
    <v>12m LV E-bus</v>
    <v>E-Bus</v>
    <v>Bus</v>
  </rv>
  <rv s="3">
    <v>0</v>
    <v>2919</v>
    <v>1</v>
    <v>Generic</v>
    <v>224B</v>
    <v/>
    <v>1</v>
    <v>401768</v>
    <v>45175</v>
    <v>Niet Beschikbaar</v>
    <v>?</v>
    <v>J</v>
    <v>J</v>
    <v>J</v>
    <v/>
    <v>J</v>
    <v/>
    <v>Onbekend</v>
    <v>#</v>
    <v>Onbekend</v>
    <v>#</v>
    <v>2919</v>
    <v>2919</v>
    <v>12m LV E-bus</v>
    <v>E-Bus</v>
    <v>Bus</v>
  </rv>
  <rv s="3">
    <v>0</v>
    <v>2920</v>
    <v>1</v>
    <v>Generic</v>
    <v>224B</v>
    <v/>
    <v>1</v>
    <v>401768</v>
    <v>45175</v>
    <v>Niet Beschikbaar</v>
    <v>?</v>
    <v>J</v>
    <v>J</v>
    <v>J</v>
    <v/>
    <v>J</v>
    <v/>
    <v>Onbekend</v>
    <v>#</v>
    <v>Onbekend</v>
    <v>#</v>
    <v>2920</v>
    <v>2920</v>
    <v>12m LV E-bus</v>
    <v>E-Bus</v>
    <v>Bus</v>
  </rv>
  <rv s="3">
    <v>0</v>
    <v>2921</v>
    <v>1</v>
    <v>Generic</v>
    <v>224B</v>
    <v/>
    <v>1</v>
    <v>401768</v>
    <v>45175</v>
    <v>Niet Beschikbaar</v>
    <v>?</v>
    <v>J</v>
    <v>J</v>
    <v>J</v>
    <v/>
    <v>J</v>
    <v/>
    <v>Onbekend</v>
    <v>#</v>
    <v>Onbekend</v>
    <v>#</v>
    <v>2921</v>
    <v>2921</v>
    <v>12m LV E-bus</v>
    <v>E-Bus</v>
    <v>Bus</v>
  </rv>
  <rv s="3">
    <v>0</v>
    <v>2922</v>
    <v>1</v>
    <v>Generic</v>
    <v>224B</v>
    <v/>
    <v>1</v>
    <v>401768</v>
    <v>45175</v>
    <v>Niet Beschikbaar</v>
    <v>?</v>
    <v>J</v>
    <v>J</v>
    <v>J</v>
    <v/>
    <v>J</v>
    <v/>
    <v>Onbekend</v>
    <v>#</v>
    <v>Onbekend</v>
    <v>#</v>
    <v>2922</v>
    <v>2922</v>
    <v>12m LV E-bus</v>
    <v>E-Bus</v>
    <v>Bus</v>
  </rv>
  <rv s="3">
    <v>0</v>
    <v>2923</v>
    <v>1</v>
    <v>Generic</v>
    <v>224B</v>
    <v/>
    <v>1</v>
    <v>401768</v>
    <v>45175</v>
    <v>Niet Beschikbaar</v>
    <v>?</v>
    <v>J</v>
    <v>J</v>
    <v>J</v>
    <v/>
    <v>J</v>
    <v/>
    <v>Onbekend</v>
    <v>#</v>
    <v>Onbekend</v>
    <v>#</v>
    <v>2923</v>
    <v>2923</v>
    <v>12m LV E-bus</v>
    <v>E-Bus</v>
    <v>Bus</v>
  </rv>
  <rv s="3">
    <v>0</v>
    <v>2924</v>
    <v>1</v>
    <v>Generic</v>
    <v>224B</v>
    <v/>
    <v>1</v>
    <v>401768</v>
    <v>45175</v>
    <v>Niet Beschikbaar</v>
    <v>?</v>
    <v>J</v>
    <v>J</v>
    <v>J</v>
    <v/>
    <v>J</v>
    <v/>
    <v>Onbekend</v>
    <v>#</v>
    <v>Onbekend</v>
    <v>#</v>
    <v>2924</v>
    <v>2924</v>
    <v>12m LV E-bus</v>
    <v>E-Bus</v>
    <v>Bus</v>
  </rv>
  <rv s="0">
    <v>0</v>
    <v>2925</v>
    <v>1</v>
    <v>Generic</v>
    <v>226</v>
    <v/>
    <v>1</v>
    <v>45145</v>
    <v>45175</v>
    <v>West-Vlaanderen</v>
    <v>5</v>
    <v/>
    <v>J</v>
    <v>J</v>
    <v/>
    <v>J</v>
    <v>0</v>
    <v>Brugge</v>
    <v>125</v>
    <v>Onderhoud Brugge</v>
    <v>142</v>
    <v>2925</v>
    <v>2925</v>
    <v>Midi Ebus</v>
    <v>E-Bus</v>
    <v>Bus</v>
  </rv>
  <rv s="0">
    <v>0</v>
    <v>2926</v>
    <v>1</v>
    <v>Generic</v>
    <v>226</v>
    <v/>
    <v>1</v>
    <v>45145</v>
    <v>45175</v>
    <v>West-Vlaanderen</v>
    <v>5</v>
    <v/>
    <v>J</v>
    <v>J</v>
    <v/>
    <v>J</v>
    <v>0</v>
    <v>Brugge</v>
    <v>125</v>
    <v>Onderhoud Brugge</v>
    <v>142</v>
    <v>2926</v>
    <v>2926</v>
    <v>Midi Ebus</v>
    <v>E-Bus</v>
    <v>Bus</v>
  </rv>
  <rv s="0">
    <v>0</v>
    <v>2927</v>
    <v>1</v>
    <v>Generic</v>
    <v>226</v>
    <v/>
    <v>1</v>
    <v>45117</v>
    <v>45175</v>
    <v>West-Vlaanderen</v>
    <v>5</v>
    <v/>
    <v>J</v>
    <v>J</v>
    <v/>
    <v>J</v>
    <v>0</v>
    <v>Brugge</v>
    <v>125</v>
    <v>Onderhoud Brugge</v>
    <v>142</v>
    <v>2927</v>
    <v>2927</v>
    <v>Midi Ebus</v>
    <v>E-Bus</v>
    <v>Bus</v>
  </rv>
  <rv s="0">
    <v>0</v>
    <v>2928</v>
    <v>1</v>
    <v>Generic</v>
    <v>226</v>
    <v/>
    <v>1</v>
    <v>45108</v>
    <v>45175</v>
    <v>West-Vlaanderen</v>
    <v>5</v>
    <v/>
    <v>J</v>
    <v>J</v>
    <v/>
    <v>J</v>
    <v>0</v>
    <v>Brugge</v>
    <v>125</v>
    <v>Onderhoud Brugge</v>
    <v>142</v>
    <v>2928</v>
    <v>2928</v>
    <v>Midi Ebus</v>
    <v>E-Bus</v>
    <v>Bus</v>
  </rv>
  <rv s="0">
    <v>0</v>
    <v>2929</v>
    <v>1</v>
    <v>Generic</v>
    <v>226</v>
    <v/>
    <v>1</v>
    <v>45108</v>
    <v>45175</v>
    <v>West-Vlaanderen</v>
    <v>5</v>
    <v/>
    <v>J</v>
    <v>J</v>
    <v/>
    <v>J</v>
    <v>0</v>
    <v>Brugge</v>
    <v>125</v>
    <v>Onderhoud Brugge</v>
    <v>142</v>
    <v>2929</v>
    <v>2929</v>
    <v>Midi Ebus</v>
    <v>E-Bus</v>
    <v>Bus</v>
  </rv>
  <rv s="0">
    <v>0</v>
    <v>2930</v>
    <v>1</v>
    <v>Generic</v>
    <v>226</v>
    <v/>
    <v>1</v>
    <v>45108</v>
    <v>45175</v>
    <v>West-Vlaanderen</v>
    <v>5</v>
    <v/>
    <v>J</v>
    <v>J</v>
    <v/>
    <v>J</v>
    <v>0</v>
    <v>Brugge</v>
    <v>125</v>
    <v>Onderhoud Brugge</v>
    <v>142</v>
    <v>2930</v>
    <v>2930</v>
    <v>Midi Ebus</v>
    <v>E-Bus</v>
    <v>Bus</v>
  </rv>
  <rv s="0">
    <v>0</v>
    <v>2931</v>
    <v>1</v>
    <v>Generic</v>
    <v>226</v>
    <v/>
    <v>1</v>
    <v>45108</v>
    <v>45175</v>
    <v>West-Vlaanderen</v>
    <v>5</v>
    <v/>
    <v>J</v>
    <v>J</v>
    <v/>
    <v>J</v>
    <v>0</v>
    <v>Brugge</v>
    <v>125</v>
    <v>Onderhoud Brugge</v>
    <v>142</v>
    <v>2931</v>
    <v>2931</v>
    <v>Midi Ebus</v>
    <v>E-Bus</v>
    <v>Bus</v>
  </rv>
  <rv s="0">
    <v>0</v>
    <v>4049</v>
    <v>1</v>
    <v>Generic</v>
    <v>207A</v>
    <v>3</v>
    <v>2</v>
    <v>37188</v>
    <v>45175</v>
    <v>West-Vlaanderen</v>
    <v>5</v>
    <v>N</v>
    <v>J</v>
    <v>J</v>
    <v>J</v>
    <v>J</v>
    <v>22</v>
    <v>Brugge</v>
    <v>125</v>
    <v>Onderhoud Brugge</v>
    <v>142</v>
    <v>4049</v>
    <v>4049</v>
    <v>Lage vloer streek</v>
    <v>12-m bus</v>
    <v>Bus</v>
  </rv>
  <rv s="0">
    <v>0</v>
    <v>4174</v>
    <v>1</v>
    <v>Generic</v>
    <v>208A</v>
    <v>3</v>
    <v>1</v>
    <v>37872</v>
    <v>45175</v>
    <v>West-Vlaanderen</v>
    <v>5</v>
    <v>N</v>
    <v>J</v>
    <v>J</v>
    <v>J</v>
    <v>J</v>
    <v>20</v>
    <v>Brugge</v>
    <v>125</v>
    <v>Onderhoud Brugge</v>
    <v>142</v>
    <v>4174</v>
    <v>4174</v>
    <v>Lage vloer streek</v>
    <v>12-m bus</v>
    <v>Bus</v>
  </rv>
  <rv s="0">
    <v>0</v>
    <v>4187</v>
    <v>1</v>
    <v>Generic</v>
    <v>208A</v>
    <v>3</v>
    <v>1</v>
    <v>37718</v>
    <v>45175</v>
    <v>West-Vlaanderen</v>
    <v>5</v>
    <v>N</v>
    <v>J</v>
    <v>J</v>
    <v>J</v>
    <v>J</v>
    <v>20</v>
    <v>Brugge</v>
    <v>125</v>
    <v>Onderhoud Brugge</v>
    <v>142</v>
    <v>4187</v>
    <v>4187</v>
    <v>Lage vloer streek</v>
    <v>12-m bus</v>
    <v>Bus</v>
  </rv>
  <rv s="0">
    <v>0</v>
    <v>4238</v>
    <v>1</v>
    <v>Generic</v>
    <v>208B</v>
    <v>3</v>
    <v>2</v>
    <v>37573</v>
    <v>45175</v>
    <v>Oost-Vlaanderen</v>
    <v>2</v>
    <v>N</v>
    <v>J</v>
    <v>J</v>
    <v>J</v>
    <v>J</v>
    <v>21</v>
    <v>Hofstade</v>
    <v>116</v>
    <v>Onderhoud Hofstade</v>
    <v>144</v>
    <v>4238</v>
    <v>4238</v>
    <v>Lage vloer stad</v>
    <v>12-m bus</v>
    <v>Bus</v>
  </rv>
  <rv s="0">
    <v>0</v>
    <v>4239</v>
    <v>1</v>
    <v>Generic</v>
    <v>208B</v>
    <v>3</v>
    <v>2</v>
    <v>37573</v>
    <v>45175</v>
    <v>Oost-Vlaanderen</v>
    <v>2</v>
    <v>N</v>
    <v>J</v>
    <v>J</v>
    <v>J</v>
    <v>J</v>
    <v>21</v>
    <v>Hofstade</v>
    <v>116</v>
    <v>Onderhoud Hofstade</v>
    <v>144</v>
    <v>4239</v>
    <v>4239</v>
    <v>Lage vloer stad</v>
    <v>12-m bus</v>
    <v>Bus</v>
  </rv>
  <rv s="0">
    <v>0</v>
    <v>4240</v>
    <v>1</v>
    <v>Generic</v>
    <v>208B</v>
    <v>3</v>
    <v>2</v>
    <v>37578</v>
    <v>45175</v>
    <v>Oost-Vlaanderen</v>
    <v>2</v>
    <v>N</v>
    <v>J</v>
    <v>J</v>
    <v>J</v>
    <v>J</v>
    <v>21</v>
    <v>Hofstade</v>
    <v>116</v>
    <v>Onderhoud Hofstade</v>
    <v>144</v>
    <v>4240</v>
    <v>4240</v>
    <v>Lage vloer stad</v>
    <v>12-m bus</v>
    <v>Bus</v>
  </rv>
  <rv s="0">
    <v>0</v>
    <v>4242</v>
    <v>1</v>
    <v>Generic</v>
    <v>208B</v>
    <v>3</v>
    <v>2</v>
    <v>37586</v>
    <v>45175</v>
    <v>Oost-Vlaanderen</v>
    <v>2</v>
    <v>N</v>
    <v>J</v>
    <v>J</v>
    <v>J</v>
    <v>J</v>
    <v>21</v>
    <v>Hofstade</v>
    <v>116</v>
    <v>Onderhoud Hofstade</v>
    <v>144</v>
    <v>4242</v>
    <v>4242</v>
    <v>Lage vloer stad</v>
    <v>12-m bus</v>
    <v>Bus</v>
  </rv>
  <rv s="0">
    <v>0</v>
    <v>4247</v>
    <v>1</v>
    <v>Generic</v>
    <v>208C</v>
    <v>3</v>
    <v>2</v>
    <v>37637</v>
    <v>45175</v>
    <v>Centrale Diensten</v>
    <v>9</v>
    <v>N</v>
    <v>J</v>
    <v>J</v>
    <v>J</v>
    <v>J</v>
    <v>21</v>
    <v>Onbekend</v>
    <v>#</v>
    <v>Onbekend</v>
    <v>#</v>
    <v>4247</v>
    <v>4247</v>
    <v>City</v>
    <v>Kleine bus</v>
    <v>Bus</v>
  </rv>
  <rv s="0">
    <v>0</v>
    <v>4258</v>
    <v>1</v>
    <v>Generic</v>
    <v>208C</v>
    <v>3</v>
    <v>1</v>
    <v>37649</v>
    <v>45175</v>
    <v>West-Vlaanderen</v>
    <v>5</v>
    <v>N</v>
    <v>J</v>
    <v>J</v>
    <v>J</v>
    <v>J</v>
    <v>21</v>
    <v>Ieper</v>
    <v>131</v>
    <v>Onderhoud Ieper</v>
    <v>144</v>
    <v>4258</v>
    <v>4258</v>
    <v>City</v>
    <v>Kleine bus</v>
    <v>Bus</v>
  </rv>
  <rv s="0">
    <v>0</v>
    <v>4261</v>
    <v>1</v>
    <v>Generic</v>
    <v>208C</v>
    <v>3</v>
    <v>2</v>
    <v>37656</v>
    <v>45175</v>
    <v>West-Vlaanderen</v>
    <v>5</v>
    <v>N</v>
    <v>J</v>
    <v>J</v>
    <v>J</v>
    <v>J</v>
    <v>21</v>
    <v>Brugge</v>
    <v>125</v>
    <v>Onderhoud Brugge</v>
    <v>142</v>
    <v>4261</v>
    <v>4261</v>
    <v>City</v>
    <v>Kleine bus</v>
    <v>Bus</v>
  </rv>
  <rv s="0">
    <v>0</v>
    <v>4295</v>
    <v>1</v>
    <v>Generic</v>
    <v>208E</v>
    <v>3</v>
    <v>1</v>
    <v>37599</v>
    <v>45175</v>
    <v>Limburg</v>
    <v>4</v>
    <v>N</v>
    <v>J</v>
    <v>J</v>
    <v>J</v>
    <v>J</v>
    <v>21</v>
    <v>Winterslag</v>
    <v>125</v>
    <v>Onderhoud Winterslag</v>
    <v>153</v>
    <v>4295</v>
    <v>4295</v>
    <v>Lage vloer stad</v>
    <v>Gelede bus</v>
    <v>Bus</v>
  </rv>
  <rv s="0">
    <v>0</v>
    <v>4296</v>
    <v>1</v>
    <v>Generic</v>
    <v>208E</v>
    <v>3</v>
    <v>1</v>
    <v>37662</v>
    <v>45175</v>
    <v>Limburg</v>
    <v>4</v>
    <v>N</v>
    <v>J</v>
    <v>J</v>
    <v>J</v>
    <v>J</v>
    <v>21</v>
    <v>Winterslag</v>
    <v>125</v>
    <v>Onderhoud Winterslag</v>
    <v>153</v>
    <v>4296</v>
    <v>4296</v>
    <v>Lage vloer stad</v>
    <v>Gelede bus</v>
    <v>Bus</v>
  </rv>
  <rv s="0">
    <v>0</v>
    <v>4297</v>
    <v>1</v>
    <v>Generic</v>
    <v>208E</v>
    <v>3</v>
    <v>1</v>
    <v>37596</v>
    <v>45175</v>
    <v>West-Vlaanderen</v>
    <v>5</v>
    <v>N</v>
    <v>J</v>
    <v>J</v>
    <v>J</v>
    <v>J</v>
    <v>21</v>
    <v>Onbekend</v>
    <v>#</v>
    <v>Onbekend</v>
    <v>#</v>
    <v>4297</v>
    <v>4297</v>
    <v>Lage vloer stad</v>
    <v>Gelede bus</v>
    <v>Bus</v>
  </rv>
  <rv s="0">
    <v>0</v>
    <v>4298</v>
    <v>1</v>
    <v>Generic</v>
    <v>208E</v>
    <v>3</v>
    <v>2</v>
    <v>37596</v>
    <v>45175</v>
    <v>Centrale Diensten</v>
    <v>9</v>
    <v>N</v>
    <v>J</v>
    <v>J</v>
    <v>J</v>
    <v>J</v>
    <v>21</v>
    <v>De Crutzen</v>
    <v>128</v>
    <v>Onderhoud De Crutzen</v>
    <v>155</v>
    <v>4298</v>
    <v>4298</v>
    <v>Lage vloer stad</v>
    <v>Gelede bus</v>
    <v>Bus</v>
  </rv>
  <rv s="0">
    <v>0</v>
    <v>4299</v>
    <v>1</v>
    <v>Generic</v>
    <v>208E</v>
    <v>3</v>
    <v>1</v>
    <v>37599</v>
    <v>45175</v>
    <v>West-Vlaanderen</v>
    <v>5</v>
    <v>N</v>
    <v>J</v>
    <v>J</v>
    <v>J</v>
    <v>J</v>
    <v>21</v>
    <v>Oostende Slijkensestwg</v>
    <v>118</v>
    <v>Onderhoud Oostende - bus</v>
    <v>141</v>
    <v>4299</v>
    <v>4299</v>
    <v>Lage vloer stad</v>
    <v>Gelede bus</v>
    <v>Bus</v>
  </rv>
  <rv s="0">
    <v>0</v>
    <v>4301</v>
    <v>1</v>
    <v>Generic</v>
    <v>208E</v>
    <v>3</v>
    <v>1</v>
    <v>37610</v>
    <v>45175</v>
    <v>West-Vlaanderen</v>
    <v>5</v>
    <v>N</v>
    <v>J</v>
    <v>J</v>
    <v>J</v>
    <v>J</v>
    <v>21</v>
    <v>Onbekend</v>
    <v>#</v>
    <v>Onbekend</v>
    <v>#</v>
    <v>4301</v>
    <v>4301</v>
    <v>Lage vloer stad</v>
    <v>Gelede bus</v>
    <v>Bus</v>
  </rv>
  <rv s="0">
    <v>0</v>
    <v>4302</v>
    <v>1</v>
    <v>Generic</v>
    <v>208E</v>
    <v>3</v>
    <v>1</v>
    <v>37610</v>
    <v>45175</v>
    <v>Limburg</v>
    <v>4</v>
    <v>N</v>
    <v>J</v>
    <v>J</v>
    <v>J</v>
    <v>J</v>
    <v>21</v>
    <v>De Crutzen</v>
    <v>128</v>
    <v>Onderhoud De Crutzen</v>
    <v>155</v>
    <v>4302</v>
    <v>4302</v>
    <v>Lage vloer stad</v>
    <v>Gelede bus</v>
    <v>Bus</v>
  </rv>
  <rv s="0">
    <v>0</v>
    <v>4304</v>
    <v>1</v>
    <v>Generic</v>
    <v>208E</v>
    <v>3</v>
    <v>2</v>
    <v>37610</v>
    <v>45175</v>
    <v>Centrale Diensten</v>
    <v>9</v>
    <v>N</v>
    <v>J</v>
    <v>J</v>
    <v>J</v>
    <v>J</v>
    <v>21</v>
    <v>Onbekend</v>
    <v>#</v>
    <v>Onbekend</v>
    <v>#</v>
    <v>4304</v>
    <v>4304</v>
    <v>Lage vloer stad</v>
    <v>Gelede bus</v>
    <v>Bus</v>
  </rv>
  <rv s="0">
    <v>0</v>
    <v>4305</v>
    <v>1</v>
    <v>Generic</v>
    <v>208E</v>
    <v>3</v>
    <v>1</v>
    <v>37631</v>
    <v>45175</v>
    <v>Limburg</v>
    <v>4</v>
    <v>N</v>
    <v>J</v>
    <v>J</v>
    <v>J</v>
    <v>J</v>
    <v>21</v>
    <v>Beverlo</v>
    <v>120</v>
    <v>Onderhoud Beverlo</v>
    <v>152</v>
    <v>4305</v>
    <v>4305</v>
    <v>Lage vloer stad</v>
    <v>Gelede bus</v>
    <v>Bus</v>
  </rv>
  <rv s="0">
    <v>0</v>
    <v>4306</v>
    <v>1</v>
    <v>Generic</v>
    <v>208E</v>
    <v>3</v>
    <v>1</v>
    <v>37631</v>
    <v>45175</v>
    <v>West-Vlaanderen</v>
    <v>5</v>
    <v>N</v>
    <v>J</v>
    <v>J</v>
    <v>J</v>
    <v>J</v>
    <v>21</v>
    <v>Onbekend</v>
    <v>#</v>
    <v>Onbekend</v>
    <v>#</v>
    <v>4306</v>
    <v>4306</v>
    <v>Lage vloer stad</v>
    <v>Gelede bus</v>
    <v>Bus</v>
  </rv>
  <rv s="0">
    <v>0</v>
    <v>4307</v>
    <v>1</v>
    <v>Generic</v>
    <v>208E</v>
    <v>3</v>
    <v>1</v>
    <v>37631</v>
    <v>45175</v>
    <v>Limburg</v>
    <v>4</v>
    <v>N</v>
    <v>J</v>
    <v>J</v>
    <v>J</v>
    <v>J</v>
    <v>21</v>
    <v>Beverlo</v>
    <v>120</v>
    <v>Onderhoud Beverlo</v>
    <v>152</v>
    <v>4307</v>
    <v>4307</v>
    <v>Lage vloer stad</v>
    <v>Gelede bus</v>
    <v>Bus</v>
  </rv>
  <rv s="0">
    <v>0</v>
    <v>4338</v>
    <v>1</v>
    <v>Generic</v>
    <v>209A</v>
    <v>3</v>
    <v>2</v>
    <v>38047</v>
    <v>45175</v>
    <v>Oost-Vlaanderen</v>
    <v>2</v>
    <v>N</v>
    <v>J</v>
    <v>J</v>
    <v>J</v>
    <v>J</v>
    <v>20</v>
    <v>Sint-Niklaas Nieuw</v>
    <v>129</v>
    <v>Onderhoud Sint-Niklaas</v>
    <v>143</v>
    <v>4338</v>
    <v>4338</v>
    <v>Lage vloer streek</v>
    <v>12-m bus</v>
    <v>Bus</v>
  </rv>
  <rv s="0">
    <v>0</v>
    <v>4341</v>
    <v>1</v>
    <v>Generic</v>
    <v>209A</v>
    <v>3</v>
    <v>2</v>
    <v>38041</v>
    <v>45175</v>
    <v>Centrale Diensten</v>
    <v>9</v>
    <v>N</v>
    <v>J</v>
    <v>J</v>
    <v>J</v>
    <v>J</v>
    <v>20</v>
    <v>Onbekend</v>
    <v>#</v>
    <v>Onbekend</v>
    <v>#</v>
    <v>4341</v>
    <v>4341</v>
    <v>Lage vloer streek</v>
    <v>12-m bus</v>
    <v>Bus</v>
  </rv>
  <rv s="0">
    <v>0</v>
    <v>4343</v>
    <v>1</v>
    <v>Generic</v>
    <v>209A</v>
    <v>3</v>
    <v>2</v>
    <v>38047</v>
    <v>45175</v>
    <v>Centrale Diensten</v>
    <v>9</v>
    <v>N</v>
    <v>J</v>
    <v>J</v>
    <v>J</v>
    <v>J</v>
    <v>20</v>
    <v>Sint-Niklaas Nieuw</v>
    <v>129</v>
    <v>Onderhoud Sint-Niklaas</v>
    <v>143</v>
    <v>4343</v>
    <v>4343</v>
    <v>Lage vloer streek</v>
    <v>12-m bus</v>
    <v>Bus</v>
  </rv>
  <rv s="0">
    <v>0</v>
    <v>4344</v>
    <v>1</v>
    <v>Generic</v>
    <v>209A</v>
    <v>3</v>
    <v>1</v>
    <v>38054</v>
    <v>45175</v>
    <v>Oost-Vlaanderen</v>
    <v>2</v>
    <v>N</v>
    <v>J</v>
    <v>J</v>
    <v>J</v>
    <v>J</v>
    <v>20</v>
    <v>Sint-Niklaas Nieuw</v>
    <v>129</v>
    <v>Onderhoud Sint-Niklaas</v>
    <v>143</v>
    <v>4344</v>
    <v>4344</v>
    <v>Lage vloer streek</v>
    <v>12-m bus</v>
    <v>Bus</v>
  </rv>
  <rv s="0">
    <v>0</v>
    <v>4345</v>
    <v>1</v>
    <v>Generic</v>
    <v>209A</v>
    <v>3</v>
    <v>2</v>
    <v>38054</v>
    <v>45175</v>
    <v>Centrale Diensten</v>
    <v>9</v>
    <v>N</v>
    <v>J</v>
    <v>J</v>
    <v>J</v>
    <v>J</v>
    <v>20</v>
    <v>Gentbrugge</v>
    <v>112</v>
    <v>Werkhuis Gentbrugge</v>
    <v>141</v>
    <v>4345</v>
    <v>4345</v>
    <v>Lage vloer streek</v>
    <v>12-m bus</v>
    <v>Bus</v>
  </rv>
  <rv s="0">
    <v>0</v>
    <v>4349</v>
    <v>1</v>
    <v>Generic</v>
    <v>209A</v>
    <v>3</v>
    <v>1</v>
    <v>37973</v>
    <v>45175</v>
    <v>Oost-Vlaanderen</v>
    <v>2</v>
    <v>N</v>
    <v>J</v>
    <v>J</v>
    <v>J</v>
    <v>J</v>
    <v>20</v>
    <v>Sint-Niklaas Nieuw</v>
    <v>129</v>
    <v>Onderhoud Sint-Niklaas</v>
    <v>143</v>
    <v>4349</v>
    <v>4349</v>
    <v>Lage vloer streek</v>
    <v>12-m bus</v>
    <v>Bus</v>
  </rv>
  <rv s="0">
    <v>0</v>
    <v>4350</v>
    <v>1</v>
    <v>Generic</v>
    <v>209A</v>
    <v>3</v>
    <v>2</v>
    <v>37978</v>
    <v>45175</v>
    <v>Centrale Diensten</v>
    <v>9</v>
    <v>N</v>
    <v>J</v>
    <v>J</v>
    <v>J</v>
    <v>J</v>
    <v>20</v>
    <v>Onbekend</v>
    <v>#</v>
    <v>Onbekend</v>
    <v>#</v>
    <v>4350</v>
    <v>4350</v>
    <v>Lage vloer streek</v>
    <v>12-m bus</v>
    <v>Bus</v>
  </rv>
  <rv s="0">
    <v>0</v>
    <v>4354</v>
    <v>1</v>
    <v>Generic</v>
    <v>209A</v>
    <v>3</v>
    <v>1</v>
    <v>38000</v>
    <v>45175</v>
    <v>Oost-Vlaanderen</v>
    <v>2</v>
    <v>N</v>
    <v>J</v>
    <v>J</v>
    <v>J</v>
    <v>J</v>
    <v>20</v>
    <v>Sint-Niklaas Nieuw</v>
    <v>129</v>
    <v>Onderhoud Sint-Niklaas</v>
    <v>143</v>
    <v>4354</v>
    <v>4354</v>
    <v>Lage vloer streek</v>
    <v>12-m bus</v>
    <v>Bus</v>
  </rv>
  <rv s="0">
    <v>0</v>
    <v>4358</v>
    <v>1</v>
    <v>Generic</v>
    <v>209A</v>
    <v>3</v>
    <v>1</v>
    <v>38007</v>
    <v>45175</v>
    <v>Antwerpen</v>
    <v>1</v>
    <v>N</v>
    <v>J</v>
    <v>J</v>
    <v>J</v>
    <v>J</v>
    <v>20</v>
    <v>Mechelen Racing</v>
    <v>115</v>
    <v>Onderhoud Mechelen</v>
    <v>144</v>
    <v>4358</v>
    <v>4358</v>
    <v>Lage vloer streek</v>
    <v>12-m bus</v>
    <v>Bus</v>
  </rv>
  <rv s="0">
    <v>0</v>
    <v>4360</v>
    <v>1</v>
    <v>Generic</v>
    <v>209A</v>
    <v>3</v>
    <v>1</v>
    <v>38007</v>
    <v>45175</v>
    <v>Vlaams-Brabant</v>
    <v>3</v>
    <v>N</v>
    <v>J</v>
    <v>J</v>
    <v>J</v>
    <v>J</v>
    <v>20</v>
    <v>Onbekend</v>
    <v>#</v>
    <v>Onbekend</v>
    <v>#</v>
    <v>4360</v>
    <v>4360</v>
    <v>Lage vloer streek</v>
    <v>12-m bus</v>
    <v>Bus</v>
  </rv>
  <rv s="0">
    <v>0</v>
    <v>4361</v>
    <v>1</v>
    <v>Generic</v>
    <v>209A</v>
    <v>3</v>
    <v>1</v>
    <v>38015</v>
    <v>45175</v>
    <v>Vlaams-Brabant</v>
    <v>3</v>
    <v>N</v>
    <v>J</v>
    <v>J</v>
    <v>J</v>
    <v>J</v>
    <v>20</v>
    <v>Onbekend</v>
    <v>#</v>
    <v>Onbekend</v>
    <v>#</v>
    <v>4361</v>
    <v>4361</v>
    <v>Lage vloer streek</v>
    <v>12-m bus</v>
    <v>Bus</v>
  </rv>
  <rv s="0">
    <v>0</v>
    <v>4362</v>
    <v>1</v>
    <v>Generic</v>
    <v>209A</v>
    <v>3</v>
    <v>1</v>
    <v>38015</v>
    <v>45175</v>
    <v>Vlaams-Brabant</v>
    <v>3</v>
    <v>N</v>
    <v>J</v>
    <v>J</v>
    <v>J</v>
    <v>J</v>
    <v>20</v>
    <v>Onbekend</v>
    <v>#</v>
    <v>Onbekend</v>
    <v>#</v>
    <v>4362</v>
    <v>4362</v>
    <v>Lage vloer streek</v>
    <v>12-m bus</v>
    <v>Bus</v>
  </rv>
  <rv s="0">
    <v>0</v>
    <v>4363</v>
    <v>1</v>
    <v>Generic</v>
    <v>209A</v>
    <v>3</v>
    <v>1</v>
    <v>38015</v>
    <v>45175</v>
    <v>Vlaams-Brabant</v>
    <v>3</v>
    <v>N</v>
    <v>J</v>
    <v>J</v>
    <v>J</v>
    <v>J</v>
    <v>20</v>
    <v>Onbekend</v>
    <v>#</v>
    <v>Onbekend</v>
    <v>#</v>
    <v>4363</v>
    <v>4363</v>
    <v>Lage vloer streek</v>
    <v>12-m bus</v>
    <v>Bus</v>
  </rv>
  <rv s="0">
    <v>0</v>
    <v>4364</v>
    <v>1</v>
    <v>Generic</v>
    <v>209A</v>
    <v>3</v>
    <v>1</v>
    <v>38019</v>
    <v>45175</v>
    <v>Vlaams-Brabant</v>
    <v>3</v>
    <v>N</v>
    <v>J</v>
    <v>J</v>
    <v>J</v>
    <v>J</v>
    <v>20</v>
    <v>Onbekend</v>
    <v>#</v>
    <v>Onbekend</v>
    <v>#</v>
    <v>4364</v>
    <v>4364</v>
    <v>Lage vloer streek</v>
    <v>12-m bus</v>
    <v>Bus</v>
  </rv>
  <rv s="0">
    <v>0</v>
    <v>4365</v>
    <v>1</v>
    <v>Generic</v>
    <v>209A</v>
    <v>3</v>
    <v>2</v>
    <v>38019</v>
    <v>45175</v>
    <v>Centrale Diensten</v>
    <v>9</v>
    <v>N</v>
    <v>J</v>
    <v>J</v>
    <v>J</v>
    <v>J</v>
    <v>20</v>
    <v>Onbekend</v>
    <v>#</v>
    <v>Onbekend</v>
    <v>#</v>
    <v>4365</v>
    <v>4365</v>
    <v>Lage vloer streek</v>
    <v>12-m bus</v>
    <v>Bus</v>
  </rv>
  <rv s="0">
    <v>0</v>
    <v>4366</v>
    <v>1</v>
    <v>Generic</v>
    <v>209A</v>
    <v>3</v>
    <v>1</v>
    <v>38021</v>
    <v>45175</v>
    <v>Vlaams-Brabant</v>
    <v>3</v>
    <v>N</v>
    <v>J</v>
    <v>J</v>
    <v>J</v>
    <v>J</v>
    <v>20</v>
    <v>Onbekend</v>
    <v>#</v>
    <v>Onbekend</v>
    <v>#</v>
    <v>4366</v>
    <v>4366</v>
    <v>Lage vloer streek</v>
    <v>12-m bus</v>
    <v>Bus</v>
  </rv>
  <rv s="0">
    <v>0</v>
    <v>4367</v>
    <v>1</v>
    <v>Generic</v>
    <v>209A</v>
    <v>3</v>
    <v>1</v>
    <v>38026</v>
    <v>45175</v>
    <v>Vlaams-Brabant</v>
    <v>3</v>
    <v>N</v>
    <v>J</v>
    <v>J</v>
    <v>J</v>
    <v>J</v>
    <v>20</v>
    <v>Onbekend</v>
    <v>#</v>
    <v>Onbekend</v>
    <v>#</v>
    <v>4367</v>
    <v>4367</v>
    <v>Lage vloer streek</v>
    <v>12-m bus</v>
    <v>Bus</v>
  </rv>
  <rv s="0">
    <v>0</v>
    <v>4368</v>
    <v>1</v>
    <v>Generic</v>
    <v>209A</v>
    <v>3</v>
    <v>1</v>
    <v>38028</v>
    <v>45175</v>
    <v>Vlaams-Brabant</v>
    <v>3</v>
    <v>N</v>
    <v>J</v>
    <v>J</v>
    <v>J</v>
    <v>J</v>
    <v>20</v>
    <v>Onbekend</v>
    <v>#</v>
    <v>Onbekend</v>
    <v>#</v>
    <v>4368</v>
    <v>4368</v>
    <v>Lage vloer streek</v>
    <v>12-m bus</v>
    <v>Bus</v>
  </rv>
  <rv s="0">
    <v>0</v>
    <v>4370</v>
    <v>1</v>
    <v>Generic</v>
    <v>209A</v>
    <v>3</v>
    <v>1</v>
    <v>38027</v>
    <v>45175</v>
    <v>Vlaams-Brabant</v>
    <v>3</v>
    <v>N</v>
    <v>J</v>
    <v>J</v>
    <v>J</v>
    <v>J</v>
    <v>20</v>
    <v>Onbekend</v>
    <v>#</v>
    <v>Onbekend</v>
    <v>#</v>
    <v>4370</v>
    <v>4370</v>
    <v>Lage vloer streek</v>
    <v>12-m bus</v>
    <v>Bus</v>
  </rv>
  <rv s="0">
    <v>0</v>
    <v>4371</v>
    <v>1</v>
    <v>Generic</v>
    <v>209A</v>
    <v>3</v>
    <v>1</v>
    <v>38030</v>
    <v>45175</v>
    <v>Antwerpen</v>
    <v>1</v>
    <v>N</v>
    <v>J</v>
    <v>J</v>
    <v>J</v>
    <v>J</v>
    <v>20</v>
    <v>Onbekend</v>
    <v>#</v>
    <v>Onbekend</v>
    <v>#</v>
    <v>4371</v>
    <v>4371</v>
    <v>Lage vloer streek</v>
    <v>12-m bus</v>
    <v>Bus</v>
  </rv>
  <rv s="0">
    <v>0</v>
    <v>4372</v>
    <v>1</v>
    <v>Generic</v>
    <v>209A</v>
    <v>3</v>
    <v>1</v>
    <v>38027</v>
    <v>45175</v>
    <v>Vlaams-Brabant</v>
    <v>3</v>
    <v>N</v>
    <v>J</v>
    <v>J</v>
    <v>J</v>
    <v>J</v>
    <v>20</v>
    <v>Onbekend</v>
    <v>#</v>
    <v>Onbekend</v>
    <v>#</v>
    <v>4372</v>
    <v>4372</v>
    <v>Lage vloer streek</v>
    <v>12-m bus</v>
    <v>Bus</v>
  </rv>
  <rv s="0">
    <v>0</v>
    <v>4373</v>
    <v>1</v>
    <v>Generic</v>
    <v>209A</v>
    <v>3</v>
    <v>1</v>
    <v>38037</v>
    <v>45175</v>
    <v>Antwerpen</v>
    <v>1</v>
    <v>N</v>
    <v>J</v>
    <v>J</v>
    <v>J</v>
    <v>J</v>
    <v>20</v>
    <v>Mechelen Racing</v>
    <v>115</v>
    <v>Onderhoud Mechelen</v>
    <v>144</v>
    <v>4373</v>
    <v>4373</v>
    <v>Lage vloer streek</v>
    <v>12-m bus</v>
    <v>Bus</v>
  </rv>
  <rv s="0">
    <v>0</v>
    <v>4377</v>
    <v>1</v>
    <v>Generic</v>
    <v>209A</v>
    <v>3</v>
    <v>2</v>
    <v>38047</v>
    <v>45175</v>
    <v>Centrale Diensten</v>
    <v>9</v>
    <v>N</v>
    <v>J</v>
    <v>J</v>
    <v>J</v>
    <v>J</v>
    <v>20</v>
    <v>Mechelen Racing</v>
    <v>115</v>
    <v>Onderhoud Mechelen</v>
    <v>144</v>
    <v>4377</v>
    <v>4377</v>
    <v>Lage vloer streek</v>
    <v>12-m bus</v>
    <v>Bus</v>
  </rv>
  <rv s="0">
    <v>0</v>
    <v>4378</v>
    <v>1</v>
    <v>Generic</v>
    <v>209A</v>
    <v>3</v>
    <v>1</v>
    <v>38054</v>
    <v>45175</v>
    <v>Antwerpen</v>
    <v>1</v>
    <v>N</v>
    <v>J</v>
    <v>J</v>
    <v>J</v>
    <v>J</v>
    <v>20</v>
    <v>Mechelen Racing</v>
    <v>115</v>
    <v>Onderhoud Mechelen</v>
    <v>144</v>
    <v>4378</v>
    <v>4378</v>
    <v>Lage vloer streek</v>
    <v>12-m bus</v>
    <v>Bus</v>
  </rv>
  <rv s="0">
    <v>0</v>
    <v>4381</v>
    <v>1</v>
    <v>Generic</v>
    <v>209A</v>
    <v>3</v>
    <v>1</v>
    <v>38056</v>
    <v>45175</v>
    <v>Antwerpen</v>
    <v>1</v>
    <v>N</v>
    <v>J</v>
    <v>J</v>
    <v>J</v>
    <v>J</v>
    <v>20</v>
    <v>Mechelen Racing</v>
    <v>115</v>
    <v>Onderhoud Mechelen</v>
    <v>144</v>
    <v>4381</v>
    <v>4381</v>
    <v>Lage vloer streek</v>
    <v>12-m bus</v>
    <v>Bus</v>
  </rv>
  <rv s="0">
    <v>0</v>
    <v>4382</v>
    <v>1</v>
    <v>Generic</v>
    <v>209A</v>
    <v>3</v>
    <v>2</v>
    <v>38061</v>
    <v>45175</v>
    <v>Antwerpen</v>
    <v>1</v>
    <v>N</v>
    <v>J</v>
    <v>J</v>
    <v>J</v>
    <v>J</v>
    <v>20</v>
    <v>Mechelen Racing</v>
    <v>115</v>
    <v>Onderhoud Mechelen</v>
    <v>144</v>
    <v>4382</v>
    <v>4382</v>
    <v>Lage vloer streek</v>
    <v>12-m bus</v>
    <v>Bus</v>
  </rv>
  <rv s="0">
    <v>0</v>
    <v>4383</v>
    <v>1</v>
    <v>Generic</v>
    <v>209A</v>
    <v>3</v>
    <v>2</v>
    <v>38061</v>
    <v>45175</v>
    <v>Antwerpen</v>
    <v>1</v>
    <v>N</v>
    <v>J</v>
    <v>J</v>
    <v>J</v>
    <v>J</v>
    <v>20</v>
    <v>Mechelen Racing</v>
    <v>115</v>
    <v>Onderhoud Mechelen</v>
    <v>144</v>
    <v>4383</v>
    <v>4383</v>
    <v>Lage vloer streek</v>
    <v>12-m bus</v>
    <v>Bus</v>
  </rv>
  <rv s="0">
    <v>0</v>
    <v>4385</v>
    <v>1</v>
    <v>Generic</v>
    <v>209A</v>
    <v>3</v>
    <v>1</v>
    <v>38063</v>
    <v>45175</v>
    <v>Antwerpen</v>
    <v>1</v>
    <v>N</v>
    <v>J</v>
    <v>J</v>
    <v>J</v>
    <v>J</v>
    <v>20</v>
    <v>Mechelen Racing</v>
    <v>115</v>
    <v>Onderhoud Mechelen</v>
    <v>144</v>
    <v>4385</v>
    <v>4385</v>
    <v>Lage vloer streek</v>
    <v>12-m bus</v>
    <v>Bus</v>
  </rv>
  <rv s="0">
    <v>0</v>
    <v>4386</v>
    <v>1</v>
    <v>Generic</v>
    <v>209A</v>
    <v>3</v>
    <v>2</v>
    <v>38072</v>
    <v>45175</v>
    <v>Centrale Diensten</v>
    <v>9</v>
    <v>N</v>
    <v>J</v>
    <v>J</v>
    <v>J</v>
    <v>J</v>
    <v>19</v>
    <v>Mechelen Racing</v>
    <v>115</v>
    <v>Onderhoud Mechelen</v>
    <v>144</v>
    <v>4386</v>
    <v>4386</v>
    <v>Lage vloer streek</v>
    <v>12-m bus</v>
    <v>Bus</v>
  </rv>
  <rv s="0">
    <v>0</v>
    <v>4388</v>
    <v>1</v>
    <v>Generic</v>
    <v>209A</v>
    <v>3</v>
    <v>1</v>
    <v>38071</v>
    <v>45175</v>
    <v>Antwerpen</v>
    <v>1</v>
    <v>N</v>
    <v>J</v>
    <v>J</v>
    <v>J</v>
    <v>J</v>
    <v>19</v>
    <v>Mechelen Racing</v>
    <v>115</v>
    <v>Onderhoud Mechelen</v>
    <v>144</v>
    <v>4388</v>
    <v>4388</v>
    <v>Lage vloer streek</v>
    <v>12-m bus</v>
    <v>Bus</v>
  </rv>
  <rv s="0">
    <v>0</v>
    <v>4389</v>
    <v>1</v>
    <v>Generic</v>
    <v>209A</v>
    <v>3</v>
    <v>1</v>
    <v>38076</v>
    <v>45175</v>
    <v>Antwerpen</v>
    <v>1</v>
    <v>N</v>
    <v>J</v>
    <v>J</v>
    <v>J</v>
    <v>J</v>
    <v>19</v>
    <v>Mechelen Racing</v>
    <v>115</v>
    <v>Onderhoud Mechelen</v>
    <v>144</v>
    <v>4389</v>
    <v>4389</v>
    <v>Lage vloer streek</v>
    <v>12-m bus</v>
    <v>Bus</v>
  </rv>
  <rv s="0">
    <v>0</v>
    <v>4391</v>
    <v>1</v>
    <v>Generic</v>
    <v>209A</v>
    <v>3</v>
    <v>1</v>
    <v>38078</v>
    <v>45175</v>
    <v>Antwerpen</v>
    <v>1</v>
    <v>N</v>
    <v>J</v>
    <v>J</v>
    <v>J</v>
    <v>J</v>
    <v>19</v>
    <v>Mechelen Racing</v>
    <v>115</v>
    <v>Onderhoud Mechelen</v>
    <v>144</v>
    <v>4391</v>
    <v>4391</v>
    <v>Lage vloer streek</v>
    <v>12-m bus</v>
    <v>Bus</v>
  </rv>
  <rv s="0">
    <v>0</v>
    <v>4395</v>
    <v>1</v>
    <v>Generic</v>
    <v>209A</v>
    <v>3</v>
    <v>1</v>
    <v>38090</v>
    <v>45175</v>
    <v>Antwerpen</v>
    <v>1</v>
    <v>N</v>
    <v>J</v>
    <v>J</v>
    <v>J</v>
    <v>J</v>
    <v>19</v>
    <v>Mechelen Racing</v>
    <v>115</v>
    <v>Onderhoud Mechelen</v>
    <v>144</v>
    <v>4395</v>
    <v>4395</v>
    <v>Lage vloer streek</v>
    <v>12-m bus</v>
    <v>Bus</v>
  </rv>
  <rv s="0">
    <v>0</v>
    <v>4396</v>
    <v>1</v>
    <v>Generic</v>
    <v>209A</v>
    <v>3</v>
    <v>1</v>
    <v>38093</v>
    <v>45175</v>
    <v>Antwerpen</v>
    <v>1</v>
    <v>N</v>
    <v>J</v>
    <v>J</v>
    <v>J</v>
    <v>J</v>
    <v>19</v>
    <v>Mechelen Racing</v>
    <v>115</v>
    <v>Onderhoud Mechelen</v>
    <v>144</v>
    <v>4396</v>
    <v>4396</v>
    <v>Lage vloer streek</v>
    <v>12-m bus</v>
    <v>Bus</v>
  </rv>
  <rv s="0">
    <v>0</v>
    <v>4397</v>
    <v>1</v>
    <v>Generic</v>
    <v>209A</v>
    <v>3</v>
    <v>1</v>
    <v>38093</v>
    <v>45175</v>
    <v>Antwerpen</v>
    <v>1</v>
    <v>N</v>
    <v>J</v>
    <v>J</v>
    <v>J</v>
    <v>J</v>
    <v>19</v>
    <v>Mechelen Racing</v>
    <v>115</v>
    <v>Onderhoud Mechelen</v>
    <v>144</v>
    <v>4397</v>
    <v>4397</v>
    <v>Lage vloer streek</v>
    <v>12-m bus</v>
    <v>Bus</v>
  </rv>
  <rv s="0">
    <v>0</v>
    <v>4399</v>
    <v>1</v>
    <v>Generic</v>
    <v>209A</v>
    <v>3</v>
    <v>1</v>
    <v>38098</v>
    <v>45175</v>
    <v>Antwerpen</v>
    <v>1</v>
    <v>N</v>
    <v>J</v>
    <v>J</v>
    <v>J</v>
    <v>J</v>
    <v>19</v>
    <v>Mechelen Racing</v>
    <v>115</v>
    <v>Onderhoud Mechelen</v>
    <v>144</v>
    <v>4399</v>
    <v>4399</v>
    <v>Lage vloer streek</v>
    <v>12-m bus</v>
    <v>Bus</v>
  </rv>
  <rv s="0">
    <v>0</v>
    <v>4401</v>
    <v>1</v>
    <v>Generic</v>
    <v>209A</v>
    <v>3</v>
    <v>2</v>
    <v>38107</v>
    <v>45175</v>
    <v>Centrale Diensten</v>
    <v>9</v>
    <v>N</v>
    <v>J</v>
    <v>J</v>
    <v>J</v>
    <v>J</v>
    <v>19</v>
    <v>Mechelen Racing</v>
    <v>115</v>
    <v>Onderhoud Mechelen</v>
    <v>144</v>
    <v>4401</v>
    <v>4401</v>
    <v>Lage vloer streek</v>
    <v>12-m bus</v>
    <v>Bus</v>
  </rv>
  <rv s="0">
    <v>0</v>
    <v>4403</v>
    <v>1</v>
    <v>Generic</v>
    <v>209A</v>
    <v>3</v>
    <v>1</v>
    <v>38124</v>
    <v>45175</v>
    <v>Antwerpen</v>
    <v>1</v>
    <v>N</v>
    <v>J</v>
    <v>J</v>
    <v>J</v>
    <v>J</v>
    <v>19</v>
    <v>Mechelen Racing</v>
    <v>115</v>
    <v>Onderhoud Mechelen</v>
    <v>144</v>
    <v>4403</v>
    <v>4403</v>
    <v>Lage vloer streek</v>
    <v>12-m bus</v>
    <v>Bus</v>
  </rv>
  <rv s="0">
    <v>0</v>
    <v>4449</v>
    <v>1</v>
    <v>Generic</v>
    <v>209B</v>
    <v>3</v>
    <v>1</v>
    <v>38175</v>
    <v>45175</v>
    <v>West-Vlaanderen</v>
    <v>5</v>
    <v>N</v>
    <v>J</v>
    <v>J</v>
    <v>J</v>
    <v>J</v>
    <v>19</v>
    <v>Kortrijk</v>
    <v>130</v>
    <v>Onderhoud Kortrijk</v>
    <v>145</v>
    <v>4449</v>
    <v>4449</v>
    <v>Streek</v>
    <v>Gelede bus</v>
    <v>Bus</v>
  </rv>
  <rv s="0">
    <v>0</v>
    <v>4450</v>
    <v>1</v>
    <v>Generic</v>
    <v>209B</v>
    <v>3</v>
    <v>1</v>
    <v>38175</v>
    <v>45175</v>
    <v>West-Vlaanderen</v>
    <v>5</v>
    <v>N</v>
    <v>J</v>
    <v>J</v>
    <v>J</v>
    <v>J</v>
    <v>19</v>
    <v>Kortrijk</v>
    <v>130</v>
    <v>Onderhoud Kortrijk</v>
    <v>145</v>
    <v>4450</v>
    <v>4450</v>
    <v>Streek</v>
    <v>Gelede bus</v>
    <v>Bus</v>
  </rv>
  <rv s="0">
    <v>0</v>
    <v>4451</v>
    <v>1</v>
    <v>Generic</v>
    <v>209B</v>
    <v>3</v>
    <v>2</v>
    <v>38176</v>
    <v>45175</v>
    <v>West-Vlaanderen</v>
    <v>5</v>
    <v>N</v>
    <v>J</v>
    <v>J</v>
    <v>J</v>
    <v>J</v>
    <v>19</v>
    <v>Kortrijk</v>
    <v>130</v>
    <v>Onderhoud Kortrijk</v>
    <v>145</v>
    <v>4451</v>
    <v>4451</v>
    <v>Streek</v>
    <v>Gelede bus</v>
    <v>Bus</v>
  </rv>
  <rv s="0">
    <v>0</v>
    <v>4452</v>
    <v>1</v>
    <v>Generic</v>
    <v>209B</v>
    <v>3</v>
    <v>2</v>
    <v>38182</v>
    <v>45175</v>
    <v>West-Vlaanderen</v>
    <v>5</v>
    <v>N</v>
    <v>J</v>
    <v>J</v>
    <v>J</v>
    <v>J</v>
    <v>19</v>
    <v>Kortrijk</v>
    <v>130</v>
    <v>Onderhoud Kortrijk</v>
    <v>145</v>
    <v>4452</v>
    <v>4452</v>
    <v>Streek</v>
    <v>Gelede bus</v>
    <v>Bus</v>
  </rv>
  <rv s="0">
    <v>0</v>
    <v>4453</v>
    <v>1</v>
    <v>Generic</v>
    <v>209B</v>
    <v>3</v>
    <v>2</v>
    <v>38182</v>
    <v>45175</v>
    <v>West-Vlaanderen</v>
    <v>5</v>
    <v>N</v>
    <v>J</v>
    <v>J</v>
    <v>J</v>
    <v>J</v>
    <v>19</v>
    <v>Kortrijk</v>
    <v>130</v>
    <v>Onderhoud Kortrijk</v>
    <v>145</v>
    <v>4453</v>
    <v>4453</v>
    <v>Streek</v>
    <v>Gelede bus</v>
    <v>Bus</v>
  </rv>
  <rv s="0">
    <v>0</v>
    <v>4454</v>
    <v>1</v>
    <v>Generic</v>
    <v>209B</v>
    <v>3</v>
    <v>1</v>
    <v>38182</v>
    <v>45175</v>
    <v>West-Vlaanderen</v>
    <v>5</v>
    <v>N</v>
    <v>J</v>
    <v>J</v>
    <v>J</v>
    <v>J</v>
    <v>19</v>
    <v>Kortrijk</v>
    <v>130</v>
    <v>Onderhoud Kortrijk</v>
    <v>145</v>
    <v>4454</v>
    <v>4454</v>
    <v>Streek</v>
    <v>Gelede bus</v>
    <v>Bus</v>
  </rv>
  <rv s="0">
    <v>0</v>
    <v>4455</v>
    <v>1</v>
    <v>Generic</v>
    <v>209B</v>
    <v>3</v>
    <v>1</v>
    <v>38184</v>
    <v>45175</v>
    <v>West-Vlaanderen</v>
    <v>5</v>
    <v>N</v>
    <v>J</v>
    <v>J</v>
    <v>J</v>
    <v>J</v>
    <v>19</v>
    <v>Kortrijk</v>
    <v>130</v>
    <v>Onderhoud Kortrijk</v>
    <v>145</v>
    <v>4455</v>
    <v>4455</v>
    <v>Streek</v>
    <v>Gelede bus</v>
    <v>Bus</v>
  </rv>
  <rv s="0">
    <v>0</v>
    <v>4456</v>
    <v>1</v>
    <v>Generic</v>
    <v>209B</v>
    <v>3</v>
    <v>1</v>
    <v>38184</v>
    <v>45175</v>
    <v>West-Vlaanderen</v>
    <v>5</v>
    <v>N</v>
    <v>J</v>
    <v>J</v>
    <v>J</v>
    <v>J</v>
    <v>19</v>
    <v>Kortrijk</v>
    <v>130</v>
    <v>Onderhoud Kortrijk</v>
    <v>145</v>
    <v>4456</v>
    <v>4456</v>
    <v>Streek</v>
    <v>Gelede bus</v>
    <v>Bus</v>
  </rv>
  <rv s="0">
    <v>0</v>
    <v>4457</v>
    <v>1</v>
    <v>Generic</v>
    <v>209B</v>
    <v>3</v>
    <v>1</v>
    <v>38184</v>
    <v>45175</v>
    <v>West-Vlaanderen</v>
    <v>5</v>
    <v>N</v>
    <v>J</v>
    <v>J</v>
    <v>J</v>
    <v>J</v>
    <v>19</v>
    <v>Kortrijk</v>
    <v>130</v>
    <v>Onderhoud Kortrijk</v>
    <v>145</v>
    <v>4457</v>
    <v>4457</v>
    <v>Streek</v>
    <v>Gelede bus</v>
    <v>Bus</v>
  </rv>
  <rv s="0">
    <v>0</v>
    <v>4458</v>
    <v>1</v>
    <v>Generic</v>
    <v>209B</v>
    <v>3</v>
    <v>1</v>
    <v>38188</v>
    <v>45175</v>
    <v>West-Vlaanderen</v>
    <v>5</v>
    <v>N</v>
    <v>J</v>
    <v>J</v>
    <v>J</v>
    <v>J</v>
    <v>19</v>
    <v>Kortrijk</v>
    <v>130</v>
    <v>Onderhoud Kortrijk</v>
    <v>145</v>
    <v>4458</v>
    <v>4458</v>
    <v>Streek</v>
    <v>Gelede bus</v>
    <v>Bus</v>
  </rv>
  <rv s="0">
    <v>0</v>
    <v>4459</v>
    <v>1</v>
    <v>Generic</v>
    <v>209B</v>
    <v>3</v>
    <v>1</v>
    <v>38188</v>
    <v>45175</v>
    <v>West-Vlaanderen</v>
    <v>5</v>
    <v>N</v>
    <v>J</v>
    <v>J</v>
    <v>J</v>
    <v>J</v>
    <v>19</v>
    <v>Kortrijk</v>
    <v>130</v>
    <v>Onderhoud Kortrijk</v>
    <v>145</v>
    <v>4459</v>
    <v>4459</v>
    <v>Streek</v>
    <v>Gelede bus</v>
    <v>Bus</v>
  </rv>
  <rv s="0">
    <v>0</v>
    <v>4477</v>
    <v>1</v>
    <v>Generic</v>
    <v>209C</v>
    <v>3</v>
    <v>2</v>
    <v>38027</v>
    <v>45175</v>
    <v>Centrale Diensten</v>
    <v>9</v>
    <v>N</v>
    <v>J</v>
    <v>J</v>
    <v>J</v>
    <v>J</v>
    <v>20</v>
    <v>Onbekend</v>
    <v>#</v>
    <v>Onbekend</v>
    <v>#</v>
    <v>4477</v>
    <v>4477</v>
    <v>City</v>
    <v>Kleine bus</v>
    <v>Bus</v>
  </rv>
  <rv s="0">
    <v>0</v>
    <v>4478</v>
    <v>1</v>
    <v>Generic</v>
    <v>209C</v>
    <v>3</v>
    <v>1</v>
    <v>38027</v>
    <v>45175</v>
    <v>Vlaams-Brabant</v>
    <v>3</v>
    <v>N</v>
    <v>J</v>
    <v>J</v>
    <v>J</v>
    <v>J</v>
    <v>20</v>
    <v>Werkhuis Kessel-lo</v>
    <v>141</v>
    <v>Werkhuis Kessel-lo</v>
    <v>141</v>
    <v>4478</v>
    <v>4478</v>
    <v>City</v>
    <v>Kleine bus</v>
    <v>Bus</v>
  </rv>
  <rv s="0">
    <v>0</v>
    <v>4482</v>
    <v>1</v>
    <v>Generic</v>
    <v>209C</v>
    <v>3</v>
    <v>1</v>
    <v>38050</v>
    <v>45175</v>
    <v>Vlaams-Brabant</v>
    <v>3</v>
    <v>N</v>
    <v>J</v>
    <v>J</v>
    <v>J</v>
    <v>J</v>
    <v>20</v>
    <v>Werkhuis Kessel-lo</v>
    <v>141</v>
    <v>Werkhuis Kessel-lo</v>
    <v>141</v>
    <v>4482</v>
    <v>4482</v>
    <v>City</v>
    <v>Kleine bus</v>
    <v>Bus</v>
  </rv>
  <rv s="0">
    <v>0</v>
    <v>4519</v>
    <v>1</v>
    <v>Generic</v>
    <v>208 E2</v>
    <v>3</v>
    <v>2</v>
    <v>38030</v>
    <v>45175</v>
    <v>Centrale Diensten</v>
    <v>9</v>
    <v>N</v>
    <v>J</v>
    <v>J</v>
    <v>J</v>
    <v>J</v>
    <v>20</v>
    <v>Onbekend</v>
    <v>#</v>
    <v>Onbekend</v>
    <v>#</v>
    <v>4519</v>
    <v>4519</v>
    <v>Lage vloer stad</v>
    <v>Gelede bus</v>
    <v>Bus</v>
  </rv>
  <rv s="0">
    <v>0</v>
    <v>4524</v>
    <v>1</v>
    <v>Generic</v>
    <v>210A</v>
    <v>3</v>
    <v>1</v>
    <v>38492</v>
    <v>45175</v>
    <v>West-Vlaanderen</v>
    <v>5</v>
    <v>N</v>
    <v>J</v>
    <v>J</v>
    <v>J</v>
    <v>J</v>
    <v>18</v>
    <v>Kortrijk</v>
    <v>130</v>
    <v>Onderhoud Kortrijk</v>
    <v>145</v>
    <v>4524</v>
    <v>4524</v>
    <v>Lage vloer streek</v>
    <v>12-m bus</v>
    <v>Bus</v>
  </rv>
  <rv s="0">
    <v>0</v>
    <v>4525</v>
    <v>1</v>
    <v>Generic</v>
    <v>210A</v>
    <v>3</v>
    <v>1</v>
    <v>38391</v>
    <v>45175</v>
    <v>Limburg</v>
    <v>4</v>
    <v>N</v>
    <v>J</v>
    <v>J</v>
    <v>J</v>
    <v>J</v>
    <v>19</v>
    <v>Kinrooi</v>
    <v>114</v>
    <v>Onderhoud Kinrooi</v>
    <v>151</v>
    <v>4525</v>
    <v>4525</v>
    <v>Lage vloer streek</v>
    <v>12-m bus</v>
    <v>Bus</v>
  </rv>
  <rv s="0">
    <v>0</v>
    <v>4526</v>
    <v>1</v>
    <v>Generic</v>
    <v>210A</v>
    <v>3</v>
    <v>1</v>
    <v>38391</v>
    <v>45175</v>
    <v>West-Vlaanderen</v>
    <v>5</v>
    <v>N</v>
    <v>J</v>
    <v>J</v>
    <v>J</v>
    <v>J</v>
    <v>19</v>
    <v>Kortrijk</v>
    <v>130</v>
    <v>Onderhoud Kortrijk</v>
    <v>145</v>
    <v>4526</v>
    <v>4526</v>
    <v>Lage vloer streek</v>
    <v>12-m bus</v>
    <v>Bus</v>
  </rv>
  <rv s="0">
    <v>0</v>
    <v>4527</v>
    <v>1</v>
    <v>Generic</v>
    <v>210A</v>
    <v>3</v>
    <v>2</v>
    <v>38391</v>
    <v>45175</v>
    <v>Centrale Diensten</v>
    <v>9</v>
    <v>N</v>
    <v>J</v>
    <v>J</v>
    <v>J</v>
    <v>J</v>
    <v>19</v>
    <v>Kinrooi</v>
    <v>114</v>
    <v>Onderhoud Kinrooi</v>
    <v>151</v>
    <v>4527</v>
    <v>4527</v>
    <v>Lage vloer streek</v>
    <v>12-m bus</v>
    <v>Bus</v>
  </rv>
  <rv s="0">
    <v>0</v>
    <v>4528</v>
    <v>1</v>
    <v>Generic</v>
    <v>210A</v>
    <v>3</v>
    <v>1</v>
    <v>38399</v>
    <v>45175</v>
    <v>Oost-Vlaanderen</v>
    <v>2</v>
    <v>N</v>
    <v>J</v>
    <v>J</v>
    <v>J</v>
    <v>J</v>
    <v>19</v>
    <v>Sint-Niklaas Nieuw</v>
    <v>129</v>
    <v>Onderhoud Sint-Niklaas</v>
    <v>143</v>
    <v>4528</v>
    <v>4528</v>
    <v>Lage vloer streek</v>
    <v>12-m bus</v>
    <v>Bus</v>
  </rv>
  <rv s="0">
    <v>0</v>
    <v>4529</v>
    <v>1</v>
    <v>Generic</v>
    <v>210A</v>
    <v>3</v>
    <v>1</v>
    <v>38399</v>
    <v>45175</v>
    <v>West-Vlaanderen</v>
    <v>5</v>
    <v>N</v>
    <v>J</v>
    <v>J</v>
    <v>J</v>
    <v>J</v>
    <v>19</v>
    <v>Kortrijk</v>
    <v>130</v>
    <v>Onderhoud Kortrijk</v>
    <v>145</v>
    <v>4529</v>
    <v>4529</v>
    <v>Lage vloer streek</v>
    <v>12-m bus</v>
    <v>Bus</v>
  </rv>
  <rv s="0">
    <v>0</v>
    <v>4531</v>
    <v>1</v>
    <v>Generic</v>
    <v>210A</v>
    <v>3</v>
    <v>1</v>
    <v>38399</v>
    <v>45175</v>
    <v>West-Vlaanderen</v>
    <v>5</v>
    <v>N</v>
    <v>J</v>
    <v>J</v>
    <v>J</v>
    <v>J</v>
    <v>19</v>
    <v>Kortrijk</v>
    <v>130</v>
    <v>Onderhoud Kortrijk</v>
    <v>145</v>
    <v>4531</v>
    <v>4531</v>
    <v>Lage vloer streek</v>
    <v>12-m bus</v>
    <v>Bus</v>
  </rv>
  <rv s="0">
    <v>0</v>
    <v>4532</v>
    <v>1</v>
    <v>Generic</v>
    <v>210A</v>
    <v>3</v>
    <v>1</v>
    <v>38404</v>
    <v>45175</v>
    <v>Oost-Vlaanderen</v>
    <v>2</v>
    <v>N</v>
    <v>J</v>
    <v>J</v>
    <v>J</v>
    <v>J</v>
    <v>19</v>
    <v>Sint-Niklaas Nieuw</v>
    <v>129</v>
    <v>Onderhoud Sint-Niklaas</v>
    <v>143</v>
    <v>4532</v>
    <v>4532</v>
    <v>Lage vloer streek</v>
    <v>12-m bus</v>
    <v>Bus</v>
  </rv>
  <rv s="0">
    <v>0</v>
    <v>4534</v>
    <v>1</v>
    <v>Generic</v>
    <v>210A</v>
    <v>3</v>
    <v>1</v>
    <v>38407</v>
    <v>45175</v>
    <v>Oost-Vlaanderen</v>
    <v>2</v>
    <v>N</v>
    <v>J</v>
    <v>J</v>
    <v>J</v>
    <v>J</v>
    <v>19</v>
    <v>Sint-Niklaas Nieuw</v>
    <v>129</v>
    <v>Onderhoud Sint-Niklaas</v>
    <v>143</v>
    <v>4534</v>
    <v>4534</v>
    <v>Lage vloer streek</v>
    <v>12-m bus</v>
    <v>Bus</v>
  </rv>
  <rv s="0">
    <v>0</v>
    <v>4536</v>
    <v>1</v>
    <v>Generic</v>
    <v>210A</v>
    <v>3</v>
    <v>2</v>
    <v>38407</v>
    <v>45175</v>
    <v>Centrale Diensten</v>
    <v>9</v>
    <v>N</v>
    <v>J</v>
    <v>J</v>
    <v>J</v>
    <v>J</v>
    <v>19</v>
    <v>Overijse</v>
    <v>115</v>
    <v>Onderhoud Overijse</v>
    <v>144</v>
    <v>4536</v>
    <v>4536</v>
    <v>Lage vloer streek</v>
    <v>12-m bus</v>
    <v>Bus</v>
  </rv>
  <rv s="0">
    <v>0</v>
    <v>4541</v>
    <v>1</v>
    <v>Generic</v>
    <v>210A</v>
    <v>3</v>
    <v>1</v>
    <v>38413</v>
    <v>45175</v>
    <v>West-Vlaanderen</v>
    <v>5</v>
    <v>N</v>
    <v>J</v>
    <v>J</v>
    <v>J</v>
    <v>J</v>
    <v>19</v>
    <v>Kortrijk</v>
    <v>130</v>
    <v>Onderhoud Kortrijk</v>
    <v>145</v>
    <v>4541</v>
    <v>4541</v>
    <v>Lage vloer streek</v>
    <v>12-m bus</v>
    <v>Bus</v>
  </rv>
  <rv s="0">
    <v>0</v>
    <v>4543</v>
    <v>1</v>
    <v>Generic</v>
    <v>210A</v>
    <v>3</v>
    <v>2</v>
    <v>38428</v>
    <v>45175</v>
    <v>Centrale Diensten</v>
    <v>9</v>
    <v>N</v>
    <v>J</v>
    <v>J</v>
    <v>J</v>
    <v>J</v>
    <v>19</v>
    <v>Onbekend</v>
    <v>#</v>
    <v>Onbekend</v>
    <v>#</v>
    <v>4543</v>
    <v>4543</v>
    <v>Lage vloer streek</v>
    <v>12-m bus</v>
    <v>Bus</v>
  </rv>
  <rv s="0">
    <v>0</v>
    <v>4544</v>
    <v>1</v>
    <v>Generic</v>
    <v>210A</v>
    <v>3</v>
    <v>2</v>
    <v>38413</v>
    <v>45175</v>
    <v>Centrale Diensten</v>
    <v>9</v>
    <v>N</v>
    <v>J</v>
    <v>J</v>
    <v>J</v>
    <v>J</v>
    <v>19</v>
    <v>Onbekend</v>
    <v>#</v>
    <v>Onbekend</v>
    <v>#</v>
    <v>4544</v>
    <v>4544</v>
    <v>Lage vloer streek</v>
    <v>12-m bus</v>
    <v>Bus</v>
  </rv>
  <rv s="0">
    <v>0</v>
    <v>4545</v>
    <v>1</v>
    <v>Generic</v>
    <v>210A</v>
    <v>3</v>
    <v>1</v>
    <v>38419</v>
    <v>45175</v>
    <v>Limburg</v>
    <v>4</v>
    <v>N</v>
    <v>J</v>
    <v>J</v>
    <v>J</v>
    <v>J</v>
    <v>19</v>
    <v>Kinrooi</v>
    <v>114</v>
    <v>Onderhoud Kinrooi</v>
    <v>151</v>
    <v>4545</v>
    <v>4545</v>
    <v>Lage vloer streek</v>
    <v>12-m bus</v>
    <v>Bus</v>
  </rv>
  <rv s="0">
    <v>0</v>
    <v>4546</v>
    <v>1</v>
    <v>Generic</v>
    <v>210A</v>
    <v>3</v>
    <v>1</v>
    <v>38419</v>
    <v>45175</v>
    <v>Limburg</v>
    <v>4</v>
    <v>N</v>
    <v>J</v>
    <v>J</v>
    <v>J</v>
    <v>J</v>
    <v>19</v>
    <v>Kinrooi</v>
    <v>114</v>
    <v>Onderhoud Kinrooi</v>
    <v>151</v>
    <v>4546</v>
    <v>4546</v>
    <v>Lage vloer streek</v>
    <v>12-m bus</v>
    <v>Bus</v>
  </rv>
  <rv s="0">
    <v>0</v>
    <v>4547</v>
    <v>1</v>
    <v>Generic</v>
    <v>210A</v>
    <v>3</v>
    <v>2</v>
    <v>38419</v>
    <v>45175</v>
    <v>Centrale Diensten</v>
    <v>9</v>
    <v>N</v>
    <v>J</v>
    <v>J</v>
    <v>J</v>
    <v>J</v>
    <v>19</v>
    <v>Onbekend</v>
    <v>#</v>
    <v>Onbekend</v>
    <v>#</v>
    <v>4547</v>
    <v>4547</v>
    <v>Lage vloer streek</v>
    <v>12-m bus</v>
    <v>Bus</v>
  </rv>
  <rv s="0">
    <v>0</v>
    <v>4552</v>
    <v>1</v>
    <v>Generic</v>
    <v>210A</v>
    <v>3</v>
    <v>1</v>
    <v>38446</v>
    <v>45175</v>
    <v>Oost-Vlaanderen</v>
    <v>2</v>
    <v>N</v>
    <v>J</v>
    <v>J</v>
    <v>J</v>
    <v>J</v>
    <v>18</v>
    <v>Destelbergen</v>
    <v>111</v>
    <v>Werkhuis Destelbergen</v>
    <v>142</v>
    <v>4552</v>
    <v>4552</v>
    <v>Lage vloer streek</v>
    <v>12-m bus</v>
    <v>Bus</v>
  </rv>
  <rv s="0">
    <v>0</v>
    <v>4553</v>
    <v>1</v>
    <v>Generic</v>
    <v>210A</v>
    <v>3</v>
    <v>1</v>
    <v>38448</v>
    <v>45175</v>
    <v>Oost-Vlaanderen</v>
    <v>2</v>
    <v>N</v>
    <v>J</v>
    <v>J</v>
    <v>J</v>
    <v>J</v>
    <v>18</v>
    <v>Sint-Niklaas Nieuw</v>
    <v>129</v>
    <v>Onderhoud Sint-Niklaas</v>
    <v>143</v>
    <v>4553</v>
    <v>4553</v>
    <v>Lage vloer streek</v>
    <v>12-m bus</v>
    <v>Bus</v>
  </rv>
  <rv s="0">
    <v>0</v>
    <v>4554</v>
    <v>1</v>
    <v>Generic</v>
    <v>210A</v>
    <v>3</v>
    <v>1</v>
    <v>38450</v>
    <v>45175</v>
    <v>Oost-Vlaanderen</v>
    <v>2</v>
    <v>N</v>
    <v>J</v>
    <v>J</v>
    <v>J</v>
    <v>J</v>
    <v>18</v>
    <v>Sint-Niklaas Nieuw</v>
    <v>129</v>
    <v>Onderhoud Sint-Niklaas</v>
    <v>143</v>
    <v>4554</v>
    <v>4554</v>
    <v>Lage vloer streek</v>
    <v>12-m bus</v>
    <v>Bus</v>
  </rv>
  <rv s="0">
    <v>0</v>
    <v>4556</v>
    <v>1</v>
    <v>Generic</v>
    <v>210A</v>
    <v>3</v>
    <v>1</v>
    <v>38450</v>
    <v>45175</v>
    <v>Oost-Vlaanderen</v>
    <v>2</v>
    <v>N</v>
    <v>J</v>
    <v>J</v>
    <v>J</v>
    <v>J</v>
    <v>18</v>
    <v>Sint-Niklaas Nieuw</v>
    <v>129</v>
    <v>Onderhoud Sint-Niklaas</v>
    <v>143</v>
    <v>4556</v>
    <v>4556</v>
    <v>Lage vloer streek</v>
    <v>12-m bus</v>
    <v>Bus</v>
  </rv>
  <rv s="0">
    <v>0</v>
    <v>4557</v>
    <v>1</v>
    <v>Generic</v>
    <v>210A</v>
    <v>3</v>
    <v>1</v>
    <v>38450</v>
    <v>45175</v>
    <v>Oost-Vlaanderen</v>
    <v>2</v>
    <v>N</v>
    <v>J</v>
    <v>J</v>
    <v>J</v>
    <v>J</v>
    <v>18</v>
    <v>Sint-Niklaas Nieuw</v>
    <v>129</v>
    <v>Onderhoud Sint-Niklaas</v>
    <v>143</v>
    <v>4557</v>
    <v>4557</v>
    <v>Lage vloer streek</v>
    <v>12-m bus</v>
    <v>Bus</v>
  </rv>
  <rv s="0">
    <v>0</v>
    <v>4559</v>
    <v>1</v>
    <v>Generic</v>
    <v>210A</v>
    <v>3</v>
    <v>1</v>
    <v>38454</v>
    <v>45175</v>
    <v>Oost-Vlaanderen</v>
    <v>2</v>
    <v>N</v>
    <v>J</v>
    <v>J</v>
    <v>J</v>
    <v>J</v>
    <v>18</v>
    <v>Destelbergen</v>
    <v>111</v>
    <v>Werkhuis Destelbergen</v>
    <v>142</v>
    <v>4559</v>
    <v>4559</v>
    <v>Lage vloer streek</v>
    <v>12-m bus</v>
    <v>Bus</v>
  </rv>
  <rv s="0">
    <v>0</v>
    <v>4561</v>
    <v>1</v>
    <v>Generic</v>
    <v>210A</v>
    <v>3</v>
    <v>1</v>
    <v>38454</v>
    <v>45175</v>
    <v>Oost-Vlaanderen</v>
    <v>2</v>
    <v>N</v>
    <v>J</v>
    <v>J</v>
    <v>J</v>
    <v>J</v>
    <v>18</v>
    <v>Destelbergen</v>
    <v>111</v>
    <v>Werkhuis Destelbergen</v>
    <v>142</v>
    <v>4561</v>
    <v>4561</v>
    <v>Lage vloer streek</v>
    <v>12-m bus</v>
    <v>Bus</v>
  </rv>
  <rv s="0">
    <v>0</v>
    <v>4562</v>
    <v>1</v>
    <v>Generic</v>
    <v>210A</v>
    <v>3</v>
    <v>1</v>
    <v>38455</v>
    <v>45175</v>
    <v>Oost-Vlaanderen</v>
    <v>2</v>
    <v>N</v>
    <v>J</v>
    <v>J</v>
    <v>J</v>
    <v>J</v>
    <v>18</v>
    <v>Sint-Niklaas Nieuw</v>
    <v>129</v>
    <v>Onderhoud Sint-Niklaas</v>
    <v>143</v>
    <v>4562</v>
    <v>4562</v>
    <v>Lage vloer streek</v>
    <v>12-m bus</v>
    <v>Bus</v>
  </rv>
  <rv s="0">
    <v>0</v>
    <v>4563</v>
    <v>1</v>
    <v>Generic</v>
    <v>210A</v>
    <v>3</v>
    <v>1</v>
    <v>38455</v>
    <v>45175</v>
    <v>Oost-Vlaanderen</v>
    <v>2</v>
    <v>N</v>
    <v>J</v>
    <v>J</v>
    <v>J</v>
    <v>J</v>
    <v>18</v>
    <v>Destelbergen</v>
    <v>111</v>
    <v>Werkhuis Destelbergen</v>
    <v>142</v>
    <v>4563</v>
    <v>4563</v>
    <v>Lage vloer streek</v>
    <v>12-m bus</v>
    <v>Bus</v>
  </rv>
  <rv s="0">
    <v>0</v>
    <v>4564</v>
    <v>1</v>
    <v>Generic</v>
    <v>210A</v>
    <v>3</v>
    <v>1</v>
    <v>38448</v>
    <v>45175</v>
    <v>Limburg</v>
    <v>4</v>
    <v>N</v>
    <v>J</v>
    <v>J</v>
    <v>J</v>
    <v>J</v>
    <v>18</v>
    <v>Kinrooi</v>
    <v>114</v>
    <v>Onderhoud Kinrooi</v>
    <v>151</v>
    <v>4564</v>
    <v>4564</v>
    <v>Lage vloer streek</v>
    <v>12-m bus</v>
    <v>Bus</v>
  </rv>
  <rv s="0">
    <v>0</v>
    <v>4565</v>
    <v>1</v>
    <v>Generic</v>
    <v>210A</v>
    <v>3</v>
    <v>1</v>
    <v>38464</v>
    <v>45175</v>
    <v>Limburg</v>
    <v>4</v>
    <v>N</v>
    <v>J</v>
    <v>J</v>
    <v>J</v>
    <v>J</v>
    <v>18</v>
    <v>Kinrooi</v>
    <v>114</v>
    <v>Onderhoud Kinrooi</v>
    <v>151</v>
    <v>4565</v>
    <v>4565</v>
    <v>Lage vloer streek</v>
    <v>12-m bus</v>
    <v>Bus</v>
  </rv>
  <rv s="0">
    <v>0</v>
    <v>4566</v>
    <v>1</v>
    <v>Generic</v>
    <v>210A</v>
    <v>3</v>
    <v>1</v>
    <v>38468</v>
    <v>45175</v>
    <v>Limburg</v>
    <v>4</v>
    <v>N</v>
    <v>J</v>
    <v>J</v>
    <v>J</v>
    <v>J</v>
    <v>18</v>
    <v>Kinrooi</v>
    <v>114</v>
    <v>Onderhoud Kinrooi</v>
    <v>151</v>
    <v>4566</v>
    <v>4566</v>
    <v>Lage vloer streek</v>
    <v>12-m bus</v>
    <v>Bus</v>
  </rv>
  <rv s="0">
    <v>0</v>
    <v>4567</v>
    <v>1</v>
    <v>Generic</v>
    <v>210A</v>
    <v>3</v>
    <v>1</v>
    <v>38450</v>
    <v>45175</v>
    <v>Limburg</v>
    <v>4</v>
    <v>N</v>
    <v>J</v>
    <v>J</v>
    <v>J</v>
    <v>J</v>
    <v>18</v>
    <v>Kinrooi</v>
    <v>114</v>
    <v>Onderhoud Kinrooi</v>
    <v>151</v>
    <v>4567</v>
    <v>4567</v>
    <v>Lage vloer streek</v>
    <v>12-m bus</v>
    <v>Bus</v>
  </rv>
  <rv s="0">
    <v>0</v>
    <v>4568</v>
    <v>1</v>
    <v>Generic</v>
    <v>210A</v>
    <v>3</v>
    <v>1</v>
    <v>38456</v>
    <v>45175</v>
    <v>Limburg</v>
    <v>4</v>
    <v>N</v>
    <v>J</v>
    <v>J</v>
    <v>J</v>
    <v>J</v>
    <v>18</v>
    <v>Kinrooi</v>
    <v>114</v>
    <v>Onderhoud Kinrooi</v>
    <v>151</v>
    <v>4568</v>
    <v>4568</v>
    <v>Lage vloer streek</v>
    <v>12-m bus</v>
    <v>Bus</v>
  </rv>
  <rv s="0">
    <v>0</v>
    <v>4569</v>
    <v>1</v>
    <v>Generic</v>
    <v>210A</v>
    <v>3</v>
    <v>1</v>
    <v>38457</v>
    <v>45175</v>
    <v>Limburg</v>
    <v>4</v>
    <v>N</v>
    <v>J</v>
    <v>J</v>
    <v>J</v>
    <v>J</v>
    <v>18</v>
    <v>Kinrooi</v>
    <v>114</v>
    <v>Onderhoud Kinrooi</v>
    <v>151</v>
    <v>4569</v>
    <v>4569</v>
    <v>Lage vloer streek</v>
    <v>12-m bus</v>
    <v>Bus</v>
  </rv>
  <rv s="0">
    <v>0</v>
    <v>4570</v>
    <v>1</v>
    <v>Generic</v>
    <v>210A</v>
    <v>3</v>
    <v>1</v>
    <v>38456</v>
    <v>45175</v>
    <v>Limburg</v>
    <v>4</v>
    <v>N</v>
    <v>J</v>
    <v>J</v>
    <v>J</v>
    <v>J</v>
    <v>18</v>
    <v>Kinrooi</v>
    <v>114</v>
    <v>Onderhoud Kinrooi</v>
    <v>151</v>
    <v>4570</v>
    <v>4570</v>
    <v>Lage vloer streek</v>
    <v>12-m bus</v>
    <v>Bus</v>
  </rv>
  <rv s="0">
    <v>0</v>
    <v>4572</v>
    <v>1</v>
    <v>Generic</v>
    <v>210A</v>
    <v>3</v>
    <v>1</v>
    <v>38468</v>
    <v>45175</v>
    <v>Limburg</v>
    <v>4</v>
    <v>N</v>
    <v>J</v>
    <v>J</v>
    <v>J</v>
    <v>J</v>
    <v>18</v>
    <v>Kinrooi</v>
    <v>114</v>
    <v>Onderhoud Kinrooi</v>
    <v>151</v>
    <v>4572</v>
    <v>4572</v>
    <v>Lage vloer streek</v>
    <v>12-m bus</v>
    <v>Bus</v>
  </rv>
  <rv s="0">
    <v>0</v>
    <v>4573</v>
    <v>1</v>
    <v>Generic</v>
    <v>210A</v>
    <v>3</v>
    <v>1</v>
    <v>38457</v>
    <v>45175</v>
    <v>Limburg</v>
    <v>4</v>
    <v>N</v>
    <v>J</v>
    <v>J</v>
    <v>J</v>
    <v>J</v>
    <v>18</v>
    <v>Kinrooi</v>
    <v>114</v>
    <v>Onderhoud Kinrooi</v>
    <v>151</v>
    <v>4573</v>
    <v>4573</v>
    <v>Lage vloer streek</v>
    <v>12-m bus</v>
    <v>Bus</v>
  </rv>
  <rv s="0">
    <v>0</v>
    <v>4574</v>
    <v>1</v>
    <v>Generic</v>
    <v>210A</v>
    <v>3</v>
    <v>1</v>
    <v>38457</v>
    <v>45175</v>
    <v>Limburg</v>
    <v>4</v>
    <v>N</v>
    <v>J</v>
    <v>J</v>
    <v>J</v>
    <v>J</v>
    <v>18</v>
    <v>Kinrooi</v>
    <v>114</v>
    <v>Onderhoud Kinrooi</v>
    <v>151</v>
    <v>4574</v>
    <v>4574</v>
    <v>Lage vloer streek</v>
    <v>12-m bus</v>
    <v>Bus</v>
  </rv>
  <rv s="0">
    <v>0</v>
    <v>4575</v>
    <v>1</v>
    <v>Generic</v>
    <v>210A</v>
    <v>3</v>
    <v>1</v>
    <v>38468</v>
    <v>45175</v>
    <v>Limburg</v>
    <v>4</v>
    <v>N</v>
    <v>J</v>
    <v>J</v>
    <v>J</v>
    <v>J</v>
    <v>18</v>
    <v>Kinrooi</v>
    <v>114</v>
    <v>Onderhoud Kinrooi</v>
    <v>151</v>
    <v>4575</v>
    <v>4575</v>
    <v>Lage vloer streek</v>
    <v>12-m bus</v>
    <v>Bus</v>
  </rv>
  <rv s="0">
    <v>0</v>
    <v>4576</v>
    <v>1</v>
    <v>Generic</v>
    <v>210A</v>
    <v>3</v>
    <v>1</v>
    <v>38461</v>
    <v>45175</v>
    <v>Limburg</v>
    <v>4</v>
    <v>N</v>
    <v>J</v>
    <v>J</v>
    <v>J</v>
    <v>J</v>
    <v>18</v>
    <v>Kinrooi</v>
    <v>114</v>
    <v>Onderhoud Kinrooi</v>
    <v>151</v>
    <v>4576</v>
    <v>4576</v>
    <v>Lage vloer streek</v>
    <v>12-m bus</v>
    <v>Bus</v>
  </rv>
  <rv s="0">
    <v>0</v>
    <v>4577</v>
    <v>1</v>
    <v>Generic</v>
    <v>210A</v>
    <v>3</v>
    <v>1</v>
    <v>38462</v>
    <v>45175</v>
    <v>Limburg</v>
    <v>4</v>
    <v>N</v>
    <v>J</v>
    <v>J</v>
    <v>J</v>
    <v>J</v>
    <v>18</v>
    <v>Kinrooi</v>
    <v>114</v>
    <v>Onderhoud Kinrooi</v>
    <v>151</v>
    <v>4577</v>
    <v>4577</v>
    <v>Lage vloer streek</v>
    <v>12-m bus</v>
    <v>Bus</v>
  </rv>
  <rv s="0">
    <v>0</v>
    <v>4578</v>
    <v>1</v>
    <v>Generic</v>
    <v>210A</v>
    <v>3</v>
    <v>1</v>
    <v>38463</v>
    <v>45175</v>
    <v>Limburg</v>
    <v>4</v>
    <v>N</v>
    <v>J</v>
    <v>J</v>
    <v>J</v>
    <v>J</v>
    <v>18</v>
    <v>Kinrooi</v>
    <v>114</v>
    <v>Onderhoud Kinrooi</v>
    <v>151</v>
    <v>4578</v>
    <v>4578</v>
    <v>Lage vloer streek</v>
    <v>12-m bus</v>
    <v>Bus</v>
  </rv>
  <rv s="0">
    <v>0</v>
    <v>4579</v>
    <v>1</v>
    <v>Generic</v>
    <v>210A</v>
    <v>3</v>
    <v>1</v>
    <v>38464</v>
    <v>45175</v>
    <v>Oost-Vlaanderen</v>
    <v>2</v>
    <v>N</v>
    <v>J</v>
    <v>J</v>
    <v>J</v>
    <v>J</v>
    <v>18</v>
    <v>Sint-Niklaas Nieuw</v>
    <v>129</v>
    <v>Onderhoud Sint-Niklaas</v>
    <v>143</v>
    <v>4579</v>
    <v>4579</v>
    <v>Lage vloer streek</v>
    <v>12-m bus</v>
    <v>Bus</v>
  </rv>
  <rv s="0">
    <v>0</v>
    <v>4588</v>
    <v>1</v>
    <v>Generic</v>
    <v>210A</v>
    <v>3</v>
    <v>1</v>
    <v>38475</v>
    <v>45175</v>
    <v>Oost-Vlaanderen</v>
    <v>2</v>
    <v>N</v>
    <v>J</v>
    <v>J</v>
    <v>J</v>
    <v>J</v>
    <v>18</v>
    <v>Sint-Niklaas Nieuw</v>
    <v>129</v>
    <v>Onderhoud Sint-Niklaas</v>
    <v>143</v>
    <v>4588</v>
    <v>4588</v>
    <v>Lage vloer streek</v>
    <v>12-m bus</v>
    <v>Bus</v>
  </rv>
  <rv s="0">
    <v>0</v>
    <v>4590</v>
    <v>1</v>
    <v>Generic</v>
    <v>210A</v>
    <v>3</v>
    <v>1</v>
    <v>38483</v>
    <v>45175</v>
    <v>West-Vlaanderen</v>
    <v>5</v>
    <v>N</v>
    <v>J</v>
    <v>J</v>
    <v>J</v>
    <v>J</v>
    <v>18</v>
    <v>Kortrijk</v>
    <v>130</v>
    <v>Onderhoud Kortrijk</v>
    <v>145</v>
    <v>4590</v>
    <v>4590</v>
    <v>Lage vloer streek</v>
    <v>12-m bus</v>
    <v>Bus</v>
  </rv>
  <rv s="0">
    <v>0</v>
    <v>4591</v>
    <v>1</v>
    <v>Generic</v>
    <v>210A</v>
    <v>3</v>
    <v>1</v>
    <v>38483</v>
    <v>45175</v>
    <v>West-Vlaanderen</v>
    <v>5</v>
    <v>N</v>
    <v>J</v>
    <v>J</v>
    <v>J</v>
    <v>J</v>
    <v>18</v>
    <v>Kortrijk</v>
    <v>130</v>
    <v>Onderhoud Kortrijk</v>
    <v>145</v>
    <v>4591</v>
    <v>4591</v>
    <v>Lage vloer streek</v>
    <v>12-m bus</v>
    <v>Bus</v>
  </rv>
  <rv s="0">
    <v>0</v>
    <v>4592</v>
    <v>1</v>
    <v>Generic</v>
    <v>210A</v>
    <v>3</v>
    <v>1</v>
    <v>38483</v>
    <v>45175</v>
    <v>West-Vlaanderen</v>
    <v>5</v>
    <v>N</v>
    <v>J</v>
    <v>J</v>
    <v>J</v>
    <v>J</v>
    <v>18</v>
    <v>Kortrijk</v>
    <v>130</v>
    <v>Onderhoud Kortrijk</v>
    <v>145</v>
    <v>4592</v>
    <v>4592</v>
    <v>Lage vloer streek</v>
    <v>12-m bus</v>
    <v>Bus</v>
  </rv>
  <rv s="0">
    <v>0</v>
    <v>4593</v>
    <v>1</v>
    <v>Generic</v>
    <v>210A</v>
    <v>3</v>
    <v>1</v>
    <v>38483</v>
    <v>45175</v>
    <v>West-Vlaanderen</v>
    <v>5</v>
    <v>N</v>
    <v>J</v>
    <v>J</v>
    <v>J</v>
    <v>J</v>
    <v>18</v>
    <v>Onbekend</v>
    <v>#</v>
    <v>Onbekend</v>
    <v>#</v>
    <v>4593</v>
    <v>4593</v>
    <v>Lage vloer streek</v>
    <v>12-m bus</v>
    <v>Bus</v>
  </rv>
  <rv s="0">
    <v>0</v>
    <v>4594</v>
    <v>1</v>
    <v>Generic</v>
    <v>210A</v>
    <v>3</v>
    <v>1</v>
    <v>38484</v>
    <v>45175</v>
    <v>West-Vlaanderen</v>
    <v>5</v>
    <v>N</v>
    <v>J</v>
    <v>J</v>
    <v>J</v>
    <v>J</v>
    <v>18</v>
    <v>Kortrijk</v>
    <v>130</v>
    <v>Onderhoud Kortrijk</v>
    <v>145</v>
    <v>4594</v>
    <v>4594</v>
    <v>Lage vloer streek</v>
    <v>12-m bus</v>
    <v>Bus</v>
  </rv>
  <rv s="0">
    <v>0</v>
    <v>4595</v>
    <v>1</v>
    <v>Generic</v>
    <v>210A</v>
    <v>3</v>
    <v>1</v>
    <v>38483</v>
    <v>45175</v>
    <v>West-Vlaanderen</v>
    <v>5</v>
    <v>N</v>
    <v>J</v>
    <v>J</v>
    <v>J</v>
    <v>J</v>
    <v>18</v>
    <v>Kortrijk</v>
    <v>130</v>
    <v>Onderhoud Kortrijk</v>
    <v>145</v>
    <v>4595</v>
    <v>4595</v>
    <v>Lage vloer streek</v>
    <v>12-m bus</v>
    <v>Bus</v>
  </rv>
  <rv s="0">
    <v>0</v>
    <v>4597</v>
    <v>1</v>
    <v>Generic</v>
    <v>210A</v>
    <v>3</v>
    <v>1</v>
    <v>38491</v>
    <v>45175</v>
    <v>West-Vlaanderen</v>
    <v>5</v>
    <v>N</v>
    <v>J</v>
    <v>J</v>
    <v>J</v>
    <v>J</v>
    <v>18</v>
    <v>Kortrijk</v>
    <v>130</v>
    <v>Onderhoud Kortrijk</v>
    <v>145</v>
    <v>4597</v>
    <v>4597</v>
    <v>Lage vloer streek</v>
    <v>12-m bus</v>
    <v>Bus</v>
  </rv>
  <rv s="0">
    <v>0</v>
    <v>4598</v>
    <v>1</v>
    <v>Generic</v>
    <v>210A</v>
    <v>3</v>
    <v>1</v>
    <v>38490</v>
    <v>45175</v>
    <v>West-Vlaanderen</v>
    <v>5</v>
    <v>N</v>
    <v>J</v>
    <v>J</v>
    <v>J</v>
    <v>J</v>
    <v>18</v>
    <v>Kortrijk</v>
    <v>130</v>
    <v>Onderhoud Kortrijk</v>
    <v>145</v>
    <v>4598</v>
    <v>4598</v>
    <v>Lage vloer streek</v>
    <v>12-m bus</v>
    <v>Bus</v>
  </rv>
  <rv s="0">
    <v>0</v>
    <v>4599</v>
    <v>1</v>
    <v>Generic</v>
    <v>210A</v>
    <v>3</v>
    <v>1</v>
    <v>38490</v>
    <v>45175</v>
    <v>West-Vlaanderen</v>
    <v>5</v>
    <v>N</v>
    <v>J</v>
    <v>J</v>
    <v>J</v>
    <v>J</v>
    <v>18</v>
    <v>Grimbergen</v>
    <v>114</v>
    <v>Onderhoud Grimbergen</v>
    <v>148</v>
    <v>4599</v>
    <v>4599</v>
    <v>Lage vloer streek</v>
    <v>12-m bus</v>
    <v>Bus</v>
  </rv>
  <rv s="0">
    <v>0</v>
    <v>4600</v>
    <v>1</v>
    <v>Generic</v>
    <v>210A</v>
    <v>3</v>
    <v>1</v>
    <v>38491</v>
    <v>45175</v>
    <v>West-Vlaanderen</v>
    <v>5</v>
    <v>N</v>
    <v>J</v>
    <v>J</v>
    <v>J</v>
    <v>J</v>
    <v>18</v>
    <v>Kortrijk</v>
    <v>130</v>
    <v>Onderhoud Kortrijk</v>
    <v>145</v>
    <v>4600</v>
    <v>4600</v>
    <v>Lage vloer streek</v>
    <v>12-m bus</v>
    <v>Bus</v>
  </rv>
  <rv s="0">
    <v>0</v>
    <v>4601</v>
    <v>1</v>
    <v>Generic</v>
    <v>210A</v>
    <v>3</v>
    <v>1</v>
    <v>38491</v>
    <v>45175</v>
    <v>West-Vlaanderen</v>
    <v>5</v>
    <v>N</v>
    <v>J</v>
    <v>J</v>
    <v>J</v>
    <v>J</v>
    <v>18</v>
    <v>Kortrijk</v>
    <v>130</v>
    <v>Onderhoud Kortrijk</v>
    <v>145</v>
    <v>4601</v>
    <v>4601</v>
    <v>Lage vloer streek</v>
    <v>12-m bus</v>
    <v>Bus</v>
  </rv>
  <rv s="0">
    <v>0</v>
    <v>4602</v>
    <v>1</v>
    <v>Generic</v>
    <v>210A</v>
    <v>3</v>
    <v>1</v>
    <v>38491</v>
    <v>45175</v>
    <v>West-Vlaanderen</v>
    <v>5</v>
    <v>N</v>
    <v>J</v>
    <v>J</v>
    <v>J</v>
    <v>J</v>
    <v>18</v>
    <v>Kortrijk</v>
    <v>130</v>
    <v>Onderhoud Kortrijk</v>
    <v>145</v>
    <v>4602</v>
    <v>4602</v>
    <v>Lage vloer streek</v>
    <v>12-m bus</v>
    <v>Bus</v>
  </rv>
  <rv s="0">
    <v>0</v>
    <v>4603</v>
    <v>1</v>
    <v>Generic</v>
    <v>210B</v>
    <v>3</v>
    <v>2</v>
    <v>38187</v>
    <v>45175</v>
    <v>Centrale Diensten</v>
    <v>9</v>
    <v>N</v>
    <v>J</v>
    <v>J</v>
    <v>J</v>
    <v>J</v>
    <v>19</v>
    <v>Onbekend</v>
    <v>#</v>
    <v>Onbekend</v>
    <v>#</v>
    <v>4603</v>
    <v>4603</v>
    <v>Lage vloer streek</v>
    <v>Gelede bus</v>
    <v>Bus</v>
  </rv>
  <rv s="0">
    <v>0</v>
    <v>4604</v>
    <v>1</v>
    <v>Generic</v>
    <v>210B</v>
    <v>3</v>
    <v>1</v>
    <v>38183</v>
    <v>45175</v>
    <v>Oost-Vlaanderen</v>
    <v>2</v>
    <v>N</v>
    <v>J</v>
    <v>J</v>
    <v>J</v>
    <v>J</v>
    <v>19</v>
    <v>Destelbergen</v>
    <v>111</v>
    <v>Werkhuis Destelbergen</v>
    <v>142</v>
    <v>4604</v>
    <v>4604</v>
    <v>Lage vloer streek</v>
    <v>Gelede bus</v>
    <v>Bus</v>
  </rv>
  <rv s="0">
    <v>0</v>
    <v>4605</v>
    <v>1</v>
    <v>Generic</v>
    <v>210B</v>
    <v>3</v>
    <v>1</v>
    <v>38182</v>
    <v>45175</v>
    <v>Oost-Vlaanderen</v>
    <v>2</v>
    <v>N</v>
    <v>J</v>
    <v>J</v>
    <v>J</v>
    <v>J</v>
    <v>19</v>
    <v>Destelbergen</v>
    <v>111</v>
    <v>Werkhuis Destelbergen</v>
    <v>142</v>
    <v>4605</v>
    <v>4605</v>
    <v>Lage vloer streek</v>
    <v>Gelede bus</v>
    <v>Bus</v>
  </rv>
  <rv s="0">
    <v>0</v>
    <v>4606</v>
    <v>1</v>
    <v>Generic</v>
    <v>210B</v>
    <v>3</v>
    <v>1</v>
    <v>38183</v>
    <v>45175</v>
    <v>Oost-Vlaanderen</v>
    <v>2</v>
    <v>N</v>
    <v>J</v>
    <v>J</v>
    <v>J</v>
    <v>J</v>
    <v>19</v>
    <v>Destelbergen</v>
    <v>111</v>
    <v>Werkhuis Destelbergen</v>
    <v>142</v>
    <v>4606</v>
    <v>4606</v>
    <v>Lage vloer streek</v>
    <v>Gelede bus</v>
    <v>Bus</v>
  </rv>
  <rv s="0">
    <v>0</v>
    <v>4607</v>
    <v>1</v>
    <v>Generic</v>
    <v>210B</v>
    <v>3</v>
    <v>2</v>
    <v>38184</v>
    <v>45175</v>
    <v>Centrale Diensten</v>
    <v>9</v>
    <v>N</v>
    <v>J</v>
    <v>J</v>
    <v>J</v>
    <v>J</v>
    <v>19</v>
    <v>Destelbergen</v>
    <v>111</v>
    <v>Werkhuis Destelbergen</v>
    <v>142</v>
    <v>4607</v>
    <v>4607</v>
    <v>Lage vloer streek</v>
    <v>Gelede bus</v>
    <v>Bus</v>
  </rv>
  <rv s="0">
    <v>0</v>
    <v>4608</v>
    <v>1</v>
    <v>Generic</v>
    <v>210B</v>
    <v>3</v>
    <v>1</v>
    <v>38187</v>
    <v>45175</v>
    <v>Oost-Vlaanderen</v>
    <v>2</v>
    <v>N</v>
    <v>J</v>
    <v>J</v>
    <v>J</v>
    <v>J</v>
    <v>19</v>
    <v>Destelbergen</v>
    <v>111</v>
    <v>Werkhuis Destelbergen</v>
    <v>142</v>
    <v>4608</v>
    <v>4608</v>
    <v>Lage vloer streek</v>
    <v>Gelede bus</v>
    <v>Bus</v>
  </rv>
  <rv s="0">
    <v>0</v>
    <v>4609</v>
    <v>1</v>
    <v>Generic</v>
    <v>210B</v>
    <v>3</v>
    <v>1</v>
    <v>38187</v>
    <v>45175</v>
    <v>Oost-Vlaanderen</v>
    <v>2</v>
    <v>N</v>
    <v>J</v>
    <v>J</v>
    <v>J</v>
    <v>J</v>
    <v>19</v>
    <v>Destelbergen</v>
    <v>111</v>
    <v>Werkhuis Destelbergen</v>
    <v>142</v>
    <v>4609</v>
    <v>4609</v>
    <v>Lage vloer streek</v>
    <v>Gelede bus</v>
    <v>Bus</v>
  </rv>
  <rv s="0">
    <v>0</v>
    <v>4610</v>
    <v>1</v>
    <v>Generic</v>
    <v>210B</v>
    <v>3</v>
    <v>1</v>
    <v>38187</v>
    <v>45175</v>
    <v>Oost-Vlaanderen</v>
    <v>2</v>
    <v>N</v>
    <v>J</v>
    <v>J</v>
    <v>J</v>
    <v>J</v>
    <v>19</v>
    <v>Destelbergen</v>
    <v>111</v>
    <v>Werkhuis Destelbergen</v>
    <v>142</v>
    <v>4610</v>
    <v>4610</v>
    <v>Lage vloer streek</v>
    <v>Gelede bus</v>
    <v>Bus</v>
  </rv>
  <rv s="0">
    <v>0</v>
    <v>4611</v>
    <v>1</v>
    <v>Generic</v>
    <v>210B</v>
    <v>3</v>
    <v>1</v>
    <v>38190</v>
    <v>45175</v>
    <v>Oost-Vlaanderen</v>
    <v>2</v>
    <v>N</v>
    <v>J</v>
    <v>J</v>
    <v>J</v>
    <v>J</v>
    <v>19</v>
    <v>Destelbergen</v>
    <v>111</v>
    <v>Werkhuis Destelbergen</v>
    <v>142</v>
    <v>4611</v>
    <v>4611</v>
    <v>Lage vloer streek</v>
    <v>Gelede bus</v>
    <v>Bus</v>
  </rv>
  <rv s="0">
    <v>0</v>
    <v>4612</v>
    <v>1</v>
    <v>Generic</v>
    <v>210B</v>
    <v>3</v>
    <v>1</v>
    <v>38190</v>
    <v>45175</v>
    <v>Oost-Vlaanderen</v>
    <v>2</v>
    <v>N</v>
    <v>J</v>
    <v>J</v>
    <v>J</v>
    <v>J</v>
    <v>19</v>
    <v>Destelbergen</v>
    <v>111</v>
    <v>Werkhuis Destelbergen</v>
    <v>142</v>
    <v>4612</v>
    <v>4612</v>
    <v>Lage vloer streek</v>
    <v>Gelede bus</v>
    <v>Bus</v>
  </rv>
  <rv s="0">
    <v>0</v>
    <v>4613</v>
    <v>1</v>
    <v>Generic</v>
    <v>210B</v>
    <v>3</v>
    <v>2</v>
    <v>38194</v>
    <v>45175</v>
    <v>Centrale Diensten</v>
    <v>9</v>
    <v>N</v>
    <v>J</v>
    <v>J</v>
    <v>J</v>
    <v>J</v>
    <v>19</v>
    <v>Onbekend</v>
    <v>#</v>
    <v>Onbekend</v>
    <v>#</v>
    <v>4613</v>
    <v>4613</v>
    <v>Lage vloer streek</v>
    <v>Gelede bus</v>
    <v>Bus</v>
  </rv>
  <rv s="0">
    <v>0</v>
    <v>4614</v>
    <v>1</v>
    <v>Generic</v>
    <v>210B</v>
    <v>3</v>
    <v>2</v>
    <v>38194</v>
    <v>45175</v>
    <v>Centrale Diensten</v>
    <v>9</v>
    <v>N</v>
    <v>J</v>
    <v>J</v>
    <v>J</v>
    <v>J</v>
    <v>19</v>
    <v>Onbekend</v>
    <v>#</v>
    <v>Onbekend</v>
    <v>#</v>
    <v>4614</v>
    <v>4614</v>
    <v>Lage vloer streek</v>
    <v>Gelede bus</v>
    <v>Bus</v>
  </rv>
  <rv s="0">
    <v>0</v>
    <v>4617</v>
    <v>1</v>
    <v>Generic</v>
    <v>210B</v>
    <v>3</v>
    <v>1</v>
    <v>38195</v>
    <v>45175</v>
    <v>Oost-Vlaanderen</v>
    <v>2</v>
    <v>N</v>
    <v>J</v>
    <v>J</v>
    <v>J</v>
    <v>J</v>
    <v>19</v>
    <v>Destelbergen</v>
    <v>111</v>
    <v>Werkhuis Destelbergen</v>
    <v>142</v>
    <v>4617</v>
    <v>4617</v>
    <v>Lage vloer streek</v>
    <v>Gelede bus</v>
    <v>Bus</v>
  </rv>
  <rv s="0">
    <v>0</v>
    <v>4618</v>
    <v>1</v>
    <v>Generic</v>
    <v>210B</v>
    <v>3</v>
    <v>1</v>
    <v>38195</v>
    <v>45175</v>
    <v>Oost-Vlaanderen</v>
    <v>2</v>
    <v>N</v>
    <v>J</v>
    <v>J</v>
    <v>J</v>
    <v>J</v>
    <v>19</v>
    <v>Destelbergen</v>
    <v>111</v>
    <v>Werkhuis Destelbergen</v>
    <v>142</v>
    <v>4618</v>
    <v>4618</v>
    <v>Lage vloer streek</v>
    <v>Gelede bus</v>
    <v>Bus</v>
  </rv>
  <rv s="0">
    <v>0</v>
    <v>4619</v>
    <v>1</v>
    <v>Generic</v>
    <v>210B</v>
    <v>3</v>
    <v>1</v>
    <v>38253</v>
    <v>45175</v>
    <v>Oost-Vlaanderen</v>
    <v>2</v>
    <v>N</v>
    <v>J</v>
    <v>J</v>
    <v>J</v>
    <v>J</v>
    <v>19</v>
    <v>Destelbergen</v>
    <v>111</v>
    <v>Werkhuis Destelbergen</v>
    <v>142</v>
    <v>4619</v>
    <v>4619</v>
    <v>Lage vloer streek</v>
    <v>Gelede bus</v>
    <v>Bus</v>
  </rv>
  <rv s="0">
    <v>0</v>
    <v>4621</v>
    <v>1</v>
    <v>Generic</v>
    <v>210B</v>
    <v>3</v>
    <v>2</v>
    <v>38236</v>
    <v>45175</v>
    <v>Centrale Diensten</v>
    <v>9</v>
    <v>N</v>
    <v>J</v>
    <v>J</v>
    <v>J</v>
    <v>J</v>
    <v>19</v>
    <v>Destelbergen</v>
    <v>111</v>
    <v>Werkhuis Destelbergen</v>
    <v>142</v>
    <v>4621</v>
    <v>4621</v>
    <v>Lage vloer streek</v>
    <v>Gelede bus</v>
    <v>Bus</v>
  </rv>
  <rv s="0">
    <v>0</v>
    <v>4622</v>
    <v>1</v>
    <v>Generic</v>
    <v>210B</v>
    <v>3</v>
    <v>2</v>
    <v>38239</v>
    <v>45175</v>
    <v>Centrale Diensten</v>
    <v>9</v>
    <v>N</v>
    <v>J</v>
    <v>J</v>
    <v>J</v>
    <v>J</v>
    <v>19</v>
    <v>Destelbergen</v>
    <v>111</v>
    <v>Werkhuis Destelbergen</v>
    <v>142</v>
    <v>4622</v>
    <v>4622</v>
    <v>Lage vloer streek</v>
    <v>Gelede bus</v>
    <v>Bus</v>
  </rv>
  <rv s="0">
    <v>0</v>
    <v>4623</v>
    <v>1</v>
    <v>Generic</v>
    <v>210B</v>
    <v>3</v>
    <v>1</v>
    <v>38236</v>
    <v>45175</v>
    <v>Oost-Vlaanderen</v>
    <v>2</v>
    <v>N</v>
    <v>J</v>
    <v>J</v>
    <v>J</v>
    <v>J</v>
    <v>19</v>
    <v>Destelbergen</v>
    <v>111</v>
    <v>Werkhuis Destelbergen</v>
    <v>142</v>
    <v>4623</v>
    <v>4623</v>
    <v>Lage vloer streek</v>
    <v>Gelede bus</v>
    <v>Bus</v>
  </rv>
  <rv s="0">
    <v>0</v>
    <v>4624</v>
    <v>1</v>
    <v>Generic</v>
    <v>210B</v>
    <v>3</v>
    <v>1</v>
    <v>38239</v>
    <v>45175</v>
    <v>Oost-Vlaanderen</v>
    <v>2</v>
    <v>N</v>
    <v>J</v>
    <v>J</v>
    <v>J</v>
    <v>J</v>
    <v>19</v>
    <v>Destelbergen</v>
    <v>111</v>
    <v>Werkhuis Destelbergen</v>
    <v>142</v>
    <v>4624</v>
    <v>4624</v>
    <v>Lage vloer streek</v>
    <v>Gelede bus</v>
    <v>Bus</v>
  </rv>
  <rv s="0">
    <v>0</v>
    <v>4625</v>
    <v>1</v>
    <v>Generic</v>
    <v>210B</v>
    <v>3</v>
    <v>1</v>
    <v>38239</v>
    <v>45175</v>
    <v>Oost-Vlaanderen</v>
    <v>2</v>
    <v>N</v>
    <v>J</v>
    <v>J</v>
    <v>J</v>
    <v>J</v>
    <v>19</v>
    <v>Onbekend</v>
    <v>#</v>
    <v>Onbekend</v>
    <v>#</v>
    <v>4625</v>
    <v>4625</v>
    <v>Lage vloer streek</v>
    <v>Gelede bus</v>
    <v>Bus</v>
  </rv>
  <rv s="0">
    <v>0</v>
    <v>4626</v>
    <v>1</v>
    <v>Generic</v>
    <v>210B</v>
    <v>3</v>
    <v>1</v>
    <v>38244</v>
    <v>45175</v>
    <v>Oost-Vlaanderen</v>
    <v>2</v>
    <v>N</v>
    <v>J</v>
    <v>J</v>
    <v>J</v>
    <v>J</v>
    <v>19</v>
    <v>Destelbergen</v>
    <v>111</v>
    <v>Werkhuis Destelbergen</v>
    <v>142</v>
    <v>4626</v>
    <v>4626</v>
    <v>Lage vloer streek</v>
    <v>Gelede bus</v>
    <v>Bus</v>
  </rv>
  <rv s="0">
    <v>0</v>
    <v>4627</v>
    <v>1</v>
    <v>Generic</v>
    <v>210B</v>
    <v>3</v>
    <v>2</v>
    <v>38244</v>
    <v>45175</v>
    <v>Centrale Diensten</v>
    <v>9</v>
    <v>N</v>
    <v>J</v>
    <v>J</v>
    <v>J</v>
    <v>J</v>
    <v>19</v>
    <v>Destelbergen</v>
    <v>111</v>
    <v>Werkhuis Destelbergen</v>
    <v>142</v>
    <v>4627</v>
    <v>4627</v>
    <v>Lage vloer streek</v>
    <v>Gelede bus</v>
    <v>Bus</v>
  </rv>
  <rv s="0">
    <v>0</v>
    <v>4629</v>
    <v>1</v>
    <v>Generic</v>
    <v>210B</v>
    <v>3</v>
    <v>1</v>
    <v>38253</v>
    <v>45175</v>
    <v>Oost-Vlaanderen</v>
    <v>2</v>
    <v>N</v>
    <v>J</v>
    <v>J</v>
    <v>J</v>
    <v>J</v>
    <v>19</v>
    <v>Destelbergen</v>
    <v>111</v>
    <v>Werkhuis Destelbergen</v>
    <v>142</v>
    <v>4629</v>
    <v>4629</v>
    <v>Lage vloer streek</v>
    <v>Gelede bus</v>
    <v>Bus</v>
  </rv>
  <rv s="0">
    <v>0</v>
    <v>4630</v>
    <v>1</v>
    <v>Generic</v>
    <v>210B</v>
    <v>3</v>
    <v>1</v>
    <v>38257</v>
    <v>45175</v>
    <v>West-Vlaanderen</v>
    <v>5</v>
    <v>N</v>
    <v>J</v>
    <v>J</v>
    <v>J</v>
    <v>J</v>
    <v>19</v>
    <v>Oostende Slijkensestwg</v>
    <v>118</v>
    <v>Onderhoud Oostende - bus</v>
    <v>141</v>
    <v>4630</v>
    <v>4630</v>
    <v>Lage vloer streek</v>
    <v>Gelede bus</v>
    <v>Bus</v>
  </rv>
  <rv s="0">
    <v>0</v>
    <v>4631</v>
    <v>1</v>
    <v>Generic</v>
    <v>210B</v>
    <v>3</v>
    <v>1</v>
    <v>38257</v>
    <v>45175</v>
    <v>West-Vlaanderen</v>
    <v>5</v>
    <v>N</v>
    <v>J</v>
    <v>J</v>
    <v>J</v>
    <v>J</v>
    <v>19</v>
    <v>Oostende Slijkensestwg</v>
    <v>118</v>
    <v>Onderhoud Oostende - bus</v>
    <v>141</v>
    <v>4631</v>
    <v>4631</v>
    <v>Lage vloer streek</v>
    <v>Gelede bus</v>
    <v>Bus</v>
  </rv>
  <rv s="0">
    <v>0</v>
    <v>4632</v>
    <v>1</v>
    <v>Generic</v>
    <v>210B</v>
    <v>3</v>
    <v>1</v>
    <v>38258</v>
    <v>45175</v>
    <v>West-Vlaanderen</v>
    <v>5</v>
    <v>N</v>
    <v>J</v>
    <v>J</v>
    <v>J</v>
    <v>J</v>
    <v>19</v>
    <v>Oostende Slijkensestwg</v>
    <v>118</v>
    <v>Onderhoud Oostende - bus</v>
    <v>141</v>
    <v>4632</v>
    <v>4632</v>
    <v>Lage vloer streek</v>
    <v>Gelede bus</v>
    <v>Bus</v>
  </rv>
  <rv s="0">
    <v>0</v>
    <v>4633</v>
    <v>1</v>
    <v>Generic</v>
    <v>210B</v>
    <v>3</v>
    <v>1</v>
    <v>38258</v>
    <v>45175</v>
    <v>West-Vlaanderen</v>
    <v>5</v>
    <v>N</v>
    <v>J</v>
    <v>J</v>
    <v>J</v>
    <v>J</v>
    <v>19</v>
    <v>Oostende Slijkensestwg</v>
    <v>118</v>
    <v>Onderhoud Oostende - bus</v>
    <v>141</v>
    <v>4633</v>
    <v>4633</v>
    <v>Lage vloer streek</v>
    <v>Gelede bus</v>
    <v>Bus</v>
  </rv>
  <rv s="0">
    <v>0</v>
    <v>4634</v>
    <v>1</v>
    <v>Generic</v>
    <v>210B</v>
    <v>3</v>
    <v>1</v>
    <v>38258</v>
    <v>45175</v>
    <v>West-Vlaanderen</v>
    <v>5</v>
    <v>N</v>
    <v>J</v>
    <v>J</v>
    <v>J</v>
    <v>J</v>
    <v>19</v>
    <v>Oostende Slijkensestwg</v>
    <v>118</v>
    <v>Onderhoud Oostende - bus</v>
    <v>141</v>
    <v>4634</v>
    <v>4634</v>
    <v>Lage vloer streek</v>
    <v>Gelede bus</v>
    <v>Bus</v>
  </rv>
  <rv s="0">
    <v>0</v>
    <v>4635</v>
    <v>1</v>
    <v>Generic</v>
    <v>210B</v>
    <v>3</v>
    <v>1</v>
    <v>38280</v>
    <v>45175</v>
    <v>West-Vlaanderen</v>
    <v>5</v>
    <v>N</v>
    <v>J</v>
    <v>J</v>
    <v>J</v>
    <v>J</v>
    <v>19</v>
    <v>Oostende Slijkensestwg</v>
    <v>118</v>
    <v>Onderhoud Oostende - bus</v>
    <v>141</v>
    <v>4635</v>
    <v>4635</v>
    <v>Lage vloer streek</v>
    <v>Gelede bus</v>
    <v>Bus</v>
  </rv>
  <rv s="0">
    <v>0</v>
    <v>4636</v>
    <v>1</v>
    <v>Generic</v>
    <v>210B</v>
    <v>3</v>
    <v>1</v>
    <v>38280</v>
    <v>45175</v>
    <v>West-Vlaanderen</v>
    <v>5</v>
    <v>N</v>
    <v>J</v>
    <v>J</v>
    <v>J</v>
    <v>J</v>
    <v>19</v>
    <v>Oostende Slijkensestwg</v>
    <v>118</v>
    <v>Onderhoud Oostende - bus</v>
    <v>141</v>
    <v>4636</v>
    <v>4636</v>
    <v>Lage vloer streek</v>
    <v>Gelede bus</v>
    <v>Bus</v>
  </rv>
  <rv s="0">
    <v>0</v>
    <v>4637</v>
    <v>1</v>
    <v>Generic</v>
    <v>210B</v>
    <v>3</v>
    <v>1</v>
    <v>38288</v>
    <v>45175</v>
    <v>Antwerpen</v>
    <v>1</v>
    <v>N</v>
    <v>J</v>
    <v>J</v>
    <v>J</v>
    <v>J</v>
    <v>19</v>
    <v>Turnhout</v>
    <v>122</v>
    <v>Onderhoud Turnhout</v>
    <v>143</v>
    <v>4637</v>
    <v>4637</v>
    <v>Lage vloer streek</v>
    <v>Gelede bus</v>
    <v>Bus</v>
  </rv>
  <rv s="0">
    <v>0</v>
    <v>4638</v>
    <v>1</v>
    <v>Generic</v>
    <v>210B</v>
    <v>3</v>
    <v>1</v>
    <v>38281</v>
    <v>45175</v>
    <v>Antwerpen</v>
    <v>1</v>
    <v>N</v>
    <v>J</v>
    <v>J</v>
    <v>J</v>
    <v>J</v>
    <v>19</v>
    <v>Turnhout</v>
    <v>122</v>
    <v>Onderhoud Turnhout</v>
    <v>143</v>
    <v>4638</v>
    <v>4638</v>
    <v>Lage vloer streek</v>
    <v>Gelede bus</v>
    <v>Bus</v>
  </rv>
  <rv s="0">
    <v>0</v>
    <v>4639</v>
    <v>1</v>
    <v>Generic</v>
    <v>210B</v>
    <v>3</v>
    <v>1</v>
    <v>38281</v>
    <v>45175</v>
    <v>Antwerpen</v>
    <v>1</v>
    <v>N</v>
    <v>J</v>
    <v>J</v>
    <v>J</v>
    <v>J</v>
    <v>19</v>
    <v>Turnhout</v>
    <v>122</v>
    <v>Onderhoud Turnhout</v>
    <v>143</v>
    <v>4639</v>
    <v>4639</v>
    <v>Lage vloer streek</v>
    <v>Gelede bus</v>
    <v>Bus</v>
  </rv>
  <rv s="0">
    <v>0</v>
    <v>4641</v>
    <v>1</v>
    <v>Generic</v>
    <v>210B</v>
    <v>3</v>
    <v>1</v>
    <v>38288</v>
    <v>45175</v>
    <v>Antwerpen</v>
    <v>1</v>
    <v>N</v>
    <v>J</v>
    <v>J</v>
    <v>J</v>
    <v>J</v>
    <v>19</v>
    <v>Turnhout</v>
    <v>122</v>
    <v>Onderhoud Turnhout</v>
    <v>143</v>
    <v>4641</v>
    <v>4641</v>
    <v>Lage vloer streek</v>
    <v>Gelede bus</v>
    <v>Bus</v>
  </rv>
  <rv s="0">
    <v>0</v>
    <v>4643</v>
    <v>1</v>
    <v>Generic</v>
    <v>210B</v>
    <v>3</v>
    <v>1</v>
    <v>38288</v>
    <v>45175</v>
    <v>Antwerpen</v>
    <v>1</v>
    <v>N</v>
    <v>J</v>
    <v>J</v>
    <v>J</v>
    <v>J</v>
    <v>19</v>
    <v>Turnhout</v>
    <v>122</v>
    <v>Onderhoud Turnhout</v>
    <v>143</v>
    <v>4643</v>
    <v>4643</v>
    <v>Lage vloer streek</v>
    <v>Gelede bus</v>
    <v>Bus</v>
  </rv>
  <rv s="0">
    <v>0</v>
    <v>4644</v>
    <v>1</v>
    <v>Generic</v>
    <v>210B</v>
    <v>3</v>
    <v>1</v>
    <v>38294</v>
    <v>45175</v>
    <v>Antwerpen</v>
    <v>1</v>
    <v>N</v>
    <v>J</v>
    <v>J</v>
    <v>J</v>
    <v>J</v>
    <v>19</v>
    <v>Turnhout</v>
    <v>122</v>
    <v>Onderhoud Turnhout</v>
    <v>143</v>
    <v>4644</v>
    <v>4644</v>
    <v>Lage vloer streek</v>
    <v>Gelede bus</v>
    <v>Bus</v>
  </rv>
  <rv s="0">
    <v>0</v>
    <v>4645</v>
    <v>1</v>
    <v>Generic</v>
    <v>210B</v>
    <v>3</v>
    <v>1</v>
    <v>38294</v>
    <v>45175</v>
    <v>Oost-Vlaanderen</v>
    <v>2</v>
    <v>N</v>
    <v>J</v>
    <v>J</v>
    <v>J</v>
    <v>J</v>
    <v>19</v>
    <v>Destelbergen</v>
    <v>111</v>
    <v>Werkhuis Destelbergen</v>
    <v>142</v>
    <v>4645</v>
    <v>4645</v>
    <v>Lage vloer streek</v>
    <v>Gelede bus</v>
    <v>Bus</v>
  </rv>
  <rv s="0">
    <v>0</v>
    <v>4646</v>
    <v>1</v>
    <v>Generic</v>
    <v>210B</v>
    <v>3</v>
    <v>2</v>
    <v>38294</v>
    <v>45175</v>
    <v>Centrale Diensten</v>
    <v>9</v>
    <v>N</v>
    <v>J</v>
    <v>J</v>
    <v>J</v>
    <v>J</v>
    <v>19</v>
    <v>Destelbergen</v>
    <v>111</v>
    <v>Werkhuis Destelbergen</v>
    <v>142</v>
    <v>4646</v>
    <v>4646</v>
    <v>Lage vloer streek</v>
    <v>Gelede bus</v>
    <v>Bus</v>
  </rv>
  <rv s="0">
    <v>0</v>
    <v>4647</v>
    <v>1</v>
    <v>Generic</v>
    <v>210B</v>
    <v>3</v>
    <v>1</v>
    <v>38294</v>
    <v>45175</v>
    <v>Oost-Vlaanderen</v>
    <v>2</v>
    <v>N</v>
    <v>J</v>
    <v>J</v>
    <v>J</v>
    <v>J</v>
    <v>19</v>
    <v>Onbekend</v>
    <v>#</v>
    <v>Onbekend</v>
    <v>#</v>
    <v>4647</v>
    <v>4647</v>
    <v>Lage vloer streek</v>
    <v>Gelede bus</v>
    <v>Bus</v>
  </rv>
  <rv s="0">
    <v>0</v>
    <v>4648</v>
    <v>1</v>
    <v>Generic</v>
    <v>210B</v>
    <v>3</v>
    <v>2</v>
    <v>38294</v>
    <v>45175</v>
    <v>Centrale Diensten</v>
    <v>9</v>
    <v>N</v>
    <v>J</v>
    <v>J</v>
    <v>J</v>
    <v>J</v>
    <v>19</v>
    <v>Onbekend</v>
    <v>#</v>
    <v>Onbekend</v>
    <v>#</v>
    <v>4648</v>
    <v>4648</v>
    <v>Lage vloer streek</v>
    <v>Gelede bus</v>
    <v>Bus</v>
  </rv>
  <rv s="0">
    <v>0</v>
    <v>4649</v>
    <v>1</v>
    <v>Generic</v>
    <v>210B</v>
    <v>3</v>
    <v>1</v>
    <v>38301</v>
    <v>45175</v>
    <v>Oost-Vlaanderen</v>
    <v>2</v>
    <v>N</v>
    <v>J</v>
    <v>J</v>
    <v>J</v>
    <v>J</v>
    <v>19</v>
    <v>Destelbergen</v>
    <v>111</v>
    <v>Werkhuis Destelbergen</v>
    <v>142</v>
    <v>4649</v>
    <v>4649</v>
    <v>Lage vloer streek</v>
    <v>Gelede bus</v>
    <v>Bus</v>
  </rv>
  <rv s="0">
    <v>0</v>
    <v>4650</v>
    <v>1</v>
    <v>Generic</v>
    <v>210B</v>
    <v>3</v>
    <v>1</v>
    <v>38301</v>
    <v>45175</v>
    <v>Oost-Vlaanderen</v>
    <v>2</v>
    <v>N</v>
    <v>J</v>
    <v>J</v>
    <v>J</v>
    <v>J</v>
    <v>19</v>
    <v>Destelbergen</v>
    <v>111</v>
    <v>Werkhuis Destelbergen</v>
    <v>142</v>
    <v>4650</v>
    <v>4650</v>
    <v>Lage vloer streek</v>
    <v>Gelede bus</v>
    <v>Bus</v>
  </rv>
  <rv s="0">
    <v>0</v>
    <v>4651</v>
    <v>1</v>
    <v>Generic</v>
    <v>210B</v>
    <v>3</v>
    <v>1</v>
    <v>38308</v>
    <v>45175</v>
    <v>Oost-Vlaanderen</v>
    <v>2</v>
    <v>N</v>
    <v>J</v>
    <v>J</v>
    <v>J</v>
    <v>J</v>
    <v>19</v>
    <v>Destelbergen</v>
    <v>111</v>
    <v>Werkhuis Destelbergen</v>
    <v>142</v>
    <v>4651</v>
    <v>4651</v>
    <v>Lage vloer streek</v>
    <v>Gelede bus</v>
    <v>Bus</v>
  </rv>
  <rv s="0">
    <v>0</v>
    <v>4652</v>
    <v>1</v>
    <v>Generic</v>
    <v>210B</v>
    <v>3</v>
    <v>1</v>
    <v>38309</v>
    <v>45175</v>
    <v>Oost-Vlaanderen</v>
    <v>2</v>
    <v>N</v>
    <v>J</v>
    <v>J</v>
    <v>J</v>
    <v>J</v>
    <v>19</v>
    <v>Destelbergen</v>
    <v>111</v>
    <v>Werkhuis Destelbergen</v>
    <v>142</v>
    <v>4652</v>
    <v>4652</v>
    <v>Lage vloer streek</v>
    <v>Gelede bus</v>
    <v>Bus</v>
  </rv>
  <rv s="0">
    <v>0</v>
    <v>4653</v>
    <v>1</v>
    <v>Generic</v>
    <v>210B</v>
    <v>3</v>
    <v>1</v>
    <v>38323</v>
    <v>45175</v>
    <v>Limburg</v>
    <v>4</v>
    <v>N</v>
    <v>J</v>
    <v>J</v>
    <v>J</v>
    <v>J</v>
    <v>19</v>
    <v>Winterslag</v>
    <v>125</v>
    <v>Onderhoud Winterslag</v>
    <v>153</v>
    <v>4653</v>
    <v>4653</v>
    <v>Lage vloer streek</v>
    <v>Gelede bus</v>
    <v>Bus</v>
  </rv>
  <rv s="0">
    <v>0</v>
    <v>4654</v>
    <v>1</v>
    <v>Generic</v>
    <v>210B</v>
    <v>3</v>
    <v>1</v>
    <v>38323</v>
    <v>45175</v>
    <v>Limburg</v>
    <v>4</v>
    <v>N</v>
    <v>J</v>
    <v>J</v>
    <v>J</v>
    <v>J</v>
    <v>19</v>
    <v>Winterslag</v>
    <v>125</v>
    <v>Onderhoud Winterslag</v>
    <v>153</v>
    <v>4654</v>
    <v>4654</v>
    <v>Lage vloer streek</v>
    <v>Gelede bus</v>
    <v>Bus</v>
  </rv>
  <rv s="0">
    <v>0</v>
    <v>4655</v>
    <v>1</v>
    <v>Generic</v>
    <v>210B</v>
    <v>3</v>
    <v>1</v>
    <v>38323</v>
    <v>45175</v>
    <v>Limburg</v>
    <v>4</v>
    <v>N</v>
    <v>J</v>
    <v>J</v>
    <v>J</v>
    <v>J</v>
    <v>19</v>
    <v>Winterslag</v>
    <v>125</v>
    <v>Onderhoud Winterslag</v>
    <v>153</v>
    <v>4655</v>
    <v>4655</v>
    <v>Lage vloer streek</v>
    <v>Gelede bus</v>
    <v>Bus</v>
  </rv>
  <rv s="0">
    <v>0</v>
    <v>4656</v>
    <v>1</v>
    <v>Generic</v>
    <v>210B</v>
    <v>3</v>
    <v>1</v>
    <v>38323</v>
    <v>45175</v>
    <v>Limburg</v>
    <v>4</v>
    <v>N</v>
    <v>J</v>
    <v>J</v>
    <v>J</v>
    <v>J</v>
    <v>19</v>
    <v>Winterslag</v>
    <v>125</v>
    <v>Onderhoud Winterslag</v>
    <v>153</v>
    <v>4656</v>
    <v>4656</v>
    <v>Lage vloer streek</v>
    <v>Gelede bus</v>
    <v>Bus</v>
  </rv>
  <rv s="0">
    <v>0</v>
    <v>4658</v>
    <v>1</v>
    <v>Generic</v>
    <v>210B</v>
    <v>3</v>
    <v>1</v>
    <v>38343</v>
    <v>45175</v>
    <v>Antwerpen</v>
    <v>1</v>
    <v>N</v>
    <v>J</v>
    <v>J</v>
    <v>J</v>
    <v>J</v>
    <v>19</v>
    <v>Turnhout</v>
    <v>122</v>
    <v>Onderhoud Turnhout</v>
    <v>143</v>
    <v>4658</v>
    <v>4658</v>
    <v>Lage vloer streek</v>
    <v>Gelede bus</v>
    <v>Bus</v>
  </rv>
  <rv s="0">
    <v>0</v>
    <v>4659</v>
    <v>1</v>
    <v>Generic</v>
    <v>210B</v>
    <v>3</v>
    <v>1</v>
    <v>38343</v>
    <v>45175</v>
    <v>Antwerpen</v>
    <v>1</v>
    <v>N</v>
    <v>J</v>
    <v>J</v>
    <v>J</v>
    <v>J</v>
    <v>19</v>
    <v>Turnhout</v>
    <v>122</v>
    <v>Onderhoud Turnhout</v>
    <v>143</v>
    <v>4659</v>
    <v>4659</v>
    <v>Lage vloer streek</v>
    <v>Gelede bus</v>
    <v>Bus</v>
  </rv>
  <rv s="0">
    <v>0</v>
    <v>4660</v>
    <v>1</v>
    <v>Generic</v>
    <v>210B</v>
    <v>3</v>
    <v>1</v>
    <v>38343</v>
    <v>45175</v>
    <v>Antwerpen</v>
    <v>1</v>
    <v>N</v>
    <v>J</v>
    <v>J</v>
    <v>J</v>
    <v>J</v>
    <v>19</v>
    <v>Turnhout</v>
    <v>122</v>
    <v>Onderhoud Turnhout</v>
    <v>143</v>
    <v>4660</v>
    <v>4660</v>
    <v>Lage vloer streek</v>
    <v>Gelede bus</v>
    <v>Bus</v>
  </rv>
  <rv s="0">
    <v>0</v>
    <v>4661</v>
    <v>1</v>
    <v>Generic</v>
    <v>210B</v>
    <v>3</v>
    <v>1</v>
    <v>38387</v>
    <v>45175</v>
    <v>Antwerpen</v>
    <v>1</v>
    <v>N</v>
    <v>J</v>
    <v>J</v>
    <v>J</v>
    <v>J</v>
    <v>19</v>
    <v>Turnhout</v>
    <v>122</v>
    <v>Onderhoud Turnhout</v>
    <v>143</v>
    <v>4661</v>
    <v>4661</v>
    <v>Lage vloer streek</v>
    <v>Gelede bus</v>
    <v>Bus</v>
  </rv>
  <rv s="0">
    <v>0</v>
    <v>4662</v>
    <v>1</v>
    <v>Generic</v>
    <v>210B</v>
    <v>3</v>
    <v>1</v>
    <v>38371</v>
    <v>45175</v>
    <v>Antwerpen</v>
    <v>1</v>
    <v>N</v>
    <v>J</v>
    <v>J</v>
    <v>J</v>
    <v>J</v>
    <v>19</v>
    <v>Turnhout</v>
    <v>122</v>
    <v>Onderhoud Turnhout</v>
    <v>143</v>
    <v>4662</v>
    <v>4662</v>
    <v>Lage vloer streek</v>
    <v>Gelede bus</v>
    <v>Bus</v>
  </rv>
  <rv s="0">
    <v>0</v>
    <v>4664</v>
    <v>1</v>
    <v>Generic</v>
    <v>210C</v>
    <v>3</v>
    <v>1</v>
    <v>38273</v>
    <v>45175</v>
    <v>Oost-Vlaanderen</v>
    <v>2</v>
    <v>N</v>
    <v>J</v>
    <v>J</v>
    <v>J</v>
    <v>J</v>
    <v>19</v>
    <v>Hofstade</v>
    <v>116</v>
    <v>Onderhoud Hofstade</v>
    <v>144</v>
    <v>4664</v>
    <v>4664</v>
    <v>City</v>
    <v>Kleine bus</v>
    <v>Bus</v>
  </rv>
  <rv s="0">
    <v>0</v>
    <v>4665</v>
    <v>1</v>
    <v>Generic</v>
    <v>210C</v>
    <v>3</v>
    <v>1</v>
    <v>38309</v>
    <v>45175</v>
    <v>Oost-Vlaanderen</v>
    <v>2</v>
    <v>N</v>
    <v>J</v>
    <v>J</v>
    <v>J</v>
    <v>J</v>
    <v>19</v>
    <v>Hofstade</v>
    <v>116</v>
    <v>Onderhoud Hofstade</v>
    <v>144</v>
    <v>4665</v>
    <v>4665</v>
    <v>City</v>
    <v>Kleine bus</v>
    <v>Bus</v>
  </rv>
  <rv s="0">
    <v>0</v>
    <v>4666</v>
    <v>1</v>
    <v>Generic</v>
    <v>210C</v>
    <v>3</v>
    <v>1</v>
    <v>38301</v>
    <v>45175</v>
    <v>Oost-Vlaanderen</v>
    <v>2</v>
    <v>N</v>
    <v>J</v>
    <v>J</v>
    <v>J</v>
    <v>J</v>
    <v>19</v>
    <v>Hofstade</v>
    <v>116</v>
    <v>Onderhoud Hofstade</v>
    <v>144</v>
    <v>4666</v>
    <v>4666</v>
    <v>City</v>
    <v>Kleine bus</v>
    <v>Bus</v>
  </rv>
  <rv s="0">
    <v>0</v>
    <v>4667</v>
    <v>1</v>
    <v>Generic</v>
    <v>210C</v>
    <v>3</v>
    <v>1</v>
    <v>38301</v>
    <v>45175</v>
    <v>Oost-Vlaanderen</v>
    <v>2</v>
    <v>N</v>
    <v>J</v>
    <v>J</v>
    <v>J</v>
    <v>J</v>
    <v>19</v>
    <v>Hofstade</v>
    <v>116</v>
    <v>Onderhoud Hofstade</v>
    <v>144</v>
    <v>4667</v>
    <v>4667</v>
    <v>City</v>
    <v>Kleine bus</v>
    <v>Bus</v>
  </rv>
  <rv s="0">
    <v>0</v>
    <v>4668</v>
    <v>1</v>
    <v>Generic</v>
    <v>210C</v>
    <v>3</v>
    <v>1</v>
    <v>38309</v>
    <v>45175</v>
    <v>Oost-Vlaanderen</v>
    <v>2</v>
    <v>N</v>
    <v>J</v>
    <v>J</v>
    <v>J</v>
    <v>J</v>
    <v>19</v>
    <v>Hofstade</v>
    <v>116</v>
    <v>Onderhoud Hofstade</v>
    <v>144</v>
    <v>4668</v>
    <v>4668</v>
    <v>City</v>
    <v>Kleine bus</v>
    <v>Bus</v>
  </rv>
  <rv s="0">
    <v>0</v>
    <v>4669</v>
    <v>1</v>
    <v>Generic</v>
    <v>210C</v>
    <v>3</v>
    <v>1</v>
    <v>38320</v>
    <v>45175</v>
    <v>Oost-Vlaanderen</v>
    <v>2</v>
    <v>N</v>
    <v>J</v>
    <v>J</v>
    <v>J</v>
    <v>J</v>
    <v>19</v>
    <v>Hofstade</v>
    <v>116</v>
    <v>Onderhoud Hofstade</v>
    <v>144</v>
    <v>4669</v>
    <v>4669</v>
    <v>City</v>
    <v>Kleine bus</v>
    <v>Bus</v>
  </rv>
  <rv s="0">
    <v>0</v>
    <v>4670</v>
    <v>1</v>
    <v>Generic</v>
    <v>210C</v>
    <v>3</v>
    <v>1</v>
    <v>38320</v>
    <v>45175</v>
    <v>Oost-Vlaanderen</v>
    <v>2</v>
    <v>N</v>
    <v>J</v>
    <v>J</v>
    <v>J</v>
    <v>J</v>
    <v>19</v>
    <v>Hofstade</v>
    <v>116</v>
    <v>Onderhoud Hofstade</v>
    <v>144</v>
    <v>4670</v>
    <v>4670</v>
    <v>City</v>
    <v>Kleine bus</v>
    <v>Bus</v>
  </rv>
  <rv s="0">
    <v>0</v>
    <v>4671</v>
    <v>1</v>
    <v>Generic</v>
    <v>210C</v>
    <v>3</v>
    <v>1</v>
    <v>38328</v>
    <v>45175</v>
    <v>Oost-Vlaanderen</v>
    <v>2</v>
    <v>N</v>
    <v>J</v>
    <v>J</v>
    <v>J</v>
    <v>J</v>
    <v>19</v>
    <v>Hofstade</v>
    <v>116</v>
    <v>Onderhoud Hofstade</v>
    <v>144</v>
    <v>4671</v>
    <v>4671</v>
    <v>City</v>
    <v>Kleine bus</v>
    <v>Bus</v>
  </rv>
  <rv s="0">
    <v>0</v>
    <v>4672</v>
    <v>1</v>
    <v>Generic</v>
    <v>210C</v>
    <v>3</v>
    <v>1</v>
    <v>38320</v>
    <v>45175</v>
    <v>Oost-Vlaanderen</v>
    <v>2</v>
    <v>N</v>
    <v>J</v>
    <v>J</v>
    <v>J</v>
    <v>J</v>
    <v>19</v>
    <v>Hofstade</v>
    <v>116</v>
    <v>Onderhoud Hofstade</v>
    <v>144</v>
    <v>4672</v>
    <v>4672</v>
    <v>City</v>
    <v>Kleine bus</v>
    <v>Bus</v>
  </rv>
  <rv s="0">
    <v>0</v>
    <v>4673</v>
    <v>1</v>
    <v>Generic</v>
    <v>210C</v>
    <v>3</v>
    <v>1</v>
    <v>38328</v>
    <v>45175</v>
    <v>Oost-Vlaanderen</v>
    <v>2</v>
    <v>N</v>
    <v>J</v>
    <v>J</v>
    <v>J</v>
    <v>J</v>
    <v>19</v>
    <v>Hofstade</v>
    <v>116</v>
    <v>Onderhoud Hofstade</v>
    <v>144</v>
    <v>4673</v>
    <v>4673</v>
    <v>City</v>
    <v>Kleine bus</v>
    <v>Bus</v>
  </rv>
  <rv s="0">
    <v>0</v>
    <v>4674</v>
    <v>1</v>
    <v>Generic</v>
    <v>210C</v>
    <v>3</v>
    <v>1</v>
    <v>38328</v>
    <v>45175</v>
    <v>Oost-Vlaanderen</v>
    <v>2</v>
    <v>N</v>
    <v>J</v>
    <v>J</v>
    <v>J</v>
    <v>J</v>
    <v>19</v>
    <v>Hofstade</v>
    <v>116</v>
    <v>Onderhoud Hofstade</v>
    <v>144</v>
    <v>4674</v>
    <v>4674</v>
    <v>City</v>
    <v>Kleine bus</v>
    <v>Bus</v>
  </rv>
  <rv s="0">
    <v>0</v>
    <v>4675</v>
    <v>1</v>
    <v>Generic</v>
    <v>210C</v>
    <v>3</v>
    <v>1</v>
    <v>38336</v>
    <v>45175</v>
    <v>Oost-Vlaanderen</v>
    <v>2</v>
    <v>N</v>
    <v>J</v>
    <v>J</v>
    <v>J</v>
    <v>J</v>
    <v>19</v>
    <v>Hofstade</v>
    <v>116</v>
    <v>Onderhoud Hofstade</v>
    <v>144</v>
    <v>4675</v>
    <v>4675</v>
    <v>City</v>
    <v>Kleine bus</v>
    <v>Bus</v>
  </rv>
  <rv s="0">
    <v>0</v>
    <v>4676</v>
    <v>1</v>
    <v>Generic</v>
    <v>210C</v>
    <v>3</v>
    <v>1</v>
    <v>38336</v>
    <v>45175</v>
    <v>Oost-Vlaanderen</v>
    <v>2</v>
    <v>N</v>
    <v>J</v>
    <v>J</v>
    <v>J</v>
    <v>J</v>
    <v>19</v>
    <v>Hofstade</v>
    <v>116</v>
    <v>Onderhoud Hofstade</v>
    <v>144</v>
    <v>4676</v>
    <v>4676</v>
    <v>City</v>
    <v>Kleine bus</v>
    <v>Bus</v>
  </rv>
  <rv s="0">
    <v>0</v>
    <v>4677</v>
    <v>1</v>
    <v>Generic</v>
    <v>210C</v>
    <v>3</v>
    <v>1</v>
    <v>38336</v>
    <v>45175</v>
    <v>Oost-Vlaanderen</v>
    <v>2</v>
    <v>N</v>
    <v>J</v>
    <v>J</v>
    <v>J</v>
    <v>J</v>
    <v>19</v>
    <v>Hofstade</v>
    <v>116</v>
    <v>Onderhoud Hofstade</v>
    <v>144</v>
    <v>4677</v>
    <v>4677</v>
    <v>City</v>
    <v>Kleine bus</v>
    <v>Bus</v>
  </rv>
  <rv s="0">
    <v>0</v>
    <v>4678</v>
    <v>1</v>
    <v>Generic</v>
    <v>210C</v>
    <v>3</v>
    <v>1</v>
    <v>38343</v>
    <v>45175</v>
    <v>Oost-Vlaanderen</v>
    <v>2</v>
    <v>N</v>
    <v>J</v>
    <v>J</v>
    <v>J</v>
    <v>J</v>
    <v>19</v>
    <v>Hofstade</v>
    <v>116</v>
    <v>Onderhoud Hofstade</v>
    <v>144</v>
    <v>4678</v>
    <v>4678</v>
    <v>City</v>
    <v>Kleine bus</v>
    <v>Bus</v>
  </rv>
  <rv s="0">
    <v>0</v>
    <v>4679</v>
    <v>1</v>
    <v>Generic</v>
    <v>210C</v>
    <v>3</v>
    <v>1</v>
    <v>38343</v>
    <v>45175</v>
    <v>Oost-Vlaanderen</v>
    <v>2</v>
    <v>N</v>
    <v>J</v>
    <v>J</v>
    <v>J</v>
    <v>J</v>
    <v>19</v>
    <v>Hofstade</v>
    <v>116</v>
    <v>Onderhoud Hofstade</v>
    <v>144</v>
    <v>4679</v>
    <v>4679</v>
    <v>City</v>
    <v>Kleine bus</v>
    <v>Bus</v>
  </rv>
  <rv s="0">
    <v>0</v>
    <v>4680</v>
    <v>1</v>
    <v>Generic</v>
    <v>210C</v>
    <v>3</v>
    <v>2</v>
    <v>38358</v>
    <v>45175</v>
    <v>Centrale Diensten</v>
    <v>9</v>
    <v>N</v>
    <v>J</v>
    <v>J</v>
    <v>J</v>
    <v>J</v>
    <v>19</v>
    <v>Sint-Niklaas Nieuw</v>
    <v>129</v>
    <v>Onderhoud Sint-Niklaas</v>
    <v>143</v>
    <v>4680</v>
    <v>4680</v>
    <v>City</v>
    <v>Kleine bus</v>
    <v>Bus</v>
  </rv>
  <rv s="0">
    <v>0</v>
    <v>4681</v>
    <v>1</v>
    <v>Generic</v>
    <v>210C</v>
    <v>3</v>
    <v>1</v>
    <v>38363</v>
    <v>45175</v>
    <v>Limburg</v>
    <v>4</v>
    <v>N</v>
    <v>J</v>
    <v>J</v>
    <v>J</v>
    <v>J</v>
    <v>19</v>
    <v>TONGEREN</v>
    <v>126</v>
    <v>ONDERHOUD TONGEREN - NIEUW</v>
    <v>154</v>
    <v>4681</v>
    <v>4681</v>
    <v>City</v>
    <v>Kleine bus</v>
    <v>Bus</v>
  </rv>
  <rv s="0">
    <v>0</v>
    <v>4682</v>
    <v>1</v>
    <v>Generic</v>
    <v>210C</v>
    <v>3</v>
    <v>1</v>
    <v>38363</v>
    <v>45175</v>
    <v>Limburg</v>
    <v>4</v>
    <v>N</v>
    <v>J</v>
    <v>J</v>
    <v>J</v>
    <v>J</v>
    <v>19</v>
    <v>TONGEREN</v>
    <v>126</v>
    <v>ONDERHOUD TONGEREN - NIEUW</v>
    <v>154</v>
    <v>4682</v>
    <v>4682</v>
    <v>City</v>
    <v>Kleine bus</v>
    <v>Bus</v>
  </rv>
  <rv s="0">
    <v>0</v>
    <v>4683</v>
    <v>1</v>
    <v>Generic</v>
    <v>210C</v>
    <v>3</v>
    <v>1</v>
    <v>38372</v>
    <v>45175</v>
    <v>Limburg</v>
    <v>4</v>
    <v>N</v>
    <v>J</v>
    <v>J</v>
    <v>J</v>
    <v>J</v>
    <v>19</v>
    <v>TONGEREN</v>
    <v>126</v>
    <v>ONDERHOUD TONGEREN - NIEUW</v>
    <v>154</v>
    <v>4683</v>
    <v>4683</v>
    <v>City</v>
    <v>Kleine bus</v>
    <v>Bus</v>
  </rv>
  <rv s="0">
    <v>0</v>
    <v>4684</v>
    <v>1</v>
    <v>Generic</v>
    <v>210C</v>
    <v>3</v>
    <v>1</v>
    <v>38372</v>
    <v>45175</v>
    <v>Limburg</v>
    <v>4</v>
    <v>N</v>
    <v>J</v>
    <v>J</v>
    <v>J</v>
    <v>J</v>
    <v>19</v>
    <v>TONGEREN</v>
    <v>126</v>
    <v>ONDERHOUD TONGEREN - NIEUW</v>
    <v>154</v>
    <v>4684</v>
    <v>4684</v>
    <v>City</v>
    <v>Kleine bus</v>
    <v>Bus</v>
  </rv>
  <rv s="0">
    <v>0</v>
    <v>4685</v>
    <v>1</v>
    <v>Generic</v>
    <v>210C</v>
    <v>3</v>
    <v>1</v>
    <v>38378</v>
    <v>45175</v>
    <v>Limburg</v>
    <v>4</v>
    <v>N</v>
    <v>J</v>
    <v>J</v>
    <v>J</v>
    <v>J</v>
    <v>19</v>
    <v>TONGEREN</v>
    <v>126</v>
    <v>ONDERHOUD TONGEREN - NIEUW</v>
    <v>154</v>
    <v>4685</v>
    <v>4685</v>
    <v>City</v>
    <v>Kleine bus</v>
    <v>Bus</v>
  </rv>
  <rv s="0">
    <v>0</v>
    <v>4686</v>
    <v>1</v>
    <v>Generic</v>
    <v>210C</v>
    <v>3</v>
    <v>1</v>
    <v>38385</v>
    <v>45175</v>
    <v>Limburg</v>
    <v>4</v>
    <v>N</v>
    <v>J</v>
    <v>J</v>
    <v>J</v>
    <v>J</v>
    <v>19</v>
    <v>TONGEREN</v>
    <v>126</v>
    <v>ONDERHOUD TONGEREN - NIEUW</v>
    <v>154</v>
    <v>4686</v>
    <v>4686</v>
    <v>City</v>
    <v>Kleine bus</v>
    <v>Bus</v>
  </rv>
  <rv s="0">
    <v>0</v>
    <v>4687</v>
    <v>1</v>
    <v>Generic</v>
    <v>210C</v>
    <v>3</v>
    <v>1</v>
    <v>38385</v>
    <v>45175</v>
    <v>Limburg</v>
    <v>4</v>
    <v>N</v>
    <v>J</v>
    <v>J</v>
    <v>J</v>
    <v>J</v>
    <v>19</v>
    <v>TONGEREN</v>
    <v>126</v>
    <v>ONDERHOUD TONGEREN - NIEUW</v>
    <v>154</v>
    <v>4687</v>
    <v>4687</v>
    <v>City</v>
    <v>Kleine bus</v>
    <v>Bus</v>
  </rv>
  <rv s="0">
    <v>0</v>
    <v>4688</v>
    <v>1</v>
    <v>Generic</v>
    <v>210C</v>
    <v>3</v>
    <v>1</v>
    <v>38385</v>
    <v>45175</v>
    <v>Antwerpen</v>
    <v>1</v>
    <v>N</v>
    <v>J</v>
    <v>J</v>
    <v>J</v>
    <v>J</v>
    <v>19</v>
    <v>Mechelen Racing</v>
    <v>115</v>
    <v>Onderhoud Mechelen</v>
    <v>144</v>
    <v>4688</v>
    <v>4688</v>
    <v>City</v>
    <v>Kleine bus</v>
    <v>Bus</v>
  </rv>
  <rv s="0">
    <v>0</v>
    <v>4689</v>
    <v>1</v>
    <v>Generic</v>
    <v>210C</v>
    <v>3</v>
    <v>1</v>
    <v>38425</v>
    <v>45175</v>
    <v>Antwerpen</v>
    <v>1</v>
    <v>N</v>
    <v>J</v>
    <v>J</v>
    <v>J</v>
    <v>J</v>
    <v>19</v>
    <v>Mechelen Racing</v>
    <v>115</v>
    <v>Onderhoud Mechelen</v>
    <v>144</v>
    <v>4689</v>
    <v>4689</v>
    <v>City</v>
    <v>Kleine bus</v>
    <v>Bus</v>
  </rv>
  <rv s="0">
    <v>0</v>
    <v>4691</v>
    <v>1</v>
    <v>Generic</v>
    <v>210C</v>
    <v>3</v>
    <v>2</v>
    <v>38390</v>
    <v>45175</v>
    <v>Antwerpen</v>
    <v>1</v>
    <v>N</v>
    <v>J</v>
    <v>J</v>
    <v>J</v>
    <v>J</v>
    <v>19</v>
    <v>Mechelen Racing</v>
    <v>115</v>
    <v>Onderhoud Mechelen</v>
    <v>144</v>
    <v>4691</v>
    <v>4691</v>
    <v>City</v>
    <v>Kleine bus</v>
    <v>Bus</v>
  </rv>
  <rv s="0">
    <v>0</v>
    <v>4692</v>
    <v>1</v>
    <v>Generic</v>
    <v>210C</v>
    <v>3</v>
    <v>2</v>
    <v>38390</v>
    <v>45175</v>
    <v>West-Vlaanderen</v>
    <v>5</v>
    <v>N</v>
    <v>J</v>
    <v>J</v>
    <v>J</v>
    <v>J</v>
    <v>19</v>
    <v>Brugge</v>
    <v>125</v>
    <v>Onderhoud Brugge</v>
    <v>142</v>
    <v>4692</v>
    <v>4692</v>
    <v>City</v>
    <v>Kleine bus</v>
    <v>Bus</v>
  </rv>
  <rv s="0">
    <v>0</v>
    <v>4693</v>
    <v>1</v>
    <v>Generic</v>
    <v>210C</v>
    <v>3</v>
    <v>1</v>
    <v>38390</v>
    <v>45175</v>
    <v>West-Vlaanderen</v>
    <v>5</v>
    <v>N</v>
    <v>J</v>
    <v>J</v>
    <v>J</v>
    <v>J</v>
    <v>19</v>
    <v>Brugge</v>
    <v>125</v>
    <v>Onderhoud Brugge</v>
    <v>142</v>
    <v>4693</v>
    <v>4693</v>
    <v>City</v>
    <v>Kleine bus</v>
    <v>Bus</v>
  </rv>
  <rv s="0">
    <v>0</v>
    <v>4694</v>
    <v>1</v>
    <v>Generic</v>
    <v>210C</v>
    <v>3</v>
    <v>1</v>
    <v>38405</v>
    <v>45175</v>
    <v>West-Vlaanderen</v>
    <v>5</v>
    <v>N</v>
    <v>J</v>
    <v>J</v>
    <v>J</v>
    <v>J</v>
    <v>19</v>
    <v>Brugge</v>
    <v>125</v>
    <v>Onderhoud Brugge</v>
    <v>142</v>
    <v>4694</v>
    <v>4694</v>
    <v>City</v>
    <v>Kleine bus</v>
    <v>Bus</v>
  </rv>
  <rv s="0">
    <v>0</v>
    <v>4695</v>
    <v>1</v>
    <v>Generic</v>
    <v>210C</v>
    <v>3</v>
    <v>1</v>
    <v>38405</v>
    <v>45175</v>
    <v>West-Vlaanderen</v>
    <v>5</v>
    <v>N</v>
    <v>J</v>
    <v>J</v>
    <v>J</v>
    <v>J</v>
    <v>19</v>
    <v>Knokke</v>
    <v>113</v>
    <v>Onderhoud Brugge</v>
    <v>142</v>
    <v>4695</v>
    <v>4695</v>
    <v>City</v>
    <v>Kleine bus</v>
    <v>Bus</v>
  </rv>
  <rv s="0">
    <v>0</v>
    <v>4696</v>
    <v>1</v>
    <v>Generic</v>
    <v>210C</v>
    <v>3</v>
    <v>1</v>
    <v>38421</v>
    <v>45175</v>
    <v>West-Vlaanderen</v>
    <v>5</v>
    <v>N</v>
    <v>J</v>
    <v>J</v>
    <v>J</v>
    <v>J</v>
    <v>19</v>
    <v>Knokke</v>
    <v>113</v>
    <v>Onderhoud Brugge</v>
    <v>142</v>
    <v>4696</v>
    <v>4696</v>
    <v>City</v>
    <v>Kleine bus</v>
    <v>Bus</v>
  </rv>
  <rv s="0">
    <v>0</v>
    <v>4697</v>
    <v>1</v>
    <v>Generic</v>
    <v>210C</v>
    <v>3</v>
    <v>1</v>
    <v>38422</v>
    <v>45175</v>
    <v>West-Vlaanderen</v>
    <v>5</v>
    <v>N</v>
    <v>J</v>
    <v>J</v>
    <v>J</v>
    <v>J</v>
    <v>19</v>
    <v>Knokke</v>
    <v>113</v>
    <v>Onderhoud Brugge</v>
    <v>142</v>
    <v>4697</v>
    <v>4697</v>
    <v>City</v>
    <v>Kleine bus</v>
    <v>Bus</v>
  </rv>
  <rv s="0">
    <v>0</v>
    <v>4698</v>
    <v>1</v>
    <v>Generic</v>
    <v>210C</v>
    <v>3</v>
    <v>1</v>
    <v>38422</v>
    <v>45175</v>
    <v>West-Vlaanderen</v>
    <v>5</v>
    <v>N</v>
    <v>J</v>
    <v>J</v>
    <v>J</v>
    <v>J</v>
    <v>19</v>
    <v>Knokke</v>
    <v>113</v>
    <v>Onderhoud Brugge</v>
    <v>142</v>
    <v>4698</v>
    <v>4698</v>
    <v>City</v>
    <v>Kleine bus</v>
    <v>Bus</v>
  </rv>
  <rv s="0">
    <v>0</v>
    <v>4699</v>
    <v>1</v>
    <v>Generic</v>
    <v>210C</v>
    <v>3</v>
    <v>1</v>
    <v>38442</v>
    <v>45175</v>
    <v>West-Vlaanderen</v>
    <v>5</v>
    <v>N</v>
    <v>J</v>
    <v>J</v>
    <v>J</v>
    <v>J</v>
    <v>18</v>
    <v>Knokke</v>
    <v>113</v>
    <v>Onderhoud Brugge</v>
    <v>142</v>
    <v>4699</v>
    <v>4699</v>
    <v>City</v>
    <v>Kleine bus</v>
    <v>Bus</v>
  </rv>
  <rv s="0">
    <v>0</v>
    <v>4700</v>
    <v>1</v>
    <v>Generic</v>
    <v>210C</v>
    <v>3</v>
    <v>1</v>
    <v>38442</v>
    <v>45175</v>
    <v>West-Vlaanderen</v>
    <v>5</v>
    <v>N</v>
    <v>J</v>
    <v>J</v>
    <v>J</v>
    <v>J</v>
    <v>18</v>
    <v>Brugge</v>
    <v>125</v>
    <v>Onderhoud Brugge</v>
    <v>142</v>
    <v>4700</v>
    <v>4700</v>
    <v>City</v>
    <v>Kleine bus</v>
    <v>Bus</v>
  </rv>
  <rv s="0">
    <v>0</v>
    <v>4701</v>
    <v>1</v>
    <v>Generic</v>
    <v>210C</v>
    <v>3</v>
    <v>1</v>
    <v>38464</v>
    <v>45175</v>
    <v>West-Vlaanderen</v>
    <v>5</v>
    <v>N</v>
    <v>J</v>
    <v>J</v>
    <v>J</v>
    <v>J</v>
    <v>18</v>
    <v>Brugge</v>
    <v>125</v>
    <v>Onderhoud Brugge</v>
    <v>142</v>
    <v>4701</v>
    <v>4701</v>
    <v>City</v>
    <v>Kleine bus</v>
    <v>Bus</v>
  </rv>
  <rv s="0">
    <v>0</v>
    <v>4702</v>
    <v>1</v>
    <v>Generic</v>
    <v>210C</v>
    <v>3</v>
    <v>1</v>
    <v>38464</v>
    <v>45175</v>
    <v>West-Vlaanderen</v>
    <v>5</v>
    <v>N</v>
    <v>J</v>
    <v>J</v>
    <v>J</v>
    <v>J</v>
    <v>18</v>
    <v>Brugge</v>
    <v>125</v>
    <v>Onderhoud Brugge</v>
    <v>142</v>
    <v>4702</v>
    <v>4702</v>
    <v>City</v>
    <v>Kleine bus</v>
    <v>Bus</v>
  </rv>
  <rv s="0">
    <v>0</v>
    <v>4703</v>
    <v>1</v>
    <v>Generic</v>
    <v>210C</v>
    <v>3</v>
    <v>1</v>
    <v>38455</v>
    <v>45175</v>
    <v>West-Vlaanderen</v>
    <v>5</v>
    <v>N</v>
    <v>J</v>
    <v>J</v>
    <v>J</v>
    <v>J</v>
    <v>18</v>
    <v>Oostende Slijkensestwg</v>
    <v>118</v>
    <v>Onderhoud Oostende - bus</v>
    <v>141</v>
    <v>4703</v>
    <v>4703</v>
    <v>City</v>
    <v>Kleine bus</v>
    <v>Bus</v>
  </rv>
  <rv s="0">
    <v>0</v>
    <v>4704</v>
    <v>1</v>
    <v>Generic</v>
    <v>210C</v>
    <v>3</v>
    <v>1</v>
    <v>38464</v>
    <v>45175</v>
    <v>West-Vlaanderen</v>
    <v>5</v>
    <v>N</v>
    <v>J</v>
    <v>J</v>
    <v>J</v>
    <v>J</v>
    <v>18</v>
    <v>Oostende Slijkensestwg</v>
    <v>118</v>
    <v>Onderhoud Oostende - bus</v>
    <v>141</v>
    <v>4704</v>
    <v>4704</v>
    <v>City</v>
    <v>Kleine bus</v>
    <v>Bus</v>
  </rv>
  <rv s="0">
    <v>0</v>
    <v>4705</v>
    <v>1</v>
    <v>Generic</v>
    <v>210C</v>
    <v>3</v>
    <v>1</v>
    <v>38464</v>
    <v>45175</v>
    <v>West-Vlaanderen</v>
    <v>5</v>
    <v>N</v>
    <v>J</v>
    <v>J</v>
    <v>J</v>
    <v>J</v>
    <v>18</v>
    <v>Oostende Slijkensestwg</v>
    <v>118</v>
    <v>Onderhoud Oostende - bus</v>
    <v>141</v>
    <v>4705</v>
    <v>4705</v>
    <v>City</v>
    <v>Kleine bus</v>
    <v>Bus</v>
  </rv>
  <rv s="0">
    <v>0</v>
    <v>4706</v>
    <v>1</v>
    <v>Generic</v>
    <v>210C</v>
    <v>3</v>
    <v>1</v>
    <v>38475</v>
    <v>45175</v>
    <v>West-Vlaanderen</v>
    <v>5</v>
    <v>N</v>
    <v>J</v>
    <v>J</v>
    <v>J</v>
    <v>J</v>
    <v>18</v>
    <v>Oostende Slijkensestwg</v>
    <v>118</v>
    <v>Onderhoud Oostende - bus</v>
    <v>141</v>
    <v>4706</v>
    <v>4706</v>
    <v>City</v>
    <v>Kleine bus</v>
    <v>Bus</v>
  </rv>
  <rv s="0">
    <v>0</v>
    <v>4707</v>
    <v>1</v>
    <v>Generic</v>
    <v>210C</v>
    <v>3</v>
    <v>1</v>
    <v>38495</v>
    <v>45175</v>
    <v>Centrale Diensten</v>
    <v>9</v>
    <v>N</v>
    <v>J</v>
    <v>J</v>
    <v>J</v>
    <v>J</v>
    <v>18</v>
    <v>Onbekend</v>
    <v>#</v>
    <v>Onbekend</v>
    <v>#</v>
    <v>4707</v>
    <v>4707</v>
    <v>City</v>
    <v>Kleine bus</v>
    <v>Bus</v>
  </rv>
  <rv s="0">
    <v>0</v>
    <v>4708</v>
    <v>1</v>
    <v>Generic</v>
    <v>211</v>
    <v>3</v>
    <v>1</v>
    <v>38111</v>
    <v>45175</v>
    <v>Antwerpen</v>
    <v>1</v>
    <v>N</v>
    <v>J</v>
    <v>J</v>
    <v>J</v>
    <v>J</v>
    <v>19</v>
    <v>Mechelen Racing</v>
    <v>115</v>
    <v>Onderhoud Mechelen</v>
    <v>144</v>
    <v>4708</v>
    <v>4708</v>
    <v>Lage vloer streek</v>
    <v>Gelede bus</v>
    <v>Bus</v>
  </rv>
  <rv s="0">
    <v>0</v>
    <v>4709</v>
    <v>1</v>
    <v>Generic</v>
    <v>211</v>
    <v>3</v>
    <v>1</v>
    <v>38058</v>
    <v>45175</v>
    <v>Antwerpen</v>
    <v>1</v>
    <v>N</v>
    <v>J</v>
    <v>J</v>
    <v>J</v>
    <v>J</v>
    <v>20</v>
    <v>Mechelen Racing</v>
    <v>115</v>
    <v>Onderhoud Mechelen</v>
    <v>144</v>
    <v>4709</v>
    <v>4709</v>
    <v>Lage vloer streek</v>
    <v>Gelede bus</v>
    <v>Bus</v>
  </rv>
  <rv s="0">
    <v>0</v>
    <v>4710</v>
    <v>1</v>
    <v>Generic</v>
    <v>211</v>
    <v>3</v>
    <v>2</v>
    <v>38058</v>
    <v>45175</v>
    <v>Centrale Diensten</v>
    <v>9</v>
    <v>N</v>
    <v>J</v>
    <v>J</v>
    <v>J</v>
    <v>J</v>
    <v>20</v>
    <v>Mechelen Racing</v>
    <v>115</v>
    <v>Onderhoud Mechelen</v>
    <v>144</v>
    <v>4710</v>
    <v>4710</v>
    <v>Lage vloer streek</v>
    <v>Gelede bus</v>
    <v>Bus</v>
  </rv>
  <rv s="0">
    <v>0</v>
    <v>4711</v>
    <v>1</v>
    <v>Generic</v>
    <v>211</v>
    <v>3</v>
    <v>1</v>
    <v>38106</v>
    <v>45175</v>
    <v>Antwerpen</v>
    <v>1</v>
    <v>N</v>
    <v>J</v>
    <v>J</v>
    <v>J</v>
    <v>J</v>
    <v>19</v>
    <v>Mechelen Racing</v>
    <v>115</v>
    <v>Onderhoud Mechelen</v>
    <v>144</v>
    <v>4711</v>
    <v>4711</v>
    <v>Lage vloer streek</v>
    <v>Gelede bus</v>
    <v>Bus</v>
  </rv>
  <rv s="0">
    <v>0</v>
    <v>4712</v>
    <v>1</v>
    <v>Generic</v>
    <v>211</v>
    <v>3</v>
    <v>1</v>
    <v>38106</v>
    <v>45175</v>
    <v>Antwerpen</v>
    <v>1</v>
    <v>N</v>
    <v>J</v>
    <v>J</v>
    <v>J</v>
    <v>J</v>
    <v>19</v>
    <v>Mechelen Racing</v>
    <v>115</v>
    <v>Onderhoud Mechelen</v>
    <v>144</v>
    <v>4712</v>
    <v>4712</v>
    <v>Lage vloer streek</v>
    <v>Gelede bus</v>
    <v>Bus</v>
  </rv>
  <rv s="0">
    <v>0</v>
    <v>4714</v>
    <v>1</v>
    <v>Generic</v>
    <v>211</v>
    <v>3</v>
    <v>1</v>
    <v>38051</v>
    <v>45175</v>
    <v>Antwerpen</v>
    <v>1</v>
    <v>N</v>
    <v>J</v>
    <v>J</v>
    <v>J</v>
    <v>J</v>
    <v>20</v>
    <v>Mechelen Racing</v>
    <v>115</v>
    <v>Onderhoud Mechelen</v>
    <v>144</v>
    <v>4714</v>
    <v>4714</v>
    <v>Lage vloer streek</v>
    <v>Gelede bus</v>
    <v>Bus</v>
  </rv>
  <rv s="0">
    <v>0</v>
    <v>4716</v>
    <v>1</v>
    <v>Generic</v>
    <v>211</v>
    <v>3</v>
    <v>1</v>
    <v>38054</v>
    <v>45175</v>
    <v>Antwerpen</v>
    <v>1</v>
    <v>N</v>
    <v>J</v>
    <v>J</v>
    <v>J</v>
    <v>J</v>
    <v>20</v>
    <v>Mechelen Racing</v>
    <v>115</v>
    <v>Onderhoud Mechelen</v>
    <v>144</v>
    <v>4716</v>
    <v>4716</v>
    <v>Lage vloer streek</v>
    <v>Gelede bus</v>
    <v>Bus</v>
  </rv>
  <rv s="0">
    <v>0</v>
    <v>4722</v>
    <v>1</v>
    <v>Generic</v>
    <v>211</v>
    <v>3</v>
    <v>1</v>
    <v>38063</v>
    <v>45175</v>
    <v>Antwerpen</v>
    <v>1</v>
    <v>N</v>
    <v>J</v>
    <v>J</v>
    <v>J</v>
    <v>J</v>
    <v>20</v>
    <v>Turnhout</v>
    <v>122</v>
    <v>Onderhoud Turnhout</v>
    <v>143</v>
    <v>4722</v>
    <v>4722</v>
    <v>Lage vloer streek</v>
    <v>Gelede bus</v>
    <v>Bus</v>
  </rv>
  <rv s="0">
    <v>0</v>
    <v>4724</v>
    <v>1</v>
    <v>Generic</v>
    <v>211</v>
    <v>3</v>
    <v>2</v>
    <v>38069</v>
    <v>45175</v>
    <v>Centrale Diensten</v>
    <v>9</v>
    <v>N</v>
    <v>J</v>
    <v>J</v>
    <v>J</v>
    <v>J</v>
    <v>19</v>
    <v>Destelbergen</v>
    <v>111</v>
    <v>Werkhuis Destelbergen</v>
    <v>142</v>
    <v>4724</v>
    <v>4724</v>
    <v>Lage vloer streek</v>
    <v>Gelede bus</v>
    <v>Bus</v>
  </rv>
  <rv s="0">
    <v>0</v>
    <v>4727</v>
    <v>1</v>
    <v>Generic</v>
    <v>211</v>
    <v>3</v>
    <v>2</v>
    <v>38071</v>
    <v>45175</v>
    <v>Centrale Diensten</v>
    <v>9</v>
    <v>N</v>
    <v>J</v>
    <v>J</v>
    <v>J</v>
    <v>J</v>
    <v>19</v>
    <v>Onbekend</v>
    <v>#</v>
    <v>Onbekend</v>
    <v>#</v>
    <v>4727</v>
    <v>4727</v>
    <v>Lage vloer streek</v>
    <v>Gelede bus</v>
    <v>Bus</v>
  </rv>
  <rv s="0">
    <v>0</v>
    <v>4728</v>
    <v>1</v>
    <v>Generic</v>
    <v>211</v>
    <v>3</v>
    <v>1</v>
    <v>38071</v>
    <v>45175</v>
    <v>Antwerpen</v>
    <v>1</v>
    <v>N</v>
    <v>J</v>
    <v>J</v>
    <v>J</v>
    <v>J</v>
    <v>19</v>
    <v>Turnhout</v>
    <v>122</v>
    <v>Onderhoud Turnhout</v>
    <v>143</v>
    <v>4728</v>
    <v>4728</v>
    <v>Lage vloer streek</v>
    <v>Gelede bus</v>
    <v>Bus</v>
  </rv>
  <rv s="0">
    <v>0</v>
    <v>4729</v>
    <v>1</v>
    <v>Generic</v>
    <v>211</v>
    <v>3</v>
    <v>1</v>
    <v>38071</v>
    <v>45175</v>
    <v>Oost-Vlaanderen</v>
    <v>2</v>
    <v>N</v>
    <v>J</v>
    <v>J</v>
    <v>J</v>
    <v>J</v>
    <v>19</v>
    <v>Destelbergen</v>
    <v>111</v>
    <v>Werkhuis Destelbergen</v>
    <v>142</v>
    <v>4729</v>
    <v>4729</v>
    <v>Lage vloer streek</v>
    <v>Gelede bus</v>
    <v>Bus</v>
  </rv>
  <rv s="0">
    <v>0</v>
    <v>4732</v>
    <v>1</v>
    <v>Generic</v>
    <v>211</v>
    <v>3</v>
    <v>1</v>
    <v>38076</v>
    <v>45175</v>
    <v>Oost-Vlaanderen</v>
    <v>2</v>
    <v>N</v>
    <v>J</v>
    <v>J</v>
    <v>J</v>
    <v>J</v>
    <v>19</v>
    <v>Destelbergen</v>
    <v>111</v>
    <v>Werkhuis Destelbergen</v>
    <v>142</v>
    <v>4732</v>
    <v>4732</v>
    <v>Lage vloer streek</v>
    <v>Gelede bus</v>
    <v>Bus</v>
  </rv>
  <rv s="0">
    <v>0</v>
    <v>4734</v>
    <v>1</v>
    <v>Generic</v>
    <v>211</v>
    <v>3</v>
    <v>1</v>
    <v>38083</v>
    <v>45175</v>
    <v>Antwerpen</v>
    <v>1</v>
    <v>N</v>
    <v>J</v>
    <v>J</v>
    <v>J</v>
    <v>J</v>
    <v>19</v>
    <v>Tjalkstraat</v>
    <v>111</v>
    <v>Onderhoud Tjalkstraat</v>
    <v>142</v>
    <v>4734</v>
    <v>4734</v>
    <v>Lage vloer streek</v>
    <v>Gelede bus</v>
    <v>Bus</v>
  </rv>
  <rv s="0">
    <v>0</v>
    <v>4739</v>
    <v>1</v>
    <v>Generic</v>
    <v>211</v>
    <v>3</v>
    <v>1</v>
    <v>38086</v>
    <v>45175</v>
    <v>Antwerpen</v>
    <v>1</v>
    <v>N</v>
    <v>J</v>
    <v>J</v>
    <v>J</v>
    <v>J</v>
    <v>19</v>
    <v>Tjalkstraat</v>
    <v>111</v>
    <v>Onderhoud Tjalkstraat</v>
    <v>142</v>
    <v>4739</v>
    <v>4739</v>
    <v>Lage vloer streek</v>
    <v>Gelede bus</v>
    <v>Bus</v>
  </rv>
  <rv s="0">
    <v>0</v>
    <v>4745</v>
    <v>1</v>
    <v>Generic</v>
    <v>211</v>
    <v>3</v>
    <v>1</v>
    <v>38098</v>
    <v>45175</v>
    <v>Antwerpen</v>
    <v>1</v>
    <v>N</v>
    <v>J</v>
    <v>J</v>
    <v>J</v>
    <v>J</v>
    <v>19</v>
    <v>Tjalkstraat</v>
    <v>111</v>
    <v>Onderhoud Tjalkstraat</v>
    <v>142</v>
    <v>4745</v>
    <v>4745</v>
    <v>Lage vloer streek</v>
    <v>Gelede bus</v>
    <v>Bus</v>
  </rv>
  <rv s="0">
    <v>0</v>
    <v>4747</v>
    <v>1</v>
    <v>Generic</v>
    <v>211</v>
    <v>3</v>
    <v>1</v>
    <v>38104</v>
    <v>45175</v>
    <v>Antwerpen</v>
    <v>1</v>
    <v>N</v>
    <v>J</v>
    <v>J</v>
    <v>J</v>
    <v>J</v>
    <v>19</v>
    <v>Tjalkstraat</v>
    <v>111</v>
    <v>Onderhoud Tjalkstraat</v>
    <v>142</v>
    <v>4747</v>
    <v>4747</v>
    <v>Lage vloer streek</v>
    <v>Gelede bus</v>
    <v>Bus</v>
  </rv>
  <rv s="0">
    <v>0</v>
    <v>4748</v>
    <v>1</v>
    <v>Generic</v>
    <v>211</v>
    <v>3</v>
    <v>1</v>
    <v>38106</v>
    <v>45175</v>
    <v>Antwerpen</v>
    <v>1</v>
    <v>N</v>
    <v>J</v>
    <v>J</v>
    <v>J</v>
    <v>J</v>
    <v>19</v>
    <v>Tjalkstraat</v>
    <v>111</v>
    <v>Onderhoud Tjalkstraat</v>
    <v>142</v>
    <v>4748</v>
    <v>4748</v>
    <v>Lage vloer streek</v>
    <v>Gelede bus</v>
    <v>Bus</v>
  </rv>
  <rv s="0">
    <v>0</v>
    <v>4749</v>
    <v>1</v>
    <v>Generic</v>
    <v>211</v>
    <v>3</v>
    <v>1</v>
    <v>38106</v>
    <v>45175</v>
    <v>Antwerpen</v>
    <v>1</v>
    <v>N</v>
    <v>J</v>
    <v>J</v>
    <v>J</v>
    <v>J</v>
    <v>19</v>
    <v>Tjalkstraat</v>
    <v>111</v>
    <v>Onderhoud Tjalkstraat</v>
    <v>142</v>
    <v>4749</v>
    <v>4749</v>
    <v>Lage vloer streek</v>
    <v>Gelede bus</v>
    <v>Bus</v>
  </rv>
  <rv s="0">
    <v>0</v>
    <v>4750</v>
    <v>1</v>
    <v>Generic</v>
    <v>211</v>
    <v>3</v>
    <v>1</v>
    <v>38106</v>
    <v>45175</v>
    <v>Antwerpen</v>
    <v>1</v>
    <v>N</v>
    <v>J</v>
    <v>J</v>
    <v>J</v>
    <v>J</v>
    <v>19</v>
    <v>Tjalkstraat</v>
    <v>111</v>
    <v>Onderhoud Tjalkstraat</v>
    <v>142</v>
    <v>4750</v>
    <v>4750</v>
    <v>Lage vloer streek</v>
    <v>Gelede bus</v>
    <v>Bus</v>
  </rv>
  <rv s="0">
    <v>0</v>
    <v>4752</v>
    <v>1</v>
    <v>Generic</v>
    <v>211</v>
    <v>3</v>
    <v>1</v>
    <v>38111</v>
    <v>45175</v>
    <v>Antwerpen</v>
    <v>1</v>
    <v>N</v>
    <v>J</v>
    <v>J</v>
    <v>J</v>
    <v>J</v>
    <v>19</v>
    <v>Broechem</v>
    <v>129</v>
    <v>Onderhoud Tjalkstraat</v>
    <v>142</v>
    <v>4752</v>
    <v>4752</v>
    <v>Lage vloer streek</v>
    <v>Gelede bus</v>
    <v>Bus</v>
  </rv>
  <rv s="0">
    <v>0</v>
    <v>4755</v>
    <v>1</v>
    <v>Generic</v>
    <v>211</v>
    <v>3</v>
    <v>1</v>
    <v>38112</v>
    <v>45175</v>
    <v>Antwerpen</v>
    <v>1</v>
    <v>N</v>
    <v>J</v>
    <v>J</v>
    <v>J</v>
    <v>J</v>
    <v>19</v>
    <v>Broechem</v>
    <v>129</v>
    <v>Onderhoud Tjalkstraat</v>
    <v>142</v>
    <v>4755</v>
    <v>4755</v>
    <v>Lage vloer streek</v>
    <v>Gelede bus</v>
    <v>Bus</v>
  </rv>
  <rv s="0">
    <v>0</v>
    <v>4756</v>
    <v>1</v>
    <v>Generic</v>
    <v>211</v>
    <v>3</v>
    <v>1</v>
    <v>38113</v>
    <v>45175</v>
    <v>Antwerpen</v>
    <v>1</v>
    <v>N</v>
    <v>J</v>
    <v>J</v>
    <v>J</v>
    <v>J</v>
    <v>19</v>
    <v>Broechem</v>
    <v>129</v>
    <v>Onderhoud Tjalkstraat</v>
    <v>142</v>
    <v>4756</v>
    <v>4756</v>
    <v>Lage vloer streek</v>
    <v>Gelede bus</v>
    <v>Bus</v>
  </rv>
  <rv s="0">
    <v>0</v>
    <v>4758</v>
    <v>1</v>
    <v>Generic</v>
    <v>211</v>
    <v>3</v>
    <v>1</v>
    <v>38112</v>
    <v>45175</v>
    <v>Antwerpen</v>
    <v>1</v>
    <v>N</v>
    <v>J</v>
    <v>J</v>
    <v>J</v>
    <v>J</v>
    <v>19</v>
    <v>Broechem</v>
    <v>129</v>
    <v>Onderhoud Tjalkstraat</v>
    <v>142</v>
    <v>4758</v>
    <v>4758</v>
    <v>Lage vloer streek</v>
    <v>Gelede bus</v>
    <v>Bus</v>
  </rv>
  <rv s="0">
    <v>0</v>
    <v>4760</v>
    <v>1</v>
    <v>Generic</v>
    <v>211</v>
    <v>3</v>
    <v>1</v>
    <v>38112</v>
    <v>45175</v>
    <v>West-Vlaanderen</v>
    <v>5</v>
    <v>N</v>
    <v>J</v>
    <v>J</v>
    <v>J</v>
    <v>J</v>
    <v>19</v>
    <v>Oostende Slijkensestwg</v>
    <v>118</v>
    <v>Onderhoud Oostende - bus</v>
    <v>141</v>
    <v>4760</v>
    <v>4760</v>
    <v>Lage vloer streek</v>
    <v>Gelede bus</v>
    <v>Bus</v>
  </rv>
  <rv s="0">
    <v>0</v>
    <v>4763</v>
    <v>1</v>
    <v>Generic</v>
    <v>211</v>
    <v>3</v>
    <v>1</v>
    <v>38118</v>
    <v>45175</v>
    <v>Antwerpen</v>
    <v>1</v>
    <v>N</v>
    <v>J</v>
    <v>J</v>
    <v>J</v>
    <v>J</v>
    <v>19</v>
    <v>Hoogstraten</v>
    <v>123</v>
    <v>Onderhoud Turnhout</v>
    <v>143</v>
    <v>4763</v>
    <v>4763</v>
    <v>Lage vloer streek</v>
    <v>Gelede bus</v>
    <v>Bus</v>
  </rv>
  <rv s="0">
    <v>0</v>
    <v>4765</v>
    <v>1</v>
    <v>Generic</v>
    <v>211</v>
    <v>3</v>
    <v>2</v>
    <v>38124</v>
    <v>45175</v>
    <v>Centrale Diensten</v>
    <v>9</v>
    <v>N</v>
    <v>J</v>
    <v>J</v>
    <v>J</v>
    <v>J</v>
    <v>19</v>
    <v>Onbekend</v>
    <v>#</v>
    <v>Onbekend</v>
    <v>#</v>
    <v>4765</v>
    <v>4765</v>
    <v>Lage vloer streek</v>
    <v>Gelede bus</v>
    <v>Bus</v>
  </rv>
  <rv s="0">
    <v>0</v>
    <v>4767</v>
    <v>1</v>
    <v>Generic</v>
    <v>211</v>
    <v>3</v>
    <v>1</v>
    <v>38132</v>
    <v>45175</v>
    <v>Antwerpen</v>
    <v>1</v>
    <v>N</v>
    <v>J</v>
    <v>J</v>
    <v>J</v>
    <v>J</v>
    <v>19</v>
    <v>Hoogstraten</v>
    <v>123</v>
    <v>Onderhoud Turnhout</v>
    <v>143</v>
    <v>4767</v>
    <v>4767</v>
    <v>Lage vloer streek</v>
    <v>Gelede bus</v>
    <v>Bus</v>
  </rv>
  <rv s="0">
    <v>0</v>
    <v>4768</v>
    <v>1</v>
    <v>Generic</v>
    <v>211</v>
    <v>3</v>
    <v>2</v>
    <v>38135</v>
    <v>45175</v>
    <v>Centrale Diensten</v>
    <v>9</v>
    <v>N</v>
    <v>J</v>
    <v>J</v>
    <v>J</v>
    <v>J</v>
    <v>19</v>
    <v>Onbekend</v>
    <v>#</v>
    <v>Onbekend</v>
    <v>#</v>
    <v>4768</v>
    <v>4768</v>
    <v>Lage vloer streek</v>
    <v>Gelede bus</v>
    <v>Bus</v>
  </rv>
  <rv s="0">
    <v>0</v>
    <v>4769</v>
    <v>1</v>
    <v>Generic</v>
    <v>211</v>
    <v>3</v>
    <v>1</v>
    <v>38135</v>
    <v>45175</v>
    <v>West-Vlaanderen</v>
    <v>5</v>
    <v>N</v>
    <v>J</v>
    <v>J</v>
    <v>J</v>
    <v>J</v>
    <v>19</v>
    <v>Oostende Slijkensestwg</v>
    <v>118</v>
    <v>Onderhoud Oostende - bus</v>
    <v>141</v>
    <v>4769</v>
    <v>4769</v>
    <v>Lage vloer streek</v>
    <v>Gelede bus</v>
    <v>Bus</v>
  </rv>
  <rv s="0">
    <v>0</v>
    <v>4770</v>
    <v>1</v>
    <v>Generic</v>
    <v>211</v>
    <v>3</v>
    <v>1</v>
    <v>38139</v>
    <v>45175</v>
    <v>West-Vlaanderen</v>
    <v>5</v>
    <v>N</v>
    <v>J</v>
    <v>J</v>
    <v>J</v>
    <v>J</v>
    <v>19</v>
    <v>Oostende Slijkensestwg</v>
    <v>118</v>
    <v>Onderhoud Oostende - bus</v>
    <v>141</v>
    <v>4770</v>
    <v>4770</v>
    <v>Lage vloer streek</v>
    <v>Gelede bus</v>
    <v>Bus</v>
  </rv>
  <rv s="0">
    <v>0</v>
    <v>4771</v>
    <v>1</v>
    <v>Generic</v>
    <v>211</v>
    <v>3</v>
    <v>1</v>
    <v>38135</v>
    <v>45175</v>
    <v>West-Vlaanderen</v>
    <v>5</v>
    <v>N</v>
    <v>J</v>
    <v>J</v>
    <v>J</v>
    <v>J</v>
    <v>19</v>
    <v>Oostende Slijkensestwg</v>
    <v>118</v>
    <v>Onderhoud Oostende - bus</v>
    <v>141</v>
    <v>4771</v>
    <v>4771</v>
    <v>Lage vloer streek</v>
    <v>Gelede bus</v>
    <v>Bus</v>
  </rv>
  <rv s="0">
    <v>0</v>
    <v>4772</v>
    <v>1</v>
    <v>Generic</v>
    <v>211</v>
    <v>3</v>
    <v>1</v>
    <v>38139</v>
    <v>45175</v>
    <v>West-Vlaanderen</v>
    <v>5</v>
    <v>N</v>
    <v>J</v>
    <v>J</v>
    <v>J</v>
    <v>J</v>
    <v>19</v>
    <v>Oostende Slijkensestwg</v>
    <v>118</v>
    <v>Onderhoud Oostende - bus</v>
    <v>141</v>
    <v>4772</v>
    <v>4772</v>
    <v>Lage vloer streek</v>
    <v>Gelede bus</v>
    <v>Bus</v>
  </rv>
  <rv s="0">
    <v>0</v>
    <v>4773</v>
    <v>1</v>
    <v>Generic</v>
    <v>211</v>
    <v>3</v>
    <v>1</v>
    <v>38133</v>
    <v>45175</v>
    <v>West-Vlaanderen</v>
    <v>5</v>
    <v>N</v>
    <v>J</v>
    <v>J</v>
    <v>J</v>
    <v>J</v>
    <v>19</v>
    <v>Oostende Slijkensestwg</v>
    <v>118</v>
    <v>Onderhoud Oostende - bus</v>
    <v>141</v>
    <v>4773</v>
    <v>4773</v>
    <v>Lage vloer streek</v>
    <v>Gelede bus</v>
    <v>Bus</v>
  </rv>
  <rv s="0">
    <v>0</v>
    <v>4774</v>
    <v>1</v>
    <v>Generic</v>
    <v>211</v>
    <v>3</v>
    <v>1</v>
    <v>38140</v>
    <v>45175</v>
    <v>West-Vlaanderen</v>
    <v>5</v>
    <v>N</v>
    <v>J</v>
    <v>J</v>
    <v>J</v>
    <v>J</v>
    <v>19</v>
    <v>Oostende Slijkensestwg</v>
    <v>118</v>
    <v>Onderhoud Oostende - bus</v>
    <v>141</v>
    <v>4774</v>
    <v>4774</v>
    <v>Lage vloer streek</v>
    <v>Gelede bus</v>
    <v>Bus</v>
  </rv>
  <rv s="0">
    <v>0</v>
    <v>4776</v>
    <v>1</v>
    <v>Generic</v>
    <v>211</v>
    <v>3</v>
    <v>1</v>
    <v>38140</v>
    <v>45175</v>
    <v>Antwerpen</v>
    <v>1</v>
    <v>N</v>
    <v>J</v>
    <v>J</v>
    <v>J</v>
    <v>J</v>
    <v>19</v>
    <v>Wuustwezel</v>
    <v>114</v>
    <v>Onderhoud Tjalkstraat</v>
    <v>142</v>
    <v>4776</v>
    <v>4776</v>
    <v>Lage vloer streek</v>
    <v>Gelede bus</v>
    <v>Bus</v>
  </rv>
  <rv s="0">
    <v>0</v>
    <v>4778</v>
    <v>1</v>
    <v>Generic</v>
    <v>211</v>
    <v>3</v>
    <v>1</v>
    <v>38141</v>
    <v>45175</v>
    <v>Antwerpen</v>
    <v>1</v>
    <v>N</v>
    <v>J</v>
    <v>J</v>
    <v>J</v>
    <v>J</v>
    <v>19</v>
    <v>Onbekend</v>
    <v>#</v>
    <v>Onbekend</v>
    <v>#</v>
    <v>4778</v>
    <v>4778</v>
    <v>Lage vloer streek</v>
    <v>Gelede bus</v>
    <v>Bus</v>
  </rv>
  <rv s="0">
    <v>0</v>
    <v>4784</v>
    <v>1</v>
    <v>Generic</v>
    <v>211</v>
    <v>3</v>
    <v>1</v>
    <v>38146</v>
    <v>45175</v>
    <v>Antwerpen</v>
    <v>1</v>
    <v>N</v>
    <v>J</v>
    <v>J</v>
    <v>J</v>
    <v>J</v>
    <v>19</v>
    <v>Zandvliet</v>
    <v>113</v>
    <v>Onderhoud Tjalkstraat</v>
    <v>142</v>
    <v>4784</v>
    <v>4784</v>
    <v>Lage vloer streek</v>
    <v>Gelede bus</v>
    <v>Bus</v>
  </rv>
  <rv s="0">
    <v>0</v>
    <v>4789</v>
    <v>1</v>
    <v>Generic</v>
    <v>211</v>
    <v>3</v>
    <v>1</v>
    <v>38148</v>
    <v>45175</v>
    <v>Antwerpen</v>
    <v>1</v>
    <v>N</v>
    <v>J</v>
    <v>J</v>
    <v>J</v>
    <v>J</v>
    <v>19</v>
    <v>Zandvliet</v>
    <v>113</v>
    <v>Onderhoud Tjalkstraat</v>
    <v>142</v>
    <v>4789</v>
    <v>4789</v>
    <v>Lage vloer streek</v>
    <v>Gelede bus</v>
    <v>Bus</v>
  </rv>
  <rv s="0">
    <v>0</v>
    <v>4792</v>
    <v>1</v>
    <v>Generic</v>
    <v>211</v>
    <v>3</v>
    <v>1</v>
    <v>38161</v>
    <v>45175</v>
    <v>Antwerpen</v>
    <v>1</v>
    <v>N</v>
    <v>J</v>
    <v>J</v>
    <v>J</v>
    <v>J</v>
    <v>19</v>
    <v>Zandvliet</v>
    <v>113</v>
    <v>Onderhoud Tjalkstraat</v>
    <v>142</v>
    <v>4792</v>
    <v>4792</v>
    <v>Lage vloer streek</v>
    <v>Gelede bus</v>
    <v>Bus</v>
  </rv>
  <rv s="0">
    <v>0</v>
    <v>4793</v>
    <v>1</v>
    <v>Generic</v>
    <v>211</v>
    <v>3</v>
    <v>1</v>
    <v>38148</v>
    <v>45175</v>
    <v>Antwerpen</v>
    <v>1</v>
    <v>N</v>
    <v>J</v>
    <v>J</v>
    <v>J</v>
    <v>J</v>
    <v>19</v>
    <v>Broechem</v>
    <v>129</v>
    <v>Onderhoud Tjalkstraat</v>
    <v>142</v>
    <v>4793</v>
    <v>4793</v>
    <v>Lage vloer streek</v>
    <v>Gelede bus</v>
    <v>Bus</v>
  </rv>
  <rv s="0">
    <v>0</v>
    <v>4795</v>
    <v>1</v>
    <v>Generic</v>
    <v>211</v>
    <v>3</v>
    <v>1</v>
    <v>38152</v>
    <v>45175</v>
    <v>Antwerpen</v>
    <v>1</v>
    <v>N</v>
    <v>J</v>
    <v>J</v>
    <v>J</v>
    <v>J</v>
    <v>19</v>
    <v>Broechem</v>
    <v>129</v>
    <v>Onderhoud Tjalkstraat</v>
    <v>142</v>
    <v>4795</v>
    <v>4795</v>
    <v>Lage vloer streek</v>
    <v>Gelede bus</v>
    <v>Bus</v>
  </rv>
  <rv s="0">
    <v>0</v>
    <v>4796</v>
    <v>1</v>
    <v>Generic</v>
    <v>211</v>
    <v>3</v>
    <v>1</v>
    <v>38154</v>
    <v>45175</v>
    <v>Antwerpen</v>
    <v>1</v>
    <v>N</v>
    <v>J</v>
    <v>J</v>
    <v>J</v>
    <v>J</v>
    <v>19</v>
    <v>Turnhout</v>
    <v>122</v>
    <v>Onderhoud Turnhout</v>
    <v>143</v>
    <v>4796</v>
    <v>4796</v>
    <v>Lage vloer streek</v>
    <v>Gelede bus</v>
    <v>Bus</v>
  </rv>
  <rv s="0">
    <v>0</v>
    <v>4797</v>
    <v>1</v>
    <v>Generic</v>
    <v>211</v>
    <v>3</v>
    <v>1</v>
    <v>38154</v>
    <v>45175</v>
    <v>Antwerpen</v>
    <v>1</v>
    <v>N</v>
    <v>J</v>
    <v>J</v>
    <v>J</v>
    <v>J</v>
    <v>19</v>
    <v>Turnhout</v>
    <v>122</v>
    <v>Onderhoud Turnhout</v>
    <v>143</v>
    <v>4797</v>
    <v>4797</v>
    <v>Lage vloer streek</v>
    <v>Gelede bus</v>
    <v>Bus</v>
  </rv>
  <rv s="0">
    <v>0</v>
    <v>4798</v>
    <v>1</v>
    <v>Generic</v>
    <v>211</v>
    <v>3</v>
    <v>1</v>
    <v>38154</v>
    <v>45175</v>
    <v>Antwerpen</v>
    <v>1</v>
    <v>N</v>
    <v>J</v>
    <v>J</v>
    <v>J</v>
    <v>J</v>
    <v>19</v>
    <v>Turnhout</v>
    <v>122</v>
    <v>Onderhoud Turnhout</v>
    <v>143</v>
    <v>4798</v>
    <v>4798</v>
    <v>Lage vloer streek</v>
    <v>Gelede bus</v>
    <v>Bus</v>
  </rv>
  <rv s="0">
    <v>0</v>
    <v>4800</v>
    <v>1</v>
    <v>Generic</v>
    <v>211</v>
    <v>3</v>
    <v>1</v>
    <v>38155</v>
    <v>45175</v>
    <v>Antwerpen</v>
    <v>1</v>
    <v>N</v>
    <v>J</v>
    <v>J</v>
    <v>J</v>
    <v>J</v>
    <v>19</v>
    <v>Turnhout</v>
    <v>122</v>
    <v>Onderhoud Turnhout</v>
    <v>143</v>
    <v>4800</v>
    <v>4800</v>
    <v>Lage vloer streek</v>
    <v>Gelede bus</v>
    <v>Bus</v>
  </rv>
  <rv s="0">
    <v>0</v>
    <v>4803</v>
    <v>1</v>
    <v>Generic</v>
    <v>211</v>
    <v>3</v>
    <v>2</v>
    <v>38156</v>
    <v>45175</v>
    <v>Centrale Diensten</v>
    <v>9</v>
    <v>N</v>
    <v>J</v>
    <v>J</v>
    <v>J</v>
    <v>J</v>
    <v>19</v>
    <v>Destelbergen</v>
    <v>111</v>
    <v>Werkhuis Destelbergen</v>
    <v>142</v>
    <v>4803</v>
    <v>4803</v>
    <v>Lage vloer streek</v>
    <v>Gelede bus</v>
    <v>Bus</v>
  </rv>
  <rv s="0">
    <v>0</v>
    <v>4804</v>
    <v>1</v>
    <v>Generic</v>
    <v>211</v>
    <v>3</v>
    <v>1</v>
    <v>38159</v>
    <v>45175</v>
    <v>Antwerpen</v>
    <v>1</v>
    <v>N</v>
    <v>J</v>
    <v>J</v>
    <v>J</v>
    <v>J</v>
    <v>19</v>
    <v>Oostmalle</v>
    <v>125</v>
    <v>Onderhoud Turnhout</v>
    <v>143</v>
    <v>4804</v>
    <v>4804</v>
    <v>Lage vloer streek</v>
    <v>Gelede bus</v>
    <v>Bus</v>
  </rv>
  <rv s="0">
    <v>0</v>
    <v>4805</v>
    <v>1</v>
    <v>Generic</v>
    <v>211</v>
    <v>3</v>
    <v>1</v>
    <v>38159</v>
    <v>45175</v>
    <v>Antwerpen</v>
    <v>1</v>
    <v>N</v>
    <v>J</v>
    <v>J</v>
    <v>J</v>
    <v>J</v>
    <v>19</v>
    <v>Oostmalle</v>
    <v>125</v>
    <v>Onderhoud Turnhout</v>
    <v>143</v>
    <v>4805</v>
    <v>4805</v>
    <v>Lage vloer streek</v>
    <v>Gelede bus</v>
    <v>Bus</v>
  </rv>
  <rv s="0">
    <v>0</v>
    <v>4808</v>
    <v>1</v>
    <v>Generic</v>
    <v>211</v>
    <v>3</v>
    <v>1</v>
    <v>38161</v>
    <v>45175</v>
    <v>Antwerpen</v>
    <v>1</v>
    <v>N</v>
    <v>J</v>
    <v>J</v>
    <v>J</v>
    <v>J</v>
    <v>19</v>
    <v>Oostmalle</v>
    <v>125</v>
    <v>Onderhoud Turnhout</v>
    <v>143</v>
    <v>4808</v>
    <v>4808</v>
    <v>Lage vloer streek</v>
    <v>Gelede bus</v>
    <v>Bus</v>
  </rv>
  <rv s="0">
    <v>0</v>
    <v>4809</v>
    <v>1</v>
    <v>Generic</v>
    <v>211</v>
    <v>3</v>
    <v>1</v>
    <v>38163</v>
    <v>45175</v>
    <v>Antwerpen</v>
    <v>1</v>
    <v>N</v>
    <v>J</v>
    <v>J</v>
    <v>J</v>
    <v>J</v>
    <v>19</v>
    <v>Oostmalle</v>
    <v>125</v>
    <v>Onderhoud Turnhout</v>
    <v>143</v>
    <v>4809</v>
    <v>4809</v>
    <v>Lage vloer streek</v>
    <v>Gelede bus</v>
    <v>Bus</v>
  </rv>
  <rv s="0">
    <v>0</v>
    <v>4812</v>
    <v>1</v>
    <v>Generic</v>
    <v>211</v>
    <v>3</v>
    <v>1</v>
    <v>38166</v>
    <v>45175</v>
    <v>Antwerpen</v>
    <v>1</v>
    <v>N</v>
    <v>J</v>
    <v>J</v>
    <v>J</v>
    <v>J</v>
    <v>19</v>
    <v>Mechelen Racing</v>
    <v>115</v>
    <v>Onderhoud Mechelen</v>
    <v>144</v>
    <v>4812</v>
    <v>4812</v>
    <v>Lage vloer streek</v>
    <v>Gelede bus</v>
    <v>Bus</v>
  </rv>
  <rv s="0">
    <v>0</v>
    <v>4813</v>
    <v>1</v>
    <v>Generic</v>
    <v>211</v>
    <v>3</v>
    <v>1</v>
    <v>38166</v>
    <v>45175</v>
    <v>Antwerpen</v>
    <v>1</v>
    <v>N</v>
    <v>J</v>
    <v>J</v>
    <v>J</v>
    <v>J</v>
    <v>19</v>
    <v>Mechelen Racing</v>
    <v>115</v>
    <v>Onderhoud Mechelen</v>
    <v>144</v>
    <v>4813</v>
    <v>4813</v>
    <v>Lage vloer streek</v>
    <v>Gelede bus</v>
    <v>Bus</v>
  </rv>
  <rv s="0">
    <v>0</v>
    <v>4814</v>
    <v>1</v>
    <v>Generic</v>
    <v>211</v>
    <v>3</v>
    <v>1</v>
    <v>38167</v>
    <v>45175</v>
    <v>Antwerpen</v>
    <v>1</v>
    <v>N</v>
    <v>J</v>
    <v>J</v>
    <v>J</v>
    <v>J</v>
    <v>19</v>
    <v>Mechelen Racing</v>
    <v>115</v>
    <v>Onderhoud Mechelen</v>
    <v>144</v>
    <v>4814</v>
    <v>4814</v>
    <v>Lage vloer streek</v>
    <v>Gelede bus</v>
    <v>Bus</v>
  </rv>
  <rv s="0">
    <v>0</v>
    <v>4815</v>
    <v>1</v>
    <v>Generic</v>
    <v>211</v>
    <v>3</v>
    <v>2</v>
    <v>38167</v>
    <v>45175</v>
    <v>Antwerpen</v>
    <v>1</v>
    <v>N</v>
    <v>J</v>
    <v>J</v>
    <v>J</v>
    <v>J</v>
    <v>19</v>
    <v>Mechelen Racing</v>
    <v>115</v>
    <v>Onderhoud Mechelen</v>
    <v>144</v>
    <v>4815</v>
    <v>4815</v>
    <v>Lage vloer streek</v>
    <v>Gelede bus</v>
    <v>Bus</v>
  </rv>
  <rv s="0">
    <v>0</v>
    <v>4816</v>
    <v>1</v>
    <v>Generic</v>
    <v>211</v>
    <v>3</v>
    <v>1</v>
    <v>38168</v>
    <v>45175</v>
    <v>Antwerpen</v>
    <v>1</v>
    <v>N</v>
    <v>J</v>
    <v>J</v>
    <v>J</v>
    <v>J</v>
    <v>19</v>
    <v>Mechelen Racing</v>
    <v>115</v>
    <v>Onderhoud Mechelen</v>
    <v>144</v>
    <v>4816</v>
    <v>4816</v>
    <v>Lage vloer streek</v>
    <v>Gelede bus</v>
    <v>Bus</v>
  </rv>
  <rv s="0">
    <v>0</v>
    <v>4817</v>
    <v>1</v>
    <v>Generic</v>
    <v>211</v>
    <v>3</v>
    <v>1</v>
    <v>38169</v>
    <v>45175</v>
    <v>Antwerpen</v>
    <v>1</v>
    <v>N</v>
    <v>J</v>
    <v>J</v>
    <v>J</v>
    <v>J</v>
    <v>19</v>
    <v>Mechelen Racing</v>
    <v>115</v>
    <v>Onderhoud Mechelen</v>
    <v>144</v>
    <v>4817</v>
    <v>4817</v>
    <v>Lage vloer streek</v>
    <v>Gelede bus</v>
    <v>Bus</v>
  </rv>
  <rv s="0">
    <v>0</v>
    <v>4818</v>
    <v>1</v>
    <v>Generic</v>
    <v>211</v>
    <v>3</v>
    <v>1</v>
    <v>38169</v>
    <v>45175</v>
    <v>Antwerpen</v>
    <v>1</v>
    <v>N</v>
    <v>J</v>
    <v>J</v>
    <v>J</v>
    <v>J</v>
    <v>19</v>
    <v>Mechelen Racing</v>
    <v>115</v>
    <v>Onderhoud Mechelen</v>
    <v>144</v>
    <v>4818</v>
    <v>4818</v>
    <v>Lage vloer streek</v>
    <v>Gelede bus</v>
    <v>Bus</v>
  </rv>
  <rv s="0">
    <v>0</v>
    <v>4819</v>
    <v>1</v>
    <v>Generic</v>
    <v>211</v>
    <v>3</v>
    <v>1</v>
    <v>38170</v>
    <v>45175</v>
    <v>Antwerpen</v>
    <v>1</v>
    <v>N</v>
    <v>J</v>
    <v>J</v>
    <v>J</v>
    <v>J</v>
    <v>19</v>
    <v>Mechelen Racing</v>
    <v>115</v>
    <v>Onderhoud Mechelen</v>
    <v>144</v>
    <v>4819</v>
    <v>4819</v>
    <v>Lage vloer streek</v>
    <v>Gelede bus</v>
    <v>Bus</v>
  </rv>
  <rv s="0">
    <v>0</v>
    <v>4820</v>
    <v>1</v>
    <v>Generic</v>
    <v>211</v>
    <v>3</v>
    <v>1</v>
    <v>38170</v>
    <v>45175</v>
    <v>Antwerpen</v>
    <v>1</v>
    <v>N</v>
    <v>J</v>
    <v>J</v>
    <v>J</v>
    <v>J</v>
    <v>19</v>
    <v>Mechelen Racing</v>
    <v>115</v>
    <v>Onderhoud Mechelen</v>
    <v>144</v>
    <v>4820</v>
    <v>4820</v>
    <v>Lage vloer streek</v>
    <v>Gelede bus</v>
    <v>Bus</v>
  </rv>
  <rv s="0">
    <v>0</v>
    <v>4821</v>
    <v>1</v>
    <v>Generic</v>
    <v>211</v>
    <v>3</v>
    <v>1</v>
    <v>38174</v>
    <v>45175</v>
    <v>Antwerpen</v>
    <v>1</v>
    <v>N</v>
    <v>J</v>
    <v>J</v>
    <v>J</v>
    <v>J</v>
    <v>19</v>
    <v>Mechelen Racing</v>
    <v>115</v>
    <v>Onderhoud Mechelen</v>
    <v>144</v>
    <v>4821</v>
    <v>4821</v>
    <v>Lage vloer streek</v>
    <v>Gelede bus</v>
    <v>Bus</v>
  </rv>
  <rv s="0">
    <v>0</v>
    <v>4822</v>
    <v>1</v>
    <v>Generic</v>
    <v>211</v>
    <v>3</v>
    <v>1</v>
    <v>38174</v>
    <v>45175</v>
    <v>Antwerpen</v>
    <v>1</v>
    <v>N</v>
    <v>J</v>
    <v>J</v>
    <v>J</v>
    <v>J</v>
    <v>19</v>
    <v>Mechelen Racing</v>
    <v>115</v>
    <v>Onderhoud Mechelen</v>
    <v>144</v>
    <v>4822</v>
    <v>4822</v>
    <v>Lage vloer streek</v>
    <v>Gelede bus</v>
    <v>Bus</v>
  </rv>
  <rv s="0">
    <v>0</v>
    <v>4823</v>
    <v>1</v>
    <v>Generic</v>
    <v>211</v>
    <v>3</v>
    <v>2</v>
    <v>38174</v>
    <v>45175</v>
    <v>Antwerpen</v>
    <v>1</v>
    <v>N</v>
    <v>J</v>
    <v>J</v>
    <v>J</v>
    <v>J</v>
    <v>19</v>
    <v>Mechelen Racing</v>
    <v>115</v>
    <v>Onderhoud Mechelen</v>
    <v>144</v>
    <v>4823</v>
    <v>4823</v>
    <v>Lage vloer streek</v>
    <v>Gelede bus</v>
    <v>Bus</v>
  </rv>
  <rv s="0">
    <v>0</v>
    <v>4824</v>
    <v>1</v>
    <v>Generic</v>
    <v>211</v>
    <v>3</v>
    <v>1</v>
    <v>38174</v>
    <v>45175</v>
    <v>Antwerpen</v>
    <v>1</v>
    <v>N</v>
    <v>J</v>
    <v>J</v>
    <v>J</v>
    <v>J</v>
    <v>19</v>
    <v>Mechelen Racing</v>
    <v>115</v>
    <v>Onderhoud Mechelen</v>
    <v>144</v>
    <v>4824</v>
    <v>4824</v>
    <v>Lage vloer streek</v>
    <v>Gelede bus</v>
    <v>Bus</v>
  </rv>
  <rv s="0">
    <v>0</v>
    <v>4825</v>
    <v>1</v>
    <v>Generic</v>
    <v>211</v>
    <v>3</v>
    <v>1</v>
    <v>38174</v>
    <v>45175</v>
    <v>Antwerpen</v>
    <v>1</v>
    <v>N</v>
    <v>J</v>
    <v>J</v>
    <v>J</v>
    <v>J</v>
    <v>19</v>
    <v>Mechelen Racing</v>
    <v>115</v>
    <v>Onderhoud Mechelen</v>
    <v>144</v>
    <v>4825</v>
    <v>4825</v>
    <v>Lage vloer streek</v>
    <v>Gelede bus</v>
    <v>Bus</v>
  </rv>
  <rv s="0">
    <v>0</v>
    <v>4826</v>
    <v>1</v>
    <v>Generic</v>
    <v>211</v>
    <v>3</v>
    <v>1</v>
    <v>38175</v>
    <v>45175</v>
    <v>Antwerpen</v>
    <v>1</v>
    <v>N</v>
    <v>J</v>
    <v>J</v>
    <v>J</v>
    <v>J</v>
    <v>19</v>
    <v>Mechelen Racing</v>
    <v>115</v>
    <v>Onderhoud Mechelen</v>
    <v>144</v>
    <v>4826</v>
    <v>4826</v>
    <v>Lage vloer streek</v>
    <v>Gelede bus</v>
    <v>Bus</v>
  </rv>
  <rv s="0">
    <v>0</v>
    <v>4827</v>
    <v>1</v>
    <v>Generic</v>
    <v>211</v>
    <v>3</v>
    <v>1</v>
    <v>38175</v>
    <v>45175</v>
    <v>Antwerpen</v>
    <v>1</v>
    <v>N</v>
    <v>J</v>
    <v>J</v>
    <v>J</v>
    <v>J</v>
    <v>19</v>
    <v>Mechelen Racing</v>
    <v>115</v>
    <v>Onderhoud Mechelen</v>
    <v>144</v>
    <v>4827</v>
    <v>4827</v>
    <v>Lage vloer streek</v>
    <v>Gelede bus</v>
    <v>Bus</v>
  </rv>
  <rv s="0">
    <v>0</v>
    <v>4828</v>
    <v>1</v>
    <v>Generic</v>
    <v>211</v>
    <v>3</v>
    <v>1</v>
    <v>38176</v>
    <v>45175</v>
    <v>Antwerpen</v>
    <v>1</v>
    <v>N</v>
    <v>J</v>
    <v>J</v>
    <v>J</v>
    <v>J</v>
    <v>19</v>
    <v>Mechelen Racing</v>
    <v>115</v>
    <v>Onderhoud Mechelen</v>
    <v>144</v>
    <v>4828</v>
    <v>4828</v>
    <v>Lage vloer streek</v>
    <v>Gelede bus</v>
    <v>Bus</v>
  </rv>
  <rv s="0">
    <v>0</v>
    <v>4829</v>
    <v>1</v>
    <v>Generic</v>
    <v>211</v>
    <v>3</v>
    <v>2</v>
    <v>38181</v>
    <v>45175</v>
    <v>Centrale Diensten</v>
    <v>9</v>
    <v>N</v>
    <v>J</v>
    <v>J</v>
    <v>J</v>
    <v>J</v>
    <v>19</v>
    <v>Onbekend</v>
    <v>#</v>
    <v>Onbekend</v>
    <v>#</v>
    <v>4829</v>
    <v>4829</v>
    <v>Lage vloer streek</v>
    <v>Gelede bus</v>
    <v>Bus</v>
  </rv>
  <rv s="0">
    <v>0</v>
    <v>4830</v>
    <v>1</v>
    <v>Generic</v>
    <v>211</v>
    <v>3</v>
    <v>1</v>
    <v>38176</v>
    <v>45175</v>
    <v>Antwerpen</v>
    <v>1</v>
    <v>N</v>
    <v>J</v>
    <v>J</v>
    <v>J</v>
    <v>J</v>
    <v>19</v>
    <v>Mechelen Racing</v>
    <v>115</v>
    <v>Onderhoud Mechelen</v>
    <v>144</v>
    <v>4830</v>
    <v>4830</v>
    <v>Lage vloer streek</v>
    <v>Gelede bus</v>
    <v>Bus</v>
  </rv>
  <rv s="0">
    <v>0</v>
    <v>4831</v>
    <v>1</v>
    <v>Generic</v>
    <v>211</v>
    <v>3</v>
    <v>1</v>
    <v>38181</v>
    <v>45175</v>
    <v>Antwerpen</v>
    <v>1</v>
    <v>N</v>
    <v>J</v>
    <v>J</v>
    <v>J</v>
    <v>J</v>
    <v>19</v>
    <v>Mechelen Racing</v>
    <v>115</v>
    <v>Onderhoud Mechelen</v>
    <v>144</v>
    <v>4831</v>
    <v>4831</v>
    <v>Lage vloer streek</v>
    <v>Gelede bus</v>
    <v>Bus</v>
  </rv>
  <rv s="0">
    <v>0</v>
    <v>4832</v>
    <v>1</v>
    <v>Generic</v>
    <v>211</v>
    <v>3</v>
    <v>1</v>
    <v>38181</v>
    <v>45175</v>
    <v>Antwerpen</v>
    <v>1</v>
    <v>N</v>
    <v>J</v>
    <v>J</v>
    <v>J</v>
    <v>J</v>
    <v>19</v>
    <v>Mechelen Racing</v>
    <v>115</v>
    <v>Onderhoud Mechelen</v>
    <v>144</v>
    <v>4832</v>
    <v>4832</v>
    <v>Lage vloer streek</v>
    <v>Gelede bus</v>
    <v>Bus</v>
  </rv>
  <rv s="0">
    <v>0</v>
    <v>4833</v>
    <v>1</v>
    <v>Generic</v>
    <v>211</v>
    <v>3</v>
    <v>2</v>
    <v>38181</v>
    <v>45175</v>
    <v>Centrale Diensten</v>
    <v>9</v>
    <v>N</v>
    <v>J</v>
    <v>J</v>
    <v>J</v>
    <v>J</v>
    <v>19</v>
    <v>Onbekend</v>
    <v>#</v>
    <v>Onbekend</v>
    <v>#</v>
    <v>4833</v>
    <v>4833</v>
    <v>Lage vloer streek</v>
    <v>Gelede bus</v>
    <v>Bus</v>
  </rv>
  <rv s="0">
    <v>0</v>
    <v>4834</v>
    <v>1</v>
    <v>Generic</v>
    <v>211</v>
    <v>3</v>
    <v>1</v>
    <v>38182</v>
    <v>45175</v>
    <v>Antwerpen</v>
    <v>1</v>
    <v>N</v>
    <v>J</v>
    <v>J</v>
    <v>J</v>
    <v>J</v>
    <v>19</v>
    <v>Mechelen Racing</v>
    <v>115</v>
    <v>Onderhoud Mechelen</v>
    <v>144</v>
    <v>4834</v>
    <v>4834</v>
    <v>Lage vloer streek</v>
    <v>Gelede bus</v>
    <v>Bus</v>
  </rv>
  <rv s="0">
    <v>0</v>
    <v>4835</v>
    <v>1</v>
    <v>Generic</v>
    <v>211</v>
    <v>3</v>
    <v>1</v>
    <v>38181</v>
    <v>45175</v>
    <v>Antwerpen</v>
    <v>1</v>
    <v>N</v>
    <v>J</v>
    <v>J</v>
    <v>J</v>
    <v>J</v>
    <v>19</v>
    <v>Mechelen Racing</v>
    <v>115</v>
    <v>Onderhoud Mechelen</v>
    <v>144</v>
    <v>4835</v>
    <v>4835</v>
    <v>Lage vloer streek</v>
    <v>Gelede bus</v>
    <v>Bus</v>
  </rv>
  <rv s="0">
    <v>0</v>
    <v>4836</v>
    <v>1</v>
    <v>Generic</v>
    <v>211</v>
    <v>3</v>
    <v>1</v>
    <v>38182</v>
    <v>45175</v>
    <v>Antwerpen</v>
    <v>1</v>
    <v>N</v>
    <v>J</v>
    <v>J</v>
    <v>J</v>
    <v>J</v>
    <v>19</v>
    <v>Mechelen Racing</v>
    <v>115</v>
    <v>Onderhoud Mechelen</v>
    <v>144</v>
    <v>4836</v>
    <v>4836</v>
    <v>Lage vloer streek</v>
    <v>Gelede bus</v>
    <v>Bus</v>
  </rv>
  <rv s="0">
    <v>0</v>
    <v>4837</v>
    <v>1</v>
    <v>Generic</v>
    <v>211</v>
    <v>3</v>
    <v>1</v>
    <v>38183</v>
    <v>45175</v>
    <v>Antwerpen</v>
    <v>1</v>
    <v>N</v>
    <v>J</v>
    <v>J</v>
    <v>J</v>
    <v>J</v>
    <v>19</v>
    <v>Mechelen Racing</v>
    <v>115</v>
    <v>Onderhoud Mechelen</v>
    <v>144</v>
    <v>4837</v>
    <v>4837</v>
    <v>Lage vloer streek</v>
    <v>Gelede bus</v>
    <v>Bus</v>
  </rv>
  <rv s="0">
    <v>0</v>
    <v>4838</v>
    <v>1</v>
    <v>Generic</v>
    <v>212A</v>
    <v>4</v>
    <v>1</v>
    <v>39170</v>
    <v>45175</v>
    <v>West-Vlaanderen</v>
    <v>5</v>
    <v>N</v>
    <v>J</v>
    <v>J</v>
    <v>N</v>
    <v>J</v>
    <v>16</v>
    <v>Brugge</v>
    <v>125</v>
    <v>Onderhoud Brugge</v>
    <v>142</v>
    <v>4838</v>
    <v>4838</v>
    <v>Lage vloer streek</v>
    <v>12-m bus</v>
    <v>Bus</v>
  </rv>
  <rv s="0">
    <v>0</v>
    <v>4839</v>
    <v>1</v>
    <v>Generic</v>
    <v>212A</v>
    <v>4</v>
    <v>1</v>
    <v>38996</v>
    <v>45175</v>
    <v>West-Vlaanderen</v>
    <v>5</v>
    <v>N</v>
    <v>J</v>
    <v>J</v>
    <v>N</v>
    <v>J</v>
    <v>17</v>
    <v>Brugge</v>
    <v>125</v>
    <v>Onderhoud Brugge</v>
    <v>142</v>
    <v>4839</v>
    <v>4839</v>
    <v>Lage vloer streek</v>
    <v>12-m bus</v>
    <v>Bus</v>
  </rv>
  <rv s="0">
    <v>0</v>
    <v>4840</v>
    <v>1</v>
    <v>Generic</v>
    <v>212A</v>
    <v>4</v>
    <v>1</v>
    <v>39028</v>
    <v>45175</v>
    <v>West-Vlaanderen</v>
    <v>5</v>
    <v>N</v>
    <v>J</v>
    <v>J</v>
    <v>N</v>
    <v>J</v>
    <v>17</v>
    <v>Brugge</v>
    <v>125</v>
    <v>Onderhoud Brugge</v>
    <v>142</v>
    <v>4840</v>
    <v>4840</v>
    <v>Lage vloer streek</v>
    <v>12-m bus</v>
    <v>Bus</v>
  </rv>
  <rv s="0">
    <v>0</v>
    <v>4841</v>
    <v>1</v>
    <v>Generic</v>
    <v>212A</v>
    <v>4</v>
    <v>1</v>
    <v>38987</v>
    <v>45175</v>
    <v>West-Vlaanderen</v>
    <v>5</v>
    <v>N</v>
    <v>J</v>
    <v>J</v>
    <v>N</v>
    <v>J</v>
    <v>17</v>
    <v>Brugge</v>
    <v>125</v>
    <v>Onderhoud Brugge</v>
    <v>142</v>
    <v>4841</v>
    <v>4841</v>
    <v>Lage vloer streek</v>
    <v>12-m bus</v>
    <v>Bus</v>
  </rv>
  <rv s="0">
    <v>0</v>
    <v>4842</v>
    <v>1</v>
    <v>Generic</v>
    <v>212A</v>
    <v>4</v>
    <v>1</v>
    <v>38987</v>
    <v>45175</v>
    <v>West-Vlaanderen</v>
    <v>5</v>
    <v>N</v>
    <v>J</v>
    <v>J</v>
    <v>N</v>
    <v>J</v>
    <v>17</v>
    <v>Brugge</v>
    <v>125</v>
    <v>Onderhoud Brugge</v>
    <v>142</v>
    <v>4842</v>
    <v>4842</v>
    <v>Lage vloer streek</v>
    <v>12-m bus</v>
    <v>Bus</v>
  </rv>
  <rv s="0">
    <v>0</v>
    <v>4843</v>
    <v>1</v>
    <v>Generic</v>
    <v>212A</v>
    <v>4</v>
    <v>1</v>
    <v>38988</v>
    <v>45175</v>
    <v>West-Vlaanderen</v>
    <v>5</v>
    <v>N</v>
    <v>J</v>
    <v>J</v>
    <v>N</v>
    <v>J</v>
    <v>17</v>
    <v>Brugge</v>
    <v>125</v>
    <v>Onderhoud Brugge</v>
    <v>142</v>
    <v>4843</v>
    <v>4843</v>
    <v>Lage vloer streek</v>
    <v>12-m bus</v>
    <v>Bus</v>
  </rv>
  <rv s="0">
    <v>0</v>
    <v>4844</v>
    <v>1</v>
    <v>Generic</v>
    <v>212A</v>
    <v>4</v>
    <v>1</v>
    <v>38988</v>
    <v>45175</v>
    <v>West-Vlaanderen</v>
    <v>5</v>
    <v>N</v>
    <v>J</v>
    <v>J</v>
    <v>N</v>
    <v>J</v>
    <v>17</v>
    <v>Brugge</v>
    <v>125</v>
    <v>Onderhoud Brugge</v>
    <v>142</v>
    <v>4844</v>
    <v>4844</v>
    <v>Lage vloer streek</v>
    <v>12-m bus</v>
    <v>Bus</v>
  </rv>
  <rv s="0">
    <v>0</v>
    <v>4845</v>
    <v>1</v>
    <v>Generic</v>
    <v>212A</v>
    <v>4</v>
    <v>1</v>
    <v>39028</v>
    <v>45175</v>
    <v>West-Vlaanderen</v>
    <v>5</v>
    <v>N</v>
    <v>J</v>
    <v>J</v>
    <v>N</v>
    <v>J</v>
    <v>17</v>
    <v>Brugge</v>
    <v>125</v>
    <v>Onderhoud Brugge</v>
    <v>142</v>
    <v>4845</v>
    <v>4845</v>
    <v>Lage vloer streek</v>
    <v>12-m bus</v>
    <v>Bus</v>
  </rv>
  <rv s="0">
    <v>0</v>
    <v>4846</v>
    <v>1</v>
    <v>Generic</v>
    <v>212A</v>
    <v>4</v>
    <v>1</v>
    <v>39028</v>
    <v>45175</v>
    <v>West-Vlaanderen</v>
    <v>5</v>
    <v>N</v>
    <v>J</v>
    <v>J</v>
    <v>N</v>
    <v>J</v>
    <v>17</v>
    <v>Brugge</v>
    <v>125</v>
    <v>Onderhoud Brugge</v>
    <v>142</v>
    <v>4846</v>
    <v>4846</v>
    <v>Lage vloer streek</v>
    <v>12-m bus</v>
    <v>Bus</v>
  </rv>
  <rv s="0">
    <v>0</v>
    <v>4847</v>
    <v>1</v>
    <v>Generic</v>
    <v>212A</v>
    <v>4</v>
    <v>1</v>
    <v>39028</v>
    <v>45175</v>
    <v>West-Vlaanderen</v>
    <v>5</v>
    <v>N</v>
    <v>J</v>
    <v>J</v>
    <v>N</v>
    <v>J</v>
    <v>17</v>
    <v>Brugge</v>
    <v>125</v>
    <v>Onderhoud Brugge</v>
    <v>142</v>
    <v>4847</v>
    <v>4847</v>
    <v>Lage vloer streek</v>
    <v>12-m bus</v>
    <v>Bus</v>
  </rv>
  <rv s="0">
    <v>0</v>
    <v>4848</v>
    <v>1</v>
    <v>Generic</v>
    <v>212A</v>
    <v>4</v>
    <v>1</v>
    <v>39029</v>
    <v>45175</v>
    <v>West-Vlaanderen</v>
    <v>5</v>
    <v>N</v>
    <v>J</v>
    <v>J</v>
    <v>N</v>
    <v>J</v>
    <v>17</v>
    <v>Brugge</v>
    <v>125</v>
    <v>Onderhoud Brugge</v>
    <v>142</v>
    <v>4848</v>
    <v>4848</v>
    <v>Lage vloer streek</v>
    <v>12-m bus</v>
    <v>Bus</v>
  </rv>
  <rv s="0">
    <v>0</v>
    <v>4849</v>
    <v>1</v>
    <v>Generic</v>
    <v>212A</v>
    <v>4</v>
    <v>1</v>
    <v>39028</v>
    <v>45175</v>
    <v>West-Vlaanderen</v>
    <v>5</v>
    <v>N</v>
    <v>J</v>
    <v>J</v>
    <v>N</v>
    <v>J</v>
    <v>17</v>
    <v>Brugge</v>
    <v>125</v>
    <v>Onderhoud Brugge</v>
    <v>142</v>
    <v>4849</v>
    <v>4849</v>
    <v>Lage vloer streek</v>
    <v>12-m bus</v>
    <v>Bus</v>
  </rv>
  <rv s="0">
    <v>0</v>
    <v>4850</v>
    <v>1</v>
    <v>Generic</v>
    <v>212A</v>
    <v>4</v>
    <v>1</v>
    <v>39028</v>
    <v>45175</v>
    <v>Limburg</v>
    <v>4</v>
    <v>N</v>
    <v>J</v>
    <v>J</v>
    <v>N</v>
    <v>J</v>
    <v>17</v>
    <v>De Crutzen</v>
    <v>128</v>
    <v>Onderhoud De Crutzen</v>
    <v>155</v>
    <v>4850</v>
    <v>4850</v>
    <v>Lage vloer streek</v>
    <v>12-m bus</v>
    <v>Bus</v>
  </rv>
  <rv s="0">
    <v>0</v>
    <v>4851</v>
    <v>1</v>
    <v>Generic</v>
    <v>212A</v>
    <v>4</v>
    <v>1</v>
    <v>39029</v>
    <v>45175</v>
    <v>Limburg</v>
    <v>4</v>
    <v>N</v>
    <v>J</v>
    <v>J</v>
    <v>N</v>
    <v>J</v>
    <v>17</v>
    <v>Onbekend</v>
    <v>#</v>
    <v>Onbekend</v>
    <v>#</v>
    <v>4851</v>
    <v>4851</v>
    <v>Lage vloer streek</v>
    <v>12-m bus</v>
    <v>Bus</v>
  </rv>
  <rv s="0">
    <v>0</v>
    <v>4852</v>
    <v>1</v>
    <v>Generic</v>
    <v>212A</v>
    <v>4</v>
    <v>1</v>
    <v>39031</v>
    <v>45175</v>
    <v>Limburg</v>
    <v>4</v>
    <v>N</v>
    <v>J</v>
    <v>J</v>
    <v>N</v>
    <v>J</v>
    <v>17</v>
    <v>De Crutzen</v>
    <v>128</v>
    <v>Onderhoud De Crutzen</v>
    <v>155</v>
    <v>4852</v>
    <v>4852</v>
    <v>Lage vloer streek</v>
    <v>12-m bus</v>
    <v>Bus</v>
  </rv>
  <rv s="0">
    <v>0</v>
    <v>4853</v>
    <v>1</v>
    <v>Generic</v>
    <v>212A</v>
    <v>4</v>
    <v>1</v>
    <v>39031</v>
    <v>45175</v>
    <v>Limburg</v>
    <v>4</v>
    <v>N</v>
    <v>J</v>
    <v>J</v>
    <v>N</v>
    <v>J</v>
    <v>17</v>
    <v>Onbekend</v>
    <v>#</v>
    <v>Onbekend</v>
    <v>#</v>
    <v>4853</v>
    <v>4853</v>
    <v>Lage vloer streek</v>
    <v>12-m bus</v>
    <v>Bus</v>
  </rv>
  <rv s="0">
    <v>0</v>
    <v>4854</v>
    <v>1</v>
    <v>Generic</v>
    <v>212A</v>
    <v>4</v>
    <v>1</v>
    <v>39031</v>
    <v>45175</v>
    <v>Limburg</v>
    <v>4</v>
    <v>N</v>
    <v>J</v>
    <v>J</v>
    <v>N</v>
    <v>J</v>
    <v>17</v>
    <v>De Crutzen</v>
    <v>128</v>
    <v>Onderhoud De Crutzen</v>
    <v>155</v>
    <v>4854</v>
    <v>4854</v>
    <v>Lage vloer streek</v>
    <v>12-m bus</v>
    <v>Bus</v>
  </rv>
  <rv s="0">
    <v>0</v>
    <v>4855</v>
    <v>1</v>
    <v>Generic</v>
    <v>212A</v>
    <v>4</v>
    <v>1</v>
    <v>39031</v>
    <v>45175</v>
    <v>Limburg</v>
    <v>4</v>
    <v>N</v>
    <v>J</v>
    <v>J</v>
    <v>N</v>
    <v>J</v>
    <v>17</v>
    <v>De Crutzen</v>
    <v>128</v>
    <v>Onderhoud De Crutzen</v>
    <v>155</v>
    <v>4855</v>
    <v>4855</v>
    <v>Lage vloer streek</v>
    <v>12-m bus</v>
    <v>Bus</v>
  </rv>
  <rv s="0">
    <v>0</v>
    <v>4856</v>
    <v>1</v>
    <v>Generic</v>
    <v>212A</v>
    <v>4</v>
    <v>1</v>
    <v>39036</v>
    <v>45175</v>
    <v>West-Vlaanderen</v>
    <v>5</v>
    <v>N</v>
    <v>J</v>
    <v>J</v>
    <v>N</v>
    <v>J</v>
    <v>17</v>
    <v>Kortrijk</v>
    <v>130</v>
    <v>Onderhoud Kortrijk</v>
    <v>145</v>
    <v>4856</v>
    <v>4856</v>
    <v>Lage vloer streek</v>
    <v>12-m bus</v>
    <v>Bus</v>
  </rv>
  <rv s="0">
    <v>0</v>
    <v>4857</v>
    <v>1</v>
    <v>Generic</v>
    <v>212A</v>
    <v>4</v>
    <v>1</v>
    <v>39036</v>
    <v>45175</v>
    <v>West-Vlaanderen</v>
    <v>5</v>
    <v>N</v>
    <v>J</v>
    <v>J</v>
    <v>N</v>
    <v>J</v>
    <v>17</v>
    <v>Kortrijk</v>
    <v>130</v>
    <v>Onderhoud Kortrijk</v>
    <v>145</v>
    <v>4857</v>
    <v>4857</v>
    <v>Lage vloer streek</v>
    <v>12-m bus</v>
    <v>Bus</v>
  </rv>
  <rv s="0">
    <v>0</v>
    <v>4858</v>
    <v>1</v>
    <v>Generic</v>
    <v>212A</v>
    <v>4</v>
    <v>1</v>
    <v>39037</v>
    <v>45175</v>
    <v>Limburg</v>
    <v>4</v>
    <v>N</v>
    <v>J</v>
    <v>J</v>
    <v>N</v>
    <v>J</v>
    <v>17</v>
    <v>TONGEREN</v>
    <v>126</v>
    <v>ONDERHOUD TONGEREN - NIEUW</v>
    <v>154</v>
    <v>4858</v>
    <v>4858</v>
    <v>Lage vloer streek</v>
    <v>12-m bus</v>
    <v>Bus</v>
  </rv>
  <rv s="0">
    <v>0</v>
    <v>4859</v>
    <v>1</v>
    <v>Generic</v>
    <v>212A</v>
    <v>4</v>
    <v>1</v>
    <v>39037</v>
    <v>45175</v>
    <v>Limburg</v>
    <v>4</v>
    <v>N</v>
    <v>J</v>
    <v>J</v>
    <v>N</v>
    <v>J</v>
    <v>17</v>
    <v>De Crutzen</v>
    <v>128</v>
    <v>Onderhoud De Crutzen</v>
    <v>155</v>
    <v>4859</v>
    <v>4859</v>
    <v>Lage vloer streek</v>
    <v>12-m bus</v>
    <v>Bus</v>
  </rv>
  <rv s="0">
    <v>0</v>
    <v>4860</v>
    <v>1</v>
    <v>Generic</v>
    <v>212A</v>
    <v>4</v>
    <v>1</v>
    <v>39044</v>
    <v>45175</v>
    <v>West-Vlaanderen</v>
    <v>5</v>
    <v>N</v>
    <v>J</v>
    <v>J</v>
    <v>N</v>
    <v>J</v>
    <v>17</v>
    <v>Kortrijk</v>
    <v>130</v>
    <v>Onderhoud Kortrijk</v>
    <v>145</v>
    <v>4860</v>
    <v>4860</v>
    <v>Lage vloer streek</v>
    <v>12-m bus</v>
    <v>Bus</v>
  </rv>
  <rv s="0">
    <v>0</v>
    <v>4861</v>
    <v>1</v>
    <v>Generic</v>
    <v>212A</v>
    <v>4</v>
    <v>1</v>
    <v>39045</v>
    <v>45175</v>
    <v>Limburg</v>
    <v>4</v>
    <v>N</v>
    <v>J</v>
    <v>J</v>
    <v>N</v>
    <v>J</v>
    <v>17</v>
    <v>De Crutzen</v>
    <v>128</v>
    <v>Onderhoud De Crutzen</v>
    <v>155</v>
    <v>4861</v>
    <v>4861</v>
    <v>Lage vloer streek</v>
    <v>12-m bus</v>
    <v>Bus</v>
  </rv>
  <rv s="0">
    <v>0</v>
    <v>4862</v>
    <v>1</v>
    <v>Generic</v>
    <v>212A</v>
    <v>4</v>
    <v>1</v>
    <v>39045</v>
    <v>45175</v>
    <v>Limburg</v>
    <v>4</v>
    <v>N</v>
    <v>J</v>
    <v>J</v>
    <v>N</v>
    <v>J</v>
    <v>17</v>
    <v>Kortrijk</v>
    <v>130</v>
    <v>Onderhoud Kortrijk</v>
    <v>145</v>
    <v>4862</v>
    <v>4862</v>
    <v>Lage vloer streek</v>
    <v>12-m bus</v>
    <v>Bus</v>
  </rv>
  <rv s="0">
    <v>0</v>
    <v>4863</v>
    <v>1</v>
    <v>Generic</v>
    <v>212A</v>
    <v>4</v>
    <v>1</v>
    <v>39045</v>
    <v>45175</v>
    <v>Limburg</v>
    <v>4</v>
    <v>N</v>
    <v>J</v>
    <v>J</v>
    <v>N</v>
    <v>J</v>
    <v>17</v>
    <v>De Crutzen</v>
    <v>128</v>
    <v>Onderhoud De Crutzen</v>
    <v>155</v>
    <v>4863</v>
    <v>4863</v>
    <v>Lage vloer streek</v>
    <v>12-m bus</v>
    <v>Bus</v>
  </rv>
  <rv s="0">
    <v>0</v>
    <v>4864</v>
    <v>1</v>
    <v>Generic</v>
    <v>212A</v>
    <v>4</v>
    <v>1</v>
    <v>39147</v>
    <v>45175</v>
    <v>Limburg</v>
    <v>4</v>
    <v>N</v>
    <v>J</v>
    <v>J</v>
    <v>N</v>
    <v>J</v>
    <v>17</v>
    <v>De Crutzen</v>
    <v>128</v>
    <v>Onderhoud De Crutzen</v>
    <v>155</v>
    <v>4864</v>
    <v>4864</v>
    <v>Lage vloer streek</v>
    <v>12-m bus</v>
    <v>Bus</v>
  </rv>
  <rv s="0">
    <v>0</v>
    <v>4865</v>
    <v>1</v>
    <v>Generic</v>
    <v>212A</v>
    <v>4</v>
    <v>1</v>
    <v>39147</v>
    <v>45175</v>
    <v>Limburg</v>
    <v>4</v>
    <v>N</v>
    <v>J</v>
    <v>J</v>
    <v>N</v>
    <v>J</v>
    <v>17</v>
    <v>De Crutzen</v>
    <v>128</v>
    <v>Onderhoud De Crutzen</v>
    <v>155</v>
    <v>4865</v>
    <v>4865</v>
    <v>Lage vloer streek</v>
    <v>12-m bus</v>
    <v>Bus</v>
  </rv>
  <rv s="0">
    <v>0</v>
    <v>4866</v>
    <v>1</v>
    <v>Generic</v>
    <v>212A</v>
    <v>4</v>
    <v>1</v>
    <v>39147</v>
    <v>45175</v>
    <v>Limburg</v>
    <v>4</v>
    <v>N</v>
    <v>J</v>
    <v>J</v>
    <v>N</v>
    <v>J</v>
    <v>17</v>
    <v>De Crutzen</v>
    <v>128</v>
    <v>Onderhoud De Crutzen</v>
    <v>155</v>
    <v>4866</v>
    <v>4866</v>
    <v>Lage vloer streek</v>
    <v>12-m bus</v>
    <v>Bus</v>
  </rv>
  <rv s="0">
    <v>0</v>
    <v>4867</v>
    <v>1</v>
    <v>Generic</v>
    <v>212A</v>
    <v>4</v>
    <v>1</v>
    <v>39147</v>
    <v>45175</v>
    <v>Limburg</v>
    <v>4</v>
    <v>N</v>
    <v>J</v>
    <v>J</v>
    <v>N</v>
    <v>J</v>
    <v>17</v>
    <v>De Crutzen</v>
    <v>128</v>
    <v>Onderhoud De Crutzen</v>
    <v>155</v>
    <v>4867</v>
    <v>4867</v>
    <v>Lage vloer streek</v>
    <v>12-m bus</v>
    <v>Bus</v>
  </rv>
  <rv s="0">
    <v>0</v>
    <v>4868</v>
    <v>1</v>
    <v>Generic</v>
    <v>212A</v>
    <v>4</v>
    <v>1</v>
    <v>39420</v>
    <v>45175</v>
    <v>Limburg</v>
    <v>4</v>
    <v>N</v>
    <v>J</v>
    <v>J</v>
    <v>N</v>
    <v>J</v>
    <v>16</v>
    <v>De Crutzen</v>
    <v>128</v>
    <v>Onderhoud De Crutzen</v>
    <v>155</v>
    <v>4868</v>
    <v>4868</v>
    <v>Lage vloer streek</v>
    <v>12-m bus</v>
    <v>Bus</v>
  </rv>
  <rv s="0">
    <v>0</v>
    <v>4869</v>
    <v>1</v>
    <v>Generic</v>
    <v>212A</v>
    <v>4</v>
    <v>1</v>
    <v>39150</v>
    <v>45175</v>
    <v>Limburg</v>
    <v>4</v>
    <v>N</v>
    <v>J</v>
    <v>J</v>
    <v>N</v>
    <v>J</v>
    <v>17</v>
    <v>De Crutzen</v>
    <v>128</v>
    <v>Onderhoud De Crutzen</v>
    <v>155</v>
    <v>4869</v>
    <v>4869</v>
    <v>Lage vloer streek</v>
    <v>12-m bus</v>
    <v>Bus</v>
  </rv>
  <rv s="0">
    <v>0</v>
    <v>4870</v>
    <v>1</v>
    <v>Generic</v>
    <v>212A</v>
    <v>4</v>
    <v>1</v>
    <v>39150</v>
    <v>45175</v>
    <v>Limburg</v>
    <v>4</v>
    <v>N</v>
    <v>J</v>
    <v>J</v>
    <v>N</v>
    <v>J</v>
    <v>17</v>
    <v>De Crutzen</v>
    <v>128</v>
    <v>Onderhoud De Crutzen</v>
    <v>155</v>
    <v>4870</v>
    <v>4870</v>
    <v>Lage vloer streek</v>
    <v>12-m bus</v>
    <v>Bus</v>
  </rv>
  <rv s="0">
    <v>0</v>
    <v>4871</v>
    <v>1</v>
    <v>Generic</v>
    <v>212A</v>
    <v>4</v>
    <v>1</v>
    <v>39150</v>
    <v>45175</v>
    <v>Limburg</v>
    <v>4</v>
    <v>N</v>
    <v>J</v>
    <v>J</v>
    <v>N</v>
    <v>J</v>
    <v>17</v>
    <v>De Crutzen</v>
    <v>128</v>
    <v>Onderhoud De Crutzen</v>
    <v>155</v>
    <v>4871</v>
    <v>4871</v>
    <v>Lage vloer streek</v>
    <v>12-m bus</v>
    <v>Bus</v>
  </rv>
  <rv s="0">
    <v>0</v>
    <v>4872</v>
    <v>1</v>
    <v>Generic</v>
    <v>212A</v>
    <v>4</v>
    <v>1</v>
    <v>39150</v>
    <v>45175</v>
    <v>Limburg</v>
    <v>4</v>
    <v>N</v>
    <v>J</v>
    <v>J</v>
    <v>N</v>
    <v>J</v>
    <v>17</v>
    <v>De Crutzen</v>
    <v>128</v>
    <v>Onderhoud De Crutzen</v>
    <v>155</v>
    <v>4872</v>
    <v>4872</v>
    <v>Lage vloer streek</v>
    <v>12-m bus</v>
    <v>Bus</v>
  </rv>
  <rv s="0">
    <v>0</v>
    <v>4873</v>
    <v>1</v>
    <v>Generic</v>
    <v>212A</v>
    <v>4</v>
    <v>1</v>
    <v>39150</v>
    <v>45175</v>
    <v>Limburg</v>
    <v>4</v>
    <v>N</v>
    <v>J</v>
    <v>J</v>
    <v>N</v>
    <v>J</v>
    <v>17</v>
    <v>Onbekend</v>
    <v>#</v>
    <v>Onbekend</v>
    <v>#</v>
    <v>4873</v>
    <v>4873</v>
    <v>Lage vloer streek</v>
    <v>12-m bus</v>
    <v>Bus</v>
  </rv>
  <rv s="0">
    <v>0</v>
    <v>4874</v>
    <v>1</v>
    <v>Generic</v>
    <v>212A</v>
    <v>4</v>
    <v>1</v>
    <v>39162</v>
    <v>45175</v>
    <v>Limburg</v>
    <v>4</v>
    <v>N</v>
    <v>J</v>
    <v>J</v>
    <v>N</v>
    <v>J</v>
    <v>16</v>
    <v>De Crutzen</v>
    <v>128</v>
    <v>Onderhoud De Crutzen</v>
    <v>155</v>
    <v>4874</v>
    <v>4874</v>
    <v>Lage vloer streek</v>
    <v>12-m bus</v>
    <v>Bus</v>
  </rv>
  <rv s="0">
    <v>0</v>
    <v>4875</v>
    <v>1</v>
    <v>Generic</v>
    <v>212A</v>
    <v>4</v>
    <v>1</v>
    <v>39162</v>
    <v>45175</v>
    <v>Limburg</v>
    <v>4</v>
    <v>N</v>
    <v>J</v>
    <v>J</v>
    <v>N</v>
    <v>J</v>
    <v>16</v>
    <v>De Crutzen</v>
    <v>128</v>
    <v>Onderhoud De Crutzen</v>
    <v>155</v>
    <v>4875</v>
    <v>4875</v>
    <v>Lage vloer streek</v>
    <v>12-m bus</v>
    <v>Bus</v>
  </rv>
  <rv s="0">
    <v>0</v>
    <v>4876</v>
    <v>1</v>
    <v>Generic</v>
    <v>212A</v>
    <v>4</v>
    <v>1</v>
    <v>39162</v>
    <v>45175</v>
    <v>Limburg</v>
    <v>4</v>
    <v>N</v>
    <v>J</v>
    <v>J</v>
    <v>N</v>
    <v>J</v>
    <v>16</v>
    <v>De Crutzen</v>
    <v>128</v>
    <v>Onderhoud De Crutzen</v>
    <v>155</v>
    <v>4876</v>
    <v>4876</v>
    <v>Lage vloer streek</v>
    <v>12-m bus</v>
    <v>Bus</v>
  </rv>
  <rv s="0">
    <v>0</v>
    <v>4877</v>
    <v>1</v>
    <v>Generic</v>
    <v>212A</v>
    <v>4</v>
    <v>1</v>
    <v>39170</v>
    <v>45175</v>
    <v>Limburg</v>
    <v>4</v>
    <v>N</v>
    <v>J</v>
    <v>J</v>
    <v>N</v>
    <v>J</v>
    <v>16</v>
    <v>De Crutzen</v>
    <v>128</v>
    <v>Onderhoud De Crutzen</v>
    <v>155</v>
    <v>4877</v>
    <v>4877</v>
    <v>Lage vloer streek</v>
    <v>12-m bus</v>
    <v>Bus</v>
  </rv>
  <rv s="0">
    <v>0</v>
    <v>4878</v>
    <v>1</v>
    <v>Generic</v>
    <v>212A</v>
    <v>4</v>
    <v>1</v>
    <v>39170</v>
    <v>45175</v>
    <v>Limburg</v>
    <v>4</v>
    <v>N</v>
    <v>J</v>
    <v>J</v>
    <v>N</v>
    <v>J</v>
    <v>16</v>
    <v>De Crutzen</v>
    <v>128</v>
    <v>Onderhoud De Crutzen</v>
    <v>155</v>
    <v>4878</v>
    <v>4878</v>
    <v>Lage vloer streek</v>
    <v>12-m bus</v>
    <v>Bus</v>
  </rv>
  <rv s="0">
    <v>0</v>
    <v>4879</v>
    <v>1</v>
    <v>Generic</v>
    <v>212A</v>
    <v>4</v>
    <v>1</v>
    <v>39170</v>
    <v>45175</v>
    <v>Limburg</v>
    <v>4</v>
    <v>N</v>
    <v>J</v>
    <v>J</v>
    <v>N</v>
    <v>J</v>
    <v>16</v>
    <v>De Crutzen</v>
    <v>128</v>
    <v>Onderhoud De Crutzen</v>
    <v>155</v>
    <v>4879</v>
    <v>4879</v>
    <v>Lage vloer streek</v>
    <v>12-m bus</v>
    <v>Bus</v>
  </rv>
  <rv s="0">
    <v>0</v>
    <v>4883</v>
    <v>1</v>
    <v>Generic</v>
    <v>212B</v>
    <v>4</v>
    <v>1</v>
    <v>38910</v>
    <v>45175</v>
    <v>Antwerpen</v>
    <v>1</v>
    <v>N</v>
    <v>J</v>
    <v>J</v>
    <v>J</v>
    <v>J</v>
    <v>17</v>
    <v>Autobussen Berchem</v>
    <v>126</v>
    <v>OC Berchem</v>
    <v>145</v>
    <v>4883</v>
    <v>4883</v>
    <v>Lage vloer stad</v>
    <v>12-m bus</v>
    <v>Bus</v>
  </rv>
  <rv s="0">
    <v>0</v>
    <v>4884</v>
    <v>1</v>
    <v>Generic</v>
    <v>212B</v>
    <v>4</v>
    <v>1</v>
    <v>38918</v>
    <v>45175</v>
    <v>Antwerpen</v>
    <v>1</v>
    <v>N</v>
    <v>J</v>
    <v>J</v>
    <v>J</v>
    <v>J</v>
    <v>17</v>
    <v>Autobussen Berchem</v>
    <v>126</v>
    <v>OC Berchem</v>
    <v>145</v>
    <v>4884</v>
    <v>4884</v>
    <v>Lage vloer stad</v>
    <v>12-m bus</v>
    <v>Bus</v>
  </rv>
  <rv s="0">
    <v>0</v>
    <v>4885</v>
    <v>1</v>
    <v>Generic</v>
    <v>212B</v>
    <v>4</v>
    <v>1</v>
    <v>38910</v>
    <v>45175</v>
    <v>Antwerpen</v>
    <v>1</v>
    <v>N</v>
    <v>J</v>
    <v>J</v>
    <v>J</v>
    <v>J</v>
    <v>17</v>
    <v>Autobussen Berchem</v>
    <v>126</v>
    <v>OC Berchem</v>
    <v>145</v>
    <v>4885</v>
    <v>4885</v>
    <v>Lage vloer stad</v>
    <v>12-m bus</v>
    <v>Bus</v>
  </rv>
  <rv s="0">
    <v>0</v>
    <v>4886</v>
    <v>1</v>
    <v>Generic</v>
    <v>212B</v>
    <v>4</v>
    <v>1</v>
    <v>38922</v>
    <v>45175</v>
    <v>Antwerpen</v>
    <v>1</v>
    <v>N</v>
    <v>J</v>
    <v>J</v>
    <v>J</v>
    <v>J</v>
    <v>17</v>
    <v>Autobussen Berchem</v>
    <v>126</v>
    <v>OC Berchem</v>
    <v>145</v>
    <v>4886</v>
    <v>4886</v>
    <v>Lage vloer stad</v>
    <v>12-m bus</v>
    <v>Bus</v>
  </rv>
  <rv s="0">
    <v>0</v>
    <v>4887</v>
    <v>1</v>
    <v>Generic</v>
    <v>212B</v>
    <v>4</v>
    <v>1</v>
    <v>38923</v>
    <v>45175</v>
    <v>Antwerpen</v>
    <v>1</v>
    <v>N</v>
    <v>J</v>
    <v>J</v>
    <v>J</v>
    <v>J</v>
    <v>17</v>
    <v>Autobussen Berchem</v>
    <v>126</v>
    <v>OC Berchem</v>
    <v>145</v>
    <v>4887</v>
    <v>4887</v>
    <v>Lage vloer stad</v>
    <v>12-m bus</v>
    <v>Bus</v>
  </rv>
  <rv s="0">
    <v>0</v>
    <v>4889</v>
    <v>1</v>
    <v>Generic</v>
    <v>212B</v>
    <v>4</v>
    <v>1</v>
    <v>38924</v>
    <v>45175</v>
    <v>Antwerpen</v>
    <v>1</v>
    <v>N</v>
    <v>J</v>
    <v>J</v>
    <v>J</v>
    <v>J</v>
    <v>17</v>
    <v>Autobussen Berchem</v>
    <v>126</v>
    <v>OC Berchem</v>
    <v>145</v>
    <v>4889</v>
    <v>4889</v>
    <v>Lage vloer stad</v>
    <v>12-m bus</v>
    <v>Bus</v>
  </rv>
  <rv s="0">
    <v>0</v>
    <v>4890</v>
    <v>1</v>
    <v>Generic</v>
    <v>212B</v>
    <v>4</v>
    <v>1</v>
    <v>38958</v>
    <v>45175</v>
    <v>Antwerpen</v>
    <v>1</v>
    <v>N</v>
    <v>J</v>
    <v>J</v>
    <v>J</v>
    <v>J</v>
    <v>17</v>
    <v>Autobussen Berchem</v>
    <v>126</v>
    <v>OC Berchem</v>
    <v>145</v>
    <v>4890</v>
    <v>4890</v>
    <v>Lage vloer stad</v>
    <v>12-m bus</v>
    <v>Bus</v>
  </rv>
  <rv s="0">
    <v>0</v>
    <v>4891</v>
    <v>1</v>
    <v>Generic</v>
    <v>212B</v>
    <v>4</v>
    <v>1</v>
    <v>38925</v>
    <v>45175</v>
    <v>Antwerpen</v>
    <v>1</v>
    <v>N</v>
    <v>J</v>
    <v>J</v>
    <v>J</v>
    <v>J</v>
    <v>17</v>
    <v>Autobussen Berchem</v>
    <v>126</v>
    <v>OC Berchem</v>
    <v>145</v>
    <v>4891</v>
    <v>4891</v>
    <v>Lage vloer stad</v>
    <v>12-m bus</v>
    <v>Bus</v>
  </rv>
  <rv s="0">
    <v>0</v>
    <v>4892</v>
    <v>1</v>
    <v>Generic</v>
    <v>212B</v>
    <v>4</v>
    <v>1</v>
    <v>38926</v>
    <v>45175</v>
    <v>Antwerpen</v>
    <v>1</v>
    <v>N</v>
    <v>J</v>
    <v>J</v>
    <v>J</v>
    <v>J</v>
    <v>17</v>
    <v>Autobussen Berchem</v>
    <v>126</v>
    <v>OC Berchem</v>
    <v>145</v>
    <v>4892</v>
    <v>4892</v>
    <v>Lage vloer stad</v>
    <v>12-m bus</v>
    <v>Bus</v>
  </rv>
  <rv s="0">
    <v>0</v>
    <v>4893</v>
    <v>1</v>
    <v>Generic</v>
    <v>212B</v>
    <v>4</v>
    <v>1</v>
    <v>38929</v>
    <v>45175</v>
    <v>Antwerpen</v>
    <v>1</v>
    <v>N</v>
    <v>J</v>
    <v>J</v>
    <v>J</v>
    <v>J</v>
    <v>17</v>
    <v>Autobussen Berchem</v>
    <v>126</v>
    <v>OC Berchem</v>
    <v>145</v>
    <v>4893</v>
    <v>4893</v>
    <v>Lage vloer stad</v>
    <v>12-m bus</v>
    <v>Bus</v>
  </rv>
  <rv s="0">
    <v>0</v>
    <v>4894</v>
    <v>1</v>
    <v>Generic</v>
    <v>212B</v>
    <v>4</v>
    <v>1</v>
    <v>38930</v>
    <v>45175</v>
    <v>Antwerpen</v>
    <v>1</v>
    <v>N</v>
    <v>J</v>
    <v>J</v>
    <v>J</v>
    <v>J</v>
    <v>17</v>
    <v>Autobussen Berchem</v>
    <v>126</v>
    <v>OC Berchem</v>
    <v>145</v>
    <v>4894</v>
    <v>4894</v>
    <v>Lage vloer stad</v>
    <v>12-m bus</v>
    <v>Bus</v>
  </rv>
  <rv s="0">
    <v>0</v>
    <v>4895</v>
    <v>1</v>
    <v>Generic</v>
    <v>212B</v>
    <v>4</v>
    <v>1</v>
    <v>38931</v>
    <v>45175</v>
    <v>Antwerpen</v>
    <v>1</v>
    <v>N</v>
    <v>J</v>
    <v>J</v>
    <v>J</v>
    <v>J</v>
    <v>17</v>
    <v>Autobussen Berchem</v>
    <v>126</v>
    <v>OC Berchem</v>
    <v>145</v>
    <v>4895</v>
    <v>4895</v>
    <v>Lage vloer stad</v>
    <v>12-m bus</v>
    <v>Bus</v>
  </rv>
  <rv s="0">
    <v>0</v>
    <v>4897</v>
    <v>1</v>
    <v>Generic</v>
    <v>212B</v>
    <v>4</v>
    <v>1</v>
    <v>38896</v>
    <v>45175</v>
    <v>West-Vlaanderen</v>
    <v>5</v>
    <v>N</v>
    <v>J</v>
    <v>J</v>
    <v>J</v>
    <v>J</v>
    <v>17</v>
    <v>Oostende Slijkensestwg</v>
    <v>118</v>
    <v>Onderhoud Oostende - bus</v>
    <v>141</v>
    <v>4897</v>
    <v>4897</v>
    <v>Lage vloer stad</v>
    <v>12-m bus</v>
    <v>Bus</v>
  </rv>
  <rv s="0">
    <v>0</v>
    <v>4898</v>
    <v>1</v>
    <v>Generic</v>
    <v>212B</v>
    <v>4</v>
    <v>1</v>
    <v>38896</v>
    <v>45175</v>
    <v>West-Vlaanderen</v>
    <v>5</v>
    <v>N</v>
    <v>J</v>
    <v>J</v>
    <v>J</v>
    <v>J</v>
    <v>17</v>
    <v>Oostende Slijkensestwg</v>
    <v>118</v>
    <v>Onderhoud Oostende - bus</v>
    <v>141</v>
    <v>4898</v>
    <v>4898</v>
    <v>Lage vloer stad</v>
    <v>12-m bus</v>
    <v>Bus</v>
  </rv>
  <rv s="0">
    <v>0</v>
    <v>4899</v>
    <v>1</v>
    <v>Generic</v>
    <v>212B</v>
    <v>4</v>
    <v>1</v>
    <v>38896</v>
    <v>45175</v>
    <v>West-Vlaanderen</v>
    <v>5</v>
    <v>N</v>
    <v>J</v>
    <v>J</v>
    <v>J</v>
    <v>J</v>
    <v>17</v>
    <v>Oostende Slijkensestwg</v>
    <v>118</v>
    <v>Onderhoud Oostende - bus</v>
    <v>141</v>
    <v>4899</v>
    <v>4899</v>
    <v>Lage vloer stad</v>
    <v>12-m bus</v>
    <v>Bus</v>
  </rv>
  <rv s="0">
    <v>0</v>
    <v>4900</v>
    <v>1</v>
    <v>Generic</v>
    <v>212B</v>
    <v>4</v>
    <v>1</v>
    <v>38896</v>
    <v>45175</v>
    <v>West-Vlaanderen</v>
    <v>5</v>
    <v>N</v>
    <v>J</v>
    <v>J</v>
    <v>J</v>
    <v>J</v>
    <v>17</v>
    <v>Oostende Slijkensestwg</v>
    <v>118</v>
    <v>Onderhoud Oostende - bus</v>
    <v>141</v>
    <v>4900</v>
    <v>4900</v>
    <v>Lage vloer stad</v>
    <v>12-m bus</v>
    <v>Bus</v>
  </rv>
  <rv s="0">
    <v>0</v>
    <v>4901</v>
    <v>1</v>
    <v>Generic</v>
    <v>212B</v>
    <v>4</v>
    <v>1</v>
    <v>38897</v>
    <v>45175</v>
    <v>West-Vlaanderen</v>
    <v>5</v>
    <v>N</v>
    <v>J</v>
    <v>J</v>
    <v>J</v>
    <v>J</v>
    <v>17</v>
    <v>Oostende Slijkensestwg</v>
    <v>118</v>
    <v>Onderhoud Oostende - bus</v>
    <v>141</v>
    <v>4901</v>
    <v>4901</v>
    <v>Lage vloer stad</v>
    <v>12-m bus</v>
    <v>Bus</v>
  </rv>
  <rv s="0">
    <v>0</v>
    <v>4902</v>
    <v>1</v>
    <v>Generic</v>
    <v>212C</v>
    <v>4</v>
    <v>1</v>
    <v>39226</v>
    <v>45175</v>
    <v>Oost-Vlaanderen</v>
    <v>2</v>
    <v>N</v>
    <v>J</v>
    <v>J</v>
    <v>N</v>
    <v>J</v>
    <v>16</v>
    <v>Destelbergen</v>
    <v>111</v>
    <v>Werkhuis Destelbergen</v>
    <v>142</v>
    <v>4902</v>
    <v>4902</v>
    <v>Lage vloer streek</v>
    <v>Gelede bus</v>
    <v>Bus</v>
  </rv>
  <rv s="0">
    <v>0</v>
    <v>4903</v>
    <v>1</v>
    <v>Generic</v>
    <v>212C</v>
    <v>4</v>
    <v>1</v>
    <v>38951</v>
    <v>45175</v>
    <v>Oost-Vlaanderen</v>
    <v>2</v>
    <v>N</v>
    <v>J</v>
    <v>J</v>
    <v>N</v>
    <v>J</v>
    <v>17</v>
    <v>Destelbergen</v>
    <v>111</v>
    <v>Werkhuis Destelbergen</v>
    <v>142</v>
    <v>4903</v>
    <v>4903</v>
    <v>Lage vloer streek</v>
    <v>Gelede bus</v>
    <v>Bus</v>
  </rv>
  <rv s="0">
    <v>0</v>
    <v>4904</v>
    <v>1</v>
    <v>Generic</v>
    <v>212C</v>
    <v>4</v>
    <v>1</v>
    <v>38951</v>
    <v>45175</v>
    <v>Oost-Vlaanderen</v>
    <v>2</v>
    <v>N</v>
    <v>J</v>
    <v>J</v>
    <v>N</v>
    <v>J</v>
    <v>17</v>
    <v>Destelbergen</v>
    <v>111</v>
    <v>Werkhuis Destelbergen</v>
    <v>142</v>
    <v>4904</v>
    <v>4904</v>
    <v>Lage vloer streek</v>
    <v>Gelede bus</v>
    <v>Bus</v>
  </rv>
  <rv s="0">
    <v>0</v>
    <v>4905</v>
    <v>1</v>
    <v>Generic</v>
    <v>212C</v>
    <v>4</v>
    <v>1</v>
    <v>38965</v>
    <v>45175</v>
    <v>Oost-Vlaanderen</v>
    <v>2</v>
    <v>N</v>
    <v>J</v>
    <v>J</v>
    <v>N</v>
    <v>J</v>
    <v>17</v>
    <v>Destelbergen</v>
    <v>111</v>
    <v>Werkhuis Destelbergen</v>
    <v>142</v>
    <v>4905</v>
    <v>4905</v>
    <v>Lage vloer streek</v>
    <v>Gelede bus</v>
    <v>Bus</v>
  </rv>
  <rv s="0">
    <v>0</v>
    <v>4906</v>
    <v>1</v>
    <v>Generic</v>
    <v>212C</v>
    <v>4</v>
    <v>1</v>
    <v>38957</v>
    <v>45175</v>
    <v>Oost-Vlaanderen</v>
    <v>2</v>
    <v>N</v>
    <v>J</v>
    <v>J</v>
    <v>N</v>
    <v>J</v>
    <v>17</v>
    <v>Destelbergen</v>
    <v>111</v>
    <v>Werkhuis Destelbergen</v>
    <v>142</v>
    <v>4906</v>
    <v>4906</v>
    <v>Lage vloer streek</v>
    <v>Gelede bus</v>
    <v>Bus</v>
  </rv>
  <rv s="0">
    <v>0</v>
    <v>4907</v>
    <v>1</v>
    <v>Generic</v>
    <v>212C</v>
    <v>4</v>
    <v>1</v>
    <v>38950</v>
    <v>45175</v>
    <v>Oost-Vlaanderen</v>
    <v>2</v>
    <v>N</v>
    <v>J</v>
    <v>J</v>
    <v>N</v>
    <v>J</v>
    <v>17</v>
    <v>Destelbergen</v>
    <v>111</v>
    <v>Werkhuis Destelbergen</v>
    <v>142</v>
    <v>4907</v>
    <v>4907</v>
    <v>Lage vloer streek</v>
    <v>Gelede bus</v>
    <v>Bus</v>
  </rv>
  <rv s="0">
    <v>0</v>
    <v>4908</v>
    <v>1</v>
    <v>Generic</v>
    <v>212C</v>
    <v>4</v>
    <v>1</v>
    <v>38965</v>
    <v>45175</v>
    <v>Oost-Vlaanderen</v>
    <v>2</v>
    <v>N</v>
    <v>J</v>
    <v>J</v>
    <v>N</v>
    <v>J</v>
    <v>17</v>
    <v>Destelbergen</v>
    <v>111</v>
    <v>Werkhuis Destelbergen</v>
    <v>142</v>
    <v>4908</v>
    <v>4908</v>
    <v>Lage vloer streek</v>
    <v>Gelede bus</v>
    <v>Bus</v>
  </rv>
  <rv s="0">
    <v>0</v>
    <v>4910</v>
    <v>1</v>
    <v>Generic</v>
    <v>212C</v>
    <v>4</v>
    <v>1</v>
    <v>38973</v>
    <v>45175</v>
    <v>Oost-Vlaanderen</v>
    <v>2</v>
    <v>N</v>
    <v>J</v>
    <v>J</v>
    <v>N</v>
    <v>J</v>
    <v>17</v>
    <v>Destelbergen</v>
    <v>111</v>
    <v>Werkhuis Destelbergen</v>
    <v>142</v>
    <v>4910</v>
    <v>4910</v>
    <v>Lage vloer streek</v>
    <v>Gelede bus</v>
    <v>Bus</v>
  </rv>
  <rv s="0">
    <v>0</v>
    <v>4911</v>
    <v>1</v>
    <v>Generic</v>
    <v>212C</v>
    <v>4</v>
    <v>1</v>
    <v>38973</v>
    <v>45175</v>
    <v>Oost-Vlaanderen</v>
    <v>2</v>
    <v>N</v>
    <v>J</v>
    <v>J</v>
    <v>N</v>
    <v>J</v>
    <v>17</v>
    <v>Destelbergen</v>
    <v>111</v>
    <v>Werkhuis Destelbergen</v>
    <v>142</v>
    <v>4911</v>
    <v>4911</v>
    <v>Lage vloer streek</v>
    <v>Gelede bus</v>
    <v>Bus</v>
  </rv>
  <rv s="0">
    <v>0</v>
    <v>4912</v>
    <v>1</v>
    <v>Generic</v>
    <v>212C</v>
    <v>4</v>
    <v>1</v>
    <v>38959</v>
    <v>45175</v>
    <v>Limburg</v>
    <v>4</v>
    <v>N</v>
    <v>J</v>
    <v>J</v>
    <v>N</v>
    <v>J</v>
    <v>17</v>
    <v>De Crutzen</v>
    <v>128</v>
    <v>Onderhoud De Crutzen</v>
    <v>155</v>
    <v>4912</v>
    <v>4912</v>
    <v>Lage vloer streek</v>
    <v>Gelede bus</v>
    <v>Bus</v>
  </rv>
  <rv s="0">
    <v>0</v>
    <v>4913</v>
    <v>1</v>
    <v>Generic</v>
    <v>212C</v>
    <v>4</v>
    <v>1</v>
    <v>38959</v>
    <v>45175</v>
    <v>Limburg</v>
    <v>4</v>
    <v>N</v>
    <v>J</v>
    <v>J</v>
    <v>N</v>
    <v>J</v>
    <v>17</v>
    <v>De Crutzen</v>
    <v>128</v>
    <v>Onderhoud De Crutzen</v>
    <v>155</v>
    <v>4913</v>
    <v>4913</v>
    <v>Lage vloer streek</v>
    <v>Gelede bus</v>
    <v>Bus</v>
  </rv>
  <rv s="0">
    <v>0</v>
    <v>4914</v>
    <v>1</v>
    <v>Generic</v>
    <v>212C</v>
    <v>4</v>
    <v>1</v>
    <v>38979</v>
    <v>45175</v>
    <v>Limburg</v>
    <v>4</v>
    <v>N</v>
    <v>J</v>
    <v>J</v>
    <v>N</v>
    <v>J</v>
    <v>17</v>
    <v>De Crutzen</v>
    <v>128</v>
    <v>Onderhoud De Crutzen</v>
    <v>155</v>
    <v>4914</v>
    <v>4914</v>
    <v>Lage vloer streek</v>
    <v>Gelede bus</v>
    <v>Bus</v>
  </rv>
  <rv s="0">
    <v>0</v>
    <v>4915</v>
    <v>1</v>
    <v>Generic</v>
    <v>212C</v>
    <v>4</v>
    <v>1</v>
    <v>38979</v>
    <v>45175</v>
    <v>Limburg</v>
    <v>4</v>
    <v>N</v>
    <v>J</v>
    <v>J</v>
    <v>N</v>
    <v>J</v>
    <v>17</v>
    <v>De Crutzen</v>
    <v>128</v>
    <v>Onderhoud De Crutzen</v>
    <v>155</v>
    <v>4915</v>
    <v>4915</v>
    <v>Lage vloer streek</v>
    <v>Gelede bus</v>
    <v>Bus</v>
  </rv>
  <rv s="0">
    <v>0</v>
    <v>4916</v>
    <v>1</v>
    <v>Generic</v>
    <v>212C</v>
    <v>4</v>
    <v>1</v>
    <v>38988</v>
    <v>45175</v>
    <v>Limburg</v>
    <v>4</v>
    <v>N</v>
    <v>J</v>
    <v>J</v>
    <v>N</v>
    <v>J</v>
    <v>17</v>
    <v>De Crutzen</v>
    <v>128</v>
    <v>Onderhoud De Crutzen</v>
    <v>155</v>
    <v>4916</v>
    <v>4916</v>
    <v>Lage vloer streek</v>
    <v>Gelede bus</v>
    <v>Bus</v>
  </rv>
  <rv s="0">
    <v>0</v>
    <v>4917</v>
    <v>1</v>
    <v>Generic</v>
    <v>212C</v>
    <v>4</v>
    <v>1</v>
    <v>38989</v>
    <v>45175</v>
    <v>Limburg</v>
    <v>4</v>
    <v>N</v>
    <v>J</v>
    <v>J</v>
    <v>N</v>
    <v>J</v>
    <v>17</v>
    <v>TONGEREN</v>
    <v>126</v>
    <v>ONDERHOUD TONGEREN - NIEUW</v>
    <v>154</v>
    <v>4917</v>
    <v>4917</v>
    <v>Lage vloer streek</v>
    <v>Gelede bus</v>
    <v>Bus</v>
  </rv>
  <rv s="0">
    <v>0</v>
    <v>4918</v>
    <v>1</v>
    <v>Generic</v>
    <v>212C</v>
    <v>4</v>
    <v>1</v>
    <v>38992</v>
    <v>45175</v>
    <v>Limburg</v>
    <v>4</v>
    <v>N</v>
    <v>J</v>
    <v>J</v>
    <v>N</v>
    <v>J</v>
    <v>17</v>
    <v>TONGEREN</v>
    <v>126</v>
    <v>ONDERHOUD TONGEREN - NIEUW</v>
    <v>154</v>
    <v>4918</v>
    <v>4918</v>
    <v>Lage vloer streek</v>
    <v>Gelede bus</v>
    <v>Bus</v>
  </rv>
  <rv s="0">
    <v>0</v>
    <v>4919</v>
    <v>1</v>
    <v>Generic</v>
    <v>212C</v>
    <v>4</v>
    <v>1</v>
    <v>38989</v>
    <v>45175</v>
    <v>Limburg</v>
    <v>4</v>
    <v>N</v>
    <v>J</v>
    <v>J</v>
    <v>N</v>
    <v>J</v>
    <v>17</v>
    <v>TONGEREN</v>
    <v>126</v>
    <v>ONDERHOUD TONGEREN - NIEUW</v>
    <v>154</v>
    <v>4919</v>
    <v>4919</v>
    <v>Lage vloer streek</v>
    <v>Gelede bus</v>
    <v>Bus</v>
  </rv>
  <rv s="0">
    <v>0</v>
    <v>4920</v>
    <v>1</v>
    <v>Generic</v>
    <v>212C</v>
    <v>4</v>
    <v>1</v>
    <v>38995</v>
    <v>45175</v>
    <v>Limburg</v>
    <v>4</v>
    <v>N</v>
    <v>J</v>
    <v>J</v>
    <v>N</v>
    <v>J</v>
    <v>17</v>
    <v>TONGEREN</v>
    <v>126</v>
    <v>ONDERHOUD TONGEREN - NIEUW</v>
    <v>154</v>
    <v>4920</v>
    <v>4920</v>
    <v>Lage vloer streek</v>
    <v>Gelede bus</v>
    <v>Bus</v>
  </rv>
  <rv s="0">
    <v>0</v>
    <v>4921</v>
    <v>1</v>
    <v>Generic</v>
    <v>212C</v>
    <v>4</v>
    <v>1</v>
    <v>38995</v>
    <v>45175</v>
    <v>Limburg</v>
    <v>4</v>
    <v>N</v>
    <v>J</v>
    <v>J</v>
    <v>N</v>
    <v>J</v>
    <v>17</v>
    <v>TONGEREN</v>
    <v>126</v>
    <v>ONDERHOUD TONGEREN - NIEUW</v>
    <v>154</v>
    <v>4921</v>
    <v>4921</v>
    <v>Lage vloer streek</v>
    <v>Gelede bus</v>
    <v>Bus</v>
  </rv>
  <rv s="0">
    <v>0</v>
    <v>4922</v>
    <v>1</v>
    <v>Generic</v>
    <v>212C</v>
    <v>4</v>
    <v>1</v>
    <v>39001</v>
    <v>45175</v>
    <v>Oost-Vlaanderen</v>
    <v>2</v>
    <v>N</v>
    <v>J</v>
    <v>J</v>
    <v>N</v>
    <v>J</v>
    <v>17</v>
    <v>Destelbergen</v>
    <v>111</v>
    <v>Werkhuis Destelbergen</v>
    <v>142</v>
    <v>4922</v>
    <v>4922</v>
    <v>Lage vloer streek</v>
    <v>Gelede bus</v>
    <v>Bus</v>
  </rv>
  <rv s="0">
    <v>0</v>
    <v>4923</v>
    <v>1</v>
    <v>Generic</v>
    <v>212C</v>
    <v>4</v>
    <v>1</v>
    <v>39002</v>
    <v>45175</v>
    <v>Oost-Vlaanderen</v>
    <v>2</v>
    <v>N</v>
    <v>J</v>
    <v>J</v>
    <v>N</v>
    <v>J</v>
    <v>17</v>
    <v>Destelbergen</v>
    <v>111</v>
    <v>Werkhuis Destelbergen</v>
    <v>142</v>
    <v>4923</v>
    <v>4923</v>
    <v>Lage vloer streek</v>
    <v>Gelede bus</v>
    <v>Bus</v>
  </rv>
  <rv s="0">
    <v>0</v>
    <v>4924</v>
    <v>1</v>
    <v>Generic</v>
    <v>212C</v>
    <v>4</v>
    <v>1</v>
    <v>39002</v>
    <v>45175</v>
    <v>Oost-Vlaanderen</v>
    <v>2</v>
    <v>N</v>
    <v>J</v>
    <v>J</v>
    <v>N</v>
    <v>J</v>
    <v>17</v>
    <v>Destelbergen</v>
    <v>111</v>
    <v>Werkhuis Destelbergen</v>
    <v>142</v>
    <v>4924</v>
    <v>4924</v>
    <v>Lage vloer streek</v>
    <v>Gelede bus</v>
    <v>Bus</v>
  </rv>
  <rv s="0">
    <v>0</v>
    <v>4925</v>
    <v>1</v>
    <v>Generic</v>
    <v>212C</v>
    <v>4</v>
    <v>1</v>
    <v>39009</v>
    <v>45175</v>
    <v>Oost-Vlaanderen</v>
    <v>2</v>
    <v>N</v>
    <v>J</v>
    <v>J</v>
    <v>N</v>
    <v>J</v>
    <v>17</v>
    <v>Destelbergen</v>
    <v>111</v>
    <v>Werkhuis Destelbergen</v>
    <v>142</v>
    <v>4925</v>
    <v>4925</v>
    <v>Lage vloer streek</v>
    <v>Gelede bus</v>
    <v>Bus</v>
  </rv>
  <rv s="0">
    <v>0</v>
    <v>4927</v>
    <v>1</v>
    <v>Generic</v>
    <v>212C</v>
    <v>4</v>
    <v>1</v>
    <v>39009</v>
    <v>45175</v>
    <v>Oost-Vlaanderen</v>
    <v>2</v>
    <v>N</v>
    <v>J</v>
    <v>J</v>
    <v>N</v>
    <v>J</v>
    <v>17</v>
    <v>Destelbergen</v>
    <v>111</v>
    <v>Werkhuis Destelbergen</v>
    <v>142</v>
    <v>4927</v>
    <v>4927</v>
    <v>Lage vloer streek</v>
    <v>Gelede bus</v>
    <v>Bus</v>
  </rv>
  <rv s="0">
    <v>0</v>
    <v>4928</v>
    <v>1</v>
    <v>Generic</v>
    <v>212C</v>
    <v>4</v>
    <v>1</v>
    <v>39013</v>
    <v>45175</v>
    <v>Oost-Vlaanderen</v>
    <v>2</v>
    <v>N</v>
    <v>J</v>
    <v>J</v>
    <v>N</v>
    <v>J</v>
    <v>17</v>
    <v>Destelbergen</v>
    <v>111</v>
    <v>Werkhuis Destelbergen</v>
    <v>142</v>
    <v>4928</v>
    <v>4928</v>
    <v>Lage vloer streek</v>
    <v>Gelede bus</v>
    <v>Bus</v>
  </rv>
  <rv s="0">
    <v>0</v>
    <v>4929</v>
    <v>1</v>
    <v>Generic</v>
    <v>212C</v>
    <v>4</v>
    <v>1</v>
    <v>39013</v>
    <v>45175</v>
    <v>Oost-Vlaanderen</v>
    <v>2</v>
    <v>N</v>
    <v>J</v>
    <v>J</v>
    <v>N</v>
    <v>J</v>
    <v>17</v>
    <v>Destelbergen</v>
    <v>111</v>
    <v>Werkhuis Destelbergen</v>
    <v>142</v>
    <v>4929</v>
    <v>4929</v>
    <v>Lage vloer streek</v>
    <v>Gelede bus</v>
    <v>Bus</v>
  </rv>
  <rv s="0">
    <v>0</v>
    <v>4930</v>
    <v>1</v>
    <v>Generic</v>
    <v>212C</v>
    <v>4</v>
    <v>1</v>
    <v>39015</v>
    <v>45175</v>
    <v>Oost-Vlaanderen</v>
    <v>2</v>
    <v>N</v>
    <v>J</v>
    <v>J</v>
    <v>N</v>
    <v>J</v>
    <v>17</v>
    <v>Destelbergen</v>
    <v>111</v>
    <v>Werkhuis Destelbergen</v>
    <v>142</v>
    <v>4930</v>
    <v>4930</v>
    <v>Lage vloer streek</v>
    <v>Gelede bus</v>
    <v>Bus</v>
  </rv>
  <rv s="0">
    <v>0</v>
    <v>4931</v>
    <v>1</v>
    <v>Generic</v>
    <v>212C</v>
    <v>4</v>
    <v>1</v>
    <v>39015</v>
    <v>45175</v>
    <v>Oost-Vlaanderen</v>
    <v>2</v>
    <v>N</v>
    <v>J</v>
    <v>J</v>
    <v>N</v>
    <v>J</v>
    <v>17</v>
    <v>Destelbergen</v>
    <v>111</v>
    <v>Werkhuis Destelbergen</v>
    <v>142</v>
    <v>4931</v>
    <v>4931</v>
    <v>Lage vloer streek</v>
    <v>Gelede bus</v>
    <v>Bus</v>
  </rv>
  <rv s="0">
    <v>0</v>
    <v>4932</v>
    <v>1</v>
    <v>Generic</v>
    <v>212C</v>
    <v>4</v>
    <v>1</v>
    <v>39015</v>
    <v>45175</v>
    <v>Limburg</v>
    <v>4</v>
    <v>N</v>
    <v>J</v>
    <v>J</v>
    <v>N</v>
    <v>J</v>
    <v>17</v>
    <v>De Crutzen</v>
    <v>128</v>
    <v>Onderhoud De Crutzen</v>
    <v>155</v>
    <v>4932</v>
    <v>4932</v>
    <v>Lage vloer streek</v>
    <v>Gelede bus</v>
    <v>Bus</v>
  </rv>
  <rv s="0">
    <v>0</v>
    <v>4933</v>
    <v>1</v>
    <v>Generic</v>
    <v>212C</v>
    <v>4</v>
    <v>1</v>
    <v>39017</v>
    <v>45175</v>
    <v>Limburg</v>
    <v>4</v>
    <v>N</v>
    <v>J</v>
    <v>J</v>
    <v>N</v>
    <v>J</v>
    <v>17</v>
    <v>De Crutzen</v>
    <v>128</v>
    <v>Onderhoud De Crutzen</v>
    <v>155</v>
    <v>4933</v>
    <v>4933</v>
    <v>Lage vloer streek</v>
    <v>Gelede bus</v>
    <v>Bus</v>
  </rv>
  <rv s="0">
    <v>0</v>
    <v>4934</v>
    <v>1</v>
    <v>Generic</v>
    <v>212C</v>
    <v>4</v>
    <v>1</v>
    <v>39017</v>
    <v>45175</v>
    <v>Limburg</v>
    <v>4</v>
    <v>N</v>
    <v>J</v>
    <v>J</v>
    <v>N</v>
    <v>J</v>
    <v>17</v>
    <v>De Crutzen</v>
    <v>128</v>
    <v>Onderhoud De Crutzen</v>
    <v>155</v>
    <v>4934</v>
    <v>4934</v>
    <v>Lage vloer streek</v>
    <v>Gelede bus</v>
    <v>Bus</v>
  </rv>
  <rv s="0">
    <v>0</v>
    <v>4935</v>
    <v>1</v>
    <v>Generic</v>
    <v>212C</v>
    <v>4</v>
    <v>1</v>
    <v>39031</v>
    <v>45175</v>
    <v>Limburg</v>
    <v>4</v>
    <v>N</v>
    <v>J</v>
    <v>J</v>
    <v>N</v>
    <v>J</v>
    <v>17</v>
    <v>De Crutzen</v>
    <v>128</v>
    <v>Onderhoud De Crutzen</v>
    <v>155</v>
    <v>4935</v>
    <v>4935</v>
    <v>Lage vloer streek</v>
    <v>Gelede bus</v>
    <v>Bus</v>
  </rv>
  <rv s="0">
    <v>0</v>
    <v>4936</v>
    <v>1</v>
    <v>Generic</v>
    <v>212C</v>
    <v>4</v>
    <v>1</v>
    <v>39031</v>
    <v>45175</v>
    <v>Limburg</v>
    <v>4</v>
    <v>N</v>
    <v>J</v>
    <v>J</v>
    <v>N</v>
    <v>J</v>
    <v>17</v>
    <v>De Crutzen</v>
    <v>128</v>
    <v>Onderhoud De Crutzen</v>
    <v>155</v>
    <v>4936</v>
    <v>4936</v>
    <v>Lage vloer streek</v>
    <v>Gelede bus</v>
    <v>Bus</v>
  </rv>
  <rv s="0">
    <v>0</v>
    <v>4937</v>
    <v>1</v>
    <v>Generic</v>
    <v>212C</v>
    <v>4</v>
    <v>1</v>
    <v>39031</v>
    <v>45175</v>
    <v>Limburg</v>
    <v>4</v>
    <v>N</v>
    <v>J</v>
    <v>J</v>
    <v>N</v>
    <v>J</v>
    <v>17</v>
    <v>De Crutzen</v>
    <v>128</v>
    <v>Onderhoud De Crutzen</v>
    <v>155</v>
    <v>4937</v>
    <v>4937</v>
    <v>Lage vloer streek</v>
    <v>Gelede bus</v>
    <v>Bus</v>
  </rv>
  <rv s="0">
    <v>0</v>
    <v>4938</v>
    <v>1</v>
    <v>Generic</v>
    <v>212C</v>
    <v>4</v>
    <v>1</v>
    <v>39275</v>
    <v>45175</v>
    <v>Limburg</v>
    <v>4</v>
    <v>N</v>
    <v>J</v>
    <v>J</v>
    <v>N</v>
    <v>J</v>
    <v>16</v>
    <v>TONGEREN</v>
    <v>126</v>
    <v>ONDERHOUD TONGEREN - NIEUW</v>
    <v>154</v>
    <v>4938</v>
    <v>4938</v>
    <v>Lage vloer streek</v>
    <v>Gelede bus</v>
    <v>Bus</v>
  </rv>
  <rv s="0">
    <v>0</v>
    <v>4939</v>
    <v>1</v>
    <v>Generic</v>
    <v>212C</v>
    <v>4</v>
    <v>1</v>
    <v>39038</v>
    <v>45175</v>
    <v>Limburg</v>
    <v>4</v>
    <v>N</v>
    <v>J</v>
    <v>J</v>
    <v>N</v>
    <v>J</v>
    <v>17</v>
    <v>TONGEREN</v>
    <v>126</v>
    <v>ONDERHOUD TONGEREN - NIEUW</v>
    <v>154</v>
    <v>4939</v>
    <v>4939</v>
    <v>Lage vloer streek</v>
    <v>Gelede bus</v>
    <v>Bus</v>
  </rv>
  <rv s="0">
    <v>0</v>
    <v>4940</v>
    <v>1</v>
    <v>Generic</v>
    <v>212C</v>
    <v>4</v>
    <v>1</v>
    <v>39043</v>
    <v>45175</v>
    <v>Limburg</v>
    <v>4</v>
    <v>N</v>
    <v>J</v>
    <v>J</v>
    <v>N</v>
    <v>J</v>
    <v>17</v>
    <v>TONGEREN</v>
    <v>126</v>
    <v>ONDERHOUD TONGEREN - NIEUW</v>
    <v>154</v>
    <v>4940</v>
    <v>4940</v>
    <v>Lage vloer streek</v>
    <v>Gelede bus</v>
    <v>Bus</v>
  </rv>
  <rv s="0">
    <v>0</v>
    <v>4941</v>
    <v>1</v>
    <v>Generic</v>
    <v>212C</v>
    <v>4</v>
    <v>1</v>
    <v>39038</v>
    <v>45175</v>
    <v>Limburg</v>
    <v>4</v>
    <v>N</v>
    <v>J</v>
    <v>J</v>
    <v>N</v>
    <v>J</v>
    <v>17</v>
    <v>TONGEREN</v>
    <v>126</v>
    <v>ONDERHOUD TONGEREN - NIEUW</v>
    <v>154</v>
    <v>4941</v>
    <v>4941</v>
    <v>Lage vloer streek</v>
    <v>Gelede bus</v>
    <v>Bus</v>
  </rv>
  <rv s="0">
    <v>0</v>
    <v>4942</v>
    <v>1</v>
    <v>Generic</v>
    <v>212C</v>
    <v>4</v>
    <v>1</v>
    <v>39038</v>
    <v>45175</v>
    <v>Limburg</v>
    <v>4</v>
    <v>N</v>
    <v>J</v>
    <v>J</v>
    <v>N</v>
    <v>J</v>
    <v>17</v>
    <v>TONGEREN</v>
    <v>126</v>
    <v>ONDERHOUD TONGEREN - NIEUW</v>
    <v>154</v>
    <v>4942</v>
    <v>4942</v>
    <v>Lage vloer streek</v>
    <v>Gelede bus</v>
    <v>Bus</v>
  </rv>
  <rv s="0">
    <v>0</v>
    <v>4943</v>
    <v>1</v>
    <v>Generic</v>
    <v>212C</v>
    <v>4</v>
    <v>1</v>
    <v>39035</v>
    <v>45175</v>
    <v>Antwerpen</v>
    <v>1</v>
    <v>N</v>
    <v>J</v>
    <v>J</v>
    <v>N</v>
    <v>J</v>
    <v>17</v>
    <v>Broechem</v>
    <v>129</v>
    <v>Onderhoud Tjalkstraat</v>
    <v>142</v>
    <v>4943</v>
    <v>4943</v>
    <v>Lage vloer streek</v>
    <v>Gelede bus</v>
    <v>Bus</v>
  </rv>
  <rv s="0">
    <v>0</v>
    <v>4944</v>
    <v>1</v>
    <v>Generic</v>
    <v>212C</v>
    <v>4</v>
    <v>1</v>
    <v>39049</v>
    <v>45175</v>
    <v>Antwerpen</v>
    <v>1</v>
    <v>N</v>
    <v>J</v>
    <v>J</v>
    <v>N</v>
    <v>J</v>
    <v>17</v>
    <v>Broechem</v>
    <v>129</v>
    <v>Onderhoud Tjalkstraat</v>
    <v>142</v>
    <v>4944</v>
    <v>4944</v>
    <v>Lage vloer streek</v>
    <v>Gelede bus</v>
    <v>Bus</v>
  </rv>
  <rv s="0">
    <v>0</v>
    <v>4945</v>
    <v>1</v>
    <v>Generic</v>
    <v>212C</v>
    <v>4</v>
    <v>1</v>
    <v>39049</v>
    <v>45175</v>
    <v>Antwerpen</v>
    <v>1</v>
    <v>N</v>
    <v>J</v>
    <v>J</v>
    <v>N</v>
    <v>J</v>
    <v>17</v>
    <v>Broechem</v>
    <v>129</v>
    <v>Onderhoud Tjalkstraat</v>
    <v>142</v>
    <v>4945</v>
    <v>4945</v>
    <v>Lage vloer streek</v>
    <v>Gelede bus</v>
    <v>Bus</v>
  </rv>
  <rv s="0">
    <v>0</v>
    <v>4946</v>
    <v>1</v>
    <v>Generic</v>
    <v>212C</v>
    <v>4</v>
    <v>1</v>
    <v>39049</v>
    <v>45175</v>
    <v>Antwerpen</v>
    <v>1</v>
    <v>N</v>
    <v>J</v>
    <v>J</v>
    <v>N</v>
    <v>J</v>
    <v>17</v>
    <v>Broechem</v>
    <v>129</v>
    <v>Onderhoud Tjalkstraat</v>
    <v>142</v>
    <v>4946</v>
    <v>4946</v>
    <v>Lage vloer streek</v>
    <v>Gelede bus</v>
    <v>Bus</v>
  </rv>
  <rv s="0">
    <v>0</v>
    <v>4947</v>
    <v>1</v>
    <v>Generic</v>
    <v>212C</v>
    <v>4</v>
    <v>1</v>
    <v>39056</v>
    <v>45175</v>
    <v>Antwerpen</v>
    <v>1</v>
    <v>N</v>
    <v>J</v>
    <v>J</v>
    <v>N</v>
    <v>J</v>
    <v>17</v>
    <v>Tjalkstraat</v>
    <v>111</v>
    <v>Onderhoud Tjalkstraat</v>
    <v>142</v>
    <v>4947</v>
    <v>4947</v>
    <v>Lage vloer streek</v>
    <v>Gelede bus</v>
    <v>Bus</v>
  </rv>
  <rv s="0">
    <v>0</v>
    <v>4948</v>
    <v>1</v>
    <v>Generic</v>
    <v>212C</v>
    <v>4</v>
    <v>1</v>
    <v>39059</v>
    <v>45175</v>
    <v>Antwerpen</v>
    <v>1</v>
    <v>N</v>
    <v>J</v>
    <v>J</v>
    <v>N</v>
    <v>J</v>
    <v>17</v>
    <v>Tjalkstraat</v>
    <v>111</v>
    <v>Onderhoud Tjalkstraat</v>
    <v>142</v>
    <v>4948</v>
    <v>4948</v>
    <v>Lage vloer streek</v>
    <v>Gelede bus</v>
    <v>Bus</v>
  </rv>
  <rv s="0">
    <v>0</v>
    <v>4949</v>
    <v>1</v>
    <v>Generic</v>
    <v>212C</v>
    <v>4</v>
    <v>1</v>
    <v>39056</v>
    <v>45175</v>
    <v>Antwerpen</v>
    <v>1</v>
    <v>N</v>
    <v>J</v>
    <v>J</v>
    <v>N</v>
    <v>J</v>
    <v>17</v>
    <v>Tjalkstraat</v>
    <v>111</v>
    <v>Onderhoud Tjalkstraat</v>
    <v>142</v>
    <v>4949</v>
    <v>4949</v>
    <v>Lage vloer streek</v>
    <v>Gelede bus</v>
    <v>Bus</v>
  </rv>
  <rv s="0">
    <v>0</v>
    <v>4950</v>
    <v>1</v>
    <v>Generic</v>
    <v>212C</v>
    <v>4</v>
    <v>1</v>
    <v>39056</v>
    <v>45175</v>
    <v>Antwerpen</v>
    <v>1</v>
    <v>N</v>
    <v>J</v>
    <v>J</v>
    <v>N</v>
    <v>J</v>
    <v>17</v>
    <v>Tjalkstraat</v>
    <v>111</v>
    <v>Onderhoud Tjalkstraat</v>
    <v>142</v>
    <v>4950</v>
    <v>4950</v>
    <v>Lage vloer streek</v>
    <v>Gelede bus</v>
    <v>Bus</v>
  </rv>
  <rv s="0">
    <v>0</v>
    <v>4951</v>
    <v>1</v>
    <v>Generic</v>
    <v>212C</v>
    <v>4</v>
    <v>1</v>
    <v>39059</v>
    <v>45175</v>
    <v>Antwerpen</v>
    <v>1</v>
    <v>N</v>
    <v>J</v>
    <v>J</v>
    <v>N</v>
    <v>J</v>
    <v>17</v>
    <v>Tjalkstraat</v>
    <v>111</v>
    <v>Onderhoud Tjalkstraat</v>
    <v>142</v>
    <v>4951</v>
    <v>4951</v>
    <v>Lage vloer streek</v>
    <v>Gelede bus</v>
    <v>Bus</v>
  </rv>
  <rv s="0">
    <v>0</v>
    <v>4952</v>
    <v>1</v>
    <v>Generic</v>
    <v>212C</v>
    <v>4</v>
    <v>1</v>
    <v>39059</v>
    <v>45175</v>
    <v>Antwerpen</v>
    <v>1</v>
    <v>N</v>
    <v>J</v>
    <v>J</v>
    <v>N</v>
    <v>J</v>
    <v>17</v>
    <v>Tjalkstraat</v>
    <v>111</v>
    <v>Onderhoud Tjalkstraat</v>
    <v>142</v>
    <v>4952</v>
    <v>4952</v>
    <v>Lage vloer streek</v>
    <v>Gelede bus</v>
    <v>Bus</v>
  </rv>
  <rv s="0">
    <v>0</v>
    <v>4953</v>
    <v>1</v>
    <v>Generic</v>
    <v>212C</v>
    <v>4</v>
    <v>1</v>
    <v>39065</v>
    <v>45175</v>
    <v>Antwerpen</v>
    <v>1</v>
    <v>N</v>
    <v>J</v>
    <v>J</v>
    <v>N</v>
    <v>J</v>
    <v>17</v>
    <v>Tjalkstraat</v>
    <v>111</v>
    <v>Onderhoud Tjalkstraat</v>
    <v>142</v>
    <v>4953</v>
    <v>4953</v>
    <v>Lage vloer streek</v>
    <v>Gelede bus</v>
    <v>Bus</v>
  </rv>
  <rv s="0">
    <v>0</v>
    <v>4954</v>
    <v>1</v>
    <v>Generic</v>
    <v>212C</v>
    <v>4</v>
    <v>1</v>
    <v>39071</v>
    <v>45175</v>
    <v>Antwerpen</v>
    <v>1</v>
    <v>N</v>
    <v>J</v>
    <v>J</v>
    <v>N</v>
    <v>J</v>
    <v>17</v>
    <v>Tjalkstraat</v>
    <v>111</v>
    <v>Onderhoud Tjalkstraat</v>
    <v>142</v>
    <v>4954</v>
    <v>4954</v>
    <v>Lage vloer streek</v>
    <v>Gelede bus</v>
    <v>Bus</v>
  </rv>
  <rv s="0">
    <v>0</v>
    <v>4955</v>
    <v>1</v>
    <v>Generic</v>
    <v>212C</v>
    <v>4</v>
    <v>1</v>
    <v>39073</v>
    <v>45175</v>
    <v>Antwerpen</v>
    <v>1</v>
    <v>N</v>
    <v>J</v>
    <v>J</v>
    <v>N</v>
    <v>J</v>
    <v>17</v>
    <v>Tjalkstraat</v>
    <v>111</v>
    <v>Onderhoud Tjalkstraat</v>
    <v>142</v>
    <v>4955</v>
    <v>4955</v>
    <v>Lage vloer streek</v>
    <v>Gelede bus</v>
    <v>Bus</v>
  </rv>
  <rv s="0">
    <v>0</v>
    <v>4956</v>
    <v>1</v>
    <v>Generic</v>
    <v>212C</v>
    <v>4</v>
    <v>1</v>
    <v>39065</v>
    <v>45175</v>
    <v>Antwerpen</v>
    <v>1</v>
    <v>N</v>
    <v>J</v>
    <v>J</v>
    <v>N</v>
    <v>J</v>
    <v>17</v>
    <v>Tjalkstraat</v>
    <v>111</v>
    <v>Onderhoud Tjalkstraat</v>
    <v>142</v>
    <v>4956</v>
    <v>4956</v>
    <v>Lage vloer streek</v>
    <v>Gelede bus</v>
    <v>Bus</v>
  </rv>
  <rv s="0">
    <v>0</v>
    <v>4957</v>
    <v>1</v>
    <v>Generic</v>
    <v>212C</v>
    <v>4</v>
    <v>1</v>
    <v>39065</v>
    <v>45175</v>
    <v>Antwerpen</v>
    <v>1</v>
    <v>N</v>
    <v>J</v>
    <v>J</v>
    <v>N</v>
    <v>J</v>
    <v>17</v>
    <v>Tjalkstraat</v>
    <v>111</v>
    <v>Onderhoud Tjalkstraat</v>
    <v>142</v>
    <v>4957</v>
    <v>4957</v>
    <v>Lage vloer streek</v>
    <v>Gelede bus</v>
    <v>Bus</v>
  </rv>
  <rv s="0">
    <v>0</v>
    <v>4959</v>
    <v>1</v>
    <v>Generic</v>
    <v>212C</v>
    <v>4</v>
    <v>1</v>
    <v>39073</v>
    <v>45175</v>
    <v>Antwerpen</v>
    <v>1</v>
    <v>N</v>
    <v>J</v>
    <v>J</v>
    <v>N</v>
    <v>J</v>
    <v>17</v>
    <v>Tjalkstraat</v>
    <v>111</v>
    <v>Onderhoud Tjalkstraat</v>
    <v>142</v>
    <v>4959</v>
    <v>4959</v>
    <v>Lage vloer streek</v>
    <v>Gelede bus</v>
    <v>Bus</v>
  </rv>
  <rv s="0">
    <v>0</v>
    <v>4960</v>
    <v>1</v>
    <v>Generic</v>
    <v>212C</v>
    <v>4</v>
    <v>1</v>
    <v>39071</v>
    <v>45175</v>
    <v>Antwerpen</v>
    <v>1</v>
    <v>N</v>
    <v>J</v>
    <v>J</v>
    <v>N</v>
    <v>J</v>
    <v>17</v>
    <v>Tjalkstraat</v>
    <v>111</v>
    <v>Onderhoud Tjalkstraat</v>
    <v>142</v>
    <v>4960</v>
    <v>4960</v>
    <v>Lage vloer streek</v>
    <v>Gelede bus</v>
    <v>Bus</v>
  </rv>
  <rv s="0">
    <v>0</v>
    <v>4961</v>
    <v>1</v>
    <v>Generic</v>
    <v>212C</v>
    <v>4</v>
    <v>1</v>
    <v>39073</v>
    <v>45175</v>
    <v>Antwerpen</v>
    <v>1</v>
    <v>N</v>
    <v>J</v>
    <v>J</v>
    <v>N</v>
    <v>J</v>
    <v>17</v>
    <v>Tjalkstraat</v>
    <v>111</v>
    <v>Onderhoud Tjalkstraat</v>
    <v>142</v>
    <v>4961</v>
    <v>4961</v>
    <v>Lage vloer streek</v>
    <v>Gelede bus</v>
    <v>Bus</v>
  </rv>
  <rv s="0">
    <v>0</v>
    <v>4962</v>
    <v>1</v>
    <v>Generic</v>
    <v>212C</v>
    <v>4</v>
    <v>1</v>
    <v>39073</v>
    <v>45175</v>
    <v>Antwerpen</v>
    <v>1</v>
    <v>N</v>
    <v>J</v>
    <v>J</v>
    <v>N</v>
    <v>J</v>
    <v>17</v>
    <v>Tjalkstraat</v>
    <v>111</v>
    <v>Onderhoud Tjalkstraat</v>
    <v>142</v>
    <v>4962</v>
    <v>4962</v>
    <v>Lage vloer streek</v>
    <v>Gelede bus</v>
    <v>Bus</v>
  </rv>
  <rv s="0">
    <v>0</v>
    <v>4963</v>
    <v>1</v>
    <v>Generic</v>
    <v>212C</v>
    <v>4</v>
    <v>1</v>
    <v>39226</v>
    <v>45175</v>
    <v>Antwerpen</v>
    <v>1</v>
    <v>N</v>
    <v>J</v>
    <v>J</v>
    <v>N</v>
    <v>J</v>
    <v>16</v>
    <v>Tjalkstraat</v>
    <v>111</v>
    <v>Onderhoud Tjalkstraat</v>
    <v>142</v>
    <v>4963</v>
    <v>4963</v>
    <v>Lage vloer streek</v>
    <v>Gelede bus</v>
    <v>Bus</v>
  </rv>
  <rv s="0">
    <v>0</v>
    <v>4964</v>
    <v>1</v>
    <v>Generic</v>
    <v>212D</v>
    <v>4</v>
    <v>1</v>
    <v>39007</v>
    <v>45175</v>
    <v>West-Vlaanderen</v>
    <v>5</v>
    <v>N</v>
    <v>J</v>
    <v>J</v>
    <v>J</v>
    <v>J</v>
    <v>17</v>
    <v>Brugge</v>
    <v>125</v>
    <v>Onderhoud Brugge</v>
    <v>142</v>
    <v>4964</v>
    <v>4964</v>
    <v>City</v>
    <v>Kleine bus</v>
    <v>Bus</v>
  </rv>
  <rv s="0">
    <v>0</v>
    <v>4965</v>
    <v>1</v>
    <v>Generic</v>
    <v>212D</v>
    <v>4</v>
    <v>1</v>
    <v>38967</v>
    <v>45175</v>
    <v>West-Vlaanderen</v>
    <v>5</v>
    <v>N</v>
    <v>J</v>
    <v>J</v>
    <v>J</v>
    <v>J</v>
    <v>17</v>
    <v>Brugge</v>
    <v>125</v>
    <v>Onderhoud Brugge</v>
    <v>142</v>
    <v>4965</v>
    <v>4965</v>
    <v>City</v>
    <v>Kleine bus</v>
    <v>Bus</v>
  </rv>
  <rv s="0">
    <v>0</v>
    <v>4967</v>
    <v>1</v>
    <v>Generic</v>
    <v>212D</v>
    <v>4</v>
    <v>1</v>
    <v>38967</v>
    <v>45175</v>
    <v>West-Vlaanderen</v>
    <v>5</v>
    <v>N</v>
    <v>J</v>
    <v>J</v>
    <v>J</v>
    <v>J</v>
    <v>17</v>
    <v>Brugge</v>
    <v>125</v>
    <v>Onderhoud Brugge</v>
    <v>142</v>
    <v>4967</v>
    <v>4967</v>
    <v>City</v>
    <v>Kleine bus</v>
    <v>Bus</v>
  </rv>
  <rv s="0">
    <v>0</v>
    <v>4968</v>
    <v>1</v>
    <v>Generic</v>
    <v>212D</v>
    <v>4</v>
    <v>1</v>
    <v>39036</v>
    <v>45175</v>
    <v>West-Vlaanderen</v>
    <v>5</v>
    <v>N</v>
    <v>J</v>
    <v>J</v>
    <v>J</v>
    <v>J</v>
    <v>17</v>
    <v>Brugge</v>
    <v>125</v>
    <v>Onderhoud Brugge</v>
    <v>142</v>
    <v>4968</v>
    <v>4968</v>
    <v>City</v>
    <v>Kleine bus</v>
    <v>Bus</v>
  </rv>
  <rv s="0">
    <v>0</v>
    <v>4969</v>
    <v>1</v>
    <v>Generic</v>
    <v>212D</v>
    <v>4</v>
    <v>1</v>
    <v>39036</v>
    <v>45175</v>
    <v>West-Vlaanderen</v>
    <v>5</v>
    <v>N</v>
    <v>J</v>
    <v>J</v>
    <v>J</v>
    <v>J</v>
    <v>17</v>
    <v>Brugge</v>
    <v>125</v>
    <v>Onderhoud Brugge</v>
    <v>142</v>
    <v>4969</v>
    <v>4969</v>
    <v>City</v>
    <v>Kleine bus</v>
    <v>Bus</v>
  </rv>
  <rv s="0">
    <v>0</v>
    <v>4970</v>
    <v>1</v>
    <v>Generic</v>
    <v>212D</v>
    <v>4</v>
    <v>1</v>
    <v>39049</v>
    <v>45175</v>
    <v>West-Vlaanderen</v>
    <v>5</v>
    <v>N</v>
    <v>J</v>
    <v>J</v>
    <v>J</v>
    <v>J</v>
    <v>17</v>
    <v>Brugge</v>
    <v>125</v>
    <v>Onderhoud Brugge</v>
    <v>142</v>
    <v>4970</v>
    <v>4970</v>
    <v>City</v>
    <v>Kleine bus</v>
    <v>Bus</v>
  </rv>
  <rv s="0">
    <v>0</v>
    <v>4971</v>
    <v>1</v>
    <v>Generic</v>
    <v>212D</v>
    <v>4</v>
    <v>1</v>
    <v>39049</v>
    <v>45175</v>
    <v>West-Vlaanderen</v>
    <v>5</v>
    <v>N</v>
    <v>J</v>
    <v>J</v>
    <v>J</v>
    <v>J</v>
    <v>17</v>
    <v>Brugge</v>
    <v>125</v>
    <v>Onderhoud Brugge</v>
    <v>142</v>
    <v>4971</v>
    <v>4971</v>
    <v>City</v>
    <v>Kleine bus</v>
    <v>Bus</v>
  </rv>
  <rv s="0">
    <v>0</v>
    <v>4972</v>
    <v>1</v>
    <v>Generic</v>
    <v>212D</v>
    <v>4</v>
    <v>1</v>
    <v>39051</v>
    <v>45175</v>
    <v>West-Vlaanderen</v>
    <v>5</v>
    <v>N</v>
    <v>J</v>
    <v>J</v>
    <v>J</v>
    <v>J</v>
    <v>17</v>
    <v>Brugge</v>
    <v>125</v>
    <v>Onderhoud Brugge</v>
    <v>142</v>
    <v>4972</v>
    <v>4972</v>
    <v>City</v>
    <v>Kleine bus</v>
    <v>Bus</v>
  </rv>
  <rv s="0">
    <v>0</v>
    <v>4973</v>
    <v>1</v>
    <v>Generic</v>
    <v>212D</v>
    <v>4</v>
    <v>1</v>
    <v>39051</v>
    <v>45175</v>
    <v>West-Vlaanderen</v>
    <v>5</v>
    <v>N</v>
    <v>J</v>
    <v>J</v>
    <v>J</v>
    <v>J</v>
    <v>17</v>
    <v>Brugge</v>
    <v>125</v>
    <v>Onderhoud Brugge</v>
    <v>142</v>
    <v>4973</v>
    <v>4973</v>
    <v>City</v>
    <v>Kleine bus</v>
    <v>Bus</v>
  </rv>
  <rv s="0">
    <v>0</v>
    <v>4974</v>
    <v>1</v>
    <v>Generic</v>
    <v>212D</v>
    <v>4</v>
    <v>1</v>
    <v>39056</v>
    <v>45175</v>
    <v>West-Vlaanderen</v>
    <v>5</v>
    <v>N</v>
    <v>J</v>
    <v>J</v>
    <v>J</v>
    <v>J</v>
    <v>17</v>
    <v>Brugge</v>
    <v>125</v>
    <v>Onderhoud Brugge</v>
    <v>142</v>
    <v>4974</v>
    <v>4974</v>
    <v>City</v>
    <v>Kleine bus</v>
    <v>Bus</v>
  </rv>
  <rv s="0">
    <v>0</v>
    <v>4975</v>
    <v>1</v>
    <v>Generic</v>
    <v>212D</v>
    <v>4</v>
    <v>1</v>
    <v>39056</v>
    <v>45175</v>
    <v>West-Vlaanderen</v>
    <v>5</v>
    <v>N</v>
    <v>J</v>
    <v>J</v>
    <v>J</v>
    <v>J</v>
    <v>17</v>
    <v>Brugge</v>
    <v>125</v>
    <v>Onderhoud Brugge</v>
    <v>142</v>
    <v>4975</v>
    <v>4975</v>
    <v>City</v>
    <v>Kleine bus</v>
    <v>Bus</v>
  </rv>
  <rv s="0">
    <v>0</v>
    <v>4976</v>
    <v>1</v>
    <v>Generic</v>
    <v>212D</v>
    <v>4</v>
    <v>1</v>
    <v>39056</v>
    <v>45175</v>
    <v>West-Vlaanderen</v>
    <v>5</v>
    <v>N</v>
    <v>J</v>
    <v>J</v>
    <v>J</v>
    <v>J</v>
    <v>17</v>
    <v>Brugge</v>
    <v>125</v>
    <v>Onderhoud Brugge</v>
    <v>142</v>
    <v>4976</v>
    <v>4976</v>
    <v>City</v>
    <v>Kleine bus</v>
    <v>Bus</v>
  </rv>
  <rv s="0">
    <v>0</v>
    <v>4977</v>
    <v>1</v>
    <v>Generic</v>
    <v>212D</v>
    <v>4</v>
    <v>1</v>
    <v>39059</v>
    <v>45175</v>
    <v>West-Vlaanderen</v>
    <v>5</v>
    <v>N</v>
    <v>J</v>
    <v>J</v>
    <v>J</v>
    <v>J</v>
    <v>17</v>
    <v>Ieper</v>
    <v>131</v>
    <v>Onderhoud Ieper</v>
    <v>144</v>
    <v>4977</v>
    <v>4977</v>
    <v>City</v>
    <v>Kleine bus</v>
    <v>Bus</v>
  </rv>
  <rv s="0">
    <v>0</v>
    <v>4978</v>
    <v>1</v>
    <v>Generic</v>
    <v>212D</v>
    <v>4</v>
    <v>1</v>
    <v>39059</v>
    <v>45175</v>
    <v>West-Vlaanderen</v>
    <v>5</v>
    <v>N</v>
    <v>J</v>
    <v>J</v>
    <v>J</v>
    <v>J</v>
    <v>17</v>
    <v>Kortrijk</v>
    <v>130</v>
    <v>Onderhoud Kortrijk</v>
    <v>145</v>
    <v>4978</v>
    <v>4978</v>
    <v>City</v>
    <v>Kleine bus</v>
    <v>Bus</v>
  </rv>
  <rv s="0">
    <v>0</v>
    <v>4979</v>
    <v>1</v>
    <v>Generic</v>
    <v>212D</v>
    <v>4</v>
    <v>1</v>
    <v>39059</v>
    <v>45175</v>
    <v>West-Vlaanderen</v>
    <v>5</v>
    <v>N</v>
    <v>J</v>
    <v>J</v>
    <v>J</v>
    <v>J</v>
    <v>17</v>
    <v>Kortrijk</v>
    <v>130</v>
    <v>Onderhoud Kortrijk</v>
    <v>145</v>
    <v>4979</v>
    <v>4979</v>
    <v>City</v>
    <v>Kleine bus</v>
    <v>Bus</v>
  </rv>
  <rv s="0">
    <v>0</v>
    <v>4980</v>
    <v>1</v>
    <v>Generic</v>
    <v>213A</v>
    <v>4</v>
    <v>1</v>
    <v>39276</v>
    <v>45175</v>
    <v>Limburg</v>
    <v>4</v>
    <v>J</v>
    <v>J</v>
    <v>J</v>
    <v>N</v>
    <v>J</v>
    <v>16</v>
    <v>TONGEREN</v>
    <v>126</v>
    <v>ONDERHOUD TONGEREN - NIEUW</v>
    <v>154</v>
    <v>4980</v>
    <v>4980</v>
    <v>Lage vloer streek</v>
    <v>12-m bus</v>
    <v>Bus</v>
  </rv>
  <rv s="0">
    <v>0</v>
    <v>4981</v>
    <v>1</v>
    <v>Generic</v>
    <v>213A</v>
    <v>4</v>
    <v>1</v>
    <v>39273</v>
    <v>45175</v>
    <v>Limburg</v>
    <v>4</v>
    <v>J</v>
    <v>J</v>
    <v>J</v>
    <v>N</v>
    <v>J</v>
    <v>16</v>
    <v>TONGEREN</v>
    <v>126</v>
    <v>ONDERHOUD TONGEREN - NIEUW</v>
    <v>154</v>
    <v>4981</v>
    <v>4981</v>
    <v>Lage vloer streek</v>
    <v>12-m bus</v>
    <v>Bus</v>
  </rv>
  <rv s="0">
    <v>0</v>
    <v>4982</v>
    <v>1</v>
    <v>Generic</v>
    <v>213A</v>
    <v>4</v>
    <v>1</v>
    <v>39266</v>
    <v>45175</v>
    <v>Limburg</v>
    <v>4</v>
    <v>J</v>
    <v>J</v>
    <v>J</v>
    <v>N</v>
    <v>J</v>
    <v>16</v>
    <v>TONGEREN</v>
    <v>126</v>
    <v>ONDERHOUD TONGEREN - NIEUW</v>
    <v>154</v>
    <v>4982</v>
    <v>4982</v>
    <v>Lage vloer streek</v>
    <v>12-m bus</v>
    <v>Bus</v>
  </rv>
  <rv s="0">
    <v>0</v>
    <v>4983</v>
    <v>1</v>
    <v>Generic</v>
    <v>213A</v>
    <v>4</v>
    <v>1</v>
    <v>39266</v>
    <v>45175</v>
    <v>Limburg</v>
    <v>4</v>
    <v>J</v>
    <v>J</v>
    <v>J</v>
    <v>N</v>
    <v>J</v>
    <v>16</v>
    <v>TONGEREN</v>
    <v>126</v>
    <v>ONDERHOUD TONGEREN - NIEUW</v>
    <v>154</v>
    <v>4983</v>
    <v>4983</v>
    <v>Lage vloer streek</v>
    <v>12-m bus</v>
    <v>Bus</v>
  </rv>
  <rv s="0">
    <v>0</v>
    <v>4984</v>
    <v>1</v>
    <v>Generic</v>
    <v>213A</v>
    <v>4</v>
    <v>1</v>
    <v>39266</v>
    <v>45175</v>
    <v>Limburg</v>
    <v>4</v>
    <v>J</v>
    <v>J</v>
    <v>J</v>
    <v>N</v>
    <v>J</v>
    <v>16</v>
    <v>TONGEREN</v>
    <v>126</v>
    <v>ONDERHOUD TONGEREN - NIEUW</v>
    <v>154</v>
    <v>4984</v>
    <v>4984</v>
    <v>Lage vloer streek</v>
    <v>12-m bus</v>
    <v>Bus</v>
  </rv>
  <rv s="0">
    <v>0</v>
    <v>4986</v>
    <v>1</v>
    <v>Generic</v>
    <v>213A</v>
    <v>4</v>
    <v>1</v>
    <v>39268</v>
    <v>45175</v>
    <v>Limburg</v>
    <v>4</v>
    <v>J</v>
    <v>J</v>
    <v>J</v>
    <v>N</v>
    <v>J</v>
    <v>16</v>
    <v>TONGEREN</v>
    <v>126</v>
    <v>ONDERHOUD TONGEREN - NIEUW</v>
    <v>154</v>
    <v>4986</v>
    <v>4986</v>
    <v>Lage vloer streek</v>
    <v>12-m bus</v>
    <v>Bus</v>
  </rv>
  <rv s="0">
    <v>0</v>
    <v>4987</v>
    <v>1</v>
    <v>Generic</v>
    <v>213A</v>
    <v>4</v>
    <v>1</v>
    <v>39273</v>
    <v>45175</v>
    <v>Limburg</v>
    <v>4</v>
    <v>J</v>
    <v>J</v>
    <v>J</v>
    <v>N</v>
    <v>J</v>
    <v>16</v>
    <v>TONGEREN</v>
    <v>126</v>
    <v>ONDERHOUD TONGEREN - NIEUW</v>
    <v>154</v>
    <v>4987</v>
    <v>4987</v>
    <v>Lage vloer streek</v>
    <v>12-m bus</v>
    <v>Bus</v>
  </rv>
  <rv s="0">
    <v>0</v>
    <v>4988</v>
    <v>1</v>
    <v>Generic</v>
    <v>213A</v>
    <v>4</v>
    <v>1</v>
    <v>39268</v>
    <v>45175</v>
    <v>Limburg</v>
    <v>4</v>
    <v>J</v>
    <v>J</v>
    <v>J</v>
    <v>N</v>
    <v>J</v>
    <v>16</v>
    <v>TONGEREN</v>
    <v>126</v>
    <v>ONDERHOUD TONGEREN - NIEUW</v>
    <v>154</v>
    <v>4988</v>
    <v>4988</v>
    <v>Lage vloer streek</v>
    <v>12-m bus</v>
    <v>Bus</v>
  </rv>
  <rv s="0">
    <v>0</v>
    <v>4989</v>
    <v>1</v>
    <v>Generic</v>
    <v>213A</v>
    <v>4</v>
    <v>1</v>
    <v>39268</v>
    <v>45175</v>
    <v>Limburg</v>
    <v>4</v>
    <v>J</v>
    <v>J</v>
    <v>J</v>
    <v>N</v>
    <v>J</v>
    <v>16</v>
    <v>TONGEREN</v>
    <v>126</v>
    <v>ONDERHOUD TONGEREN - NIEUW</v>
    <v>154</v>
    <v>4989</v>
    <v>4989</v>
    <v>Lage vloer streek</v>
    <v>12-m bus</v>
    <v>Bus</v>
  </rv>
  <rv s="0">
    <v>0</v>
    <v>4990</v>
    <v>1</v>
    <v>Generic</v>
    <v>213A</v>
    <v>4</v>
    <v>1</v>
    <v>39275</v>
    <v>45175</v>
    <v>Limburg</v>
    <v>4</v>
    <v>J</v>
    <v>J</v>
    <v>J</v>
    <v>N</v>
    <v>J</v>
    <v>16</v>
    <v>TONGEREN</v>
    <v>126</v>
    <v>ONDERHOUD TONGEREN - NIEUW</v>
    <v>154</v>
    <v>4990</v>
    <v>4990</v>
    <v>Lage vloer streek</v>
    <v>12-m bus</v>
    <v>Bus</v>
  </rv>
  <rv s="0">
    <v>0</v>
    <v>4991</v>
    <v>1</v>
    <v>Generic</v>
    <v>213A</v>
    <v>4</v>
    <v>1</v>
    <v>39273</v>
    <v>45175</v>
    <v>Limburg</v>
    <v>4</v>
    <v>J</v>
    <v>J</v>
    <v>J</v>
    <v>N</v>
    <v>J</v>
    <v>16</v>
    <v>TONGEREN</v>
    <v>126</v>
    <v>ONDERHOUD TONGEREN - NIEUW</v>
    <v>154</v>
    <v>4991</v>
    <v>4991</v>
    <v>Lage vloer streek</v>
    <v>12-m bus</v>
    <v>Bus</v>
  </rv>
  <rv s="0">
    <v>0</v>
    <v>4992</v>
    <v>1</v>
    <v>Generic</v>
    <v>213A</v>
    <v>4</v>
    <v>1</v>
    <v>39273</v>
    <v>45175</v>
    <v>Limburg</v>
    <v>4</v>
    <v>J</v>
    <v>J</v>
    <v>J</v>
    <v>N</v>
    <v>J</v>
    <v>16</v>
    <v>TONGEREN</v>
    <v>126</v>
    <v>ONDERHOUD TONGEREN - NIEUW</v>
    <v>154</v>
    <v>4992</v>
    <v>4992</v>
    <v>Lage vloer streek</v>
    <v>12-m bus</v>
    <v>Bus</v>
  </rv>
  <rv s="0">
    <v>0</v>
    <v>4993</v>
    <v>1</v>
    <v>Generic</v>
    <v>213A</v>
    <v>4</v>
    <v>1</v>
    <v>39275</v>
    <v>45175</v>
    <v>Limburg</v>
    <v>4</v>
    <v>J</v>
    <v>J</v>
    <v>J</v>
    <v>N</v>
    <v>J</v>
    <v>16</v>
    <v>TONGEREN</v>
    <v>126</v>
    <v>ONDERHOUD TONGEREN - NIEUW</v>
    <v>154</v>
    <v>4993</v>
    <v>4993</v>
    <v>Lage vloer streek</v>
    <v>12-m bus</v>
    <v>Bus</v>
  </rv>
  <rv s="0">
    <v>0</v>
    <v>4994</v>
    <v>1</v>
    <v>Generic</v>
    <v>213A</v>
    <v>4</v>
    <v>1</v>
    <v>39266</v>
    <v>45175</v>
    <v>Limburg</v>
    <v>4</v>
    <v>J</v>
    <v>J</v>
    <v>J</v>
    <v>N</v>
    <v>J</v>
    <v>16</v>
    <v>TONGEREN</v>
    <v>126</v>
    <v>ONDERHOUD TONGEREN - NIEUW</v>
    <v>154</v>
    <v>4994</v>
    <v>4994</v>
    <v>Lage vloer streek</v>
    <v>12-m bus</v>
    <v>Bus</v>
  </rv>
  <rv s="0">
    <v>0</v>
    <v>4995</v>
    <v>1</v>
    <v>Generic</v>
    <v>213A</v>
    <v>4</v>
    <v>1</v>
    <v>39268</v>
    <v>45175</v>
    <v>Limburg</v>
    <v>4</v>
    <v>J</v>
    <v>J</v>
    <v>J</v>
    <v>N</v>
    <v>J</v>
    <v>16</v>
    <v>TONGEREN</v>
    <v>126</v>
    <v>ONDERHOUD TONGEREN - NIEUW</v>
    <v>154</v>
    <v>4995</v>
    <v>4995</v>
    <v>Lage vloer streek</v>
    <v>12-m bus</v>
    <v>Bus</v>
  </rv>
  <rv s="0">
    <v>0</v>
    <v>4996</v>
    <v>1</v>
    <v>Generic</v>
    <v>213A</v>
    <v>4</v>
    <v>1</v>
    <v>39266</v>
    <v>45175</v>
    <v>West-Vlaanderen</v>
    <v>5</v>
    <v>J</v>
    <v>J</v>
    <v>J</v>
    <v>N</v>
    <v>J</v>
    <v>16</v>
    <v>Kortrijk</v>
    <v>130</v>
    <v>Onderhoud Kortrijk</v>
    <v>145</v>
    <v>4996</v>
    <v>4996</v>
    <v>Lage vloer streek</v>
    <v>12-m bus</v>
    <v>Bus</v>
  </rv>
  <rv s="0">
    <v>0</v>
    <v>4997</v>
    <v>1</v>
    <v>Generic</v>
    <v>213A</v>
    <v>4</v>
    <v>1</v>
    <v>39276</v>
    <v>45175</v>
    <v>West-Vlaanderen</v>
    <v>5</v>
    <v>J</v>
    <v>J</v>
    <v>J</v>
    <v>N</v>
    <v>J</v>
    <v>16</v>
    <v>Kortrijk</v>
    <v>130</v>
    <v>Onderhoud Kortrijk</v>
    <v>145</v>
    <v>4997</v>
    <v>4997</v>
    <v>Lage vloer streek</v>
    <v>12-m bus</v>
    <v>Bus</v>
  </rv>
  <rv s="0">
    <v>0</v>
    <v>4998</v>
    <v>1</v>
    <v>Generic</v>
    <v>213A</v>
    <v>4</v>
    <v>1</v>
    <v>39276</v>
    <v>45175</v>
    <v>West-Vlaanderen</v>
    <v>5</v>
    <v>J</v>
    <v>J</v>
    <v>J</v>
    <v>N</v>
    <v>J</v>
    <v>16</v>
    <v>Kortrijk</v>
    <v>130</v>
    <v>Onderhoud Kortrijk</v>
    <v>145</v>
    <v>4998</v>
    <v>4998</v>
    <v>Lage vloer streek</v>
    <v>12-m bus</v>
    <v>Bus</v>
  </rv>
  <rv s="0">
    <v>0</v>
    <v>4999</v>
    <v>1</v>
    <v>Generic</v>
    <v>213A</v>
    <v>4</v>
    <v>1</v>
    <v>39276</v>
    <v>45175</v>
    <v>West-Vlaanderen</v>
    <v>5</v>
    <v>J</v>
    <v>J</v>
    <v>J</v>
    <v>N</v>
    <v>J</v>
    <v>16</v>
    <v>Kortrijk</v>
    <v>130</v>
    <v>Onderhoud Kortrijk</v>
    <v>145</v>
    <v>4999</v>
    <v>4999</v>
    <v>Lage vloer streek</v>
    <v>12-m bus</v>
    <v>Bus</v>
  </rv>
  <rv s="0">
    <v>0</v>
    <v>5000</v>
    <v>1</v>
    <v>Generic</v>
    <v>213A</v>
    <v>4</v>
    <v>1</v>
    <v>39301</v>
    <v>45175</v>
    <v>West-Vlaanderen</v>
    <v>5</v>
    <v>J</v>
    <v>J</v>
    <v>J</v>
    <v>N</v>
    <v>J</v>
    <v>16</v>
    <v>Kortrijk</v>
    <v>130</v>
    <v>Onderhoud Kortrijk</v>
    <v>145</v>
    <v>5000</v>
    <v>5000</v>
    <v>Lage vloer streek</v>
    <v>12-m bus</v>
    <v>Bus</v>
  </rv>
  <rv s="0">
    <v>0</v>
    <v>5001</v>
    <v>1</v>
    <v>Generic</v>
    <v>213A</v>
    <v>4</v>
    <v>1</v>
    <v>39303</v>
    <v>45175</v>
    <v>West-Vlaanderen</v>
    <v>5</v>
    <v>J</v>
    <v>J</v>
    <v>J</v>
    <v>N</v>
    <v>J</v>
    <v>16</v>
    <v>Kortrijk</v>
    <v>130</v>
    <v>Onderhoud Kortrijk</v>
    <v>145</v>
    <v>5001</v>
    <v>5001</v>
    <v>Lage vloer streek</v>
    <v>12-m bus</v>
    <v>Bus</v>
  </rv>
  <rv s="0">
    <v>0</v>
    <v>5002</v>
    <v>1</v>
    <v>Generic</v>
    <v>213A</v>
    <v>4</v>
    <v>1</v>
    <v>39303</v>
    <v>45175</v>
    <v>West-Vlaanderen</v>
    <v>5</v>
    <v>J</v>
    <v>J</v>
    <v>J</v>
    <v>N</v>
    <v>J</v>
    <v>16</v>
    <v>Kortrijk</v>
    <v>130</v>
    <v>Onderhoud Kortrijk</v>
    <v>145</v>
    <v>5002</v>
    <v>5002</v>
    <v>Lage vloer streek</v>
    <v>12-m bus</v>
    <v>Bus</v>
  </rv>
  <rv s="0">
    <v>0</v>
    <v>5003</v>
    <v>1</v>
    <v>Generic</v>
    <v>213A</v>
    <v>4</v>
    <v>1</v>
    <v>39304</v>
    <v>45175</v>
    <v>West-Vlaanderen</v>
    <v>5</v>
    <v>J</v>
    <v>J</v>
    <v>J</v>
    <v>N</v>
    <v>J</v>
    <v>16</v>
    <v>Kortrijk</v>
    <v>130</v>
    <v>Onderhoud Kortrijk</v>
    <v>145</v>
    <v>5003</v>
    <v>5003</v>
    <v>Lage vloer streek</v>
    <v>12-m bus</v>
    <v>Bus</v>
  </rv>
  <rv s="0">
    <v>0</v>
    <v>5004</v>
    <v>1</v>
    <v>Generic</v>
    <v>213A</v>
    <v>4</v>
    <v>1</v>
    <v>39304</v>
    <v>45175</v>
    <v>West-Vlaanderen</v>
    <v>5</v>
    <v>J</v>
    <v>J</v>
    <v>J</v>
    <v>N</v>
    <v>J</v>
    <v>16</v>
    <v>Kortrijk</v>
    <v>130</v>
    <v>Onderhoud Kortrijk</v>
    <v>145</v>
    <v>5004</v>
    <v>5004</v>
    <v>Lage vloer streek</v>
    <v>12-m bus</v>
    <v>Bus</v>
  </rv>
  <rv s="0">
    <v>0</v>
    <v>5005</v>
    <v>1</v>
    <v>Generic</v>
    <v>213A</v>
    <v>4</v>
    <v>1</v>
    <v>39436</v>
    <v>45175</v>
    <v>West-Vlaanderen</v>
    <v>5</v>
    <v>J</v>
    <v>J</v>
    <v>J</v>
    <v>N</v>
    <v>J</v>
    <v>16</v>
    <v>Kortrijk</v>
    <v>130</v>
    <v>Onderhoud Kortrijk</v>
    <v>145</v>
    <v>5005</v>
    <v>5005</v>
    <v>Lage vloer streek</v>
    <v>12-m bus</v>
    <v>Bus</v>
  </rv>
  <rv s="0">
    <v>0</v>
    <v>5006</v>
    <v>1</v>
    <v>Generic</v>
    <v>213A</v>
    <v>4</v>
    <v>1</v>
    <v>39329</v>
    <v>45175</v>
    <v>West-Vlaanderen</v>
    <v>5</v>
    <v>J</v>
    <v>J</v>
    <v>J</v>
    <v>N</v>
    <v>J</v>
    <v>16</v>
    <v>Kortrijk</v>
    <v>130</v>
    <v>Onderhoud Kortrijk</v>
    <v>145</v>
    <v>5006</v>
    <v>5006</v>
    <v>Lage vloer streek</v>
    <v>12-m bus</v>
    <v>Bus</v>
  </rv>
  <rv s="0">
    <v>0</v>
    <v>5007</v>
    <v>1</v>
    <v>Generic</v>
    <v>213A</v>
    <v>4</v>
    <v>1</v>
    <v>39329</v>
    <v>45175</v>
    <v>West-Vlaanderen</v>
    <v>5</v>
    <v>J</v>
    <v>J</v>
    <v>J</v>
    <v>N</v>
    <v>J</v>
    <v>16</v>
    <v>Kortrijk</v>
    <v>130</v>
    <v>Onderhoud Kortrijk</v>
    <v>145</v>
    <v>5007</v>
    <v>5007</v>
    <v>Lage vloer streek</v>
    <v>12-m bus</v>
    <v>Bus</v>
  </rv>
  <rv s="0">
    <v>0</v>
    <v>5008</v>
    <v>1</v>
    <v>Generic</v>
    <v>213A</v>
    <v>4</v>
    <v>1</v>
    <v>39329</v>
    <v>45175</v>
    <v>West-Vlaanderen</v>
    <v>5</v>
    <v>J</v>
    <v>J</v>
    <v>J</v>
    <v>N</v>
    <v>J</v>
    <v>16</v>
    <v>Knokke</v>
    <v>113</v>
    <v>Onderhoud Brugge</v>
    <v>142</v>
    <v>5008</v>
    <v>5008</v>
    <v>Lage vloer streek</v>
    <v>12-m bus</v>
    <v>Bus</v>
  </rv>
  <rv s="0">
    <v>0</v>
    <v>5009</v>
    <v>1</v>
    <v>Generic</v>
    <v>213A</v>
    <v>4</v>
    <v>1</v>
    <v>39329</v>
    <v>45175</v>
    <v>West-Vlaanderen</v>
    <v>5</v>
    <v>J</v>
    <v>J</v>
    <v>J</v>
    <v>N</v>
    <v>J</v>
    <v>16</v>
    <v>Knokke</v>
    <v>113</v>
    <v>Onderhoud Brugge</v>
    <v>142</v>
    <v>5009</v>
    <v>5009</v>
    <v>Lage vloer streek</v>
    <v>12-m bus</v>
    <v>Bus</v>
  </rv>
  <rv s="0">
    <v>0</v>
    <v>5010</v>
    <v>1</v>
    <v>Generic</v>
    <v>213A</v>
    <v>4</v>
    <v>1</v>
    <v>39329</v>
    <v>45175</v>
    <v>West-Vlaanderen</v>
    <v>5</v>
    <v>J</v>
    <v>J</v>
    <v>J</v>
    <v>N</v>
    <v>J</v>
    <v>16</v>
    <v>Knokke</v>
    <v>113</v>
    <v>Onderhoud Brugge</v>
    <v>142</v>
    <v>5010</v>
    <v>5010</v>
    <v>Lage vloer streek</v>
    <v>12-m bus</v>
    <v>Bus</v>
  </rv>
  <rv s="0">
    <v>0</v>
    <v>5011</v>
    <v>1</v>
    <v>Generic</v>
    <v>213A</v>
    <v>4</v>
    <v>1</v>
    <v>39329</v>
    <v>45175</v>
    <v>West-Vlaanderen</v>
    <v>5</v>
    <v>J</v>
    <v>J</v>
    <v>J</v>
    <v>N</v>
    <v>J</v>
    <v>16</v>
    <v>Knokke</v>
    <v>113</v>
    <v>Onderhoud Brugge</v>
    <v>142</v>
    <v>5011</v>
    <v>5011</v>
    <v>Lage vloer streek</v>
    <v>12-m bus</v>
    <v>Bus</v>
  </rv>
  <rv s="0">
    <v>0</v>
    <v>5012</v>
    <v>1</v>
    <v>Generic</v>
    <v>213A</v>
    <v>4</v>
    <v>1</v>
    <v>39329</v>
    <v>45175</v>
    <v>West-Vlaanderen</v>
    <v>5</v>
    <v>J</v>
    <v>J</v>
    <v>J</v>
    <v>N</v>
    <v>J</v>
    <v>16</v>
    <v>Knokke</v>
    <v>113</v>
    <v>Onderhoud Brugge</v>
    <v>142</v>
    <v>5012</v>
    <v>5012</v>
    <v>Lage vloer streek</v>
    <v>12-m bus</v>
    <v>Bus</v>
  </rv>
  <rv s="0">
    <v>0</v>
    <v>5013</v>
    <v>1</v>
    <v>Generic</v>
    <v>213A</v>
    <v>4</v>
    <v>1</v>
    <v>39329</v>
    <v>45175</v>
    <v>West-Vlaanderen</v>
    <v>5</v>
    <v>J</v>
    <v>J</v>
    <v>J</v>
    <v>N</v>
    <v>J</v>
    <v>16</v>
    <v>Knokke</v>
    <v>113</v>
    <v>Onderhoud Brugge</v>
    <v>142</v>
    <v>5013</v>
    <v>5013</v>
    <v>Lage vloer streek</v>
    <v>12-m bus</v>
    <v>Bus</v>
  </rv>
  <rv s="0">
    <v>0</v>
    <v>5014</v>
    <v>1</v>
    <v>Generic</v>
    <v>213A</v>
    <v>4</v>
    <v>1</v>
    <v>39329</v>
    <v>45175</v>
    <v>West-Vlaanderen</v>
    <v>5</v>
    <v>J</v>
    <v>J</v>
    <v>J</v>
    <v>N</v>
    <v>J</v>
    <v>16</v>
    <v>Kortrijk</v>
    <v>130</v>
    <v>Onderhoud Kortrijk</v>
    <v>145</v>
    <v>5014</v>
    <v>5014</v>
    <v>Lage vloer streek</v>
    <v>12-m bus</v>
    <v>Bus</v>
  </rv>
  <rv s="0">
    <v>0</v>
    <v>5016</v>
    <v>1</v>
    <v>Generic</v>
    <v>213B</v>
    <v>4</v>
    <v>1</v>
    <v>39421</v>
    <v>45175</v>
    <v>Antwerpen</v>
    <v>1</v>
    <v>J</v>
    <v>J</v>
    <v>J</v>
    <v>N</v>
    <v>J</v>
    <v>16</v>
    <v>Autobussen Berchem</v>
    <v>126</v>
    <v>OC Berchem</v>
    <v>145</v>
    <v>5016</v>
    <v>5016</v>
    <v>Lage vloer stad</v>
    <v>12-m bus</v>
    <v>Bus</v>
  </rv>
  <rv s="0">
    <v>0</v>
    <v>5017</v>
    <v>1</v>
    <v>Generic</v>
    <v>213B</v>
    <v>4</v>
    <v>1</v>
    <v>39406</v>
    <v>45175</v>
    <v>Antwerpen</v>
    <v>1</v>
    <v>J</v>
    <v>J</v>
    <v>J</v>
    <v>N</v>
    <v>J</v>
    <v>16</v>
    <v>Autobussen Berchem</v>
    <v>126</v>
    <v>OC Berchem</v>
    <v>145</v>
    <v>5017</v>
    <v>5017</v>
    <v>Lage vloer stad</v>
    <v>12-m bus</v>
    <v>Bus</v>
  </rv>
  <rv s="0">
    <v>0</v>
    <v>5018</v>
    <v>1</v>
    <v>Generic</v>
    <v>213B</v>
    <v>4</v>
    <v>1</v>
    <v>39372</v>
    <v>45175</v>
    <v>Antwerpen</v>
    <v>1</v>
    <v>J</v>
    <v>J</v>
    <v>J</v>
    <v>N</v>
    <v>J</v>
    <v>16</v>
    <v>Autobussen Berchem</v>
    <v>126</v>
    <v>OC Berchem</v>
    <v>145</v>
    <v>5018</v>
    <v>5018</v>
    <v>Lage vloer stad</v>
    <v>12-m bus</v>
    <v>Bus</v>
  </rv>
  <rv s="0">
    <v>0</v>
    <v>5019</v>
    <v>1</v>
    <v>Generic</v>
    <v>213B</v>
    <v>4</v>
    <v>1</v>
    <v>39372</v>
    <v>45175</v>
    <v>Antwerpen</v>
    <v>1</v>
    <v>J</v>
    <v>J</v>
    <v>J</v>
    <v>N</v>
    <v>J</v>
    <v>16</v>
    <v>Autobussen Berchem</v>
    <v>126</v>
    <v>OC Berchem</v>
    <v>145</v>
    <v>5019</v>
    <v>5019</v>
    <v>Lage vloer stad</v>
    <v>12-m bus</v>
    <v>Bus</v>
  </rv>
  <rv s="0">
    <v>0</v>
    <v>5020</v>
    <v>1</v>
    <v>Generic</v>
    <v>213B</v>
    <v>4</v>
    <v>1</v>
    <v>39406</v>
    <v>45175</v>
    <v>Antwerpen</v>
    <v>1</v>
    <v>J</v>
    <v>J</v>
    <v>J</v>
    <v>N</v>
    <v>J</v>
    <v>16</v>
    <v>Autobussen Berchem</v>
    <v>126</v>
    <v>OC Berchem</v>
    <v>145</v>
    <v>5020</v>
    <v>5020</v>
    <v>Lage vloer stad</v>
    <v>12-m bus</v>
    <v>Bus</v>
  </rv>
  <rv s="0">
    <v>0</v>
    <v>5022</v>
    <v>1</v>
    <v>Generic</v>
    <v>213B</v>
    <v>4</v>
    <v>1</v>
    <v>39422</v>
    <v>45175</v>
    <v>Antwerpen</v>
    <v>1</v>
    <v>J</v>
    <v>J</v>
    <v>J</v>
    <v>N</v>
    <v>J</v>
    <v>16</v>
    <v>Autobussen Berchem</v>
    <v>126</v>
    <v>OC Berchem</v>
    <v>145</v>
    <v>5022</v>
    <v>5022</v>
    <v>Lage vloer stad</v>
    <v>12-m bus</v>
    <v>Bus</v>
  </rv>
  <rv s="0">
    <v>0</v>
    <v>5023</v>
    <v>1</v>
    <v>Generic</v>
    <v>213B</v>
    <v>4</v>
    <v>1</v>
    <v>39360</v>
    <v>45175</v>
    <v>Antwerpen</v>
    <v>1</v>
    <v>J</v>
    <v>J</v>
    <v>J</v>
    <v>N</v>
    <v>J</v>
    <v>16</v>
    <v>Autobussen Berchem</v>
    <v>126</v>
    <v>OC Berchem</v>
    <v>145</v>
    <v>5023</v>
    <v>5023</v>
    <v>Lage vloer stad</v>
    <v>12-m bus</v>
    <v>Bus</v>
  </rv>
  <rv s="0">
    <v>0</v>
    <v>5024</v>
    <v>1</v>
    <v>Generic</v>
    <v>213B</v>
    <v>4</v>
    <v>1</v>
    <v>39421</v>
    <v>45175</v>
    <v>Antwerpen</v>
    <v>1</v>
    <v>J</v>
    <v>J</v>
    <v>J</v>
    <v>N</v>
    <v>J</v>
    <v>16</v>
    <v>Autobussen Berchem</v>
    <v>126</v>
    <v>OC Berchem</v>
    <v>145</v>
    <v>5024</v>
    <v>5024</v>
    <v>Lage vloer stad</v>
    <v>12-m bus</v>
    <v>Bus</v>
  </rv>
  <rv s="0">
    <v>0</v>
    <v>5025</v>
    <v>1</v>
    <v>Generic</v>
    <v>213B</v>
    <v>4</v>
    <v>1</v>
    <v>39457</v>
    <v>45175</v>
    <v>Antwerpen</v>
    <v>1</v>
    <v>J</v>
    <v>J</v>
    <v>J</v>
    <v>N</v>
    <v>J</v>
    <v>16</v>
    <v>Autobussen Berchem</v>
    <v>126</v>
    <v>OC Berchem</v>
    <v>145</v>
    <v>5025</v>
    <v>5025</v>
    <v>Lage vloer stad</v>
    <v>12-m bus</v>
    <v>Bus</v>
  </rv>
  <rv s="0">
    <v>0</v>
    <v>5026</v>
    <v>1</v>
    <v>Generic</v>
    <v>213B</v>
    <v>4</v>
    <v>1</v>
    <v>39372</v>
    <v>45175</v>
    <v>Antwerpen</v>
    <v>1</v>
    <v>J</v>
    <v>J</v>
    <v>J</v>
    <v>N</v>
    <v>J</v>
    <v>16</v>
    <v>Autobussen Berchem</v>
    <v>126</v>
    <v>OC Berchem</v>
    <v>145</v>
    <v>5026</v>
    <v>5026</v>
    <v>Lage vloer stad</v>
    <v>12-m bus</v>
    <v>Bus</v>
  </rv>
  <rv s="0">
    <v>0</v>
    <v>5027</v>
    <v>1</v>
    <v>Generic</v>
    <v>213B</v>
    <v>4</v>
    <v>1</v>
    <v>39409</v>
    <v>45175</v>
    <v>Antwerpen</v>
    <v>1</v>
    <v>J</v>
    <v>J</v>
    <v>J</v>
    <v>N</v>
    <v>J</v>
    <v>16</v>
    <v>Autobussen Berchem</v>
    <v>126</v>
    <v>OC Berchem</v>
    <v>145</v>
    <v>5027</v>
    <v>5027</v>
    <v>Lage vloer stad</v>
    <v>12-m bus</v>
    <v>Bus</v>
  </rv>
  <rv s="0">
    <v>0</v>
    <v>5028</v>
    <v>1</v>
    <v>Generic</v>
    <v>213B</v>
    <v>4</v>
    <v>1</v>
    <v>39422</v>
    <v>45175</v>
    <v>Antwerpen</v>
    <v>1</v>
    <v>J</v>
    <v>J</v>
    <v>J</v>
    <v>N</v>
    <v>J</v>
    <v>16</v>
    <v>Autobussen Berchem</v>
    <v>126</v>
    <v>OC Berchem</v>
    <v>145</v>
    <v>5028</v>
    <v>5028</v>
    <v>Lage vloer stad</v>
    <v>12-m bus</v>
    <v>Bus</v>
  </rv>
  <rv s="0">
    <v>0</v>
    <v>5029</v>
    <v>1</v>
    <v>Generic</v>
    <v>213B</v>
    <v>4</v>
    <v>1</v>
    <v>39457</v>
    <v>45175</v>
    <v>Antwerpen</v>
    <v>1</v>
    <v>J</v>
    <v>J</v>
    <v>J</v>
    <v>N</v>
    <v>J</v>
    <v>16</v>
    <v>Autobussen Berchem</v>
    <v>126</v>
    <v>OC Berchem</v>
    <v>145</v>
    <v>5029</v>
    <v>5029</v>
    <v>Lage vloer stad</v>
    <v>12-m bus</v>
    <v>Bus</v>
  </rv>
  <rv s="0">
    <v>0</v>
    <v>5030</v>
    <v>1</v>
    <v>Generic</v>
    <v>213C</v>
    <v>4</v>
    <v>1</v>
    <v>39324</v>
    <v>45175</v>
    <v>Limburg</v>
    <v>4</v>
    <v>J</v>
    <v>J</v>
    <v>J</v>
    <v>N</v>
    <v>J</v>
    <v>16</v>
    <v>Beverlo</v>
    <v>120</v>
    <v>Onderhoud Beverlo</v>
    <v>152</v>
    <v>5030</v>
    <v>5030</v>
    <v>Lage vloer streek</v>
    <v>Gelede bus</v>
    <v>Bus</v>
  </rv>
  <rv s="0">
    <v>0</v>
    <v>5031</v>
    <v>1</v>
    <v>Generic</v>
    <v>213C</v>
    <v>4</v>
    <v>1</v>
    <v>39324</v>
    <v>45175</v>
    <v>Limburg</v>
    <v>4</v>
    <v>J</v>
    <v>J</v>
    <v>J</v>
    <v>N</v>
    <v>J</v>
    <v>16</v>
    <v>Beverlo</v>
    <v>120</v>
    <v>Onderhoud Beverlo</v>
    <v>152</v>
    <v>5031</v>
    <v>5031</v>
    <v>Lage vloer streek</v>
    <v>Gelede bus</v>
    <v>Bus</v>
  </rv>
  <rv s="0">
    <v>0</v>
    <v>5032</v>
    <v>1</v>
    <v>Generic</v>
    <v>213C</v>
    <v>4</v>
    <v>1</v>
    <v>39258</v>
    <v>45175</v>
    <v>Limburg</v>
    <v>4</v>
    <v>J</v>
    <v>J</v>
    <v>J</v>
    <v>N</v>
    <v>J</v>
    <v>16</v>
    <v>Beverlo</v>
    <v>120</v>
    <v>Onderhoud Beverlo</v>
    <v>152</v>
    <v>5032</v>
    <v>5032</v>
    <v>Lage vloer streek</v>
    <v>Gelede bus</v>
    <v>Bus</v>
  </rv>
  <rv s="0">
    <v>0</v>
    <v>5033</v>
    <v>1</v>
    <v>Generic</v>
    <v>213C</v>
    <v>4</v>
    <v>1</v>
    <v>39258</v>
    <v>45175</v>
    <v>Limburg</v>
    <v>4</v>
    <v>J</v>
    <v>J</v>
    <v>J</v>
    <v>N</v>
    <v>J</v>
    <v>16</v>
    <v>Beverlo</v>
    <v>120</v>
    <v>Onderhoud Beverlo</v>
    <v>152</v>
    <v>5033</v>
    <v>5033</v>
    <v>Lage vloer streek</v>
    <v>Gelede bus</v>
    <v>Bus</v>
  </rv>
  <rv s="0">
    <v>0</v>
    <v>5034</v>
    <v>1</v>
    <v>Generic</v>
    <v>213C</v>
    <v>4</v>
    <v>1</v>
    <v>39259</v>
    <v>45175</v>
    <v>Limburg</v>
    <v>4</v>
    <v>J</v>
    <v>J</v>
    <v>J</v>
    <v>N</v>
    <v>J</v>
    <v>16</v>
    <v>Beverlo</v>
    <v>120</v>
    <v>Onderhoud Beverlo</v>
    <v>152</v>
    <v>5034</v>
    <v>5034</v>
    <v>Lage vloer streek</v>
    <v>Gelede bus</v>
    <v>Bus</v>
  </rv>
  <rv s="0">
    <v>0</v>
    <v>5035</v>
    <v>1</v>
    <v>Generic</v>
    <v>213C</v>
    <v>4</v>
    <v>1</v>
    <v>39259</v>
    <v>45175</v>
    <v>Limburg</v>
    <v>4</v>
    <v>J</v>
    <v>J</v>
    <v>J</v>
    <v>N</v>
    <v>J</v>
    <v>16</v>
    <v>Beverlo</v>
    <v>120</v>
    <v>Onderhoud Beverlo</v>
    <v>152</v>
    <v>5035</v>
    <v>5035</v>
    <v>Lage vloer streek</v>
    <v>Gelede bus</v>
    <v>Bus</v>
  </rv>
  <rv s="0">
    <v>0</v>
    <v>5036</v>
    <v>1</v>
    <v>Generic</v>
    <v>213C</v>
    <v>4</v>
    <v>1</v>
    <v>39259</v>
    <v>45175</v>
    <v>Limburg</v>
    <v>4</v>
    <v>J</v>
    <v>J</v>
    <v>J</v>
    <v>N</v>
    <v>J</v>
    <v>16</v>
    <v>Beverlo</v>
    <v>120</v>
    <v>Onderhoud Beverlo</v>
    <v>152</v>
    <v>5036</v>
    <v>5036</v>
    <v>Lage vloer streek</v>
    <v>Gelede bus</v>
    <v>Bus</v>
  </rv>
  <rv s="0">
    <v>0</v>
    <v>5037</v>
    <v>1</v>
    <v>Generic</v>
    <v>213C</v>
    <v>4</v>
    <v>1</v>
    <v>39260</v>
    <v>45175</v>
    <v>Limburg</v>
    <v>4</v>
    <v>J</v>
    <v>J</v>
    <v>J</v>
    <v>N</v>
    <v>J</v>
    <v>16</v>
    <v>Beverlo</v>
    <v>120</v>
    <v>Onderhoud Beverlo</v>
    <v>152</v>
    <v>5037</v>
    <v>5037</v>
    <v>Lage vloer streek</v>
    <v>Gelede bus</v>
    <v>Bus</v>
  </rv>
  <rv s="0">
    <v>0</v>
    <v>5038</v>
    <v>1</v>
    <v>Generic</v>
    <v>213C</v>
    <v>4</v>
    <v>1</v>
    <v>39268</v>
    <v>45175</v>
    <v>Limburg</v>
    <v>4</v>
    <v>J</v>
    <v>J</v>
    <v>J</v>
    <v>N</v>
    <v>J</v>
    <v>16</v>
    <v>Beverlo</v>
    <v>120</v>
    <v>Onderhoud Beverlo</v>
    <v>152</v>
    <v>5038</v>
    <v>5038</v>
    <v>Lage vloer streek</v>
    <v>Gelede bus</v>
    <v>Bus</v>
  </rv>
  <rv s="0">
    <v>0</v>
    <v>5039</v>
    <v>1</v>
    <v>Generic</v>
    <v>213C</v>
    <v>4</v>
    <v>1</v>
    <v>39273</v>
    <v>45175</v>
    <v>Oost-Vlaanderen</v>
    <v>2</v>
    <v>J</v>
    <v>J</v>
    <v>J</v>
    <v>N</v>
    <v>J</v>
    <v>16</v>
    <v>Gentbrugge</v>
    <v>112</v>
    <v>Werkhuis Gentbrugge</v>
    <v>141</v>
    <v>5039</v>
    <v>5039</v>
    <v>Lage vloer streek</v>
    <v>Gelede bus</v>
    <v>Bus</v>
  </rv>
  <rv s="0">
    <v>0</v>
    <v>5040</v>
    <v>1</v>
    <v>Generic</v>
    <v>213C</v>
    <v>4</v>
    <v>1</v>
    <v>39273</v>
    <v>45175</v>
    <v>Oost-Vlaanderen</v>
    <v>2</v>
    <v>J</v>
    <v>J</v>
    <v>J</v>
    <v>N</v>
    <v>J</v>
    <v>16</v>
    <v>Gentbrugge</v>
    <v>112</v>
    <v>Werkhuis Gentbrugge</v>
    <v>141</v>
    <v>5040</v>
    <v>5040</v>
    <v>Lage vloer streek</v>
    <v>Gelede bus</v>
    <v>Bus</v>
  </rv>
  <rv s="0">
    <v>0</v>
    <v>5041</v>
    <v>1</v>
    <v>Generic</v>
    <v>213C</v>
    <v>4</v>
    <v>1</v>
    <v>39273</v>
    <v>45175</v>
    <v>Oost-Vlaanderen</v>
    <v>2</v>
    <v>J</v>
    <v>J</v>
    <v>J</v>
    <v>N</v>
    <v>J</v>
    <v>16</v>
    <v>Gentbrugge</v>
    <v>112</v>
    <v>Werkhuis Gentbrugge</v>
    <v>141</v>
    <v>5041</v>
    <v>5041</v>
    <v>Lage vloer streek</v>
    <v>Gelede bus</v>
    <v>Bus</v>
  </rv>
  <rv s="0">
    <v>0</v>
    <v>5042</v>
    <v>1</v>
    <v>Generic</v>
    <v>213C</v>
    <v>4</v>
    <v>1</v>
    <v>39282</v>
    <v>45175</v>
    <v>Oost-Vlaanderen</v>
    <v>2</v>
    <v>J</v>
    <v>J</v>
    <v>J</v>
    <v>N</v>
    <v>J</v>
    <v>16</v>
    <v>Gentbrugge</v>
    <v>112</v>
    <v>Werkhuis Gentbrugge</v>
    <v>141</v>
    <v>5042</v>
    <v>5042</v>
    <v>Lage vloer streek</v>
    <v>Gelede bus</v>
    <v>Bus</v>
  </rv>
  <rv s="0">
    <v>0</v>
    <v>5043</v>
    <v>1</v>
    <v>Generic</v>
    <v>213C</v>
    <v>4</v>
    <v>1</v>
    <v>39282</v>
    <v>45175</v>
    <v>Oost-Vlaanderen</v>
    <v>2</v>
    <v>J</v>
    <v>J</v>
    <v>J</v>
    <v>N</v>
    <v>J</v>
    <v>16</v>
    <v>Gentbrugge</v>
    <v>112</v>
    <v>Werkhuis Gentbrugge</v>
    <v>141</v>
    <v>5043</v>
    <v>5043</v>
    <v>Lage vloer streek</v>
    <v>Gelede bus</v>
    <v>Bus</v>
  </rv>
  <rv s="0">
    <v>0</v>
    <v>5044</v>
    <v>1</v>
    <v>Generic</v>
    <v>213C</v>
    <v>4</v>
    <v>1</v>
    <v>39282</v>
    <v>45175</v>
    <v>Oost-Vlaanderen</v>
    <v>2</v>
    <v>J</v>
    <v>J</v>
    <v>J</v>
    <v>N</v>
    <v>J</v>
    <v>16</v>
    <v>Gentbrugge</v>
    <v>112</v>
    <v>Werkhuis Gentbrugge</v>
    <v>141</v>
    <v>5044</v>
    <v>5044</v>
    <v>Lage vloer streek</v>
    <v>Gelede bus</v>
    <v>Bus</v>
  </rv>
  <rv s="0">
    <v>0</v>
    <v>5045</v>
    <v>1</v>
    <v>Generic</v>
    <v>213C</v>
    <v>4</v>
    <v>1</v>
    <v>39289</v>
    <v>45175</v>
    <v>Oost-Vlaanderen</v>
    <v>2</v>
    <v>J</v>
    <v>J</v>
    <v>J</v>
    <v>N</v>
    <v>J</v>
    <v>16</v>
    <v>Gentbrugge</v>
    <v>112</v>
    <v>Werkhuis Gentbrugge</v>
    <v>141</v>
    <v>5045</v>
    <v>5045</v>
    <v>Lage vloer streek</v>
    <v>Gelede bus</v>
    <v>Bus</v>
  </rv>
  <rv s="0">
    <v>0</v>
    <v>5046</v>
    <v>1</v>
    <v>Generic</v>
    <v>213C</v>
    <v>4</v>
    <v>1</v>
    <v>39289</v>
    <v>45175</v>
    <v>Oost-Vlaanderen</v>
    <v>2</v>
    <v>J</v>
    <v>J</v>
    <v>J</v>
    <v>N</v>
    <v>J</v>
    <v>16</v>
    <v>Gentbrugge</v>
    <v>112</v>
    <v>Werkhuis Gentbrugge</v>
    <v>141</v>
    <v>5046</v>
    <v>5046</v>
    <v>Lage vloer streek</v>
    <v>Gelede bus</v>
    <v>Bus</v>
  </rv>
  <rv s="0">
    <v>0</v>
    <v>5047</v>
    <v>1</v>
    <v>Generic</v>
    <v>213C</v>
    <v>4</v>
    <v>1</v>
    <v>39330</v>
    <v>45175</v>
    <v>Oost-Vlaanderen</v>
    <v>2</v>
    <v>J</v>
    <v>J</v>
    <v>J</v>
    <v>N</v>
    <v>J</v>
    <v>16</v>
    <v>Gentbrugge</v>
    <v>112</v>
    <v>Werkhuis Gentbrugge</v>
    <v>141</v>
    <v>5047</v>
    <v>5047</v>
    <v>Lage vloer streek</v>
    <v>Gelede bus</v>
    <v>Bus</v>
  </rv>
  <rv s="0">
    <v>0</v>
    <v>5048</v>
    <v>1</v>
    <v>Generic</v>
    <v>213C</v>
    <v>4</v>
    <v>1</v>
    <v>39330</v>
    <v>45175</v>
    <v>Oost-Vlaanderen</v>
    <v>2</v>
    <v>J</v>
    <v>J</v>
    <v>J</v>
    <v>N</v>
    <v>J</v>
    <v>16</v>
    <v>Gentbrugge</v>
    <v>112</v>
    <v>Werkhuis Gentbrugge</v>
    <v>141</v>
    <v>5048</v>
    <v>5048</v>
    <v>Lage vloer streek</v>
    <v>Gelede bus</v>
    <v>Bus</v>
  </rv>
  <rv s="0">
    <v>0</v>
    <v>5049</v>
    <v>1</v>
    <v>Generic</v>
    <v>213C</v>
    <v>4</v>
    <v>1</v>
    <v>39330</v>
    <v>45175</v>
    <v>Oost-Vlaanderen</v>
    <v>2</v>
    <v>J</v>
    <v>J</v>
    <v>J</v>
    <v>N</v>
    <v>J</v>
    <v>16</v>
    <v>Gentbrugge</v>
    <v>112</v>
    <v>Werkhuis Gentbrugge</v>
    <v>141</v>
    <v>5049</v>
    <v>5049</v>
    <v>Lage vloer streek</v>
    <v>Gelede bus</v>
    <v>Bus</v>
  </rv>
  <rv s="0">
    <v>0</v>
    <v>5050</v>
    <v>1</v>
    <v>Generic</v>
    <v>213C</v>
    <v>4</v>
    <v>1</v>
    <v>39337</v>
    <v>45175</v>
    <v>Oost-Vlaanderen</v>
    <v>2</v>
    <v>J</v>
    <v>J</v>
    <v>J</v>
    <v>N</v>
    <v>J</v>
    <v>16</v>
    <v>Gentbrugge</v>
    <v>112</v>
    <v>Werkhuis Gentbrugge</v>
    <v>141</v>
    <v>5050</v>
    <v>5050</v>
    <v>Lage vloer streek</v>
    <v>Gelede bus</v>
    <v>Bus</v>
  </rv>
  <rv s="0">
    <v>0</v>
    <v>5051</v>
    <v>1</v>
    <v>Generic</v>
    <v>213C</v>
    <v>4</v>
    <v>1</v>
    <v>39337</v>
    <v>45175</v>
    <v>Oost-Vlaanderen</v>
    <v>2</v>
    <v>J</v>
    <v>J</v>
    <v>J</v>
    <v>N</v>
    <v>J</v>
    <v>16</v>
    <v>Gentbrugge</v>
    <v>112</v>
    <v>Werkhuis Gentbrugge</v>
    <v>141</v>
    <v>5051</v>
    <v>5051</v>
    <v>Lage vloer streek</v>
    <v>Gelede bus</v>
    <v>Bus</v>
  </rv>
  <rv s="0">
    <v>0</v>
    <v>5052</v>
    <v>1</v>
    <v>Generic</v>
    <v>213C</v>
    <v>4</v>
    <v>1</v>
    <v>39337</v>
    <v>45175</v>
    <v>Oost-Vlaanderen</v>
    <v>2</v>
    <v>J</v>
    <v>J</v>
    <v>J</v>
    <v>N</v>
    <v>J</v>
    <v>16</v>
    <v>Gentbrugge</v>
    <v>112</v>
    <v>Werkhuis Gentbrugge</v>
    <v>141</v>
    <v>5052</v>
    <v>5052</v>
    <v>Lage vloer streek</v>
    <v>Gelede bus</v>
    <v>Bus</v>
  </rv>
  <rv s="0">
    <v>0</v>
    <v>5053</v>
    <v>1</v>
    <v>Generic</v>
    <v>213C</v>
    <v>4</v>
    <v>1</v>
    <v>39345</v>
    <v>45175</v>
    <v>Oost-Vlaanderen</v>
    <v>2</v>
    <v>J</v>
    <v>J</v>
    <v>J</v>
    <v>N</v>
    <v>J</v>
    <v>16</v>
    <v>Gentbrugge</v>
    <v>112</v>
    <v>Werkhuis Gentbrugge</v>
    <v>141</v>
    <v>5053</v>
    <v>5053</v>
    <v>Lage vloer streek</v>
    <v>Gelede bus</v>
    <v>Bus</v>
  </rv>
  <rv s="0">
    <v>0</v>
    <v>5054</v>
    <v>1</v>
    <v>Generic</v>
    <v>213C</v>
    <v>4</v>
    <v>1</v>
    <v>39349</v>
    <v>45175</v>
    <v>Oost-Vlaanderen</v>
    <v>2</v>
    <v>J</v>
    <v>J</v>
    <v>J</v>
    <v>N</v>
    <v>J</v>
    <v>16</v>
    <v>Gentbrugge</v>
    <v>112</v>
    <v>Werkhuis Gentbrugge</v>
    <v>141</v>
    <v>5054</v>
    <v>5054</v>
    <v>Lage vloer streek</v>
    <v>Gelede bus</v>
    <v>Bus</v>
  </rv>
  <rv s="0">
    <v>0</v>
    <v>5055</v>
    <v>1</v>
    <v>Generic</v>
    <v>213C</v>
    <v>4</v>
    <v>1</v>
    <v>39350</v>
    <v>45175</v>
    <v>Vlaams-Brabant</v>
    <v>3</v>
    <v>J</v>
    <v>J</v>
    <v>J</v>
    <v>N</v>
    <v>J</v>
    <v>16</v>
    <v>Het Rad</v>
    <v>111</v>
    <v>Onderhoud Het Rad</v>
    <v>147</v>
    <v>5055</v>
    <v>5055</v>
    <v>Lage vloer streek</v>
    <v>Gelede bus</v>
    <v>Bus</v>
  </rv>
  <rv s="0">
    <v>0</v>
    <v>5056</v>
    <v>1</v>
    <v>Generic</v>
    <v>213C</v>
    <v>4</v>
    <v>1</v>
    <v>39350</v>
    <v>45175</v>
    <v>Vlaams-Brabant</v>
    <v>3</v>
    <v>J</v>
    <v>J</v>
    <v>J</v>
    <v>N</v>
    <v>J</v>
    <v>16</v>
    <v>Het Rad</v>
    <v>111</v>
    <v>Onderhoud Het Rad</v>
    <v>147</v>
    <v>5056</v>
    <v>5056</v>
    <v>Lage vloer streek</v>
    <v>Gelede bus</v>
    <v>Bus</v>
  </rv>
  <rv s="0">
    <v>0</v>
    <v>5057</v>
    <v>1</v>
    <v>Generic</v>
    <v>213C</v>
    <v>4</v>
    <v>1</v>
    <v>39351</v>
    <v>45175</v>
    <v>Vlaams-Brabant</v>
    <v>3</v>
    <v>J</v>
    <v>J</v>
    <v>J</v>
    <v>N</v>
    <v>J</v>
    <v>16</v>
    <v>Het Rad</v>
    <v>111</v>
    <v>Onderhoud Het Rad</v>
    <v>147</v>
    <v>5057</v>
    <v>5057</v>
    <v>Lage vloer streek</v>
    <v>Gelede bus</v>
    <v>Bus</v>
  </rv>
  <rv s="0">
    <v>0</v>
    <v>5058</v>
    <v>1</v>
    <v>Generic</v>
    <v>213C</v>
    <v>4</v>
    <v>1</v>
    <v>39367</v>
    <v>45175</v>
    <v>Vlaams-Brabant</v>
    <v>3</v>
    <v>J</v>
    <v>J</v>
    <v>J</v>
    <v>N</v>
    <v>J</v>
    <v>16</v>
    <v>Het Rad</v>
    <v>111</v>
    <v>Onderhoud Het Rad</v>
    <v>147</v>
    <v>5058</v>
    <v>5058</v>
    <v>Lage vloer streek</v>
    <v>Gelede bus</v>
    <v>Bus</v>
  </rv>
  <rv s="0">
    <v>0</v>
    <v>5059</v>
    <v>1</v>
    <v>Generic</v>
    <v>213C</v>
    <v>4</v>
    <v>1</v>
    <v>39351</v>
    <v>45175</v>
    <v>Vlaams-Brabant</v>
    <v>3</v>
    <v>J</v>
    <v>J</v>
    <v>J</v>
    <v>N</v>
    <v>J</v>
    <v>16</v>
    <v>Het Rad</v>
    <v>111</v>
    <v>Onderhoud Het Rad</v>
    <v>147</v>
    <v>5059</v>
    <v>5059</v>
    <v>Lage vloer streek</v>
    <v>Gelede bus</v>
    <v>Bus</v>
  </rv>
  <rv s="0">
    <v>0</v>
    <v>5060</v>
    <v>1</v>
    <v>Generic</v>
    <v>213C</v>
    <v>4</v>
    <v>1</v>
    <v>39358</v>
    <v>45175</v>
    <v>Limburg</v>
    <v>4</v>
    <v>J</v>
    <v>J</v>
    <v>J</v>
    <v>N</v>
    <v>J</v>
    <v>16</v>
    <v>Kinrooi</v>
    <v>114</v>
    <v>Onderhoud Kinrooi</v>
    <v>151</v>
    <v>5060</v>
    <v>5060</v>
    <v>Lage vloer streek</v>
    <v>Gelede bus</v>
    <v>Bus</v>
  </rv>
  <rv s="0">
    <v>0</v>
    <v>5061</v>
    <v>1</v>
    <v>Generic</v>
    <v>213C</v>
    <v>4</v>
    <v>1</v>
    <v>39358</v>
    <v>45175</v>
    <v>Limburg</v>
    <v>4</v>
    <v>J</v>
    <v>J</v>
    <v>J</v>
    <v>N</v>
    <v>J</v>
    <v>16</v>
    <v>Kinrooi</v>
    <v>114</v>
    <v>Onderhoud Kinrooi</v>
    <v>151</v>
    <v>5061</v>
    <v>5061</v>
    <v>Lage vloer streek</v>
    <v>Gelede bus</v>
    <v>Bus</v>
  </rv>
  <rv s="0">
    <v>0</v>
    <v>5062</v>
    <v>1</v>
    <v>Generic</v>
    <v>213C</v>
    <v>4</v>
    <v>1</v>
    <v>39360</v>
    <v>45175</v>
    <v>Limburg</v>
    <v>4</v>
    <v>J</v>
    <v>J</v>
    <v>J</v>
    <v>N</v>
    <v>J</v>
    <v>16</v>
    <v>De Crutzen</v>
    <v>128</v>
    <v>Onderhoud De Crutzen</v>
    <v>155</v>
    <v>5062</v>
    <v>5062</v>
    <v>Lage vloer streek</v>
    <v>Gelede bus</v>
    <v>Bus</v>
  </rv>
  <rv s="0">
    <v>0</v>
    <v>5063</v>
    <v>1</v>
    <v>Generic</v>
    <v>213C</v>
    <v>4</v>
    <v>1</v>
    <v>39360</v>
    <v>45175</v>
    <v>Limburg</v>
    <v>4</v>
    <v>J</v>
    <v>J</v>
    <v>J</v>
    <v>N</v>
    <v>J</v>
    <v>16</v>
    <v>De Crutzen</v>
    <v>128</v>
    <v>Onderhoud De Crutzen</v>
    <v>155</v>
    <v>5063</v>
    <v>5063</v>
    <v>Lage vloer streek</v>
    <v>Gelede bus</v>
    <v>Bus</v>
  </rv>
  <rv s="0">
    <v>0</v>
    <v>5079</v>
    <v>1</v>
    <v>Generic</v>
    <v>212A2</v>
    <v>4</v>
    <v>1</v>
    <v>39183</v>
    <v>45175</v>
    <v>Limburg</v>
    <v>4</v>
    <v>N</v>
    <v>J</v>
    <v>J</v>
    <v>N</v>
    <v>J</v>
    <v>16</v>
    <v>De Crutzen</v>
    <v>128</v>
    <v>Onderhoud De Crutzen</v>
    <v>155</v>
    <v>5079</v>
    <v>5079</v>
    <v>Lage vloer streek</v>
    <v>12-m bus</v>
    <v>Bus</v>
  </rv>
  <rv s="0">
    <v>0</v>
    <v>5080</v>
    <v>1</v>
    <v>Generic</v>
    <v>212A2</v>
    <v>4</v>
    <v>1</v>
    <v>39183</v>
    <v>45175</v>
    <v>Limburg</v>
    <v>4</v>
    <v>N</v>
    <v>J</v>
    <v>J</v>
    <v>N</v>
    <v>J</v>
    <v>16</v>
    <v>De Crutzen</v>
    <v>128</v>
    <v>Onderhoud De Crutzen</v>
    <v>155</v>
    <v>5080</v>
    <v>5080</v>
    <v>Lage vloer streek</v>
    <v>12-m bus</v>
    <v>Bus</v>
  </rv>
  <rv s="0">
    <v>0</v>
    <v>5082</v>
    <v>1</v>
    <v>Generic</v>
    <v>212A2</v>
    <v>4</v>
    <v>1</v>
    <v>39157</v>
    <v>45175</v>
    <v>Limburg</v>
    <v>4</v>
    <v>N</v>
    <v>J</v>
    <v>J</v>
    <v>N</v>
    <v>J</v>
    <v>17</v>
    <v>De Crutzen</v>
    <v>128</v>
    <v>Onderhoud De Crutzen</v>
    <v>155</v>
    <v>5082</v>
    <v>5082</v>
    <v>Lage vloer streek</v>
    <v>12-m bus</v>
    <v>Bus</v>
  </rv>
  <rv s="0">
    <v>0</v>
    <v>5083</v>
    <v>1</v>
    <v>Generic</v>
    <v>212A2</v>
    <v>4</v>
    <v>1</v>
    <v>39183</v>
    <v>45175</v>
    <v>Limburg</v>
    <v>4</v>
    <v>N</v>
    <v>J</v>
    <v>J</v>
    <v>N</v>
    <v>J</v>
    <v>16</v>
    <v>De Crutzen</v>
    <v>128</v>
    <v>Onderhoud De Crutzen</v>
    <v>155</v>
    <v>5083</v>
    <v>5083</v>
    <v>Lage vloer streek</v>
    <v>12-m bus</v>
    <v>Bus</v>
  </rv>
  <rv s="0">
    <v>0</v>
    <v>5084</v>
    <v>1</v>
    <v>Generic</v>
    <v>212B2</v>
    <v>4</v>
    <v>1</v>
    <v>39126</v>
    <v>45175</v>
    <v>Antwerpen</v>
    <v>1</v>
    <v>N</v>
    <v>J</v>
    <v>J</v>
    <v>N</v>
    <v>J</v>
    <v>17</v>
    <v>Autobussen Berchem</v>
    <v>126</v>
    <v>OC Berchem</v>
    <v>145</v>
    <v>5084</v>
    <v>5084</v>
    <v>Lage vloer stad</v>
    <v>12-m bus</v>
    <v>Bus</v>
  </rv>
  <rv s="0">
    <v>0</v>
    <v>5085</v>
    <v>1</v>
    <v>Generic</v>
    <v>212B2</v>
    <v>4</v>
    <v>1</v>
    <v>39126</v>
    <v>45175</v>
    <v>Antwerpen</v>
    <v>1</v>
    <v>N</v>
    <v>J</v>
    <v>J</v>
    <v>N</v>
    <v>J</v>
    <v>17</v>
    <v>Autobussen Berchem</v>
    <v>126</v>
    <v>OC Berchem</v>
    <v>145</v>
    <v>5085</v>
    <v>5085</v>
    <v>Lage vloer stad</v>
    <v>12-m bus</v>
    <v>Bus</v>
  </rv>
  <rv s="0">
    <v>0</v>
    <v>5088</v>
    <v>1</v>
    <v>Generic</v>
    <v>212B2</v>
    <v>4</v>
    <v>1</v>
    <v>39150</v>
    <v>45175</v>
    <v>Antwerpen</v>
    <v>1</v>
    <v>N</v>
    <v>J</v>
    <v>J</v>
    <v>N</v>
    <v>J</v>
    <v>17</v>
    <v>Autobussen Berchem</v>
    <v>126</v>
    <v>OC Berchem</v>
    <v>145</v>
    <v>5088</v>
    <v>5088</v>
    <v>Lage vloer stad</v>
    <v>12-m bus</v>
    <v>Bus</v>
  </rv>
  <rv s="0">
    <v>0</v>
    <v>5089</v>
    <v>1</v>
    <v>Generic</v>
    <v>213B2</v>
    <v>4</v>
    <v>1</v>
    <v>39479</v>
    <v>45175</v>
    <v>Antwerpen</v>
    <v>1</v>
    <v>J</v>
    <v>J</v>
    <v>J</v>
    <v>N</v>
    <v>J</v>
    <v>16</v>
    <v>Autobussen Berchem</v>
    <v>126</v>
    <v>OC Berchem</v>
    <v>145</v>
    <v>5089</v>
    <v>5089</v>
    <v>Lage vloer stad</v>
    <v>12-m bus</v>
    <v>Bus</v>
  </rv>
  <rv s="0">
    <v>0</v>
    <v>5090</v>
    <v>1</v>
    <v>Generic</v>
    <v>213B2</v>
    <v>4</v>
    <v>1</v>
    <v>39476</v>
    <v>45175</v>
    <v>Antwerpen</v>
    <v>1</v>
    <v>J</v>
    <v>J</v>
    <v>J</v>
    <v>N</v>
    <v>J</v>
    <v>16</v>
    <v>Autobussen Berchem</v>
    <v>126</v>
    <v>OC Berchem</v>
    <v>145</v>
    <v>5090</v>
    <v>5090</v>
    <v>Lage vloer stad</v>
    <v>12-m bus</v>
    <v>Bus</v>
  </rv>
  <rv s="0">
    <v>0</v>
    <v>5091</v>
    <v>1</v>
    <v>Generic</v>
    <v>213B2</v>
    <v>4</v>
    <v>1</v>
    <v>39514</v>
    <v>45175</v>
    <v>Antwerpen</v>
    <v>1</v>
    <v>J</v>
    <v>J</v>
    <v>J</v>
    <v>N</v>
    <v>J</v>
    <v>16</v>
    <v>Autobussen Berchem</v>
    <v>126</v>
    <v>OC Berchem</v>
    <v>145</v>
    <v>5091</v>
    <v>5091</v>
    <v>Lage vloer stad</v>
    <v>12-m bus</v>
    <v>Bus</v>
  </rv>
  <rv s="0">
    <v>0</v>
    <v>5095</v>
    <v>1</v>
    <v>Generic</v>
    <v>214A</v>
    <v>Euro5</v>
    <v>1</v>
    <v>39366</v>
    <v>45175</v>
    <v>Vlaams-Brabant</v>
    <v>3</v>
    <v>J</v>
    <v>J</v>
    <v>J</v>
    <v>J</v>
    <v>J</v>
    <v>16</v>
    <v>Meerbeke</v>
    <v>116</v>
    <v>Onderhoud Dilbeek</v>
    <v>146</v>
    <v>5095</v>
    <v>5095</v>
    <v>Lage vloer streek</v>
    <v>12-m bus</v>
    <v>Bus</v>
  </rv>
  <rv s="0">
    <v>0</v>
    <v>5096</v>
    <v>1</v>
    <v>Generic</v>
    <v>214A</v>
    <v>Euro5</v>
    <v>1</v>
    <v>39350</v>
    <v>45175</v>
    <v>Vlaams-Brabant</v>
    <v>3</v>
    <v>J</v>
    <v>J</v>
    <v>J</v>
    <v>J</v>
    <v>J</v>
    <v>16</v>
    <v>Meerbeke</v>
    <v>116</v>
    <v>Onderhoud Dilbeek</v>
    <v>146</v>
    <v>5096</v>
    <v>5096</v>
    <v>Lage vloer streek</v>
    <v>12-m bus</v>
    <v>Bus</v>
  </rv>
  <rv s="0">
    <v>0</v>
    <v>5097</v>
    <v>1</v>
    <v>Generic</v>
    <v>214A</v>
    <v>Euro5</v>
    <v>1</v>
    <v>39353</v>
    <v>45175</v>
    <v>Vlaams-Brabant</v>
    <v>3</v>
    <v>J</v>
    <v>J</v>
    <v>J</v>
    <v>J</v>
    <v>J</v>
    <v>16</v>
    <v>Meerbeke</v>
    <v>116</v>
    <v>Onderhoud Dilbeek</v>
    <v>146</v>
    <v>5097</v>
    <v>5097</v>
    <v>Lage vloer streek</v>
    <v>12-m bus</v>
    <v>Bus</v>
  </rv>
  <rv s="0">
    <v>0</v>
    <v>5098</v>
    <v>1</v>
    <v>Generic</v>
    <v>214A</v>
    <v>Euro5</v>
    <v>1</v>
    <v>39350</v>
    <v>45175</v>
    <v>Vlaams-Brabant</v>
    <v>3</v>
    <v>J</v>
    <v>J</v>
    <v>J</v>
    <v>J</v>
    <v>J</v>
    <v>16</v>
    <v>Meerbeke</v>
    <v>116</v>
    <v>Onderhoud Dilbeek</v>
    <v>146</v>
    <v>5098</v>
    <v>5098</v>
    <v>Lage vloer streek</v>
    <v>12-m bus</v>
    <v>Bus</v>
  </rv>
  <rv s="0">
    <v>0</v>
    <v>5099</v>
    <v>1</v>
    <v>Generic</v>
    <v>214A</v>
    <v>Euro5</v>
    <v>1</v>
    <v>39350</v>
    <v>45175</v>
    <v>Vlaams-Brabant</v>
    <v>3</v>
    <v>J</v>
    <v>J</v>
    <v>J</v>
    <v>J</v>
    <v>J</v>
    <v>16</v>
    <v>Meerbeke</v>
    <v>116</v>
    <v>Onderhoud Dilbeek</v>
    <v>146</v>
    <v>5099</v>
    <v>5099</v>
    <v>Lage vloer streek</v>
    <v>12-m bus</v>
    <v>Bus</v>
  </rv>
  <rv s="0">
    <v>0</v>
    <v>5100</v>
    <v>1</v>
    <v>Generic</v>
    <v>214A</v>
    <v>Euro5</v>
    <v>1</v>
    <v>39353</v>
    <v>45175</v>
    <v>Vlaams-Brabant</v>
    <v>3</v>
    <v>J</v>
    <v>J</v>
    <v>J</v>
    <v>J</v>
    <v>J</v>
    <v>16</v>
    <v>Meerbeke</v>
    <v>116</v>
    <v>Onderhoud Dilbeek</v>
    <v>146</v>
    <v>5100</v>
    <v>5100</v>
    <v>Lage vloer streek</v>
    <v>12-m bus</v>
    <v>Bus</v>
  </rv>
  <rv s="0">
    <v>0</v>
    <v>5101</v>
    <v>1</v>
    <v>Generic</v>
    <v>214A</v>
    <v>Euro5</v>
    <v>1</v>
    <v>39360</v>
    <v>45175</v>
    <v>Vlaams-Brabant</v>
    <v>3</v>
    <v>J</v>
    <v>J</v>
    <v>J</v>
    <v>J</v>
    <v>J</v>
    <v>16</v>
    <v>Meerbeke</v>
    <v>116</v>
    <v>Onderhoud Dilbeek</v>
    <v>146</v>
    <v>5101</v>
    <v>5101</v>
    <v>Lage vloer streek</v>
    <v>12-m bus</v>
    <v>Bus</v>
  </rv>
  <rv s="0">
    <v>0</v>
    <v>5102</v>
    <v>1</v>
    <v>Generic</v>
    <v>214A</v>
    <v>Euro5</v>
    <v>1</v>
    <v>39353</v>
    <v>45175</v>
    <v>Vlaams-Brabant</v>
    <v>3</v>
    <v>J</v>
    <v>J</v>
    <v>J</v>
    <v>J</v>
    <v>J</v>
    <v>16</v>
    <v>Meerbeke</v>
    <v>116</v>
    <v>Onderhoud Dilbeek</v>
    <v>146</v>
    <v>5102</v>
    <v>5102</v>
    <v>Lage vloer streek</v>
    <v>12-m bus</v>
    <v>Bus</v>
  </rv>
  <rv s="0">
    <v>0</v>
    <v>5103</v>
    <v>1</v>
    <v>Generic</v>
    <v>214A</v>
    <v>Euro5</v>
    <v>1</v>
    <v>39359</v>
    <v>45175</v>
    <v>Vlaams-Brabant</v>
    <v>3</v>
    <v>J</v>
    <v>J</v>
    <v>J</v>
    <v>J</v>
    <v>J</v>
    <v>16</v>
    <v>Meerbeke</v>
    <v>116</v>
    <v>Onderhoud Dilbeek</v>
    <v>146</v>
    <v>5103</v>
    <v>5103</v>
    <v>Lage vloer streek</v>
    <v>12-m bus</v>
    <v>Bus</v>
  </rv>
  <rv s="0">
    <v>0</v>
    <v>5104</v>
    <v>1</v>
    <v>Generic</v>
    <v>214A</v>
    <v>Euro5</v>
    <v>1</v>
    <v>39360</v>
    <v>45175</v>
    <v>Vlaams-Brabant</v>
    <v>3</v>
    <v>J</v>
    <v>J</v>
    <v>J</v>
    <v>J</v>
    <v>J</v>
    <v>16</v>
    <v>Meerbeke</v>
    <v>116</v>
    <v>Onderhoud Dilbeek</v>
    <v>146</v>
    <v>5104</v>
    <v>5104</v>
    <v>Lage vloer streek</v>
    <v>12-m bus</v>
    <v>Bus</v>
  </rv>
  <rv s="0">
    <v>0</v>
    <v>5105</v>
    <v>1</v>
    <v>Generic</v>
    <v>214A</v>
    <v>Euro5</v>
    <v>1</v>
    <v>39359</v>
    <v>45175</v>
    <v>Vlaams-Brabant</v>
    <v>3</v>
    <v>J</v>
    <v>J</v>
    <v>J</v>
    <v>J</v>
    <v>J</v>
    <v>16</v>
    <v>Meerbeke</v>
    <v>116</v>
    <v>Onderhoud Dilbeek</v>
    <v>146</v>
    <v>5105</v>
    <v>5105</v>
    <v>Lage vloer streek</v>
    <v>12-m bus</v>
    <v>Bus</v>
  </rv>
  <rv s="0">
    <v>0</v>
    <v>5106</v>
    <v>1</v>
    <v>Generic</v>
    <v>214A</v>
    <v>Euro5</v>
    <v>1</v>
    <v>39360</v>
    <v>45175</v>
    <v>Vlaams-Brabant</v>
    <v>3</v>
    <v>J</v>
    <v>J</v>
    <v>J</v>
    <v>J</v>
    <v>J</v>
    <v>16</v>
    <v>Meerbeke</v>
    <v>116</v>
    <v>Onderhoud Dilbeek</v>
    <v>146</v>
    <v>5106</v>
    <v>5106</v>
    <v>Lage vloer streek</v>
    <v>12-m bus</v>
    <v>Bus</v>
  </rv>
  <rv s="0">
    <v>0</v>
    <v>5107</v>
    <v>1</v>
    <v>Generic</v>
    <v>214A</v>
    <v>Euro5</v>
    <v>1</v>
    <v>39359</v>
    <v>45175</v>
    <v>Vlaams-Brabant</v>
    <v>3</v>
    <v>J</v>
    <v>J</v>
    <v>J</v>
    <v>J</v>
    <v>J</v>
    <v>16</v>
    <v>Meerbeke</v>
    <v>116</v>
    <v>Onderhoud Dilbeek</v>
    <v>146</v>
    <v>5107</v>
    <v>5107</v>
    <v>Lage vloer streek</v>
    <v>12-m bus</v>
    <v>Bus</v>
  </rv>
  <rv s="0">
    <v>0</v>
    <v>5108</v>
    <v>1</v>
    <v>Generic</v>
    <v>214A</v>
    <v>Euro5</v>
    <v>1</v>
    <v>39365</v>
    <v>45175</v>
    <v>Vlaams-Brabant</v>
    <v>3</v>
    <v>J</v>
    <v>J</v>
    <v>J</v>
    <v>J</v>
    <v>J</v>
    <v>16</v>
    <v>Dilbeek</v>
    <v>113</v>
    <v>Onderhoud Dilbeek</v>
    <v>146</v>
    <v>5108</v>
    <v>5108</v>
    <v>Lage vloer streek</v>
    <v>12-m bus</v>
    <v>Bus</v>
  </rv>
  <rv s="0">
    <v>0</v>
    <v>5109</v>
    <v>1</v>
    <v>Generic</v>
    <v>214A</v>
    <v>Euro5</v>
    <v>1</v>
    <v>39365</v>
    <v>45175</v>
    <v>Vlaams-Brabant</v>
    <v>3</v>
    <v>J</v>
    <v>J</v>
    <v>J</v>
    <v>J</v>
    <v>J</v>
    <v>16</v>
    <v>Dilbeek</v>
    <v>113</v>
    <v>Onderhoud Dilbeek</v>
    <v>146</v>
    <v>5109</v>
    <v>5109</v>
    <v>Lage vloer streek</v>
    <v>12-m bus</v>
    <v>Bus</v>
  </rv>
  <rv s="0">
    <v>0</v>
    <v>5110</v>
    <v>1</v>
    <v>Generic</v>
    <v>214A</v>
    <v>Euro5</v>
    <v>1</v>
    <v>39365</v>
    <v>45175</v>
    <v>Vlaams-Brabant</v>
    <v>3</v>
    <v>J</v>
    <v>J</v>
    <v>J</v>
    <v>J</v>
    <v>J</v>
    <v>16</v>
    <v>Dilbeek</v>
    <v>113</v>
    <v>Onderhoud Dilbeek</v>
    <v>146</v>
    <v>5110</v>
    <v>5110</v>
    <v>Lage vloer streek</v>
    <v>12-m bus</v>
    <v>Bus</v>
  </rv>
  <rv s="0">
    <v>0</v>
    <v>5111</v>
    <v>1</v>
    <v>Generic</v>
    <v>214A</v>
    <v>Euro5</v>
    <v>1</v>
    <v>39365</v>
    <v>45175</v>
    <v>Vlaams-Brabant</v>
    <v>3</v>
    <v>J</v>
    <v>J</v>
    <v>J</v>
    <v>J</v>
    <v>J</v>
    <v>16</v>
    <v>Dilbeek</v>
    <v>113</v>
    <v>Onderhoud Dilbeek</v>
    <v>146</v>
    <v>5111</v>
    <v>5111</v>
    <v>Lage vloer streek</v>
    <v>12-m bus</v>
    <v>Bus</v>
  </rv>
  <rv s="0">
    <v>0</v>
    <v>5112</v>
    <v>1</v>
    <v>Generic</v>
    <v>214A</v>
    <v>Euro5</v>
    <v>1</v>
    <v>39366</v>
    <v>45175</v>
    <v>Vlaams-Brabant</v>
    <v>3</v>
    <v>J</v>
    <v>J</v>
    <v>J</v>
    <v>J</v>
    <v>J</v>
    <v>16</v>
    <v>Dilbeek</v>
    <v>113</v>
    <v>Onderhoud Dilbeek</v>
    <v>146</v>
    <v>5112</v>
    <v>5112</v>
    <v>Lage vloer streek</v>
    <v>12-m bus</v>
    <v>Bus</v>
  </rv>
  <rv s="0">
    <v>0</v>
    <v>5113</v>
    <v>1</v>
    <v>Generic</v>
    <v>214A</v>
    <v>Euro5</v>
    <v>1</v>
    <v>39366</v>
    <v>45175</v>
    <v>Vlaams-Brabant</v>
    <v>3</v>
    <v>J</v>
    <v>J</v>
    <v>J</v>
    <v>J</v>
    <v>J</v>
    <v>16</v>
    <v>Dilbeek</v>
    <v>113</v>
    <v>Onderhoud Dilbeek</v>
    <v>146</v>
    <v>5113</v>
    <v>5113</v>
    <v>Lage vloer streek</v>
    <v>12-m bus</v>
    <v>Bus</v>
  </rv>
  <rv s="0">
    <v>0</v>
    <v>5114</v>
    <v>1</v>
    <v>Generic</v>
    <v>214A</v>
    <v>Euro5</v>
    <v>1</v>
    <v>39371</v>
    <v>45175</v>
    <v>Vlaams-Brabant</v>
    <v>3</v>
    <v>J</v>
    <v>J</v>
    <v>J</v>
    <v>J</v>
    <v>J</v>
    <v>16</v>
    <v>Dilbeek</v>
    <v>113</v>
    <v>Onderhoud Dilbeek</v>
    <v>146</v>
    <v>5114</v>
    <v>5114</v>
    <v>Lage vloer streek</v>
    <v>12-m bus</v>
    <v>Bus</v>
  </rv>
  <rv s="0">
    <v>0</v>
    <v>5115</v>
    <v>1</v>
    <v>Generic</v>
    <v>214A</v>
    <v>Euro5</v>
    <v>1</v>
    <v>39379</v>
    <v>45175</v>
    <v>Vlaams-Brabant</v>
    <v>3</v>
    <v>J</v>
    <v>J</v>
    <v>J</v>
    <v>J</v>
    <v>J</v>
    <v>16</v>
    <v>Dilbeek</v>
    <v>113</v>
    <v>Onderhoud Dilbeek</v>
    <v>146</v>
    <v>5115</v>
    <v>5115</v>
    <v>Lage vloer streek</v>
    <v>12-m bus</v>
    <v>Bus</v>
  </rv>
  <rv s="0">
    <v>0</v>
    <v>5116</v>
    <v>1</v>
    <v>Generic</v>
    <v>214A</v>
    <v>Euro5</v>
    <v>1</v>
    <v>39373</v>
    <v>45175</v>
    <v>Vlaams-Brabant</v>
    <v>3</v>
    <v>J</v>
    <v>J</v>
    <v>J</v>
    <v>J</v>
    <v>J</v>
    <v>16</v>
    <v>Dilbeek</v>
    <v>113</v>
    <v>Onderhoud Dilbeek</v>
    <v>146</v>
    <v>5116</v>
    <v>5116</v>
    <v>Lage vloer streek</v>
    <v>12-m bus</v>
    <v>Bus</v>
  </rv>
  <rv s="0">
    <v>0</v>
    <v>5117</v>
    <v>1</v>
    <v>Generic</v>
    <v>214A</v>
    <v>Euro5</v>
    <v>1</v>
    <v>39379</v>
    <v>45175</v>
    <v>Vlaams-Brabant</v>
    <v>3</v>
    <v>J</v>
    <v>J</v>
    <v>J</v>
    <v>J</v>
    <v>J</v>
    <v>16</v>
    <v>Dilbeek</v>
    <v>113</v>
    <v>Onderhoud Dilbeek</v>
    <v>146</v>
    <v>5117</v>
    <v>5117</v>
    <v>Lage vloer streek</v>
    <v>12-m bus</v>
    <v>Bus</v>
  </rv>
  <rv s="0">
    <v>0</v>
    <v>5118</v>
    <v>1</v>
    <v>Generic</v>
    <v>214A</v>
    <v>Euro5</v>
    <v>1</v>
    <v>39379</v>
    <v>45175</v>
    <v>Vlaams-Brabant</v>
    <v>3</v>
    <v>J</v>
    <v>J</v>
    <v>J</v>
    <v>J</v>
    <v>J</v>
    <v>16</v>
    <v>Dilbeek</v>
    <v>113</v>
    <v>Onderhoud Dilbeek</v>
    <v>146</v>
    <v>5118</v>
    <v>5118</v>
    <v>Lage vloer streek</v>
    <v>12-m bus</v>
    <v>Bus</v>
  </rv>
  <rv s="0">
    <v>0</v>
    <v>5119</v>
    <v>1</v>
    <v>Generic</v>
    <v>214A</v>
    <v>Euro5</v>
    <v>1</v>
    <v>39379</v>
    <v>45175</v>
    <v>Vlaams-Brabant</v>
    <v>3</v>
    <v>J</v>
    <v>J</v>
    <v>J</v>
    <v>J</v>
    <v>J</v>
    <v>16</v>
    <v>Dilbeek</v>
    <v>113</v>
    <v>Onderhoud Dilbeek</v>
    <v>146</v>
    <v>5119</v>
    <v>5119</v>
    <v>Lage vloer streek</v>
    <v>12-m bus</v>
    <v>Bus</v>
  </rv>
  <rv s="0">
    <v>0</v>
    <v>5120</v>
    <v>1</v>
    <v>Generic</v>
    <v>214A</v>
    <v>Euro5</v>
    <v>1</v>
    <v>39381</v>
    <v>45175</v>
    <v>Vlaams-Brabant</v>
    <v>3</v>
    <v>J</v>
    <v>J</v>
    <v>J</v>
    <v>J</v>
    <v>J</v>
    <v>16</v>
    <v>Dilbeek</v>
    <v>113</v>
    <v>Onderhoud Dilbeek</v>
    <v>146</v>
    <v>5120</v>
    <v>5120</v>
    <v>Lage vloer streek</v>
    <v>12-m bus</v>
    <v>Bus</v>
  </rv>
  <rv s="0">
    <v>0</v>
    <v>5121</v>
    <v>1</v>
    <v>Generic</v>
    <v>214A</v>
    <v>Euro5</v>
    <v>1</v>
    <v>39381</v>
    <v>45175</v>
    <v>Vlaams-Brabant</v>
    <v>3</v>
    <v>J</v>
    <v>J</v>
    <v>J</v>
    <v>J</v>
    <v>J</v>
    <v>16</v>
    <v>Dilbeek</v>
    <v>113</v>
    <v>Onderhoud Dilbeek</v>
    <v>146</v>
    <v>5121</v>
    <v>5121</v>
    <v>Lage vloer streek</v>
    <v>12-m bus</v>
    <v>Bus</v>
  </rv>
  <rv s="0">
    <v>0</v>
    <v>5122</v>
    <v>1</v>
    <v>Generic</v>
    <v>214A</v>
    <v>Euro5</v>
    <v>1</v>
    <v>39381</v>
    <v>45175</v>
    <v>Vlaams-Brabant</v>
    <v>3</v>
    <v>J</v>
    <v>J</v>
    <v>J</v>
    <v>J</v>
    <v>J</v>
    <v>16</v>
    <v>Dilbeek</v>
    <v>113</v>
    <v>Onderhoud Dilbeek</v>
    <v>146</v>
    <v>5122</v>
    <v>5122</v>
    <v>Lage vloer streek</v>
    <v>12-m bus</v>
    <v>Bus</v>
  </rv>
  <rv s="0">
    <v>0</v>
    <v>5123</v>
    <v>1</v>
    <v>Generic</v>
    <v>214A</v>
    <v>Euro5</v>
    <v>1</v>
    <v>39391</v>
    <v>45175</v>
    <v>Vlaams-Brabant</v>
    <v>3</v>
    <v>J</v>
    <v>J</v>
    <v>J</v>
    <v>J</v>
    <v>J</v>
    <v>16</v>
    <v>Dilbeek</v>
    <v>113</v>
    <v>Onderhoud Dilbeek</v>
    <v>146</v>
    <v>5123</v>
    <v>5123</v>
    <v>Lage vloer streek</v>
    <v>12-m bus</v>
    <v>Bus</v>
  </rv>
  <rv s="0">
    <v>0</v>
    <v>5124</v>
    <v>1</v>
    <v>Generic</v>
    <v>214A</v>
    <v>Euro5</v>
    <v>1</v>
    <v>39394</v>
    <v>45175</v>
    <v>Vlaams-Brabant</v>
    <v>3</v>
    <v>J</v>
    <v>J</v>
    <v>J</v>
    <v>J</v>
    <v>J</v>
    <v>16</v>
    <v>Dilbeek</v>
    <v>113</v>
    <v>Onderhoud Dilbeek</v>
    <v>146</v>
    <v>5124</v>
    <v>5124</v>
    <v>Lage vloer streek</v>
    <v>12-m bus</v>
    <v>Bus</v>
  </rv>
  <rv s="0">
    <v>0</v>
    <v>5125</v>
    <v>1</v>
    <v>Generic</v>
    <v>214A</v>
    <v>Euro5</v>
    <v>1</v>
    <v>39391</v>
    <v>45175</v>
    <v>Vlaams-Brabant</v>
    <v>3</v>
    <v>J</v>
    <v>J</v>
    <v>J</v>
    <v>J</v>
    <v>J</v>
    <v>16</v>
    <v>Dilbeek</v>
    <v>113</v>
    <v>Onderhoud Dilbeek</v>
    <v>146</v>
    <v>5125</v>
    <v>5125</v>
    <v>Lage vloer streek</v>
    <v>12-m bus</v>
    <v>Bus</v>
  </rv>
  <rv s="0">
    <v>0</v>
    <v>5126</v>
    <v>1</v>
    <v>Generic</v>
    <v>214A</v>
    <v>Euro5</v>
    <v>1</v>
    <v>39548</v>
    <v>45175</v>
    <v>Limburg</v>
    <v>4</v>
    <v>J</v>
    <v>J</v>
    <v>J</v>
    <v>J</v>
    <v>J</v>
    <v>15</v>
    <v>TONGEREN</v>
    <v>126</v>
    <v>ONDERHOUD TONGEREN - NIEUW</v>
    <v>154</v>
    <v>5126</v>
    <v>5126</v>
    <v>Lage vloer streek</v>
    <v>12-m bus</v>
    <v>Bus</v>
  </rv>
  <rv s="0">
    <v>0</v>
    <v>5127</v>
    <v>1</v>
    <v>Generic</v>
    <v>214A</v>
    <v>Euro5</v>
    <v>1</v>
    <v>39548</v>
    <v>45175</v>
    <v>Limburg</v>
    <v>4</v>
    <v>J</v>
    <v>J</v>
    <v>J</v>
    <v>J</v>
    <v>J</v>
    <v>15</v>
    <v>TONGEREN</v>
    <v>126</v>
    <v>ONDERHOUD TONGEREN - NIEUW</v>
    <v>154</v>
    <v>5127</v>
    <v>5127</v>
    <v>Lage vloer streek</v>
    <v>12-m bus</v>
    <v>Bus</v>
  </rv>
  <rv s="0">
    <v>0</v>
    <v>5128</v>
    <v>1</v>
    <v>Generic</v>
    <v>214A</v>
    <v>Euro5</v>
    <v>1</v>
    <v>39548</v>
    <v>45175</v>
    <v>Limburg</v>
    <v>4</v>
    <v>J</v>
    <v>J</v>
    <v>J</v>
    <v>J</v>
    <v>J</v>
    <v>15</v>
    <v>TONGEREN</v>
    <v>126</v>
    <v>ONDERHOUD TONGEREN - NIEUW</v>
    <v>154</v>
    <v>5128</v>
    <v>5128</v>
    <v>Lage vloer streek</v>
    <v>12-m bus</v>
    <v>Bus</v>
  </rv>
  <rv s="0">
    <v>0</v>
    <v>5129</v>
    <v>1</v>
    <v>Generic</v>
    <v>214A</v>
    <v>Euro5</v>
    <v>1</v>
    <v>39548</v>
    <v>45175</v>
    <v>Limburg</v>
    <v>4</v>
    <v>J</v>
    <v>J</v>
    <v>J</v>
    <v>J</v>
    <v>J</v>
    <v>15</v>
    <v>TONGEREN</v>
    <v>126</v>
    <v>ONDERHOUD TONGEREN - NIEUW</v>
    <v>154</v>
    <v>5129</v>
    <v>5129</v>
    <v>Lage vloer streek</v>
    <v>12-m bus</v>
    <v>Bus</v>
  </rv>
  <rv s="0">
    <v>0</v>
    <v>5130</v>
    <v>1</v>
    <v>Generic</v>
    <v>214A</v>
    <v>Euro5</v>
    <v>1</v>
    <v>39548</v>
    <v>45175</v>
    <v>Limburg</v>
    <v>4</v>
    <v>J</v>
    <v>J</v>
    <v>J</v>
    <v>J</v>
    <v>J</v>
    <v>15</v>
    <v>TONGEREN</v>
    <v>126</v>
    <v>ONDERHOUD TONGEREN - NIEUW</v>
    <v>154</v>
    <v>5130</v>
    <v>5130</v>
    <v>Lage vloer streek</v>
    <v>12-m bus</v>
    <v>Bus</v>
  </rv>
  <rv s="0">
    <v>0</v>
    <v>5131</v>
    <v>1</v>
    <v>Generic</v>
    <v>214A</v>
    <v>Euro5</v>
    <v>1</v>
    <v>39548</v>
    <v>45175</v>
    <v>Limburg</v>
    <v>4</v>
    <v>J</v>
    <v>J</v>
    <v>J</v>
    <v>J</v>
    <v>J</v>
    <v>15</v>
    <v>TONGEREN</v>
    <v>126</v>
    <v>ONDERHOUD TONGEREN - NIEUW</v>
    <v>154</v>
    <v>5131</v>
    <v>5131</v>
    <v>Lage vloer streek</v>
    <v>12-m bus</v>
    <v>Bus</v>
  </rv>
  <rv s="0">
    <v>0</v>
    <v>5132</v>
    <v>1</v>
    <v>Generic</v>
    <v>214A</v>
    <v>Euro5</v>
    <v>1</v>
    <v>39548</v>
    <v>45175</v>
    <v>Limburg</v>
    <v>4</v>
    <v>J</v>
    <v>J</v>
    <v>J</v>
    <v>J</v>
    <v>J</v>
    <v>15</v>
    <v>TONGEREN</v>
    <v>126</v>
    <v>ONDERHOUD TONGEREN - NIEUW</v>
    <v>154</v>
    <v>5132</v>
    <v>5132</v>
    <v>Lage vloer streek</v>
    <v>12-m bus</v>
    <v>Bus</v>
  </rv>
  <rv s="0">
    <v>0</v>
    <v>5133</v>
    <v>1</v>
    <v>Generic</v>
    <v>214A</v>
    <v>Euro5</v>
    <v>1</v>
    <v>39552</v>
    <v>45175</v>
    <v>Limburg</v>
    <v>4</v>
    <v>J</v>
    <v>J</v>
    <v>J</v>
    <v>J</v>
    <v>J</v>
    <v>15</v>
    <v>TONGEREN</v>
    <v>126</v>
    <v>ONDERHOUD TONGEREN - NIEUW</v>
    <v>154</v>
    <v>5133</v>
    <v>5133</v>
    <v>Lage vloer streek</v>
    <v>12-m bus</v>
    <v>Bus</v>
  </rv>
  <rv s="0">
    <v>0</v>
    <v>5134</v>
    <v>1</v>
    <v>Generic</v>
    <v>214A</v>
    <v>Euro5</v>
    <v>1</v>
    <v>39552</v>
    <v>45175</v>
    <v>Limburg</v>
    <v>4</v>
    <v>J</v>
    <v>J</v>
    <v>J</v>
    <v>J</v>
    <v>J</v>
    <v>15</v>
    <v>TONGEREN</v>
    <v>126</v>
    <v>ONDERHOUD TONGEREN - NIEUW</v>
    <v>154</v>
    <v>5134</v>
    <v>5134</v>
    <v>Lage vloer streek</v>
    <v>12-m bus</v>
    <v>Bus</v>
  </rv>
  <rv s="0">
    <v>0</v>
    <v>5135</v>
    <v>1</v>
    <v>Generic</v>
    <v>214A</v>
    <v>Euro5</v>
    <v>1</v>
    <v>39552</v>
    <v>45175</v>
    <v>Limburg</v>
    <v>4</v>
    <v>J</v>
    <v>J</v>
    <v>J</v>
    <v>J</v>
    <v>J</v>
    <v>15</v>
    <v>TONGEREN</v>
    <v>126</v>
    <v>ONDERHOUD TONGEREN - NIEUW</v>
    <v>154</v>
    <v>5135</v>
    <v>5135</v>
    <v>Lage vloer streek</v>
    <v>12-m bus</v>
    <v>Bus</v>
  </rv>
  <rv s="0">
    <v>0</v>
    <v>5137</v>
    <v>1</v>
    <v>Generic</v>
    <v>214A</v>
    <v>Euro5</v>
    <v>1</v>
    <v>39549</v>
    <v>45175</v>
    <v>West-Vlaanderen</v>
    <v>5</v>
    <v>J</v>
    <v>J</v>
    <v>J</v>
    <v>J</v>
    <v>J</v>
    <v>15</v>
    <v>Ieper</v>
    <v>131</v>
    <v>Onderhoud Ieper</v>
    <v>144</v>
    <v>5137</v>
    <v>5137</v>
    <v>Lage vloer streek</v>
    <v>12-m bus</v>
    <v>Bus</v>
  </rv>
  <rv s="0">
    <v>0</v>
    <v>5138</v>
    <v>1</v>
    <v>Generic</v>
    <v>214A</v>
    <v>Euro5</v>
    <v>1</v>
    <v>39554</v>
    <v>45175</v>
    <v>West-Vlaanderen</v>
    <v>5</v>
    <v>J</v>
    <v>J</v>
    <v>J</v>
    <v>J</v>
    <v>J</v>
    <v>15</v>
    <v>Ieper</v>
    <v>131</v>
    <v>Onderhoud Ieper</v>
    <v>144</v>
    <v>5138</v>
    <v>5138</v>
    <v>Lage vloer streek</v>
    <v>12-m bus</v>
    <v>Bus</v>
  </rv>
  <rv s="0">
    <v>0</v>
    <v>5139</v>
    <v>1</v>
    <v>Generic</v>
    <v>214A</v>
    <v>Euro5</v>
    <v>1</v>
    <v>39554</v>
    <v>45175</v>
    <v>West-Vlaanderen</v>
    <v>5</v>
    <v>J</v>
    <v>J</v>
    <v>J</v>
    <v>J</v>
    <v>J</v>
    <v>15</v>
    <v>Ieper</v>
    <v>131</v>
    <v>Onderhoud Ieper</v>
    <v>144</v>
    <v>5139</v>
    <v>5139</v>
    <v>Lage vloer streek</v>
    <v>12-m bus</v>
    <v>Bus</v>
  </rv>
  <rv s="0">
    <v>0</v>
    <v>5140</v>
    <v>1</v>
    <v>Generic</v>
    <v>214A</v>
    <v>Euro5</v>
    <v>1</v>
    <v>39554</v>
    <v>45175</v>
    <v>West-Vlaanderen</v>
    <v>5</v>
    <v>J</v>
    <v>J</v>
    <v>J</v>
    <v>J</v>
    <v>J</v>
    <v>15</v>
    <v>Ieper</v>
    <v>131</v>
    <v>Onderhoud Ieper</v>
    <v>144</v>
    <v>5140</v>
    <v>5140</v>
    <v>Lage vloer streek</v>
    <v>12-m bus</v>
    <v>Bus</v>
  </rv>
  <rv s="0">
    <v>0</v>
    <v>5141</v>
    <v>1</v>
    <v>Generic</v>
    <v>214A</v>
    <v>Euro5</v>
    <v>1</v>
    <v>39555</v>
    <v>45175</v>
    <v>West-Vlaanderen</v>
    <v>5</v>
    <v>J</v>
    <v>J</v>
    <v>J</v>
    <v>J</v>
    <v>J</v>
    <v>15</v>
    <v>Ieper</v>
    <v>131</v>
    <v>Onderhoud Ieper</v>
    <v>144</v>
    <v>5141</v>
    <v>5141</v>
    <v>Lage vloer streek</v>
    <v>12-m bus</v>
    <v>Bus</v>
  </rv>
  <rv s="0">
    <v>0</v>
    <v>5142</v>
    <v>1</v>
    <v>Generic</v>
    <v>214A</v>
    <v>Euro5</v>
    <v>1</v>
    <v>39555</v>
    <v>45175</v>
    <v>West-Vlaanderen</v>
    <v>5</v>
    <v>J</v>
    <v>J</v>
    <v>J</v>
    <v>J</v>
    <v>J</v>
    <v>15</v>
    <v>Ieper</v>
    <v>131</v>
    <v>Onderhoud Ieper</v>
    <v>144</v>
    <v>5142</v>
    <v>5142</v>
    <v>Lage vloer streek</v>
    <v>12-m bus</v>
    <v>Bus</v>
  </rv>
  <rv s="0">
    <v>0</v>
    <v>5143</v>
    <v>1</v>
    <v>Generic</v>
    <v>214A</v>
    <v>Euro5</v>
    <v>1</v>
    <v>39560</v>
    <v>45175</v>
    <v>West-Vlaanderen</v>
    <v>5</v>
    <v>J</v>
    <v>J</v>
    <v>J</v>
    <v>J</v>
    <v>J</v>
    <v>15</v>
    <v>Ieper</v>
    <v>131</v>
    <v>Onderhoud Ieper</v>
    <v>144</v>
    <v>5143</v>
    <v>5143</v>
    <v>Lage vloer streek</v>
    <v>12-m bus</v>
    <v>Bus</v>
  </rv>
  <rv s="0">
    <v>0</v>
    <v>5144</v>
    <v>1</v>
    <v>Generic</v>
    <v>214A</v>
    <v>Euro5</v>
    <v>1</v>
    <v>39561</v>
    <v>45175</v>
    <v>West-Vlaanderen</v>
    <v>5</v>
    <v>J</v>
    <v>J</v>
    <v>J</v>
    <v>J</v>
    <v>J</v>
    <v>15</v>
    <v>Ieper</v>
    <v>131</v>
    <v>Onderhoud Ieper</v>
    <v>144</v>
    <v>5144</v>
    <v>5144</v>
    <v>Lage vloer streek</v>
    <v>12-m bus</v>
    <v>Bus</v>
  </rv>
  <rv s="0">
    <v>0</v>
    <v>5145</v>
    <v>1</v>
    <v>Generic</v>
    <v>214A</v>
    <v>Euro5</v>
    <v>1</v>
    <v>39562</v>
    <v>45175</v>
    <v>West-Vlaanderen</v>
    <v>5</v>
    <v>J</v>
    <v>J</v>
    <v>J</v>
    <v>J</v>
    <v>J</v>
    <v>15</v>
    <v>Ieper</v>
    <v>131</v>
    <v>Onderhoud Ieper</v>
    <v>144</v>
    <v>5145</v>
    <v>5145</v>
    <v>Lage vloer streek</v>
    <v>12-m bus</v>
    <v>Bus</v>
  </rv>
  <rv s="0">
    <v>0</v>
    <v>5146</v>
    <v>1</v>
    <v>Generic</v>
    <v>214A</v>
    <v>Euro5</v>
    <v>1</v>
    <v>39567</v>
    <v>45175</v>
    <v>West-Vlaanderen</v>
    <v>5</v>
    <v>J</v>
    <v>J</v>
    <v>J</v>
    <v>J</v>
    <v>J</v>
    <v>15</v>
    <v>Ieper</v>
    <v>131</v>
    <v>Onderhoud Ieper</v>
    <v>144</v>
    <v>5146</v>
    <v>5146</v>
    <v>Lage vloer streek</v>
    <v>12-m bus</v>
    <v>Bus</v>
  </rv>
  <rv s="0">
    <v>0</v>
    <v>5147</v>
    <v>1</v>
    <v>Generic</v>
    <v>214A</v>
    <v>Euro5</v>
    <v>1</v>
    <v>39574</v>
    <v>45175</v>
    <v>West-Vlaanderen</v>
    <v>5</v>
    <v>J</v>
    <v>J</v>
    <v>J</v>
    <v>J</v>
    <v>J</v>
    <v>15</v>
    <v>Ieper</v>
    <v>131</v>
    <v>Onderhoud Ieper</v>
    <v>144</v>
    <v>5147</v>
    <v>5147</v>
    <v>Lage vloer streek</v>
    <v>12-m bus</v>
    <v>Bus</v>
  </rv>
  <rv s="0">
    <v>0</v>
    <v>5148</v>
    <v>1</v>
    <v>Generic</v>
    <v>214A</v>
    <v>Euro5</v>
    <v>1</v>
    <v>39576</v>
    <v>45175</v>
    <v>West-Vlaanderen</v>
    <v>5</v>
    <v>J</v>
    <v>J</v>
    <v>J</v>
    <v>J</v>
    <v>J</v>
    <v>15</v>
    <v>Ieper</v>
    <v>131</v>
    <v>Onderhoud Ieper</v>
    <v>144</v>
    <v>5148</v>
    <v>5148</v>
    <v>Lage vloer streek</v>
    <v>12-m bus</v>
    <v>Bus</v>
  </rv>
  <rv s="0">
    <v>0</v>
    <v>5149</v>
    <v>1</v>
    <v>Generic</v>
    <v>214A</v>
    <v>Euro5</v>
    <v>1</v>
    <v>39576</v>
    <v>45175</v>
    <v>West-Vlaanderen</v>
    <v>5</v>
    <v>J</v>
    <v>J</v>
    <v>J</v>
    <v>J</v>
    <v>J</v>
    <v>15</v>
    <v>Ieper</v>
    <v>131</v>
    <v>Onderhoud Ieper</v>
    <v>144</v>
    <v>5149</v>
    <v>5149</v>
    <v>Lage vloer streek</v>
    <v>12-m bus</v>
    <v>Bus</v>
  </rv>
  <rv s="0">
    <v>0</v>
    <v>5150</v>
    <v>1</v>
    <v>Generic</v>
    <v>214A</v>
    <v>Euro5</v>
    <v>1</v>
    <v>39576</v>
    <v>45175</v>
    <v>West-Vlaanderen</v>
    <v>5</v>
    <v>J</v>
    <v>J</v>
    <v>J</v>
    <v>J</v>
    <v>J</v>
    <v>15</v>
    <v>Ieper</v>
    <v>131</v>
    <v>Onderhoud Ieper</v>
    <v>144</v>
    <v>5150</v>
    <v>5150</v>
    <v>Lage vloer streek</v>
    <v>12-m bus</v>
    <v>Bus</v>
  </rv>
  <rv s="0">
    <v>0</v>
    <v>5151</v>
    <v>1</v>
    <v>Generic</v>
    <v>214A</v>
    <v>Euro5</v>
    <v>1</v>
    <v>39577</v>
    <v>45175</v>
    <v>West-Vlaanderen</v>
    <v>5</v>
    <v>J</v>
    <v>J</v>
    <v>J</v>
    <v>J</v>
    <v>J</v>
    <v>15</v>
    <v>Ieper</v>
    <v>131</v>
    <v>Onderhoud Ieper</v>
    <v>144</v>
    <v>5151</v>
    <v>5151</v>
    <v>Lage vloer streek</v>
    <v>12-m bus</v>
    <v>Bus</v>
  </rv>
  <rv s="0">
    <v>0</v>
    <v>5152</v>
    <v>1</v>
    <v>Generic</v>
    <v>214A</v>
    <v>Euro5</v>
    <v>1</v>
    <v>39577</v>
    <v>45175</v>
    <v>West-Vlaanderen</v>
    <v>5</v>
    <v>J</v>
    <v>J</v>
    <v>J</v>
    <v>J</v>
    <v>J</v>
    <v>15</v>
    <v>Kortrijk</v>
    <v>130</v>
    <v>Onderhoud Kortrijk</v>
    <v>145</v>
    <v>5152</v>
    <v>5152</v>
    <v>Lage vloer streek</v>
    <v>12-m bus</v>
    <v>Bus</v>
  </rv>
  <rv s="0">
    <v>0</v>
    <v>5153</v>
    <v>1</v>
    <v>Generic</v>
    <v>214A</v>
    <v>Euro5</v>
    <v>1</v>
    <v>39577</v>
    <v>45175</v>
    <v>West-Vlaanderen</v>
    <v>5</v>
    <v>J</v>
    <v>J</v>
    <v>J</v>
    <v>J</v>
    <v>J</v>
    <v>15</v>
    <v>Oostende Slijkensestwg</v>
    <v>118</v>
    <v>Onderhoud Oostende - bus</v>
    <v>141</v>
    <v>5153</v>
    <v>5153</v>
    <v>Lage vloer streek</v>
    <v>12-m bus</v>
    <v>Bus</v>
  </rv>
  <rv s="0">
    <v>0</v>
    <v>5154</v>
    <v>1</v>
    <v>Generic</v>
    <v>214A</v>
    <v>Euro5</v>
    <v>1</v>
    <v>39582</v>
    <v>45175</v>
    <v>West-Vlaanderen</v>
    <v>5</v>
    <v>J</v>
    <v>J</v>
    <v>J</v>
    <v>J</v>
    <v>J</v>
    <v>15</v>
    <v>Oostende Slijkensestwg</v>
    <v>118</v>
    <v>Onderhoud Oostende - bus</v>
    <v>141</v>
    <v>5154</v>
    <v>5154</v>
    <v>Lage vloer streek</v>
    <v>12-m bus</v>
    <v>Bus</v>
  </rv>
  <rv s="0">
    <v>0</v>
    <v>5155</v>
    <v>1</v>
    <v>Generic</v>
    <v>214A</v>
    <v>Euro5</v>
    <v>1</v>
    <v>39583</v>
    <v>45175</v>
    <v>West-Vlaanderen</v>
    <v>5</v>
    <v>J</v>
    <v>J</v>
    <v>J</v>
    <v>J</v>
    <v>J</v>
    <v>15</v>
    <v>Oostende Slijkensestwg</v>
    <v>118</v>
    <v>Onderhoud Oostende - bus</v>
    <v>141</v>
    <v>5155</v>
    <v>5155</v>
    <v>Lage vloer streek</v>
    <v>12-m bus</v>
    <v>Bus</v>
  </rv>
  <rv s="0">
    <v>0</v>
    <v>5156</v>
    <v>1</v>
    <v>Generic</v>
    <v>214A</v>
    <v>Euro5</v>
    <v>1</v>
    <v>39583</v>
    <v>45175</v>
    <v>West-Vlaanderen</v>
    <v>5</v>
    <v>J</v>
    <v>J</v>
    <v>J</v>
    <v>J</v>
    <v>J</v>
    <v>15</v>
    <v>Oostende Slijkensestwg</v>
    <v>118</v>
    <v>Onderhoud Oostende - bus</v>
    <v>141</v>
    <v>5156</v>
    <v>5156</v>
    <v>Lage vloer streek</v>
    <v>12-m bus</v>
    <v>Bus</v>
  </rv>
  <rv s="0">
    <v>0</v>
    <v>5157</v>
    <v>1</v>
    <v>Generic</v>
    <v>214A</v>
    <v>Euro5</v>
    <v>1</v>
    <v>39587</v>
    <v>45175</v>
    <v>West-Vlaanderen</v>
    <v>5</v>
    <v>J</v>
    <v>J</v>
    <v>J</v>
    <v>J</v>
    <v>J</v>
    <v>15</v>
    <v>Oostende Slijkensestwg</v>
    <v>118</v>
    <v>Onderhoud Oostende - bus</v>
    <v>141</v>
    <v>5157</v>
    <v>5157</v>
    <v>Lage vloer streek</v>
    <v>12-m bus</v>
    <v>Bus</v>
  </rv>
  <rv s="0">
    <v>0</v>
    <v>5158</v>
    <v>1</v>
    <v>Generic</v>
    <v>214A</v>
    <v>Euro5</v>
    <v>1</v>
    <v>39587</v>
    <v>45175</v>
    <v>West-Vlaanderen</v>
    <v>5</v>
    <v>J</v>
    <v>J</v>
    <v>J</v>
    <v>J</v>
    <v>J</v>
    <v>15</v>
    <v>Oostende Slijkensestwg</v>
    <v>118</v>
    <v>Onderhoud Oostende - bus</v>
    <v>141</v>
    <v>5158</v>
    <v>5158</v>
    <v>Lage vloer streek</v>
    <v>12-m bus</v>
    <v>Bus</v>
  </rv>
  <rv s="0">
    <v>0</v>
    <v>5159</v>
    <v>1</v>
    <v>Generic</v>
    <v>214A</v>
    <v>Euro5</v>
    <v>1</v>
    <v>39590</v>
    <v>45175</v>
    <v>West-Vlaanderen</v>
    <v>5</v>
    <v>J</v>
    <v>J</v>
    <v>J</v>
    <v>J</v>
    <v>J</v>
    <v>15</v>
    <v>Oostende Slijkensestwg</v>
    <v>118</v>
    <v>Onderhoud Oostende - bus</v>
    <v>141</v>
    <v>5159</v>
    <v>5159</v>
    <v>Lage vloer streek</v>
    <v>12-m bus</v>
    <v>Bus</v>
  </rv>
  <rv s="0">
    <v>0</v>
    <v>5160</v>
    <v>1</v>
    <v>Generic</v>
    <v>214A</v>
    <v>Euro5</v>
    <v>1</v>
    <v>39590</v>
    <v>45175</v>
    <v>West-Vlaanderen</v>
    <v>5</v>
    <v>J</v>
    <v>J</v>
    <v>J</v>
    <v>J</v>
    <v>J</v>
    <v>15</v>
    <v>Oostende Slijkensestwg</v>
    <v>118</v>
    <v>Onderhoud Oostende - bus</v>
    <v>141</v>
    <v>5160</v>
    <v>5160</v>
    <v>Lage vloer streek</v>
    <v>12-m bus</v>
    <v>Bus</v>
  </rv>
  <rv s="0">
    <v>0</v>
    <v>5161</v>
    <v>1</v>
    <v>Generic</v>
    <v>214A</v>
    <v>Euro5</v>
    <v>1</v>
    <v>39591</v>
    <v>45175</v>
    <v>West-Vlaanderen</v>
    <v>5</v>
    <v>J</v>
    <v>J</v>
    <v>J</v>
    <v>J</v>
    <v>J</v>
    <v>15</v>
    <v>Oostende Slijkensestwg</v>
    <v>118</v>
    <v>Onderhoud Oostende - bus</v>
    <v>141</v>
    <v>5161</v>
    <v>5161</v>
    <v>Lage vloer streek</v>
    <v>12-m bus</v>
    <v>Bus</v>
  </rv>
  <rv s="0">
    <v>0</v>
    <v>5162</v>
    <v>1</v>
    <v>Generic</v>
    <v>214A</v>
    <v>Euro5</v>
    <v>1</v>
    <v>39591</v>
    <v>45175</v>
    <v>West-Vlaanderen</v>
    <v>5</v>
    <v>J</v>
    <v>J</v>
    <v>J</v>
    <v>J</v>
    <v>J</v>
    <v>15</v>
    <v>Oostende Slijkensestwg</v>
    <v>118</v>
    <v>Onderhoud Oostende - bus</v>
    <v>141</v>
    <v>5162</v>
    <v>5162</v>
    <v>Lage vloer streek</v>
    <v>12-m bus</v>
    <v>Bus</v>
  </rv>
  <rv s="0">
    <v>0</v>
    <v>5163</v>
    <v>1</v>
    <v>Generic</v>
    <v>214A</v>
    <v>Euro5</v>
    <v>1</v>
    <v>39596</v>
    <v>45175</v>
    <v>West-Vlaanderen</v>
    <v>5</v>
    <v>J</v>
    <v>J</v>
    <v>J</v>
    <v>J</v>
    <v>J</v>
    <v>15</v>
    <v>Oostende Slijkensestwg</v>
    <v>118</v>
    <v>Onderhoud Oostende - bus</v>
    <v>141</v>
    <v>5163</v>
    <v>5163</v>
    <v>Lage vloer streek</v>
    <v>12-m bus</v>
    <v>Bus</v>
  </rv>
  <rv s="0">
    <v>0</v>
    <v>5164</v>
    <v>1</v>
    <v>Generic</v>
    <v>214A</v>
    <v>Euro5</v>
    <v>1</v>
    <v>39596</v>
    <v>45175</v>
    <v>West-Vlaanderen</v>
    <v>5</v>
    <v>J</v>
    <v>J</v>
    <v>J</v>
    <v>J</v>
    <v>J</v>
    <v>15</v>
    <v>Oostende Slijkensestwg</v>
    <v>118</v>
    <v>Onderhoud Oostende - bus</v>
    <v>141</v>
    <v>5164</v>
    <v>5164</v>
    <v>Lage vloer streek</v>
    <v>12-m bus</v>
    <v>Bus</v>
  </rv>
  <rv s="0">
    <v>0</v>
    <v>5165</v>
    <v>1</v>
    <v>Generic</v>
    <v>214A</v>
    <v>Euro5</v>
    <v>1</v>
    <v>39597</v>
    <v>45175</v>
    <v>West-Vlaanderen</v>
    <v>5</v>
    <v>J</v>
    <v>J</v>
    <v>J</v>
    <v>J</v>
    <v>J</v>
    <v>15</v>
    <v>Oostende Slijkensestwg</v>
    <v>118</v>
    <v>Onderhoud Oostende - bus</v>
    <v>141</v>
    <v>5165</v>
    <v>5165</v>
    <v>Lage vloer streek</v>
    <v>12-m bus</v>
    <v>Bus</v>
  </rv>
  <rv s="0">
    <v>0</v>
    <v>5166</v>
    <v>1</v>
    <v>Generic</v>
    <v>214A</v>
    <v>Euro5</v>
    <v>1</v>
    <v>39597</v>
    <v>45175</v>
    <v>West-Vlaanderen</v>
    <v>5</v>
    <v>J</v>
    <v>J</v>
    <v>J</v>
    <v>J</v>
    <v>J</v>
    <v>15</v>
    <v>Oostende Slijkensestwg</v>
    <v>118</v>
    <v>Onderhoud Oostende - bus</v>
    <v>141</v>
    <v>5166</v>
    <v>5166</v>
    <v>Lage vloer streek</v>
    <v>12-m bus</v>
    <v>Bus</v>
  </rv>
  <rv s="0">
    <v>0</v>
    <v>5167</v>
    <v>1</v>
    <v>Generic</v>
    <v>214A</v>
    <v>Euro5</v>
    <v>1</v>
    <v>39639</v>
    <v>45175</v>
    <v>West-Vlaanderen</v>
    <v>5</v>
    <v>J</v>
    <v>J</v>
    <v>J</v>
    <v>J</v>
    <v>J</v>
    <v>15</v>
    <v>Oostende Slijkensestwg</v>
    <v>118</v>
    <v>Onderhoud Oostende - bus</v>
    <v>141</v>
    <v>5167</v>
    <v>5167</v>
    <v>Lage vloer streek</v>
    <v>12-m bus</v>
    <v>Bus</v>
  </rv>
  <rv s="0">
    <v>0</v>
    <v>5168</v>
    <v>1</v>
    <v>Generic</v>
    <v>214B</v>
    <v>Euro5</v>
    <v>1</v>
    <v>39512</v>
    <v>45175</v>
    <v>Vlaams-Brabant</v>
    <v>3</v>
    <v>J</v>
    <v>J</v>
    <v>J</v>
    <v>J</v>
    <v>J</v>
    <v>16</v>
    <v>Leerbeek</v>
    <v>112</v>
    <v>Onderhoud Leerbeek</v>
    <v>145</v>
    <v>5168</v>
    <v>5168</v>
    <v>Lage vloer streek</v>
    <v>Gelede bus</v>
    <v>Bus</v>
  </rv>
  <rv s="0">
    <v>0</v>
    <v>5169</v>
    <v>1</v>
    <v>Generic</v>
    <v>214B</v>
    <v>Euro5</v>
    <v>1</v>
    <v>39458</v>
    <v>45175</v>
    <v>Vlaams-Brabant</v>
    <v>3</v>
    <v>J</v>
    <v>J</v>
    <v>J</v>
    <v>J</v>
    <v>J</v>
    <v>16</v>
    <v>Leerbeek</v>
    <v>112</v>
    <v>Onderhoud Leerbeek</v>
    <v>145</v>
    <v>5169</v>
    <v>5169</v>
    <v>Lage vloer streek</v>
    <v>Gelede bus</v>
    <v>Bus</v>
  </rv>
  <rv s="0">
    <v>0</v>
    <v>5170</v>
    <v>1</v>
    <v>Generic</v>
    <v>214B</v>
    <v>Euro5</v>
    <v>1</v>
    <v>39472</v>
    <v>45175</v>
    <v>Vlaams-Brabant</v>
    <v>3</v>
    <v>J</v>
    <v>J</v>
    <v>J</v>
    <v>J</v>
    <v>J</v>
    <v>16</v>
    <v>Leerbeek</v>
    <v>112</v>
    <v>Onderhoud Leerbeek</v>
    <v>145</v>
    <v>5170</v>
    <v>5170</v>
    <v>Lage vloer streek</v>
    <v>Gelede bus</v>
    <v>Bus</v>
  </rv>
  <rv s="0">
    <v>0</v>
    <v>5171</v>
    <v>1</v>
    <v>Generic</v>
    <v>214B</v>
    <v>Euro5</v>
    <v>1</v>
    <v>39458</v>
    <v>45175</v>
    <v>Vlaams-Brabant</v>
    <v>3</v>
    <v>J</v>
    <v>J</v>
    <v>J</v>
    <v>J</v>
    <v>J</v>
    <v>16</v>
    <v>Leerbeek</v>
    <v>112</v>
    <v>Onderhoud Leerbeek</v>
    <v>145</v>
    <v>5171</v>
    <v>5171</v>
    <v>Lage vloer streek</v>
    <v>Gelede bus</v>
    <v>Bus</v>
  </rv>
  <rv s="0">
    <v>0</v>
    <v>5172</v>
    <v>1</v>
    <v>Generic</v>
    <v>214B</v>
    <v>Euro5</v>
    <v>1</v>
    <v>39458</v>
    <v>45175</v>
    <v>Vlaams-Brabant</v>
    <v>3</v>
    <v>J</v>
    <v>J</v>
    <v>J</v>
    <v>J</v>
    <v>J</v>
    <v>16</v>
    <v>Leerbeek</v>
    <v>112</v>
    <v>Onderhoud Leerbeek</v>
    <v>145</v>
    <v>5172</v>
    <v>5172</v>
    <v>Lage vloer streek</v>
    <v>Gelede bus</v>
    <v>Bus</v>
  </rv>
  <rv s="0">
    <v>0</v>
    <v>5173</v>
    <v>1</v>
    <v>Generic</v>
    <v>214B</v>
    <v>Euro5</v>
    <v>1</v>
    <v>39458</v>
    <v>45175</v>
    <v>Vlaams-Brabant</v>
    <v>3</v>
    <v>J</v>
    <v>J</v>
    <v>J</v>
    <v>J</v>
    <v>J</v>
    <v>16</v>
    <v>Leerbeek</v>
    <v>112</v>
    <v>Onderhoud Leerbeek</v>
    <v>145</v>
    <v>5173</v>
    <v>5173</v>
    <v>Lage vloer streek</v>
    <v>Gelede bus</v>
    <v>Bus</v>
  </rv>
  <rv s="0">
    <v>0</v>
    <v>5174</v>
    <v>1</v>
    <v>Generic</v>
    <v>214B</v>
    <v>Euro5</v>
    <v>1</v>
    <v>39472</v>
    <v>45175</v>
    <v>Vlaams-Brabant</v>
    <v>3</v>
    <v>J</v>
    <v>J</v>
    <v>J</v>
    <v>J</v>
    <v>J</v>
    <v>16</v>
    <v>De Crutzen</v>
    <v>128</v>
    <v>Onderhoud De Crutzen</v>
    <v>155</v>
    <v>5174</v>
    <v>5174</v>
    <v>Lage vloer streek</v>
    <v>Gelede bus</v>
    <v>Bus</v>
  </rv>
  <rv s="0">
    <v>0</v>
    <v>5175</v>
    <v>1</v>
    <v>Generic</v>
    <v>214B</v>
    <v>Euro5</v>
    <v>1</v>
    <v>39465</v>
    <v>45175</v>
    <v>Vlaams-Brabant</v>
    <v>3</v>
    <v>J</v>
    <v>J</v>
    <v>J</v>
    <v>J</v>
    <v>J</v>
    <v>16</v>
    <v>Leerbeek</v>
    <v>112</v>
    <v>Onderhoud Leerbeek</v>
    <v>145</v>
    <v>5175</v>
    <v>5175</v>
    <v>Lage vloer streek</v>
    <v>Gelede bus</v>
    <v>Bus</v>
  </rv>
  <rv s="0">
    <v>0</v>
    <v>5176</v>
    <v>1</v>
    <v>Generic</v>
    <v>214B</v>
    <v>Euro5</v>
    <v>1</v>
    <v>39472</v>
    <v>45175</v>
    <v>Vlaams-Brabant</v>
    <v>3</v>
    <v>J</v>
    <v>J</v>
    <v>J</v>
    <v>J</v>
    <v>J</v>
    <v>16</v>
    <v>Leerbeek</v>
    <v>112</v>
    <v>Onderhoud Leerbeek</v>
    <v>145</v>
    <v>5176</v>
    <v>5176</v>
    <v>Lage vloer streek</v>
    <v>Gelede bus</v>
    <v>Bus</v>
  </rv>
  <rv s="0">
    <v>0</v>
    <v>5177</v>
    <v>1</v>
    <v>Generic</v>
    <v>214B</v>
    <v>Euro5</v>
    <v>1</v>
    <v>39465</v>
    <v>45175</v>
    <v>Vlaams-Brabant</v>
    <v>3</v>
    <v>J</v>
    <v>J</v>
    <v>J</v>
    <v>J</v>
    <v>J</v>
    <v>16</v>
    <v>Leerbeek</v>
    <v>112</v>
    <v>Onderhoud Leerbeek</v>
    <v>145</v>
    <v>5177</v>
    <v>5177</v>
    <v>Lage vloer streek</v>
    <v>Gelede bus</v>
    <v>Bus</v>
  </rv>
  <rv s="0">
    <v>0</v>
    <v>5178</v>
    <v>1</v>
    <v>Generic</v>
    <v>214B</v>
    <v>Euro5</v>
    <v>1</v>
    <v>39465</v>
    <v>45175</v>
    <v>Vlaams-Brabant</v>
    <v>3</v>
    <v>J</v>
    <v>J</v>
    <v>J</v>
    <v>J</v>
    <v>J</v>
    <v>16</v>
    <v>Het Rad</v>
    <v>111</v>
    <v>Onderhoud Het Rad</v>
    <v>147</v>
    <v>5178</v>
    <v>5178</v>
    <v>Lage vloer streek</v>
    <v>Gelede bus</v>
    <v>Bus</v>
  </rv>
  <rv s="0">
    <v>0</v>
    <v>5179</v>
    <v>1</v>
    <v>Generic</v>
    <v>214B</v>
    <v>Euro5</v>
    <v>1</v>
    <v>39472</v>
    <v>45175</v>
    <v>Vlaams-Brabant</v>
    <v>3</v>
    <v>J</v>
    <v>J</v>
    <v>J</v>
    <v>J</v>
    <v>J</v>
    <v>16</v>
    <v>Het Rad</v>
    <v>111</v>
    <v>Onderhoud Het Rad</v>
    <v>147</v>
    <v>5179</v>
    <v>5179</v>
    <v>Lage vloer streek</v>
    <v>Gelede bus</v>
    <v>Bus</v>
  </rv>
  <rv s="0">
    <v>0</v>
    <v>5180</v>
    <v>1</v>
    <v>Generic</v>
    <v>214B</v>
    <v>Euro5</v>
    <v>1</v>
    <v>39492</v>
    <v>45175</v>
    <v>Vlaams-Brabant</v>
    <v>3</v>
    <v>J</v>
    <v>J</v>
    <v>J</v>
    <v>J</v>
    <v>J</v>
    <v>16</v>
    <v>Het Rad</v>
    <v>111</v>
    <v>Onderhoud Het Rad</v>
    <v>147</v>
    <v>5180</v>
    <v>5180</v>
    <v>Lage vloer streek</v>
    <v>Gelede bus</v>
    <v>Bus</v>
  </rv>
  <rv s="0">
    <v>0</v>
    <v>5181</v>
    <v>1</v>
    <v>Generic</v>
    <v>214B</v>
    <v>Euro5</v>
    <v>1</v>
    <v>39490</v>
    <v>45175</v>
    <v>Vlaams-Brabant</v>
    <v>3</v>
    <v>J</v>
    <v>J</v>
    <v>J</v>
    <v>J</v>
    <v>J</v>
    <v>16</v>
    <v>Het Rad</v>
    <v>111</v>
    <v>Onderhoud Het Rad</v>
    <v>147</v>
    <v>5181</v>
    <v>5181</v>
    <v>Lage vloer streek</v>
    <v>Gelede bus</v>
    <v>Bus</v>
  </rv>
  <rv s="0">
    <v>0</v>
    <v>5182</v>
    <v>1</v>
    <v>Generic</v>
    <v>214B</v>
    <v>Euro5</v>
    <v>1</v>
    <v>39490</v>
    <v>45175</v>
    <v>Vlaams-Brabant</v>
    <v>3</v>
    <v>J</v>
    <v>J</v>
    <v>J</v>
    <v>J</v>
    <v>J</v>
    <v>16</v>
    <v>De Crutzen</v>
    <v>128</v>
    <v>Onderhoud De Crutzen</v>
    <v>155</v>
    <v>5182</v>
    <v>5182</v>
    <v>Lage vloer streek</v>
    <v>Gelede bus</v>
    <v>Bus</v>
  </rv>
  <rv s="0">
    <v>0</v>
    <v>5183</v>
    <v>1</v>
    <v>Generic</v>
    <v>214B</v>
    <v>Euro5</v>
    <v>1</v>
    <v>39492</v>
    <v>45175</v>
    <v>Vlaams-Brabant</v>
    <v>3</v>
    <v>J</v>
    <v>J</v>
    <v>J</v>
    <v>J</v>
    <v>J</v>
    <v>16</v>
    <v>Het Rad</v>
    <v>111</v>
    <v>Onderhoud Het Rad</v>
    <v>147</v>
    <v>5183</v>
    <v>5183</v>
    <v>Lage vloer streek</v>
    <v>Gelede bus</v>
    <v>Bus</v>
  </rv>
  <rv s="0">
    <v>0</v>
    <v>5184</v>
    <v>1</v>
    <v>Generic</v>
    <v>214B</v>
    <v>Euro5</v>
    <v>1</v>
    <v>39472</v>
    <v>45175</v>
    <v>Vlaams-Brabant</v>
    <v>3</v>
    <v>J</v>
    <v>J</v>
    <v>J</v>
    <v>J</v>
    <v>J</v>
    <v>16</v>
    <v>Het Rad</v>
    <v>111</v>
    <v>Onderhoud Het Rad</v>
    <v>147</v>
    <v>5184</v>
    <v>5184</v>
    <v>Lage vloer streek</v>
    <v>Gelede bus</v>
    <v>Bus</v>
  </rv>
  <rv s="0">
    <v>0</v>
    <v>5185</v>
    <v>1</v>
    <v>Generic</v>
    <v>214B</v>
    <v>Euro5</v>
    <v>1</v>
    <v>39504</v>
    <v>45175</v>
    <v>Vlaams-Brabant</v>
    <v>3</v>
    <v>J</v>
    <v>J</v>
    <v>J</v>
    <v>J</v>
    <v>J</v>
    <v>16</v>
    <v>Het Rad</v>
    <v>111</v>
    <v>Onderhoud Het Rad</v>
    <v>147</v>
    <v>5185</v>
    <v>5185</v>
    <v>Lage vloer streek</v>
    <v>Gelede bus</v>
    <v>Bus</v>
  </rv>
  <rv s="0">
    <v>0</v>
    <v>5186</v>
    <v>1</v>
    <v>Generic</v>
    <v>214B</v>
    <v>Euro5</v>
    <v>1</v>
    <v>39504</v>
    <v>45175</v>
    <v>Vlaams-Brabant</v>
    <v>3</v>
    <v>J</v>
    <v>J</v>
    <v>J</v>
    <v>J</v>
    <v>J</v>
    <v>16</v>
    <v>Het Rad</v>
    <v>111</v>
    <v>Onderhoud Het Rad</v>
    <v>147</v>
    <v>5186</v>
    <v>5186</v>
    <v>Lage vloer streek</v>
    <v>Gelede bus</v>
    <v>Bus</v>
  </rv>
  <rv s="0">
    <v>0</v>
    <v>5187</v>
    <v>1</v>
    <v>Generic</v>
    <v>214B</v>
    <v>Euro5</v>
    <v>1</v>
    <v>39506</v>
    <v>45175</v>
    <v>Vlaams-Brabant</v>
    <v>3</v>
    <v>J</v>
    <v>J</v>
    <v>J</v>
    <v>J</v>
    <v>J</v>
    <v>16</v>
    <v>Het Rad</v>
    <v>111</v>
    <v>Onderhoud Het Rad</v>
    <v>147</v>
    <v>5187</v>
    <v>5187</v>
    <v>Lage vloer streek</v>
    <v>Gelede bus</v>
    <v>Bus</v>
  </rv>
  <rv s="0">
    <v>0</v>
    <v>5188</v>
    <v>1</v>
    <v>Generic</v>
    <v>214B</v>
    <v>Euro5</v>
    <v>1</v>
    <v>39504</v>
    <v>45175</v>
    <v>Vlaams-Brabant</v>
    <v>3</v>
    <v>J</v>
    <v>J</v>
    <v>J</v>
    <v>J</v>
    <v>J</v>
    <v>16</v>
    <v>Het Rad</v>
    <v>111</v>
    <v>Onderhoud Het Rad</v>
    <v>147</v>
    <v>5188</v>
    <v>5188</v>
    <v>Lage vloer streek</v>
    <v>Gelede bus</v>
    <v>Bus</v>
  </rv>
  <rv s="0">
    <v>0</v>
    <v>5189</v>
    <v>1</v>
    <v>Generic</v>
    <v>214B</v>
    <v>Euro5</v>
    <v>1</v>
    <v>39506</v>
    <v>45175</v>
    <v>Vlaams-Brabant</v>
    <v>3</v>
    <v>J</v>
    <v>J</v>
    <v>J</v>
    <v>J</v>
    <v>J</v>
    <v>16</v>
    <v>Het Rad</v>
    <v>111</v>
    <v>Onderhoud Het Rad</v>
    <v>147</v>
    <v>5189</v>
    <v>5189</v>
    <v>Lage vloer streek</v>
    <v>Gelede bus</v>
    <v>Bus</v>
  </rv>
  <rv s="0">
    <v>0</v>
    <v>5190</v>
    <v>1</v>
    <v>Generic</v>
    <v>214B</v>
    <v>Euro5</v>
    <v>1</v>
    <v>39526</v>
    <v>45175</v>
    <v>Vlaams-Brabant</v>
    <v>3</v>
    <v>J</v>
    <v>J</v>
    <v>J</v>
    <v>J</v>
    <v>J</v>
    <v>16</v>
    <v>Het Rad</v>
    <v>111</v>
    <v>Onderhoud Het Rad</v>
    <v>147</v>
    <v>5190</v>
    <v>5190</v>
    <v>Lage vloer streek</v>
    <v>Gelede bus</v>
    <v>Bus</v>
  </rv>
  <rv s="0">
    <v>0</v>
    <v>5191</v>
    <v>1</v>
    <v>Generic</v>
    <v>214B</v>
    <v>Euro5</v>
    <v>1</v>
    <v>39512</v>
    <v>45175</v>
    <v>Vlaams-Brabant</v>
    <v>3</v>
    <v>J</v>
    <v>J</v>
    <v>J</v>
    <v>J</v>
    <v>J</v>
    <v>16</v>
    <v>Het Rad</v>
    <v>111</v>
    <v>Onderhoud Het Rad</v>
    <v>147</v>
    <v>5191</v>
    <v>5191</v>
    <v>Lage vloer streek</v>
    <v>Gelede bus</v>
    <v>Bus</v>
  </rv>
  <rv s="0">
    <v>0</v>
    <v>5192</v>
    <v>1</v>
    <v>Generic</v>
    <v>214B</v>
    <v>Euro5</v>
    <v>1</v>
    <v>39527</v>
    <v>45175</v>
    <v>Vlaams-Brabant</v>
    <v>3</v>
    <v>J</v>
    <v>J</v>
    <v>J</v>
    <v>J</v>
    <v>J</v>
    <v>15</v>
    <v>Het Rad</v>
    <v>111</v>
    <v>Onderhoud Het Rad</v>
    <v>147</v>
    <v>5192</v>
    <v>5192</v>
    <v>Lage vloer streek</v>
    <v>Gelede bus</v>
    <v>Bus</v>
  </rv>
  <rv s="0">
    <v>0</v>
    <v>5193</v>
    <v>1</v>
    <v>Generic</v>
    <v>214B</v>
    <v>Euro5</v>
    <v>1</v>
    <v>39653</v>
    <v>45175</v>
    <v>Vlaams-Brabant</v>
    <v>3</v>
    <v>J</v>
    <v>J</v>
    <v>J</v>
    <v>J</v>
    <v>J</v>
    <v>15</v>
    <v>Onbekend</v>
    <v>#</v>
    <v>Onbekend</v>
    <v>#</v>
    <v>5193</v>
    <v>5193</v>
    <v>Lage vloer streek</v>
    <v>Gelede bus</v>
    <v>Bus</v>
  </rv>
  <rv s="0">
    <v>0</v>
    <v>5194</v>
    <v>1</v>
    <v>Generic</v>
    <v>214B</v>
    <v>Euro5</v>
    <v>1</v>
    <v>39583</v>
    <v>45175</v>
    <v>Vlaams-Brabant</v>
    <v>3</v>
    <v>J</v>
    <v>J</v>
    <v>J</v>
    <v>J</v>
    <v>J</v>
    <v>15</v>
    <v>Onbekend</v>
    <v>#</v>
    <v>Onbekend</v>
    <v>#</v>
    <v>5194</v>
    <v>5194</v>
    <v>Lage vloer streek</v>
    <v>Gelede bus</v>
    <v>Bus</v>
  </rv>
  <rv s="0">
    <v>0</v>
    <v>5195</v>
    <v>1</v>
    <v>Generic</v>
    <v>214B</v>
    <v>Euro5</v>
    <v>1</v>
    <v>39527</v>
    <v>45175</v>
    <v>Antwerpen</v>
    <v>1</v>
    <v>J</v>
    <v>J</v>
    <v>J</v>
    <v>J</v>
    <v>J</v>
    <v>15</v>
    <v>Mechelen Racing</v>
    <v>115</v>
    <v>Onderhoud Mechelen</v>
    <v>144</v>
    <v>5195</v>
    <v>5195</v>
    <v>Lage vloer streek</v>
    <v>Gelede bus</v>
    <v>Bus</v>
  </rv>
  <rv s="0">
    <v>0</v>
    <v>5196</v>
    <v>1</v>
    <v>Generic</v>
    <v>214B</v>
    <v>Euro5</v>
    <v>1</v>
    <v>39546</v>
    <v>45175</v>
    <v>Antwerpen</v>
    <v>1</v>
    <v>J</v>
    <v>J</v>
    <v>J</v>
    <v>J</v>
    <v>J</v>
    <v>15</v>
    <v>Mechelen Racing</v>
    <v>115</v>
    <v>Onderhoud Mechelen</v>
    <v>144</v>
    <v>5196</v>
    <v>5196</v>
    <v>Lage vloer streek</v>
    <v>Gelede bus</v>
    <v>Bus</v>
  </rv>
  <rv s="0">
    <v>0</v>
    <v>5197</v>
    <v>1</v>
    <v>Generic</v>
    <v>214B</v>
    <v>Euro5</v>
    <v>1</v>
    <v>39546</v>
    <v>45175</v>
    <v>Antwerpen</v>
    <v>1</v>
    <v>J</v>
    <v>J</v>
    <v>J</v>
    <v>J</v>
    <v>J</v>
    <v>15</v>
    <v>Mechelen Racing</v>
    <v>115</v>
    <v>Onderhoud Mechelen</v>
    <v>144</v>
    <v>5197</v>
    <v>5197</v>
    <v>Lage vloer streek</v>
    <v>Gelede bus</v>
    <v>Bus</v>
  </rv>
  <rv s="0">
    <v>0</v>
    <v>5198</v>
    <v>1</v>
    <v>Generic</v>
    <v>214B</v>
    <v>Euro5</v>
    <v>1</v>
    <v>39546</v>
    <v>45175</v>
    <v>Antwerpen</v>
    <v>1</v>
    <v>J</v>
    <v>J</v>
    <v>J</v>
    <v>J</v>
    <v>J</v>
    <v>15</v>
    <v>Mechelen Racing</v>
    <v>115</v>
    <v>Onderhoud Mechelen</v>
    <v>144</v>
    <v>5198</v>
    <v>5198</v>
    <v>Lage vloer streek</v>
    <v>Gelede bus</v>
    <v>Bus</v>
  </rv>
  <rv s="0">
    <v>0</v>
    <v>5199</v>
    <v>1</v>
    <v>Generic</v>
    <v>214B</v>
    <v>Euro5</v>
    <v>1</v>
    <v>39546</v>
    <v>45175</v>
    <v>Antwerpen</v>
    <v>1</v>
    <v>J</v>
    <v>J</v>
    <v>J</v>
    <v>J</v>
    <v>J</v>
    <v>15</v>
    <v>Mechelen Racing</v>
    <v>115</v>
    <v>Onderhoud Mechelen</v>
    <v>144</v>
    <v>5199</v>
    <v>5199</v>
    <v>Lage vloer streek</v>
    <v>Gelede bus</v>
    <v>Bus</v>
  </rv>
  <rv s="0">
    <v>0</v>
    <v>5200</v>
    <v>1</v>
    <v>Generic</v>
    <v>214B</v>
    <v>Euro5</v>
    <v>1</v>
    <v>39559</v>
    <v>45175</v>
    <v>Antwerpen</v>
    <v>1</v>
    <v>J</v>
    <v>J</v>
    <v>J</v>
    <v>J</v>
    <v>J</v>
    <v>15</v>
    <v>Mechelen Racing</v>
    <v>115</v>
    <v>Onderhoud Mechelen</v>
    <v>144</v>
    <v>5200</v>
    <v>5200</v>
    <v>Lage vloer streek</v>
    <v>Gelede bus</v>
    <v>Bus</v>
  </rv>
  <rv s="0">
    <v>0</v>
    <v>5201</v>
    <v>1</v>
    <v>Generic</v>
    <v>214B</v>
    <v>Euro5</v>
    <v>1</v>
    <v>39548</v>
    <v>45175</v>
    <v>Antwerpen</v>
    <v>1</v>
    <v>J</v>
    <v>J</v>
    <v>J</v>
    <v>J</v>
    <v>J</v>
    <v>15</v>
    <v>Mechelen Racing</v>
    <v>115</v>
    <v>Onderhoud Mechelen</v>
    <v>144</v>
    <v>5201</v>
    <v>5201</v>
    <v>Lage vloer streek</v>
    <v>Gelede bus</v>
    <v>Bus</v>
  </rv>
  <rv s="0">
    <v>0</v>
    <v>5202</v>
    <v>1</v>
    <v>Generic</v>
    <v>214B</v>
    <v>Euro5</v>
    <v>1</v>
    <v>39548</v>
    <v>45175</v>
    <v>Antwerpen</v>
    <v>1</v>
    <v>J</v>
    <v>J</v>
    <v>J</v>
    <v>J</v>
    <v>J</v>
    <v>15</v>
    <v>Turnhout</v>
    <v>122</v>
    <v>Onderhoud Turnhout</v>
    <v>143</v>
    <v>5202</v>
    <v>5202</v>
    <v>Lage vloer streek</v>
    <v>Gelede bus</v>
    <v>Bus</v>
  </rv>
  <rv s="0">
    <v>0</v>
    <v>5203</v>
    <v>1</v>
    <v>Generic</v>
    <v>214B</v>
    <v>Euro5</v>
    <v>1</v>
    <v>39556</v>
    <v>45175</v>
    <v>Antwerpen</v>
    <v>1</v>
    <v>J</v>
    <v>J</v>
    <v>J</v>
    <v>J</v>
    <v>J</v>
    <v>15</v>
    <v>Turnhout</v>
    <v>122</v>
    <v>Onderhoud Turnhout</v>
    <v>143</v>
    <v>5203</v>
    <v>5203</v>
    <v>Lage vloer streek</v>
    <v>Gelede bus</v>
    <v>Bus</v>
  </rv>
  <rv s="0">
    <v>0</v>
    <v>5204</v>
    <v>1</v>
    <v>Generic</v>
    <v>214B</v>
    <v>Euro5</v>
    <v>1</v>
    <v>39559</v>
    <v>45175</v>
    <v>Antwerpen</v>
    <v>1</v>
    <v>J</v>
    <v>J</v>
    <v>J</v>
    <v>J</v>
    <v>J</v>
    <v>15</v>
    <v>Mechelen Racing</v>
    <v>115</v>
    <v>Onderhoud Mechelen</v>
    <v>144</v>
    <v>5204</v>
    <v>5204</v>
    <v>Lage vloer streek</v>
    <v>Gelede bus</v>
    <v>Bus</v>
  </rv>
  <rv s="0">
    <v>0</v>
    <v>5205</v>
    <v>1</v>
    <v>Generic</v>
    <v>214B</v>
    <v>Euro5</v>
    <v>1</v>
    <v>39556</v>
    <v>45175</v>
    <v>Antwerpen</v>
    <v>1</v>
    <v>J</v>
    <v>J</v>
    <v>J</v>
    <v>J</v>
    <v>J</v>
    <v>15</v>
    <v>Mechelen Racing</v>
    <v>115</v>
    <v>Onderhoud Mechelen</v>
    <v>144</v>
    <v>5205</v>
    <v>5205</v>
    <v>Lage vloer streek</v>
    <v>Gelede bus</v>
    <v>Bus</v>
  </rv>
  <rv s="0">
    <v>0</v>
    <v>5206</v>
    <v>1</v>
    <v>Generic</v>
    <v>214B</v>
    <v>Euro5</v>
    <v>1</v>
    <v>39566</v>
    <v>45175</v>
    <v>Vlaams-Brabant</v>
    <v>3</v>
    <v>J</v>
    <v>J</v>
    <v>J</v>
    <v>J</v>
    <v>J</v>
    <v>15</v>
    <v>Het Rad</v>
    <v>111</v>
    <v>Onderhoud Het Rad</v>
    <v>147</v>
    <v>5206</v>
    <v>5206</v>
    <v>Lage vloer streek</v>
    <v>Gelede bus</v>
    <v>Bus</v>
  </rv>
  <rv s="0">
    <v>0</v>
    <v>5207</v>
    <v>1</v>
    <v>Generic</v>
    <v>214B</v>
    <v>Euro5</v>
    <v>1</v>
    <v>39566</v>
    <v>45175</v>
    <v>Antwerpen</v>
    <v>1</v>
    <v>J</v>
    <v>J</v>
    <v>J</v>
    <v>J</v>
    <v>J</v>
    <v>15</v>
    <v>Turnhout</v>
    <v>122</v>
    <v>Onderhoud Turnhout</v>
    <v>143</v>
    <v>5207</v>
    <v>5207</v>
    <v>Lage vloer streek</v>
    <v>Gelede bus</v>
    <v>Bus</v>
  </rv>
  <rv s="0">
    <v>0</v>
    <v>5208</v>
    <v>1</v>
    <v>Generic</v>
    <v>214B</v>
    <v>Euro5</v>
    <v>1</v>
    <v>39575</v>
    <v>45175</v>
    <v>Oost-Vlaanderen</v>
    <v>2</v>
    <v>J</v>
    <v>J</v>
    <v>J</v>
    <v>J</v>
    <v>J</v>
    <v>15</v>
    <v>Destelbergen</v>
    <v>111</v>
    <v>Werkhuis Destelbergen</v>
    <v>142</v>
    <v>5208</v>
    <v>5208</v>
    <v>Lage vloer streek</v>
    <v>Gelede bus</v>
    <v>Bus</v>
  </rv>
  <rv s="0">
    <v>0</v>
    <v>5209</v>
    <v>1</v>
    <v>Generic</v>
    <v>214B</v>
    <v>Euro5</v>
    <v>1</v>
    <v>39575</v>
    <v>45175</v>
    <v>Oost-Vlaanderen</v>
    <v>2</v>
    <v>J</v>
    <v>J</v>
    <v>J</v>
    <v>J</v>
    <v>J</v>
    <v>15</v>
    <v>Destelbergen</v>
    <v>111</v>
    <v>Werkhuis Destelbergen</v>
    <v>142</v>
    <v>5209</v>
    <v>5209</v>
    <v>Lage vloer streek</v>
    <v>Gelede bus</v>
    <v>Bus</v>
  </rv>
  <rv s="0">
    <v>0</v>
    <v>5210</v>
    <v>1</v>
    <v>Generic</v>
    <v>214B</v>
    <v>Euro5</v>
    <v>1</v>
    <v>39575</v>
    <v>45175</v>
    <v>Oost-Vlaanderen</v>
    <v>2</v>
    <v>J</v>
    <v>J</v>
    <v>J</v>
    <v>J</v>
    <v>J</v>
    <v>15</v>
    <v>Destelbergen</v>
    <v>111</v>
    <v>Werkhuis Destelbergen</v>
    <v>142</v>
    <v>5210</v>
    <v>5210</v>
    <v>Lage vloer streek</v>
    <v>Gelede bus</v>
    <v>Bus</v>
  </rv>
  <rv s="0">
    <v>0</v>
    <v>5211</v>
    <v>1</v>
    <v>Generic</v>
    <v>214B</v>
    <v>Euro5</v>
    <v>1</v>
    <v>39583</v>
    <v>45175</v>
    <v>Oost-Vlaanderen</v>
    <v>2</v>
    <v>J</v>
    <v>J</v>
    <v>J</v>
    <v>J</v>
    <v>J</v>
    <v>15</v>
    <v>Destelbergen</v>
    <v>111</v>
    <v>Werkhuis Destelbergen</v>
    <v>142</v>
    <v>5211</v>
    <v>5211</v>
    <v>Lage vloer streek</v>
    <v>Gelede bus</v>
    <v>Bus</v>
  </rv>
  <rv s="0">
    <v>0</v>
    <v>5213</v>
    <v>1</v>
    <v>Generic</v>
    <v>214B</v>
    <v>Euro5</v>
    <v>1</v>
    <v>39583</v>
    <v>45175</v>
    <v>Oost-Vlaanderen</v>
    <v>2</v>
    <v>J</v>
    <v>J</v>
    <v>J</v>
    <v>J</v>
    <v>J</v>
    <v>15</v>
    <v>Destelbergen</v>
    <v>111</v>
    <v>Werkhuis Destelbergen</v>
    <v>142</v>
    <v>5213</v>
    <v>5213</v>
    <v>Lage vloer streek</v>
    <v>Gelede bus</v>
    <v>Bus</v>
  </rv>
  <rv s="0">
    <v>0</v>
    <v>5214</v>
    <v>1</v>
    <v>Generic</v>
    <v>214B</v>
    <v>Euro5</v>
    <v>1</v>
    <v>39590</v>
    <v>45175</v>
    <v>Oost-Vlaanderen</v>
    <v>2</v>
    <v>J</v>
    <v>J</v>
    <v>J</v>
    <v>J</v>
    <v>J</v>
    <v>15</v>
    <v>Destelbergen</v>
    <v>111</v>
    <v>Werkhuis Destelbergen</v>
    <v>142</v>
    <v>5214</v>
    <v>5214</v>
    <v>Lage vloer streek</v>
    <v>Gelede bus</v>
    <v>Bus</v>
  </rv>
  <rv s="0">
    <v>0</v>
    <v>5215</v>
    <v>1</v>
    <v>Generic</v>
    <v>214B</v>
    <v>Euro5</v>
    <v>1</v>
    <v>39590</v>
    <v>45175</v>
    <v>Oost-Vlaanderen</v>
    <v>2</v>
    <v>J</v>
    <v>J</v>
    <v>J</v>
    <v>J</v>
    <v>J</v>
    <v>15</v>
    <v>Destelbergen</v>
    <v>111</v>
    <v>Werkhuis Destelbergen</v>
    <v>142</v>
    <v>5215</v>
    <v>5215</v>
    <v>Lage vloer streek</v>
    <v>Gelede bus</v>
    <v>Bus</v>
  </rv>
  <rv s="0">
    <v>0</v>
    <v>5216</v>
    <v>1</v>
    <v>Generic</v>
    <v>214B</v>
    <v>Euro5</v>
    <v>1</v>
    <v>39590</v>
    <v>45175</v>
    <v>Oost-Vlaanderen</v>
    <v>2</v>
    <v>J</v>
    <v>J</v>
    <v>J</v>
    <v>J</v>
    <v>J</v>
    <v>15</v>
    <v>Destelbergen</v>
    <v>111</v>
    <v>Werkhuis Destelbergen</v>
    <v>142</v>
    <v>5216</v>
    <v>5216</v>
    <v>Lage vloer streek</v>
    <v>Gelede bus</v>
    <v>Bus</v>
  </rv>
  <rv s="0">
    <v>0</v>
    <v>5217</v>
    <v>1</v>
    <v>Generic</v>
    <v>214B</v>
    <v>Euro5</v>
    <v>1</v>
    <v>39597</v>
    <v>45175</v>
    <v>Oost-Vlaanderen</v>
    <v>2</v>
    <v>J</v>
    <v>J</v>
    <v>J</v>
    <v>J</v>
    <v>J</v>
    <v>15</v>
    <v>Destelbergen</v>
    <v>111</v>
    <v>Werkhuis Destelbergen</v>
    <v>142</v>
    <v>5217</v>
    <v>5217</v>
    <v>Lage vloer streek</v>
    <v>Gelede bus</v>
    <v>Bus</v>
  </rv>
  <rv s="0">
    <v>0</v>
    <v>5218</v>
    <v>1</v>
    <v>Generic</v>
    <v>214B</v>
    <v>Euro5</v>
    <v>1</v>
    <v>39590</v>
    <v>45175</v>
    <v>Oost-Vlaanderen</v>
    <v>2</v>
    <v>J</v>
    <v>J</v>
    <v>J</v>
    <v>J</v>
    <v>J</v>
    <v>15</v>
    <v>Destelbergen</v>
    <v>111</v>
    <v>Werkhuis Destelbergen</v>
    <v>142</v>
    <v>5218</v>
    <v>5218</v>
    <v>Lage vloer streek</v>
    <v>Gelede bus</v>
    <v>Bus</v>
  </rv>
  <rv s="0">
    <v>0</v>
    <v>5219</v>
    <v>1</v>
    <v>Generic</v>
    <v>214B</v>
    <v>Euro5</v>
    <v>1</v>
    <v>39597</v>
    <v>45175</v>
    <v>Oost-Vlaanderen</v>
    <v>2</v>
    <v>J</v>
    <v>J</v>
    <v>J</v>
    <v>J</v>
    <v>J</v>
    <v>15</v>
    <v>Destelbergen</v>
    <v>111</v>
    <v>Werkhuis Destelbergen</v>
    <v>142</v>
    <v>5219</v>
    <v>5219</v>
    <v>Lage vloer streek</v>
    <v>Gelede bus</v>
    <v>Bus</v>
  </rv>
  <rv s="0">
    <v>0</v>
    <v>5220</v>
    <v>1</v>
    <v>Generic</v>
    <v>214B</v>
    <v>Euro5</v>
    <v>1</v>
    <v>39597</v>
    <v>45175</v>
    <v>Oost-Vlaanderen</v>
    <v>2</v>
    <v>J</v>
    <v>J</v>
    <v>J</v>
    <v>J</v>
    <v>J</v>
    <v>15</v>
    <v>Destelbergen</v>
    <v>111</v>
    <v>Werkhuis Destelbergen</v>
    <v>142</v>
    <v>5220</v>
    <v>5220</v>
    <v>Lage vloer streek</v>
    <v>Gelede bus</v>
    <v>Bus</v>
  </rv>
  <rv s="0">
    <v>0</v>
    <v>5221</v>
    <v>1</v>
    <v>Generic</v>
    <v>214B</v>
    <v>Euro5</v>
    <v>1</v>
    <v>39597</v>
    <v>45175</v>
    <v>Oost-Vlaanderen</v>
    <v>2</v>
    <v>J</v>
    <v>J</v>
    <v>J</v>
    <v>J</v>
    <v>J</v>
    <v>15</v>
    <v>Destelbergen</v>
    <v>111</v>
    <v>Werkhuis Destelbergen</v>
    <v>142</v>
    <v>5221</v>
    <v>5221</v>
    <v>Lage vloer streek</v>
    <v>Gelede bus</v>
    <v>Bus</v>
  </rv>
  <rv s="0">
    <v>0</v>
    <v>5222</v>
    <v>1</v>
    <v>Generic</v>
    <v>214B</v>
    <v>Euro5</v>
    <v>1</v>
    <v>39604</v>
    <v>45175</v>
    <v>Oost-Vlaanderen</v>
    <v>2</v>
    <v>J</v>
    <v>J</v>
    <v>J</v>
    <v>J</v>
    <v>J</v>
    <v>15</v>
    <v>Destelbergen</v>
    <v>111</v>
    <v>Werkhuis Destelbergen</v>
    <v>142</v>
    <v>5222</v>
    <v>5222</v>
    <v>Lage vloer streek</v>
    <v>Gelede bus</v>
    <v>Bus</v>
  </rv>
  <rv s="0">
    <v>0</v>
    <v>5223</v>
    <v>1</v>
    <v>Generic</v>
    <v>214B</v>
    <v>Euro5</v>
    <v>1</v>
    <v>39604</v>
    <v>45175</v>
    <v>Oost-Vlaanderen</v>
    <v>2</v>
    <v>J</v>
    <v>J</v>
    <v>J</v>
    <v>J</v>
    <v>J</v>
    <v>15</v>
    <v>Destelbergen</v>
    <v>111</v>
    <v>Werkhuis Destelbergen</v>
    <v>142</v>
    <v>5223</v>
    <v>5223</v>
    <v>Lage vloer streek</v>
    <v>Gelede bus</v>
    <v>Bus</v>
  </rv>
  <rv s="0">
    <v>0</v>
    <v>5224</v>
    <v>1</v>
    <v>Generic</v>
    <v>214B</v>
    <v>Euro5</v>
    <v>1</v>
    <v>39604</v>
    <v>45175</v>
    <v>Oost-Vlaanderen</v>
    <v>2</v>
    <v>J</v>
    <v>J</v>
    <v>J</v>
    <v>J</v>
    <v>J</v>
    <v>15</v>
    <v>Destelbergen</v>
    <v>111</v>
    <v>Werkhuis Destelbergen</v>
    <v>142</v>
    <v>5224</v>
    <v>5224</v>
    <v>Lage vloer streek</v>
    <v>Gelede bus</v>
    <v>Bus</v>
  </rv>
  <rv s="0">
    <v>0</v>
    <v>5225</v>
    <v>1</v>
    <v>Generic</v>
    <v>214B</v>
    <v>Euro5</v>
    <v>1</v>
    <v>39602</v>
    <v>45175</v>
    <v>Oost-Vlaanderen</v>
    <v>2</v>
    <v>J</v>
    <v>J</v>
    <v>J</v>
    <v>J</v>
    <v>J</v>
    <v>15</v>
    <v>Destelbergen</v>
    <v>111</v>
    <v>Werkhuis Destelbergen</v>
    <v>142</v>
    <v>5225</v>
    <v>5225</v>
    <v>Lage vloer streek</v>
    <v>Gelede bus</v>
    <v>Bus</v>
  </rv>
  <rv s="0">
    <v>0</v>
    <v>5226</v>
    <v>1</v>
    <v>Generic</v>
    <v>214B</v>
    <v>Euro5</v>
    <v>1</v>
    <v>39605</v>
    <v>45175</v>
    <v>Oost-Vlaanderen</v>
    <v>2</v>
    <v>J</v>
    <v>J</v>
    <v>J</v>
    <v>J</v>
    <v>J</v>
    <v>15</v>
    <v>Destelbergen</v>
    <v>111</v>
    <v>Werkhuis Destelbergen</v>
    <v>142</v>
    <v>5226</v>
    <v>5226</v>
    <v>Lage vloer streek</v>
    <v>Gelede bus</v>
    <v>Bus</v>
  </rv>
  <rv s="0">
    <v>0</v>
    <v>5227</v>
    <v>1</v>
    <v>Generic</v>
    <v>214B</v>
    <v>Euro5</v>
    <v>1</v>
    <v>39605</v>
    <v>45175</v>
    <v>Oost-Vlaanderen</v>
    <v>2</v>
    <v>J</v>
    <v>J</v>
    <v>J</v>
    <v>J</v>
    <v>J</v>
    <v>15</v>
    <v>Destelbergen</v>
    <v>111</v>
    <v>Werkhuis Destelbergen</v>
    <v>142</v>
    <v>5227</v>
    <v>5227</v>
    <v>Lage vloer streek</v>
    <v>Gelede bus</v>
    <v>Bus</v>
  </rv>
  <rv s="0">
    <v>0</v>
    <v>5228</v>
    <v>1</v>
    <v>Generic</v>
    <v>214B</v>
    <v>Euro5</v>
    <v>1</v>
    <v>39612</v>
    <v>45175</v>
    <v>Oost-Vlaanderen</v>
    <v>2</v>
    <v>J</v>
    <v>J</v>
    <v>J</v>
    <v>J</v>
    <v>J</v>
    <v>15</v>
    <v>Destelbergen</v>
    <v>111</v>
    <v>Werkhuis Destelbergen</v>
    <v>142</v>
    <v>5228</v>
    <v>5228</v>
    <v>Lage vloer streek</v>
    <v>Gelede bus</v>
    <v>Bus</v>
  </rv>
  <rv s="0">
    <v>0</v>
    <v>5229</v>
    <v>1</v>
    <v>Generic</v>
    <v>214B</v>
    <v>Euro5</v>
    <v>1</v>
    <v>39612</v>
    <v>45175</v>
    <v>Oost-Vlaanderen</v>
    <v>2</v>
    <v>J</v>
    <v>J</v>
    <v>J</v>
    <v>J</v>
    <v>J</v>
    <v>15</v>
    <v>Destelbergen</v>
    <v>111</v>
    <v>Werkhuis Destelbergen</v>
    <v>142</v>
    <v>5229</v>
    <v>5229</v>
    <v>Lage vloer streek</v>
    <v>Gelede bus</v>
    <v>Bus</v>
  </rv>
  <rv s="0">
    <v>0</v>
    <v>5230</v>
    <v>1</v>
    <v>Generic</v>
    <v>214B</v>
    <v>Euro5</v>
    <v>1</v>
    <v>39612</v>
    <v>45175</v>
    <v>Oost-Vlaanderen</v>
    <v>2</v>
    <v>J</v>
    <v>J</v>
    <v>J</v>
    <v>J</v>
    <v>J</v>
    <v>15</v>
    <v>Gentbrugge</v>
    <v>112</v>
    <v>Werkhuis Gentbrugge</v>
    <v>141</v>
    <v>5230</v>
    <v>5230</v>
    <v>Lage vloer streek</v>
    <v>Gelede bus</v>
    <v>Bus</v>
  </rv>
  <rv s="0">
    <v>0</v>
    <v>5231</v>
    <v>1</v>
    <v>Generic</v>
    <v>214B</v>
    <v>Euro5</v>
    <v>1</v>
    <v>39617</v>
    <v>45175</v>
    <v>Oost-Vlaanderen</v>
    <v>2</v>
    <v>J</v>
    <v>J</v>
    <v>J</v>
    <v>J</v>
    <v>J</v>
    <v>15</v>
    <v>Gentbrugge</v>
    <v>112</v>
    <v>Werkhuis Gentbrugge</v>
    <v>141</v>
    <v>5231</v>
    <v>5231</v>
    <v>Lage vloer streek</v>
    <v>Gelede bus</v>
    <v>Bus</v>
  </rv>
  <rv s="0">
    <v>0</v>
    <v>5232</v>
    <v>1</v>
    <v>Generic</v>
    <v>214B</v>
    <v>Euro5</v>
    <v>1</v>
    <v>39619</v>
    <v>45175</v>
    <v>Oost-Vlaanderen</v>
    <v>2</v>
    <v>J</v>
    <v>J</v>
    <v>J</v>
    <v>J</v>
    <v>J</v>
    <v>15</v>
    <v>Gentbrugge</v>
    <v>112</v>
    <v>Werkhuis Gentbrugge</v>
    <v>141</v>
    <v>5232</v>
    <v>5232</v>
    <v>Lage vloer streek</v>
    <v>Gelede bus</v>
    <v>Bus</v>
  </rv>
  <rv s="0">
    <v>0</v>
    <v>5233</v>
    <v>1</v>
    <v>Generic</v>
    <v>214B</v>
    <v>Euro5</v>
    <v>1</v>
    <v>39617</v>
    <v>45175</v>
    <v>Oost-Vlaanderen</v>
    <v>2</v>
    <v>J</v>
    <v>J</v>
    <v>J</v>
    <v>J</v>
    <v>J</v>
    <v>15</v>
    <v>Gentbrugge</v>
    <v>112</v>
    <v>Werkhuis Gentbrugge</v>
    <v>141</v>
    <v>5233</v>
    <v>5233</v>
    <v>Lage vloer streek</v>
    <v>Gelede bus</v>
    <v>Bus</v>
  </rv>
  <rv s="0">
    <v>0</v>
    <v>5234</v>
    <v>1</v>
    <v>Generic</v>
    <v>214B</v>
    <v>Euro5</v>
    <v>1</v>
    <v>39619</v>
    <v>45175</v>
    <v>Oost-Vlaanderen</v>
    <v>2</v>
    <v>J</v>
    <v>J</v>
    <v>J</v>
    <v>J</v>
    <v>J</v>
    <v>15</v>
    <v>Gentbrugge</v>
    <v>112</v>
    <v>Werkhuis Gentbrugge</v>
    <v>141</v>
    <v>5234</v>
    <v>5234</v>
    <v>Lage vloer streek</v>
    <v>Gelede bus</v>
    <v>Bus</v>
  </rv>
  <rv s="0">
    <v>0</v>
    <v>5235</v>
    <v>1</v>
    <v>Generic</v>
    <v>214B</v>
    <v>Euro5</v>
    <v>1</v>
    <v>39619</v>
    <v>45175</v>
    <v>Oost-Vlaanderen</v>
    <v>2</v>
    <v>J</v>
    <v>J</v>
    <v>J</v>
    <v>J</v>
    <v>J</v>
    <v>15</v>
    <v>Gentbrugge</v>
    <v>112</v>
    <v>Werkhuis Gentbrugge</v>
    <v>141</v>
    <v>5235</v>
    <v>5235</v>
    <v>Lage vloer streek</v>
    <v>Gelede bus</v>
    <v>Bus</v>
  </rv>
  <rv s="0">
    <v>0</v>
    <v>5236</v>
    <v>1</v>
    <v>Generic</v>
    <v>214B</v>
    <v>Euro5</v>
    <v>1</v>
    <v>39624</v>
    <v>45175</v>
    <v>Oost-Vlaanderen</v>
    <v>2</v>
    <v>J</v>
    <v>J</v>
    <v>J</v>
    <v>J</v>
    <v>J</v>
    <v>15</v>
    <v>Gentbrugge</v>
    <v>112</v>
    <v>Werkhuis Gentbrugge</v>
    <v>141</v>
    <v>5236</v>
    <v>5236</v>
    <v>Lage vloer streek</v>
    <v>Gelede bus</v>
    <v>Bus</v>
  </rv>
  <rv s="0">
    <v>0</v>
    <v>5237</v>
    <v>1</v>
    <v>Generic</v>
    <v>214B</v>
    <v>Euro5</v>
    <v>1</v>
    <v>39624</v>
    <v>45175</v>
    <v>Oost-Vlaanderen</v>
    <v>2</v>
    <v>J</v>
    <v>J</v>
    <v>J</v>
    <v>J</v>
    <v>J</v>
    <v>15</v>
    <v>Gentbrugge</v>
    <v>112</v>
    <v>Werkhuis Gentbrugge</v>
    <v>141</v>
    <v>5237</v>
    <v>5237</v>
    <v>Lage vloer streek</v>
    <v>Gelede bus</v>
    <v>Bus</v>
  </rv>
  <rv s="0">
    <v>0</v>
    <v>5238</v>
    <v>1</v>
    <v>Generic</v>
    <v>214B</v>
    <v>Euro5</v>
    <v>1</v>
    <v>39625</v>
    <v>45175</v>
    <v>Oost-Vlaanderen</v>
    <v>2</v>
    <v>J</v>
    <v>J</v>
    <v>J</v>
    <v>J</v>
    <v>J</v>
    <v>15</v>
    <v>Gentbrugge</v>
    <v>112</v>
    <v>Werkhuis Gentbrugge</v>
    <v>141</v>
    <v>5238</v>
    <v>5238</v>
    <v>Lage vloer streek</v>
    <v>Gelede bus</v>
    <v>Bus</v>
  </rv>
  <rv s="0">
    <v>0</v>
    <v>5239</v>
    <v>1</v>
    <v>Generic</v>
    <v>214B</v>
    <v>Euro5</v>
    <v>1</v>
    <v>39625</v>
    <v>45175</v>
    <v>Oost-Vlaanderen</v>
    <v>2</v>
    <v>J</v>
    <v>J</v>
    <v>J</v>
    <v>J</v>
    <v>J</v>
    <v>15</v>
    <v>Gentbrugge</v>
    <v>112</v>
    <v>Werkhuis Gentbrugge</v>
    <v>141</v>
    <v>5239</v>
    <v>5239</v>
    <v>Lage vloer streek</v>
    <v>Gelede bus</v>
    <v>Bus</v>
  </rv>
  <rv s="0">
    <v>0</v>
    <v>5240</v>
    <v>1</v>
    <v>Generic</v>
    <v>214B</v>
    <v>Euro5</v>
    <v>1</v>
    <v>39632</v>
    <v>45175</v>
    <v>Oost-Vlaanderen</v>
    <v>2</v>
    <v>J</v>
    <v>J</v>
    <v>J</v>
    <v>J</v>
    <v>J</v>
    <v>15</v>
    <v>Gentbrugge</v>
    <v>112</v>
    <v>Werkhuis Gentbrugge</v>
    <v>141</v>
    <v>5240</v>
    <v>5240</v>
    <v>Lage vloer streek</v>
    <v>Gelede bus</v>
    <v>Bus</v>
  </rv>
  <rv s="0">
    <v>0</v>
    <v>5241</v>
    <v>1</v>
    <v>Generic</v>
    <v>214B</v>
    <v>Euro5</v>
    <v>1</v>
    <v>39632</v>
    <v>45175</v>
    <v>Oost-Vlaanderen</v>
    <v>2</v>
    <v>J</v>
    <v>J</v>
    <v>J</v>
    <v>J</v>
    <v>J</v>
    <v>15</v>
    <v>Gentbrugge</v>
    <v>112</v>
    <v>Werkhuis Gentbrugge</v>
    <v>141</v>
    <v>5241</v>
    <v>5241</v>
    <v>Lage vloer streek</v>
    <v>Gelede bus</v>
    <v>Bus</v>
  </rv>
  <rv s="0">
    <v>0</v>
    <v>5242</v>
    <v>1</v>
    <v>Generic</v>
    <v>214B</v>
    <v>Euro5</v>
    <v>1</v>
    <v>39638</v>
    <v>45175</v>
    <v>West-Vlaanderen</v>
    <v>5</v>
    <v>J</v>
    <v>J</v>
    <v>J</v>
    <v>J</v>
    <v>J</v>
    <v>15</v>
    <v>Brugge</v>
    <v>125</v>
    <v>Onderhoud Brugge</v>
    <v>142</v>
    <v>5242</v>
    <v>5242</v>
    <v>Lage vloer streek</v>
    <v>Gelede bus</v>
    <v>Bus</v>
  </rv>
  <rv s="0">
    <v>0</v>
    <v>5243</v>
    <v>1</v>
    <v>Generic</v>
    <v>214B</v>
    <v>Euro5</v>
    <v>1</v>
    <v>39638</v>
    <v>45175</v>
    <v>West-Vlaanderen</v>
    <v>5</v>
    <v>J</v>
    <v>J</v>
    <v>J</v>
    <v>J</v>
    <v>J</v>
    <v>15</v>
    <v>Brugge</v>
    <v>125</v>
    <v>Onderhoud Brugge</v>
    <v>142</v>
    <v>5243</v>
    <v>5243</v>
    <v>Lage vloer streek</v>
    <v>Gelede bus</v>
    <v>Bus</v>
  </rv>
  <rv s="0">
    <v>0</v>
    <v>5244</v>
    <v>1</v>
    <v>Generic</v>
    <v>214B</v>
    <v>Euro5</v>
    <v>1</v>
    <v>39638</v>
    <v>45175</v>
    <v>West-Vlaanderen</v>
    <v>5</v>
    <v>J</v>
    <v>J</v>
    <v>J</v>
    <v>J</v>
    <v>J</v>
    <v>15</v>
    <v>Brugge</v>
    <v>125</v>
    <v>Onderhoud Brugge</v>
    <v>142</v>
    <v>5244</v>
    <v>5244</v>
    <v>Lage vloer streek</v>
    <v>Gelede bus</v>
    <v>Bus</v>
  </rv>
  <rv s="0">
    <v>0</v>
    <v>5245</v>
    <v>1</v>
    <v>Generic</v>
    <v>214B</v>
    <v>Euro5</v>
    <v>1</v>
    <v>39638</v>
    <v>45175</v>
    <v>West-Vlaanderen</v>
    <v>5</v>
    <v>J</v>
    <v>J</v>
    <v>J</v>
    <v>J</v>
    <v>J</v>
    <v>15</v>
    <v>De Crutzen</v>
    <v>128</v>
    <v>Onderhoud De Crutzen</v>
    <v>155</v>
    <v>5245</v>
    <v>5245</v>
    <v>Lage vloer streek</v>
    <v>Gelede bus</v>
    <v>Bus</v>
  </rv>
  <rv s="0">
    <v>0</v>
    <v>5246</v>
    <v>1</v>
    <v>Generic</v>
    <v>214B</v>
    <v>Euro5</v>
    <v>1</v>
    <v>39638</v>
    <v>45175</v>
    <v>West-Vlaanderen</v>
    <v>5</v>
    <v>J</v>
    <v>J</v>
    <v>J</v>
    <v>J</v>
    <v>J</v>
    <v>15</v>
    <v>Brugge</v>
    <v>125</v>
    <v>Onderhoud Brugge</v>
    <v>142</v>
    <v>5246</v>
    <v>5246</v>
    <v>Lage vloer streek</v>
    <v>Gelede bus</v>
    <v>Bus</v>
  </rv>
  <rv s="0">
    <v>0</v>
    <v>5247</v>
    <v>1</v>
    <v>Generic</v>
    <v>214B</v>
    <v>Euro5</v>
    <v>1</v>
    <v>39638</v>
    <v>45175</v>
    <v>West-Vlaanderen</v>
    <v>5</v>
    <v>J</v>
    <v>J</v>
    <v>J</v>
    <v>J</v>
    <v>J</v>
    <v>15</v>
    <v>Brugge</v>
    <v>125</v>
    <v>Onderhoud Brugge</v>
    <v>142</v>
    <v>5247</v>
    <v>5247</v>
    <v>Lage vloer streek</v>
    <v>Gelede bus</v>
    <v>Bus</v>
  </rv>
  <rv s="0">
    <v>0</v>
    <v>5248</v>
    <v>1</v>
    <v>Generic</v>
    <v>214B</v>
    <v>Euro5</v>
    <v>1</v>
    <v>39646</v>
    <v>45175</v>
    <v>Limburg</v>
    <v>4</v>
    <v>J</v>
    <v>J</v>
    <v>J</v>
    <v>J</v>
    <v>J</v>
    <v>15</v>
    <v>De Crutzen</v>
    <v>128</v>
    <v>Onderhoud De Crutzen</v>
    <v>155</v>
    <v>5248</v>
    <v>5248</v>
    <v>Lage vloer streek</v>
    <v>Gelede bus</v>
    <v>Bus</v>
  </rv>
  <rv s="0">
    <v>0</v>
    <v>5249</v>
    <v>1</v>
    <v>Generic</v>
    <v>214B</v>
    <v>Euro5</v>
    <v>1</v>
    <v>39653</v>
    <v>45175</v>
    <v>Limburg</v>
    <v>4</v>
    <v>J</v>
    <v>J</v>
    <v>J</v>
    <v>J</v>
    <v>J</v>
    <v>15</v>
    <v>De Crutzen</v>
    <v>128</v>
    <v>Onderhoud De Crutzen</v>
    <v>155</v>
    <v>5249</v>
    <v>5249</v>
    <v>Lage vloer streek</v>
    <v>Gelede bus</v>
    <v>Bus</v>
  </rv>
  <rv s="0">
    <v>0</v>
    <v>5250</v>
    <v>1</v>
    <v>Generic</v>
    <v>214B</v>
    <v>Euro5</v>
    <v>1</v>
    <v>39646</v>
    <v>45175</v>
    <v>Limburg</v>
    <v>4</v>
    <v>J</v>
    <v>J</v>
    <v>J</v>
    <v>J</v>
    <v>J</v>
    <v>15</v>
    <v>De Crutzen</v>
    <v>128</v>
    <v>Onderhoud De Crutzen</v>
    <v>155</v>
    <v>5250</v>
    <v>5250</v>
    <v>Lage vloer streek</v>
    <v>Gelede bus</v>
    <v>Bus</v>
  </rv>
  <rv s="0">
    <v>0</v>
    <v>5251</v>
    <v>1</v>
    <v>Generic</v>
    <v>214B</v>
    <v>Euro5</v>
    <v>1</v>
    <v>39693</v>
    <v>45175</v>
    <v>Limburg</v>
    <v>4</v>
    <v>J</v>
    <v>J</v>
    <v>J</v>
    <v>J</v>
    <v>J</v>
    <v>15</v>
    <v>De Crutzen</v>
    <v>128</v>
    <v>Onderhoud De Crutzen</v>
    <v>155</v>
    <v>5251</v>
    <v>5251</v>
    <v>Lage vloer streek</v>
    <v>Gelede bus</v>
    <v>Bus</v>
  </rv>
  <rv s="0">
    <v>0</v>
    <v>5252</v>
    <v>1</v>
    <v>Generic</v>
    <v>214B</v>
    <v>Euro5</v>
    <v>1</v>
    <v>39686</v>
    <v>45175</v>
    <v>Limburg</v>
    <v>4</v>
    <v>J</v>
    <v>J</v>
    <v>J</v>
    <v>J</v>
    <v>J</v>
    <v>15</v>
    <v>Ieper</v>
    <v>131</v>
    <v>Onderhoud Ieper</v>
    <v>144</v>
    <v>5252</v>
    <v>5252</v>
    <v>Lage vloer streek</v>
    <v>Gelede bus</v>
    <v>Bus</v>
  </rv>
  <rv s="0">
    <v>0</v>
    <v>5253</v>
    <v>1</v>
    <v>Generic</v>
    <v>214B</v>
    <v>Euro5</v>
    <v>1</v>
    <v>39693</v>
    <v>45175</v>
    <v>Limburg</v>
    <v>4</v>
    <v>J</v>
    <v>J</v>
    <v>J</v>
    <v>J</v>
    <v>J</v>
    <v>15</v>
    <v>De Crutzen</v>
    <v>128</v>
    <v>Onderhoud De Crutzen</v>
    <v>155</v>
    <v>5253</v>
    <v>5253</v>
    <v>Lage vloer streek</v>
    <v>Gelede bus</v>
    <v>Bus</v>
  </rv>
  <rv s="0">
    <v>0</v>
    <v>5254</v>
    <v>1</v>
    <v>Generic</v>
    <v>214B</v>
    <v>Euro5</v>
    <v>1</v>
    <v>39686</v>
    <v>45175</v>
    <v>Limburg</v>
    <v>4</v>
    <v>J</v>
    <v>J</v>
    <v>J</v>
    <v>J</v>
    <v>J</v>
    <v>15</v>
    <v>De Crutzen</v>
    <v>128</v>
    <v>Onderhoud De Crutzen</v>
    <v>155</v>
    <v>5254</v>
    <v>5254</v>
    <v>Lage vloer streek</v>
    <v>Gelede bus</v>
    <v>Bus</v>
  </rv>
  <rv s="0">
    <v>0</v>
    <v>5255</v>
    <v>1</v>
    <v>Generic</v>
    <v>214B</v>
    <v>Euro5</v>
    <v>1</v>
    <v>39695</v>
    <v>45175</v>
    <v>Limburg</v>
    <v>4</v>
    <v>J</v>
    <v>J</v>
    <v>J</v>
    <v>J</v>
    <v>J</v>
    <v>15</v>
    <v>De Crutzen</v>
    <v>128</v>
    <v>Onderhoud De Crutzen</v>
    <v>155</v>
    <v>5255</v>
    <v>5255</v>
    <v>Lage vloer streek</v>
    <v>Gelede bus</v>
    <v>Bus</v>
  </rv>
  <rv s="0">
    <v>0</v>
    <v>5256</v>
    <v>1</v>
    <v>Generic</v>
    <v>214B</v>
    <v>Euro5</v>
    <v>1</v>
    <v>39695</v>
    <v>45175</v>
    <v>Limburg</v>
    <v>4</v>
    <v>J</v>
    <v>J</v>
    <v>J</v>
    <v>J</v>
    <v>J</v>
    <v>15</v>
    <v>De Crutzen</v>
    <v>128</v>
    <v>Onderhoud De Crutzen</v>
    <v>155</v>
    <v>5256</v>
    <v>5256</v>
    <v>Lage vloer streek</v>
    <v>Gelede bus</v>
    <v>Bus</v>
  </rv>
  <rv s="0">
    <v>0</v>
    <v>5257</v>
    <v>1</v>
    <v>Generic</v>
    <v>214B</v>
    <v>Euro5</v>
    <v>1</v>
    <v>39699</v>
    <v>45175</v>
    <v>Limburg</v>
    <v>4</v>
    <v>J</v>
    <v>J</v>
    <v>J</v>
    <v>J</v>
    <v>J</v>
    <v>15</v>
    <v>De Crutzen</v>
    <v>128</v>
    <v>Onderhoud De Crutzen</v>
    <v>155</v>
    <v>5257</v>
    <v>5257</v>
    <v>Lage vloer streek</v>
    <v>Gelede bus</v>
    <v>Bus</v>
  </rv>
  <rv s="0">
    <v>0</v>
    <v>5258</v>
    <v>1</v>
    <v>Generic</v>
    <v>214B</v>
    <v>Euro5</v>
    <v>1</v>
    <v>39699</v>
    <v>45175</v>
    <v>Limburg</v>
    <v>4</v>
    <v>J</v>
    <v>J</v>
    <v>J</v>
    <v>J</v>
    <v>J</v>
    <v>15</v>
    <v>De Crutzen</v>
    <v>128</v>
    <v>Onderhoud De Crutzen</v>
    <v>155</v>
    <v>5258</v>
    <v>5258</v>
    <v>Lage vloer streek</v>
    <v>Gelede bus</v>
    <v>Bus</v>
  </rv>
  <rv s="0">
    <v>0</v>
    <v>5259</v>
    <v>1</v>
    <v>Generic</v>
    <v>214B</v>
    <v>Euro5</v>
    <v>1</v>
    <v>39701</v>
    <v>45175</v>
    <v>Oost-Vlaanderen</v>
    <v>2</v>
    <v>J</v>
    <v>J</v>
    <v>J</v>
    <v>J</v>
    <v>J</v>
    <v>15</v>
    <v>Gentbrugge</v>
    <v>112</v>
    <v>Werkhuis Gentbrugge</v>
    <v>141</v>
    <v>5259</v>
    <v>5259</v>
    <v>Lage vloer streek</v>
    <v>Gelede bus</v>
    <v>Bus</v>
  </rv>
  <rv s="0">
    <v>0</v>
    <v>5260</v>
    <v>1</v>
    <v>Generic</v>
    <v>214B</v>
    <v>Euro5</v>
    <v>1</v>
    <v>39701</v>
    <v>45175</v>
    <v>Oost-Vlaanderen</v>
    <v>2</v>
    <v>J</v>
    <v>J</v>
    <v>J</v>
    <v>J</v>
    <v>J</v>
    <v>15</v>
    <v>Gentbrugge</v>
    <v>112</v>
    <v>Werkhuis Gentbrugge</v>
    <v>141</v>
    <v>5260</v>
    <v>5260</v>
    <v>Lage vloer streek</v>
    <v>Gelede bus</v>
    <v>Bus</v>
  </rv>
  <rv s="0">
    <v>0</v>
    <v>5261</v>
    <v>1</v>
    <v>Generic</v>
    <v>214B</v>
    <v>Euro5</v>
    <v>1</v>
    <v>39706</v>
    <v>45175</v>
    <v>Oost-Vlaanderen</v>
    <v>2</v>
    <v>J</v>
    <v>J</v>
    <v>J</v>
    <v>J</v>
    <v>J</v>
    <v>15</v>
    <v>Gentbrugge</v>
    <v>112</v>
    <v>Werkhuis Gentbrugge</v>
    <v>141</v>
    <v>5261</v>
    <v>5261</v>
    <v>Lage vloer streek</v>
    <v>Gelede bus</v>
    <v>Bus</v>
  </rv>
  <rv s="0">
    <v>0</v>
    <v>5262</v>
    <v>1</v>
    <v>Generic</v>
    <v>214B</v>
    <v>Euro5</v>
    <v>1</v>
    <v>39706</v>
    <v>45175</v>
    <v>Oost-Vlaanderen</v>
    <v>2</v>
    <v>J</v>
    <v>J</v>
    <v>J</v>
    <v>J</v>
    <v>J</v>
    <v>15</v>
    <v>Gentbrugge</v>
    <v>112</v>
    <v>Werkhuis Gentbrugge</v>
    <v>141</v>
    <v>5262</v>
    <v>5262</v>
    <v>Lage vloer streek</v>
    <v>Gelede bus</v>
    <v>Bus</v>
  </rv>
  <rv s="0">
    <v>0</v>
    <v>5263</v>
    <v>1</v>
    <v>Generic</v>
    <v>214B</v>
    <v>Euro5</v>
    <v>1</v>
    <v>39709</v>
    <v>45175</v>
    <v>Oost-Vlaanderen</v>
    <v>2</v>
    <v>J</v>
    <v>J</v>
    <v>J</v>
    <v>J</v>
    <v>J</v>
    <v>15</v>
    <v>Gentbrugge</v>
    <v>112</v>
    <v>Werkhuis Gentbrugge</v>
    <v>141</v>
    <v>5263</v>
    <v>5263</v>
    <v>Lage vloer streek</v>
    <v>Gelede bus</v>
    <v>Bus</v>
  </rv>
  <rv s="0">
    <v>0</v>
    <v>5264</v>
    <v>1</v>
    <v>Generic</v>
    <v>214B</v>
    <v>Euro5</v>
    <v>1</v>
    <v>39709</v>
    <v>45175</v>
    <v>Oost-Vlaanderen</v>
    <v>2</v>
    <v>J</v>
    <v>J</v>
    <v>J</v>
    <v>J</v>
    <v>J</v>
    <v>15</v>
    <v>Gentbrugge</v>
    <v>112</v>
    <v>Werkhuis Gentbrugge</v>
    <v>141</v>
    <v>5264</v>
    <v>5264</v>
    <v>Lage vloer streek</v>
    <v>Gelede bus</v>
    <v>Bus</v>
  </rv>
  <rv s="0">
    <v>0</v>
    <v>5265</v>
    <v>1</v>
    <v>Generic</v>
    <v>214B</v>
    <v>Euro5</v>
    <v>1</v>
    <v>39716</v>
    <v>45175</v>
    <v>Oost-Vlaanderen</v>
    <v>2</v>
    <v>J</v>
    <v>J</v>
    <v>J</v>
    <v>J</v>
    <v>J</v>
    <v>15</v>
    <v>Gentbrugge</v>
    <v>112</v>
    <v>Werkhuis Gentbrugge</v>
    <v>141</v>
    <v>5265</v>
    <v>5265</v>
    <v>Lage vloer streek</v>
    <v>Gelede bus</v>
    <v>Bus</v>
  </rv>
  <rv s="0">
    <v>0</v>
    <v>5266</v>
    <v>1</v>
    <v>Generic</v>
    <v>214B</v>
    <v>Euro5</v>
    <v>1</v>
    <v>39716</v>
    <v>45175</v>
    <v>Oost-Vlaanderen</v>
    <v>2</v>
    <v>J</v>
    <v>J</v>
    <v>J</v>
    <v>J</v>
    <v>J</v>
    <v>15</v>
    <v>Gentbrugge</v>
    <v>112</v>
    <v>Werkhuis Gentbrugge</v>
    <v>141</v>
    <v>5266</v>
    <v>5266</v>
    <v>Lage vloer streek</v>
    <v>Gelede bus</v>
    <v>Bus</v>
  </rv>
  <rv s="0">
    <v>0</v>
    <v>5267</v>
    <v>1</v>
    <v>Generic</v>
    <v>214B</v>
    <v>Euro5</v>
    <v>1</v>
    <v>39716</v>
    <v>45175</v>
    <v>Oost-Vlaanderen</v>
    <v>2</v>
    <v>J</v>
    <v>J</v>
    <v>J</v>
    <v>J</v>
    <v>J</v>
    <v>15</v>
    <v>Gentbrugge</v>
    <v>112</v>
    <v>Werkhuis Gentbrugge</v>
    <v>141</v>
    <v>5267</v>
    <v>5267</v>
    <v>Lage vloer streek</v>
    <v>Gelede bus</v>
    <v>Bus</v>
  </rv>
  <rv s="0">
    <v>0</v>
    <v>5268</v>
    <v>1</v>
    <v>Generic</v>
    <v>214B</v>
    <v>Euro5</v>
    <v>1</v>
    <v>39723</v>
    <v>45175</v>
    <v>Vlaams-Brabant</v>
    <v>3</v>
    <v>J</v>
    <v>J</v>
    <v>J</v>
    <v>J</v>
    <v>J</v>
    <v>15</v>
    <v>Leerbeek</v>
    <v>112</v>
    <v>Onderhoud Leerbeek</v>
    <v>145</v>
    <v>5268</v>
    <v>5268</v>
    <v>Lage vloer streek</v>
    <v>Gelede bus</v>
    <v>Bus</v>
  </rv>
  <rv s="0">
    <v>0</v>
    <v>5269</v>
    <v>1</v>
    <v>Generic</v>
    <v>214B</v>
    <v>Euro5</v>
    <v>1</v>
    <v>39723</v>
    <v>45175</v>
    <v>Vlaams-Brabant</v>
    <v>3</v>
    <v>J</v>
    <v>J</v>
    <v>J</v>
    <v>J</v>
    <v>J</v>
    <v>15</v>
    <v>Leerbeek</v>
    <v>112</v>
    <v>Onderhoud Leerbeek</v>
    <v>145</v>
    <v>5269</v>
    <v>5269</v>
    <v>Lage vloer streek</v>
    <v>Gelede bus</v>
    <v>Bus</v>
  </rv>
  <rv s="0">
    <v>0</v>
    <v>5270</v>
    <v>1</v>
    <v>Generic</v>
    <v>214B</v>
    <v>Euro5</v>
    <v>1</v>
    <v>39723</v>
    <v>45175</v>
    <v>Vlaams-Brabant</v>
    <v>3</v>
    <v>J</v>
    <v>J</v>
    <v>J</v>
    <v>J</v>
    <v>J</v>
    <v>15</v>
    <v>Leerbeek</v>
    <v>112</v>
    <v>Onderhoud Leerbeek</v>
    <v>145</v>
    <v>5270</v>
    <v>5270</v>
    <v>Lage vloer streek</v>
    <v>Gelede bus</v>
    <v>Bus</v>
  </rv>
  <rv s="0">
    <v>0</v>
    <v>5271</v>
    <v>1</v>
    <v>Generic</v>
    <v>214B</v>
    <v>Euro5</v>
    <v>1</v>
    <v>39730</v>
    <v>45175</v>
    <v>Oost-Vlaanderen</v>
    <v>2</v>
    <v>J</v>
    <v>J</v>
    <v>J</v>
    <v>J</v>
    <v>J</v>
    <v>15</v>
    <v>Gentbrugge</v>
    <v>112</v>
    <v>Werkhuis Gentbrugge</v>
    <v>141</v>
    <v>5271</v>
    <v>5271</v>
    <v>Lage vloer streek</v>
    <v>Gelede bus</v>
    <v>Bus</v>
  </rv>
  <rv s="0">
    <v>0</v>
    <v>5272</v>
    <v>1</v>
    <v>Generic</v>
    <v>214B</v>
    <v>Euro5</v>
    <v>1</v>
    <v>40095</v>
    <v>45175</v>
    <v>Oost-Vlaanderen</v>
    <v>2</v>
    <v>J</v>
    <v>J</v>
    <v>J</v>
    <v>J</v>
    <v>J</v>
    <v>14</v>
    <v>Gentbrugge</v>
    <v>112</v>
    <v>Werkhuis Gentbrugge</v>
    <v>141</v>
    <v>5272</v>
    <v>5272</v>
    <v>Lage vloer streek</v>
    <v>Gelede bus</v>
    <v>Bus</v>
  </rv>
  <rv s="0">
    <v>0</v>
    <v>5273</v>
    <v>1</v>
    <v>Generic</v>
    <v>214B</v>
    <v>Euro5</v>
    <v>1</v>
    <v>39730</v>
    <v>45175</v>
    <v>Oost-Vlaanderen</v>
    <v>2</v>
    <v>J</v>
    <v>J</v>
    <v>J</v>
    <v>J</v>
    <v>J</v>
    <v>15</v>
    <v>Gentbrugge</v>
    <v>112</v>
    <v>Werkhuis Gentbrugge</v>
    <v>141</v>
    <v>5273</v>
    <v>5273</v>
    <v>Lage vloer streek</v>
    <v>Gelede bus</v>
    <v>Bus</v>
  </rv>
  <rv s="0">
    <v>0</v>
    <v>5274</v>
    <v>1</v>
    <v>Generic</v>
    <v>214B</v>
    <v>Euro5</v>
    <v>1</v>
    <v>39737</v>
    <v>45175</v>
    <v>Limburg</v>
    <v>4</v>
    <v>J</v>
    <v>J</v>
    <v>J</v>
    <v>J</v>
    <v>J</v>
    <v>15</v>
    <v>Beverlo</v>
    <v>120</v>
    <v>Onderhoud Beverlo</v>
    <v>152</v>
    <v>5274</v>
    <v>5274</v>
    <v>Lage vloer streek</v>
    <v>Gelede bus</v>
    <v>Bus</v>
  </rv>
  <rv s="0">
    <v>0</v>
    <v>5275</v>
    <v>1</v>
    <v>Generic</v>
    <v>214B</v>
    <v>Euro5</v>
    <v>1</v>
    <v>39741</v>
    <v>45175</v>
    <v>Limburg</v>
    <v>4</v>
    <v>J</v>
    <v>J</v>
    <v>J</v>
    <v>J</v>
    <v>J</v>
    <v>15</v>
    <v>Beverlo</v>
    <v>120</v>
    <v>Onderhoud Beverlo</v>
    <v>152</v>
    <v>5275</v>
    <v>5275</v>
    <v>Lage vloer streek</v>
    <v>Gelede bus</v>
    <v>Bus</v>
  </rv>
  <rv s="0">
    <v>0</v>
    <v>5276</v>
    <v>1</v>
    <v>Generic</v>
    <v>214C</v>
    <v>Euro5</v>
    <v>1</v>
    <v>39638</v>
    <v>45175</v>
    <v>Antwerpen</v>
    <v>1</v>
    <v>J</v>
    <v>J</v>
    <v>J</v>
    <v>J</v>
    <v>J</v>
    <v>15</v>
    <v>Mechelen Racing</v>
    <v>115</v>
    <v>Onderhoud Mechelen</v>
    <v>144</v>
    <v>5276</v>
    <v>5276</v>
    <v>City</v>
    <v>Kleine bus</v>
    <v>Bus</v>
  </rv>
  <rv s="0">
    <v>0</v>
    <v>5277</v>
    <v>1</v>
    <v>Generic</v>
    <v>214C</v>
    <v>Euro5</v>
    <v>1</v>
    <v>39686</v>
    <v>45175</v>
    <v>Antwerpen</v>
    <v>1</v>
    <v>J</v>
    <v>J</v>
    <v>J</v>
    <v>J</v>
    <v>J</v>
    <v>15</v>
    <v>Mechelen Racing</v>
    <v>115</v>
    <v>Onderhoud Mechelen</v>
    <v>144</v>
    <v>5277</v>
    <v>5277</v>
    <v>City</v>
    <v>Kleine bus</v>
    <v>Bus</v>
  </rv>
  <rv s="0">
    <v>0</v>
    <v>5278</v>
    <v>1</v>
    <v>Generic</v>
    <v>214C</v>
    <v>Euro5</v>
    <v>1</v>
    <v>39611</v>
    <v>45175</v>
    <v>Antwerpen</v>
    <v>1</v>
    <v>J</v>
    <v>J</v>
    <v>J</v>
    <v>J</v>
    <v>J</v>
    <v>15</v>
    <v>Mechelen Racing</v>
    <v>115</v>
    <v>Onderhoud Mechelen</v>
    <v>144</v>
    <v>5278</v>
    <v>5278</v>
    <v>City</v>
    <v>Kleine bus</v>
    <v>Bus</v>
  </rv>
  <rv s="0">
    <v>0</v>
    <v>5279</v>
    <v>1</v>
    <v>Generic</v>
    <v>214C</v>
    <v>Euro5</v>
    <v>1</v>
    <v>39611</v>
    <v>45175</v>
    <v>Antwerpen</v>
    <v>1</v>
    <v>J</v>
    <v>J</v>
    <v>J</v>
    <v>J</v>
    <v>J</v>
    <v>15</v>
    <v>Mechelen Racing</v>
    <v>115</v>
    <v>Onderhoud Mechelen</v>
    <v>144</v>
    <v>5279</v>
    <v>5279</v>
    <v>City</v>
    <v>Kleine bus</v>
    <v>Bus</v>
  </rv>
  <rv s="0">
    <v>0</v>
    <v>5280</v>
    <v>1</v>
    <v>Generic</v>
    <v>214C</v>
    <v>Euro5</v>
    <v>1</v>
    <v>39611</v>
    <v>45175</v>
    <v>Antwerpen</v>
    <v>1</v>
    <v>J</v>
    <v>J</v>
    <v>J</v>
    <v>J</v>
    <v>J</v>
    <v>15</v>
    <v>Mechelen Racing</v>
    <v>115</v>
    <v>Onderhoud Mechelen</v>
    <v>144</v>
    <v>5280</v>
    <v>5280</v>
    <v>City</v>
    <v>Kleine bus</v>
    <v>Bus</v>
  </rv>
  <rv s="0">
    <v>0</v>
    <v>5281</v>
    <v>1</v>
    <v>Generic</v>
    <v>214C</v>
    <v>Euro5</v>
    <v>1</v>
    <v>39612</v>
    <v>45175</v>
    <v>Antwerpen</v>
    <v>1</v>
    <v>J</v>
    <v>J</v>
    <v>J</v>
    <v>J</v>
    <v>J</v>
    <v>15</v>
    <v>Mechelen Racing</v>
    <v>115</v>
    <v>Onderhoud Mechelen</v>
    <v>144</v>
    <v>5281</v>
    <v>5281</v>
    <v>City</v>
    <v>Kleine bus</v>
    <v>Bus</v>
  </rv>
  <rv s="0">
    <v>0</v>
    <v>5282</v>
    <v>1</v>
    <v>Generic</v>
    <v>214C</v>
    <v>Euro5</v>
    <v>1</v>
    <v>39612</v>
    <v>45175</v>
    <v>Antwerpen</v>
    <v>1</v>
    <v>J</v>
    <v>J</v>
    <v>J</v>
    <v>J</v>
    <v>J</v>
    <v>15</v>
    <v>Mechelen Racing</v>
    <v>115</v>
    <v>Onderhoud Mechelen</v>
    <v>144</v>
    <v>5282</v>
    <v>5282</v>
    <v>City</v>
    <v>Kleine bus</v>
    <v>Bus</v>
  </rv>
  <rv s="0">
    <v>0</v>
    <v>5283</v>
    <v>1</v>
    <v>Generic</v>
    <v>214C</v>
    <v>Euro5</v>
    <v>1</v>
    <v>39617</v>
    <v>45175</v>
    <v>Vlaams-Brabant</v>
    <v>3</v>
    <v>J</v>
    <v>J</v>
    <v>J</v>
    <v>J</v>
    <v>J</v>
    <v>15</v>
    <v>Leuven Noord</v>
    <v>124</v>
    <v>Onderhoud Leuven Noord</v>
    <v>152</v>
    <v>5283</v>
    <v>5283</v>
    <v>City</v>
    <v>Kleine bus</v>
    <v>Bus</v>
  </rv>
  <rv s="0">
    <v>0</v>
    <v>5284</v>
    <v>1</v>
    <v>Generic</v>
    <v>214C</v>
    <v>Euro5</v>
    <v>1</v>
    <v>39617</v>
    <v>45175</v>
    <v>Vlaams-Brabant</v>
    <v>3</v>
    <v>J</v>
    <v>J</v>
    <v>J</v>
    <v>J</v>
    <v>J</v>
    <v>15</v>
    <v>Leuven Noord</v>
    <v>124</v>
    <v>Onderhoud Leuven Noord</v>
    <v>152</v>
    <v>5284</v>
    <v>5284</v>
    <v>City</v>
    <v>Kleine bus</v>
    <v>Bus</v>
  </rv>
  <rv s="0">
    <v>0</v>
    <v>5285</v>
    <v>1</v>
    <v>Generic</v>
    <v>214C</v>
    <v>Euro5</v>
    <v>1</v>
    <v>39618</v>
    <v>45175</v>
    <v>Vlaams-Brabant</v>
    <v>3</v>
    <v>J</v>
    <v>J</v>
    <v>J</v>
    <v>J</v>
    <v>J</v>
    <v>15</v>
    <v>Leuven Noord</v>
    <v>124</v>
    <v>Onderhoud Leuven Noord</v>
    <v>152</v>
    <v>5285</v>
    <v>5285</v>
    <v>City</v>
    <v>Kleine bus</v>
    <v>Bus</v>
  </rv>
  <rv s="0">
    <v>0</v>
    <v>5286</v>
    <v>1</v>
    <v>Generic</v>
    <v>214C</v>
    <v>Euro5</v>
    <v>1</v>
    <v>39618</v>
    <v>45175</v>
    <v>Vlaams-Brabant</v>
    <v>3</v>
    <v>J</v>
    <v>J</v>
    <v>J</v>
    <v>J</v>
    <v>J</v>
    <v>15</v>
    <v>Leuven Noord</v>
    <v>124</v>
    <v>Onderhoud Leuven Noord</v>
    <v>152</v>
    <v>5286</v>
    <v>5286</v>
    <v>City</v>
    <v>Kleine bus</v>
    <v>Bus</v>
  </rv>
  <rv s="0">
    <v>0</v>
    <v>5287</v>
    <v>1</v>
    <v>Generic</v>
    <v>214C</v>
    <v>Euro5</v>
    <v>1</v>
    <v>39619</v>
    <v>45175</v>
    <v>Vlaams-Brabant</v>
    <v>3</v>
    <v>J</v>
    <v>J</v>
    <v>J</v>
    <v>J</v>
    <v>J</v>
    <v>15</v>
    <v>Leuven Noord</v>
    <v>124</v>
    <v>Onderhoud Leuven Noord</v>
    <v>152</v>
    <v>5287</v>
    <v>5287</v>
    <v>City</v>
    <v>Kleine bus</v>
    <v>Bus</v>
  </rv>
  <rv s="0">
    <v>0</v>
    <v>5288</v>
    <v>1</v>
    <v>Generic</v>
    <v>214C</v>
    <v>Euro5</v>
    <v>1</v>
    <v>39619</v>
    <v>45175</v>
    <v>Vlaams-Brabant</v>
    <v>3</v>
    <v>J</v>
    <v>J</v>
    <v>J</v>
    <v>J</v>
    <v>J</v>
    <v>15</v>
    <v>Leuven Noord</v>
    <v>124</v>
    <v>Onderhoud Leuven Noord</v>
    <v>152</v>
    <v>5288</v>
    <v>5288</v>
    <v>City</v>
    <v>Kleine bus</v>
    <v>Bus</v>
  </rv>
  <rv s="0">
    <v>0</v>
    <v>5289</v>
    <v>1</v>
    <v>Generic</v>
    <v>214C</v>
    <v>Euro5</v>
    <v>1</v>
    <v>39626</v>
    <v>45175</v>
    <v>Vlaams-Brabant</v>
    <v>3</v>
    <v>J</v>
    <v>J</v>
    <v>J</v>
    <v>J</v>
    <v>J</v>
    <v>15</v>
    <v>Leuven Noord</v>
    <v>124</v>
    <v>Onderhoud Leuven Noord</v>
    <v>152</v>
    <v>5289</v>
    <v>5289</v>
    <v>City</v>
    <v>Kleine bus</v>
    <v>Bus</v>
  </rv>
  <rv s="0">
    <v>0</v>
    <v>5290</v>
    <v>1</v>
    <v>Generic</v>
    <v>214C</v>
    <v>Euro5</v>
    <v>1</v>
    <v>39626</v>
    <v>45175</v>
    <v>Vlaams-Brabant</v>
    <v>3</v>
    <v>J</v>
    <v>J</v>
    <v>J</v>
    <v>J</v>
    <v>J</v>
    <v>15</v>
    <v>Leuven Noord</v>
    <v>124</v>
    <v>Onderhoud Leuven Noord</v>
    <v>152</v>
    <v>5290</v>
    <v>5290</v>
    <v>City</v>
    <v>Kleine bus</v>
    <v>Bus</v>
  </rv>
  <rv s="0">
    <v>0</v>
    <v>5291</v>
    <v>1</v>
    <v>Generic</v>
    <v>214C</v>
    <v>Euro5</v>
    <v>1</v>
    <v>39626</v>
    <v>45175</v>
    <v>Vlaams-Brabant</v>
    <v>3</v>
    <v>J</v>
    <v>J</v>
    <v>J</v>
    <v>J</v>
    <v>J</v>
    <v>15</v>
    <v>Leuven Noord</v>
    <v>124</v>
    <v>Onderhoud Leuven Noord</v>
    <v>152</v>
    <v>5291</v>
    <v>5291</v>
    <v>City</v>
    <v>Kleine bus</v>
    <v>Bus</v>
  </rv>
  <rv s="0">
    <v>0</v>
    <v>5292</v>
    <v>1</v>
    <v>Generic</v>
    <v>214C</v>
    <v>Euro5</v>
    <v>1</v>
    <v>39626</v>
    <v>45175</v>
    <v>Vlaams-Brabant</v>
    <v>3</v>
    <v>J</v>
    <v>J</v>
    <v>J</v>
    <v>J</v>
    <v>J</v>
    <v>15</v>
    <v>Leuven Noord</v>
    <v>124</v>
    <v>Onderhoud Leuven Noord</v>
    <v>152</v>
    <v>5292</v>
    <v>5292</v>
    <v>City</v>
    <v>Kleine bus</v>
    <v>Bus</v>
  </rv>
  <rv s="0">
    <v>0</v>
    <v>5293</v>
    <v>1</v>
    <v>Generic</v>
    <v>214C</v>
    <v>Euro5</v>
    <v>1</v>
    <v>39632</v>
    <v>45175</v>
    <v>Vlaams-Brabant</v>
    <v>3</v>
    <v>J</v>
    <v>J</v>
    <v>J</v>
    <v>J</v>
    <v>J</v>
    <v>15</v>
    <v>Leuven Noord</v>
    <v>124</v>
    <v>Onderhoud Leuven Noord</v>
    <v>152</v>
    <v>5293</v>
    <v>5293</v>
    <v>City</v>
    <v>Kleine bus</v>
    <v>Bus</v>
  </rv>
  <rv s="0">
    <v>0</v>
    <v>5294</v>
    <v>1</v>
    <v>Generic</v>
    <v>214C</v>
    <v>Euro5</v>
    <v>1</v>
    <v>39632</v>
    <v>45175</v>
    <v>Vlaams-Brabant</v>
    <v>3</v>
    <v>J</v>
    <v>J</v>
    <v>J</v>
    <v>J</v>
    <v>J</v>
    <v>15</v>
    <v>Leuven Noord</v>
    <v>124</v>
    <v>Onderhoud Leuven Noord</v>
    <v>152</v>
    <v>5294</v>
    <v>5294</v>
    <v>City</v>
    <v>Kleine bus</v>
    <v>Bus</v>
  </rv>
  <rv s="0">
    <v>0</v>
    <v>5295</v>
    <v>1</v>
    <v>Generic</v>
    <v>214C</v>
    <v>Euro5</v>
    <v>1</v>
    <v>39632</v>
    <v>45175</v>
    <v>Vlaams-Brabant</v>
    <v>3</v>
    <v>J</v>
    <v>J</v>
    <v>J</v>
    <v>J</v>
    <v>J</v>
    <v>15</v>
    <v>Leuven Noord</v>
    <v>124</v>
    <v>Onderhoud Leuven Noord</v>
    <v>152</v>
    <v>5295</v>
    <v>5295</v>
    <v>City</v>
    <v>Kleine bus</v>
    <v>Bus</v>
  </rv>
  <rv s="0">
    <v>0</v>
    <v>5296</v>
    <v>1</v>
    <v>Generic</v>
    <v>214C</v>
    <v>Euro5</v>
    <v>1</v>
    <v>39632</v>
    <v>45175</v>
    <v>Vlaams-Brabant</v>
    <v>3</v>
    <v>J</v>
    <v>J</v>
    <v>J</v>
    <v>J</v>
    <v>J</v>
    <v>15</v>
    <v>Leuven Noord</v>
    <v>124</v>
    <v>Onderhoud Leuven Noord</v>
    <v>152</v>
    <v>5296</v>
    <v>5296</v>
    <v>City</v>
    <v>Kleine bus</v>
    <v>Bus</v>
  </rv>
  <rv s="0">
    <v>0</v>
    <v>5297</v>
    <v>1</v>
    <v>Generic</v>
    <v>214C</v>
    <v>Euro5</v>
    <v>1</v>
    <v>39638</v>
    <v>45175</v>
    <v>Vlaams-Brabant</v>
    <v>3</v>
    <v>J</v>
    <v>J</v>
    <v>J</v>
    <v>J</v>
    <v>J</v>
    <v>15</v>
    <v>Leuven Noord</v>
    <v>124</v>
    <v>Onderhoud Leuven Noord</v>
    <v>152</v>
    <v>5297</v>
    <v>5297</v>
    <v>City</v>
    <v>Kleine bus</v>
    <v>Bus</v>
  </rv>
  <rv s="0">
    <v>0</v>
    <v>5298</v>
    <v>1</v>
    <v>Generic</v>
    <v>214C</v>
    <v>Euro5</v>
    <v>1</v>
    <v>39638</v>
    <v>45175</v>
    <v>Vlaams-Brabant</v>
    <v>3</v>
    <v>J</v>
    <v>J</v>
    <v>J</v>
    <v>J</v>
    <v>J</v>
    <v>15</v>
    <v>Leuven Noord</v>
    <v>124</v>
    <v>Onderhoud Leuven Noord</v>
    <v>152</v>
    <v>5298</v>
    <v>5298</v>
    <v>City</v>
    <v>Kleine bus</v>
    <v>Bus</v>
  </rv>
  <rv s="0">
    <v>0</v>
    <v>5299</v>
    <v>1</v>
    <v>Generic</v>
    <v>214C</v>
    <v>Euro5</v>
    <v>1</v>
    <v>39646</v>
    <v>45175</v>
    <v>Oost-Vlaanderen</v>
    <v>2</v>
    <v>J</v>
    <v>J</v>
    <v>J</v>
    <v>J</v>
    <v>J</v>
    <v>15</v>
    <v>Hofstade</v>
    <v>116</v>
    <v>Onderhoud Hofstade</v>
    <v>144</v>
    <v>5299</v>
    <v>5299</v>
    <v>City</v>
    <v>Kleine bus</v>
    <v>Bus</v>
  </rv>
  <rv s="0">
    <v>0</v>
    <v>5300</v>
    <v>1</v>
    <v>Generic</v>
    <v>214C</v>
    <v>Euro5</v>
    <v>1</v>
    <v>39646</v>
    <v>45175</v>
    <v>Oost-Vlaanderen</v>
    <v>2</v>
    <v>J</v>
    <v>J</v>
    <v>J</v>
    <v>J</v>
    <v>J</v>
    <v>15</v>
    <v>Hofstade</v>
    <v>116</v>
    <v>Onderhoud Hofstade</v>
    <v>144</v>
    <v>5300</v>
    <v>5300</v>
    <v>City</v>
    <v>Kleine bus</v>
    <v>Bus</v>
  </rv>
  <rv s="0">
    <v>0</v>
    <v>5301</v>
    <v>1</v>
    <v>Generic</v>
    <v>214C</v>
    <v>Euro5</v>
    <v>1</v>
    <v>39646</v>
    <v>45175</v>
    <v>Oost-Vlaanderen</v>
    <v>2</v>
    <v>J</v>
    <v>J</v>
    <v>J</v>
    <v>J</v>
    <v>J</v>
    <v>15</v>
    <v>Hofstade</v>
    <v>116</v>
    <v>Onderhoud Hofstade</v>
    <v>144</v>
    <v>5301</v>
    <v>5301</v>
    <v>City</v>
    <v>Kleine bus</v>
    <v>Bus</v>
  </rv>
  <rv s="0">
    <v>0</v>
    <v>5302</v>
    <v>1</v>
    <v>Generic</v>
    <v>214C</v>
    <v>Euro5</v>
    <v>1</v>
    <v>39646</v>
    <v>45175</v>
    <v>Oost-Vlaanderen</v>
    <v>2</v>
    <v>J</v>
    <v>J</v>
    <v>J</v>
    <v>J</v>
    <v>J</v>
    <v>15</v>
    <v>Hofstade</v>
    <v>116</v>
    <v>Onderhoud Hofstade</v>
    <v>144</v>
    <v>5302</v>
    <v>5302</v>
    <v>City</v>
    <v>Kleine bus</v>
    <v>Bus</v>
  </rv>
  <rv s="0">
    <v>0</v>
    <v>5303</v>
    <v>1</v>
    <v>Generic</v>
    <v>214C</v>
    <v>Euro5</v>
    <v>1</v>
    <v>39653</v>
    <v>45175</v>
    <v>Oost-Vlaanderen</v>
    <v>2</v>
    <v>J</v>
    <v>J</v>
    <v>J</v>
    <v>J</v>
    <v>J</v>
    <v>15</v>
    <v>Hofstade</v>
    <v>116</v>
    <v>Onderhoud Hofstade</v>
    <v>144</v>
    <v>5303</v>
    <v>5303</v>
    <v>City</v>
    <v>Kleine bus</v>
    <v>Bus</v>
  </rv>
  <rv s="0">
    <v>0</v>
    <v>5304</v>
    <v>1</v>
    <v>Generic</v>
    <v>214C</v>
    <v>Euro5</v>
    <v>1</v>
    <v>39653</v>
    <v>45175</v>
    <v>Oost-Vlaanderen</v>
    <v>2</v>
    <v>J</v>
    <v>J</v>
    <v>J</v>
    <v>J</v>
    <v>J</v>
    <v>15</v>
    <v>Hofstade</v>
    <v>116</v>
    <v>Onderhoud Hofstade</v>
    <v>144</v>
    <v>5304</v>
    <v>5304</v>
    <v>City</v>
    <v>Kleine bus</v>
    <v>Bus</v>
  </rv>
  <rv s="0">
    <v>0</v>
    <v>5305</v>
    <v>1</v>
    <v>Generic</v>
    <v>214C</v>
    <v>Euro5</v>
    <v>1</v>
    <v>39692</v>
    <v>45175</v>
    <v>Oost-Vlaanderen</v>
    <v>2</v>
    <v>J</v>
    <v>J</v>
    <v>J</v>
    <v>J</v>
    <v>J</v>
    <v>15</v>
    <v>Hofstade</v>
    <v>116</v>
    <v>Onderhoud Hofstade</v>
    <v>144</v>
    <v>5305</v>
    <v>5305</v>
    <v>City</v>
    <v>Kleine bus</v>
    <v>Bus</v>
  </rv>
  <rv s="0">
    <v>0</v>
    <v>5306</v>
    <v>1</v>
    <v>Generic</v>
    <v>214C</v>
    <v>Euro5</v>
    <v>1</v>
    <v>39692</v>
    <v>45175</v>
    <v>Oost-Vlaanderen</v>
    <v>2</v>
    <v>J</v>
    <v>J</v>
    <v>J</v>
    <v>J</v>
    <v>J</v>
    <v>15</v>
    <v>Hofstade</v>
    <v>116</v>
    <v>Onderhoud Hofstade</v>
    <v>144</v>
    <v>5306</v>
    <v>5306</v>
    <v>City</v>
    <v>Kleine bus</v>
    <v>Bus</v>
  </rv>
  <rv s="0">
    <v>0</v>
    <v>5309</v>
    <v>1</v>
    <v>Generic</v>
    <v>214A2</v>
    <v>Euro5</v>
    <v>1</v>
    <v>40221</v>
    <v>45175</v>
    <v>Oost-Vlaanderen</v>
    <v>2</v>
    <v>J</v>
    <v>J</v>
    <v>J</v>
    <v>J</v>
    <v>J</v>
    <v>14</v>
    <v>Destelbergen</v>
    <v>111</v>
    <v>Werkhuis Destelbergen</v>
    <v>142</v>
    <v>5309</v>
    <v>5309</v>
    <v>Lage vloer streek</v>
    <v>12-m bus</v>
    <v>Bus</v>
  </rv>
  <rv s="0">
    <v>0</v>
    <v>5310</v>
    <v>1</v>
    <v>Generic</v>
    <v>214A2</v>
    <v>Euro5</v>
    <v>1</v>
    <v>40221</v>
    <v>45175</v>
    <v>Oost-Vlaanderen</v>
    <v>2</v>
    <v>J</v>
    <v>J</v>
    <v>J</v>
    <v>J</v>
    <v>J</v>
    <v>14</v>
    <v>Destelbergen</v>
    <v>111</v>
    <v>Werkhuis Destelbergen</v>
    <v>142</v>
    <v>5310</v>
    <v>5310</v>
    <v>Lage vloer streek</v>
    <v>12-m bus</v>
    <v>Bus</v>
  </rv>
  <rv s="0">
    <v>0</v>
    <v>5311</v>
    <v>1</v>
    <v>Generic</v>
    <v>214A2</v>
    <v>Euro5</v>
    <v>1</v>
    <v>40224</v>
    <v>45175</v>
    <v>Oost-Vlaanderen</v>
    <v>2</v>
    <v>J</v>
    <v>J</v>
    <v>J</v>
    <v>J</v>
    <v>J</v>
    <v>14</v>
    <v>Destelbergen</v>
    <v>111</v>
    <v>Werkhuis Destelbergen</v>
    <v>142</v>
    <v>5311</v>
    <v>5311</v>
    <v>Lage vloer streek</v>
    <v>12-m bus</v>
    <v>Bus</v>
  </rv>
  <rv s="0">
    <v>0</v>
    <v>5312</v>
    <v>1</v>
    <v>Generic</v>
    <v>214A2</v>
    <v>Euro5</v>
    <v>1</v>
    <v>40235</v>
    <v>45175</v>
    <v>Oost-Vlaanderen</v>
    <v>2</v>
    <v>J</v>
    <v>J</v>
    <v>J</v>
    <v>J</v>
    <v>J</v>
    <v>14</v>
    <v>Destelbergen</v>
    <v>111</v>
    <v>Werkhuis Destelbergen</v>
    <v>142</v>
    <v>5312</v>
    <v>5312</v>
    <v>Lage vloer streek</v>
    <v>12-m bus</v>
    <v>Bus</v>
  </rv>
  <rv s="0">
    <v>0</v>
    <v>5313</v>
    <v>1</v>
    <v>Generic</v>
    <v>214A2</v>
    <v>Euro5</v>
    <v>1</v>
    <v>40235</v>
    <v>45175</v>
    <v>Oost-Vlaanderen</v>
    <v>2</v>
    <v>J</v>
    <v>J</v>
    <v>J</v>
    <v>J</v>
    <v>J</v>
    <v>14</v>
    <v>Destelbergen</v>
    <v>111</v>
    <v>Werkhuis Destelbergen</v>
    <v>142</v>
    <v>5313</v>
    <v>5313</v>
    <v>Lage vloer streek</v>
    <v>12-m bus</v>
    <v>Bus</v>
  </rv>
  <rv s="0">
    <v>0</v>
    <v>5314</v>
    <v>1</v>
    <v>Generic</v>
    <v>214A2</v>
    <v>Euro5</v>
    <v>1</v>
    <v>40241</v>
    <v>45175</v>
    <v>Vlaams-Brabant</v>
    <v>3</v>
    <v>J</v>
    <v>J</v>
    <v>J</v>
    <v>J</v>
    <v>J</v>
    <v>14</v>
    <v>Dilbeek</v>
    <v>113</v>
    <v>Onderhoud Dilbeek</v>
    <v>146</v>
    <v>5314</v>
    <v>5314</v>
    <v>Lage vloer streek</v>
    <v>12-m bus</v>
    <v>Bus</v>
  </rv>
  <rv s="0">
    <v>0</v>
    <v>5315</v>
    <v>1</v>
    <v>Generic</v>
    <v>214A2</v>
    <v>Euro5</v>
    <v>1</v>
    <v>40233</v>
    <v>45175</v>
    <v>West-Vlaanderen</v>
    <v>5</v>
    <v>J</v>
    <v>J</v>
    <v>J</v>
    <v>J</v>
    <v>J</v>
    <v>14</v>
    <v>Oostende Slijkensestwg</v>
    <v>118</v>
    <v>Onderhoud Oostende - bus</v>
    <v>141</v>
    <v>5315</v>
    <v>5315</v>
    <v>Lage vloer streek</v>
    <v>12-m bus</v>
    <v>Bus</v>
  </rv>
  <rv s="0">
    <v>0</v>
    <v>5316</v>
    <v>1</v>
    <v>Generic</v>
    <v>214A2</v>
    <v>Euro5</v>
    <v>1</v>
    <v>40233</v>
    <v>45175</v>
    <v>Vlaams-Brabant</v>
    <v>3</v>
    <v>J</v>
    <v>J</v>
    <v>J</v>
    <v>J</v>
    <v>J</v>
    <v>14</v>
    <v>Dilbeek</v>
    <v>113</v>
    <v>Onderhoud Dilbeek</v>
    <v>146</v>
    <v>5316</v>
    <v>5316</v>
    <v>Lage vloer streek</v>
    <v>12-m bus</v>
    <v>Bus</v>
  </rv>
  <rv s="0">
    <v>0</v>
    <v>5317</v>
    <v>1</v>
    <v>Generic</v>
    <v>214A2</v>
    <v>Euro5</v>
    <v>1</v>
    <v>40238</v>
    <v>45175</v>
    <v>Vlaams-Brabant</v>
    <v>3</v>
    <v>J</v>
    <v>J</v>
    <v>J</v>
    <v>J</v>
    <v>J</v>
    <v>14</v>
    <v>Dilbeek</v>
    <v>113</v>
    <v>Onderhoud Dilbeek</v>
    <v>146</v>
    <v>5317</v>
    <v>5317</v>
    <v>Lage vloer streek</v>
    <v>12-m bus</v>
    <v>Bus</v>
  </rv>
  <rv s="0">
    <v>0</v>
    <v>5318</v>
    <v>1</v>
    <v>Generic</v>
    <v>214A2</v>
    <v>Euro5</v>
    <v>1</v>
    <v>40233</v>
    <v>45175</v>
    <v>Vlaams-Brabant</v>
    <v>3</v>
    <v>J</v>
    <v>J</v>
    <v>J</v>
    <v>J</v>
    <v>J</v>
    <v>14</v>
    <v>Dilbeek</v>
    <v>113</v>
    <v>Onderhoud Dilbeek</v>
    <v>146</v>
    <v>5318</v>
    <v>5318</v>
    <v>Lage vloer streek</v>
    <v>12-m bus</v>
    <v>Bus</v>
  </rv>
  <rv s="0">
    <v>0</v>
    <v>5319</v>
    <v>1</v>
    <v>Generic</v>
    <v>214A2</v>
    <v>Euro5</v>
    <v>1</v>
    <v>40228</v>
    <v>45175</v>
    <v>West-Vlaanderen</v>
    <v>5</v>
    <v>J</v>
    <v>J</v>
    <v>J</v>
    <v>J</v>
    <v>J</v>
    <v>14</v>
    <v>Oostende Slijkensestwg</v>
    <v>118</v>
    <v>Onderhoud Oostende - bus</v>
    <v>141</v>
    <v>5319</v>
    <v>5319</v>
    <v>Lage vloer streek</v>
    <v>12-m bus</v>
    <v>Bus</v>
  </rv>
  <rv s="0">
    <v>0</v>
    <v>5320</v>
    <v>1</v>
    <v>Generic</v>
    <v>214A2</v>
    <v>Euro5</v>
    <v>1</v>
    <v>40235</v>
    <v>45175</v>
    <v>West-Vlaanderen</v>
    <v>5</v>
    <v>J</v>
    <v>J</v>
    <v>J</v>
    <v>J</v>
    <v>J</v>
    <v>14</v>
    <v>Oostende Slijkensestwg</v>
    <v>118</v>
    <v>Onderhoud Oostende - bus</v>
    <v>141</v>
    <v>5320</v>
    <v>5320</v>
    <v>Lage vloer streek</v>
    <v>12-m bus</v>
    <v>Bus</v>
  </rv>
  <rv s="0">
    <v>0</v>
    <v>5321</v>
    <v>1</v>
    <v>Generic</v>
    <v>214A2</v>
    <v>Euro5</v>
    <v>1</v>
    <v>40238</v>
    <v>45175</v>
    <v>West-Vlaanderen</v>
    <v>5</v>
    <v>J</v>
    <v>J</v>
    <v>J</v>
    <v>J</v>
    <v>J</v>
    <v>14</v>
    <v>Oostende Slijkensestwg</v>
    <v>118</v>
    <v>Onderhoud Oostende - bus</v>
    <v>141</v>
    <v>5321</v>
    <v>5321</v>
    <v>Lage vloer streek</v>
    <v>12-m bus</v>
    <v>Bus</v>
  </rv>
  <rv s="0">
    <v>0</v>
    <v>5322</v>
    <v>1</v>
    <v>Generic</v>
    <v>214A2</v>
    <v>Euro5</v>
    <v>1</v>
    <v>40240</v>
    <v>45175</v>
    <v>West-Vlaanderen</v>
    <v>5</v>
    <v>J</v>
    <v>J</v>
    <v>J</v>
    <v>J</v>
    <v>J</v>
    <v>14</v>
    <v>Oostende Slijkensestwg</v>
    <v>118</v>
    <v>Onderhoud Oostende - bus</v>
    <v>141</v>
    <v>5322</v>
    <v>5322</v>
    <v>Lage vloer streek</v>
    <v>12-m bus</v>
    <v>Bus</v>
  </rv>
  <rv s="0">
    <v>0</v>
    <v>5323</v>
    <v>1</v>
    <v>Generic</v>
    <v>214A2</v>
    <v>Euro5</v>
    <v>1</v>
    <v>40241</v>
    <v>45175</v>
    <v>West-Vlaanderen</v>
    <v>5</v>
    <v>J</v>
    <v>J</v>
    <v>J</v>
    <v>J</v>
    <v>J</v>
    <v>14</v>
    <v>Oostende Slijkensestwg</v>
    <v>118</v>
    <v>Onderhoud Oostende - bus</v>
    <v>141</v>
    <v>5323</v>
    <v>5323</v>
    <v>Lage vloer streek</v>
    <v>12-m bus</v>
    <v>Bus</v>
  </rv>
  <rv s="0">
    <v>0</v>
    <v>5324</v>
    <v>1</v>
    <v>Generic</v>
    <v>214B2</v>
    <v>Euro5</v>
    <v>1</v>
    <v>39981</v>
    <v>45175</v>
    <v>Oost-Vlaanderen</v>
    <v>2</v>
    <v>J</v>
    <v>J</v>
    <v>J</v>
    <v>J</v>
    <v>J</v>
    <v>14</v>
    <v>Gentbrugge</v>
    <v>112</v>
    <v>Werkhuis Gentbrugge</v>
    <v>141</v>
    <v>5324</v>
    <v>5324</v>
    <v>Lage vloer streek</v>
    <v>Gelede bus</v>
    <v>Bus</v>
  </rv>
  <rv s="0">
    <v>0</v>
    <v>5325</v>
    <v>1</v>
    <v>Generic</v>
    <v>214B2</v>
    <v>Euro5</v>
    <v>1</v>
    <v>39986</v>
    <v>45175</v>
    <v>Oost-Vlaanderen</v>
    <v>2</v>
    <v>J</v>
    <v>J</v>
    <v>J</v>
    <v>J</v>
    <v>J</v>
    <v>14</v>
    <v>Gentbrugge</v>
    <v>112</v>
    <v>Werkhuis Gentbrugge</v>
    <v>141</v>
    <v>5325</v>
    <v>5325</v>
    <v>Lage vloer streek</v>
    <v>Gelede bus</v>
    <v>Bus</v>
  </rv>
  <rv s="0">
    <v>0</v>
    <v>5326</v>
    <v>1</v>
    <v>Generic</v>
    <v>214B2</v>
    <v>Euro5</v>
    <v>1</v>
    <v>39993</v>
    <v>45175</v>
    <v>Oost-Vlaanderen</v>
    <v>2</v>
    <v>J</v>
    <v>J</v>
    <v>J</v>
    <v>J</v>
    <v>J</v>
    <v>14</v>
    <v>Gentbrugge</v>
    <v>112</v>
    <v>Werkhuis Gentbrugge</v>
    <v>141</v>
    <v>5326</v>
    <v>5326</v>
    <v>Lage vloer streek</v>
    <v>Gelede bus</v>
    <v>Bus</v>
  </rv>
  <rv s="0">
    <v>0</v>
    <v>5327</v>
    <v>1</v>
    <v>Generic</v>
    <v>214B2</v>
    <v>Euro5</v>
    <v>1</v>
    <v>39995</v>
    <v>45175</v>
    <v>Oost-Vlaanderen</v>
    <v>2</v>
    <v>J</v>
    <v>J</v>
    <v>J</v>
    <v>J</v>
    <v>J</v>
    <v>14</v>
    <v>Gentbrugge</v>
    <v>112</v>
    <v>Werkhuis Gentbrugge</v>
    <v>141</v>
    <v>5327</v>
    <v>5327</v>
    <v>Lage vloer streek</v>
    <v>Gelede bus</v>
    <v>Bus</v>
  </rv>
  <rv s="0">
    <v>0</v>
    <v>5328</v>
    <v>1</v>
    <v>Generic</v>
    <v>214B2</v>
    <v>Euro5</v>
    <v>1</v>
    <v>40001</v>
    <v>45175</v>
    <v>Oost-Vlaanderen</v>
    <v>2</v>
    <v>J</v>
    <v>J</v>
    <v>J</v>
    <v>J</v>
    <v>J</v>
    <v>14</v>
    <v>Gentbrugge</v>
    <v>112</v>
    <v>Werkhuis Gentbrugge</v>
    <v>141</v>
    <v>5328</v>
    <v>5328</v>
    <v>Lage vloer streek</v>
    <v>Gelede bus</v>
    <v>Bus</v>
  </rv>
  <rv s="0">
    <v>0</v>
    <v>5329</v>
    <v>1</v>
    <v>Generic</v>
    <v>214B2</v>
    <v>Euro5</v>
    <v>1</v>
    <v>40010</v>
    <v>45175</v>
    <v>Limburg</v>
    <v>4</v>
    <v>J</v>
    <v>J</v>
    <v>J</v>
    <v>J</v>
    <v>J</v>
    <v>14</v>
    <v>Beverlo</v>
    <v>120</v>
    <v>Onderhoud Beverlo</v>
    <v>152</v>
    <v>5329</v>
    <v>5329</v>
    <v>Lage vloer streek</v>
    <v>Gelede bus</v>
    <v>Bus</v>
  </rv>
  <rv s="0">
    <v>0</v>
    <v>5330</v>
    <v>1</v>
    <v>Generic</v>
    <v>214B2</v>
    <v>Euro5</v>
    <v>1</v>
    <v>40010</v>
    <v>45175</v>
    <v>Limburg</v>
    <v>4</v>
    <v>J</v>
    <v>J</v>
    <v>J</v>
    <v>J</v>
    <v>J</v>
    <v>14</v>
    <v>Beverlo</v>
    <v>120</v>
    <v>Onderhoud Beverlo</v>
    <v>152</v>
    <v>5330</v>
    <v>5330</v>
    <v>Lage vloer streek</v>
    <v>Gelede bus</v>
    <v>Bus</v>
  </rv>
  <rv s="0">
    <v>0</v>
    <v>5331</v>
    <v>1</v>
    <v>Generic</v>
    <v>214B2</v>
    <v>Euro5</v>
    <v>1</v>
    <v>40059</v>
    <v>45175</v>
    <v>Antwerpen</v>
    <v>1</v>
    <v>J</v>
    <v>J</v>
    <v>J</v>
    <v>J</v>
    <v>J</v>
    <v>14</v>
    <v>Turnhout</v>
    <v>122</v>
    <v>Onderhoud Turnhout</v>
    <v>143</v>
    <v>5331</v>
    <v>5331</v>
    <v>Lage vloer streek</v>
    <v>Gelede bus</v>
    <v>Bus</v>
  </rv>
  <rv s="0">
    <v>0</v>
    <v>5332</v>
    <v>1</v>
    <v>Generic</v>
    <v>214B2</v>
    <v>Euro5</v>
    <v>1</v>
    <v>40064</v>
    <v>45175</v>
    <v>Antwerpen</v>
    <v>1</v>
    <v>J</v>
    <v>J</v>
    <v>J</v>
    <v>J</v>
    <v>J</v>
    <v>14</v>
    <v>Turnhout</v>
    <v>122</v>
    <v>Onderhoud Turnhout</v>
    <v>143</v>
    <v>5332</v>
    <v>5332</v>
    <v>Lage vloer streek</v>
    <v>Gelede bus</v>
    <v>Bus</v>
  </rv>
  <rv s="0">
    <v>0</v>
    <v>5333</v>
    <v>1</v>
    <v>Generic</v>
    <v>214B2</v>
    <v>Euro5</v>
    <v>1</v>
    <v>40077</v>
    <v>45175</v>
    <v>Antwerpen</v>
    <v>1</v>
    <v>J</v>
    <v>J</v>
    <v>J</v>
    <v>J</v>
    <v>J</v>
    <v>14</v>
    <v>Turnhout</v>
    <v>122</v>
    <v>Onderhoud Turnhout</v>
    <v>143</v>
    <v>5333</v>
    <v>5333</v>
    <v>Lage vloer streek</v>
    <v>Gelede bus</v>
    <v>Bus</v>
  </rv>
  <rv s="0">
    <v>0</v>
    <v>5334</v>
    <v>1</v>
    <v>Generic</v>
    <v>214C2</v>
    <v>Euro5</v>
    <v>1</v>
    <v>40003</v>
    <v>45175</v>
    <v>Limburg</v>
    <v>4</v>
    <v>J</v>
    <v>J</v>
    <v>J</v>
    <v>J</v>
    <v>J</v>
    <v>14</v>
    <v>TONGEREN</v>
    <v>126</v>
    <v>ONDERHOUD TONGEREN - NIEUW</v>
    <v>154</v>
    <v>5334</v>
    <v>5334</v>
    <v>City</v>
    <v>Kleine bus</v>
    <v>Bus</v>
  </rv>
  <rv s="0">
    <v>0</v>
    <v>5335</v>
    <v>1</v>
    <v>Generic</v>
    <v>214C2</v>
    <v>Euro5</v>
    <v>1</v>
    <v>40003</v>
    <v>45175</v>
    <v>Limburg</v>
    <v>4</v>
    <v>J</v>
    <v>J</v>
    <v>J</v>
    <v>J</v>
    <v>J</v>
    <v>14</v>
    <v>TONGEREN</v>
    <v>126</v>
    <v>ONDERHOUD TONGEREN - NIEUW</v>
    <v>154</v>
    <v>5335</v>
    <v>5335</v>
    <v>City</v>
    <v>Kleine bus</v>
    <v>Bus</v>
  </rv>
  <rv s="0">
    <v>0</v>
    <v>5336</v>
    <v>1</v>
    <v>Generic</v>
    <v>214C2</v>
    <v>Euro5</v>
    <v>1</v>
    <v>40018</v>
    <v>45175</v>
    <v>Limburg</v>
    <v>4</v>
    <v>J</v>
    <v>J</v>
    <v>J</v>
    <v>J</v>
    <v>J</v>
    <v>14</v>
    <v>TONGEREN</v>
    <v>126</v>
    <v>ONDERHOUD TONGEREN - NIEUW</v>
    <v>154</v>
    <v>5336</v>
    <v>5336</v>
    <v>City</v>
    <v>Kleine bus</v>
    <v>Bus</v>
  </rv>
  <rv s="0">
    <v>0</v>
    <v>5337</v>
    <v>1</v>
    <v>Generic</v>
    <v>214C2</v>
    <v>Euro5</v>
    <v>1</v>
    <v>40018</v>
    <v>45175</v>
    <v>Limburg</v>
    <v>4</v>
    <v>J</v>
    <v>J</v>
    <v>J</v>
    <v>J</v>
    <v>J</v>
    <v>14</v>
    <v>TONGEREN</v>
    <v>126</v>
    <v>ONDERHOUD TONGEREN - NIEUW</v>
    <v>154</v>
    <v>5337</v>
    <v>5337</v>
    <v>City</v>
    <v>Kleine bus</v>
    <v>Bus</v>
  </rv>
  <rv s="0">
    <v>0</v>
    <v>5338</v>
    <v>1</v>
    <v>Generic</v>
    <v>214C2</v>
    <v>Euro5</v>
    <v>1</v>
    <v>40115</v>
    <v>45175</v>
    <v>Limburg</v>
    <v>4</v>
    <v>J</v>
    <v>J</v>
    <v>J</v>
    <v>J</v>
    <v>J</v>
    <v>14</v>
    <v>TONGEREN</v>
    <v>126</v>
    <v>ONDERHOUD TONGEREN - NIEUW</v>
    <v>154</v>
    <v>5338</v>
    <v>5338</v>
    <v>City</v>
    <v>Kleine bus</v>
    <v>Bus</v>
  </rv>
  <rv s="0">
    <v>0</v>
    <v>5339</v>
    <v>1</v>
    <v>Generic</v>
    <v>214C2</v>
    <v>Euro5</v>
    <v>1</v>
    <v>40121</v>
    <v>45175</v>
    <v>Limburg</v>
    <v>4</v>
    <v>J</v>
    <v>J</v>
    <v>J</v>
    <v>J</v>
    <v>J</v>
    <v>14</v>
    <v>TONGEREN</v>
    <v>126</v>
    <v>ONDERHOUD TONGEREN - NIEUW</v>
    <v>154</v>
    <v>5339</v>
    <v>5339</v>
    <v>City</v>
    <v>Kleine bus</v>
    <v>Bus</v>
  </rv>
  <rv s="0">
    <v>0</v>
    <v>5340</v>
    <v>1</v>
    <v>Generic</v>
    <v>214C2</v>
    <v>Euro5</v>
    <v>1</v>
    <v>40115</v>
    <v>45175</v>
    <v>Limburg</v>
    <v>4</v>
    <v>J</v>
    <v>J</v>
    <v>J</v>
    <v>J</v>
    <v>J</v>
    <v>14</v>
    <v>TONGEREN</v>
    <v>126</v>
    <v>ONDERHOUD TONGEREN - NIEUW</v>
    <v>154</v>
    <v>5340</v>
    <v>5340</v>
    <v>City</v>
    <v>Kleine bus</v>
    <v>Bus</v>
  </rv>
  <rv s="0">
    <v>0</v>
    <v>5341</v>
    <v>1</v>
    <v>Generic</v>
    <v>214C2</v>
    <v>Euro5</v>
    <v>1</v>
    <v>40129</v>
    <v>45175</v>
    <v>Limburg</v>
    <v>4</v>
    <v>J</v>
    <v>J</v>
    <v>J</v>
    <v>J</v>
    <v>J</v>
    <v>14</v>
    <v>TONGEREN</v>
    <v>126</v>
    <v>ONDERHOUD TONGEREN - NIEUW</v>
    <v>154</v>
    <v>5341</v>
    <v>5341</v>
    <v>City</v>
    <v>Kleine bus</v>
    <v>Bus</v>
  </rv>
  <rv s="0">
    <v>0</v>
    <v>5342</v>
    <v>1</v>
    <v>Generic</v>
    <v>214C2</v>
    <v>Euro5</v>
    <v>1</v>
    <v>40136</v>
    <v>45175</v>
    <v>Limburg</v>
    <v>4</v>
    <v>J</v>
    <v>J</v>
    <v>J</v>
    <v>J</v>
    <v>J</v>
    <v>14</v>
    <v>TONGEREN</v>
    <v>126</v>
    <v>ONDERHOUD TONGEREN - NIEUW</v>
    <v>154</v>
    <v>5342</v>
    <v>5342</v>
    <v>City</v>
    <v>Kleine bus</v>
    <v>Bus</v>
  </rv>
  <rv s="0">
    <v>0</v>
    <v>5343</v>
    <v>1</v>
    <v>Generic</v>
    <v>214C2</v>
    <v>Euro5</v>
    <v>1</v>
    <v>40136</v>
    <v>45175</v>
    <v>Limburg</v>
    <v>4</v>
    <v>J</v>
    <v>J</v>
    <v>J</v>
    <v>J</v>
    <v>J</v>
    <v>14</v>
    <v>TONGEREN</v>
    <v>126</v>
    <v>ONDERHOUD TONGEREN - NIEUW</v>
    <v>154</v>
    <v>5343</v>
    <v>5343</v>
    <v>City</v>
    <v>Kleine bus</v>
    <v>Bus</v>
  </rv>
  <rv s="0">
    <v>0</v>
    <v>5344</v>
    <v>1</v>
    <v>Generic</v>
    <v>214C2</v>
    <v>Euro5</v>
    <v>1</v>
    <v>40147</v>
    <v>45175</v>
    <v>Limburg</v>
    <v>4</v>
    <v>J</v>
    <v>J</v>
    <v>J</v>
    <v>J</v>
    <v>J</v>
    <v>14</v>
    <v>TONGEREN</v>
    <v>126</v>
    <v>ONDERHOUD TONGEREN - NIEUW</v>
    <v>154</v>
    <v>5344</v>
    <v>5344</v>
    <v>City</v>
    <v>Kleine bus</v>
    <v>Bus</v>
  </rv>
  <rv s="0">
    <v>0</v>
    <v>5345</v>
    <v>1</v>
    <v>Generic</v>
    <v>214C2</v>
    <v>Euro5</v>
    <v>1</v>
    <v>40155</v>
    <v>45175</v>
    <v>Limburg</v>
    <v>4</v>
    <v>J</v>
    <v>J</v>
    <v>J</v>
    <v>J</v>
    <v>J</v>
    <v>14</v>
    <v>TONGEREN</v>
    <v>126</v>
    <v>ONDERHOUD TONGEREN - NIEUW</v>
    <v>154</v>
    <v>5345</v>
    <v>5345</v>
    <v>City</v>
    <v>Kleine bus</v>
    <v>Bus</v>
  </rv>
  <rv s="0">
    <v>0</v>
    <v>5346</v>
    <v>1</v>
    <v>Generic</v>
    <v>214C2</v>
    <v>Euro5</v>
    <v>1</v>
    <v>40147</v>
    <v>45175</v>
    <v>Limburg</v>
    <v>4</v>
    <v>J</v>
    <v>J</v>
    <v>J</v>
    <v>J</v>
    <v>J</v>
    <v>14</v>
    <v>TONGEREN</v>
    <v>126</v>
    <v>ONDERHOUD TONGEREN - NIEUW</v>
    <v>154</v>
    <v>5346</v>
    <v>5346</v>
    <v>City</v>
    <v>Kleine bus</v>
    <v>Bus</v>
  </rv>
  <rv s="0">
    <v>0</v>
    <v>5347</v>
    <v>1</v>
    <v>Generic</v>
    <v>214C2</v>
    <v>Euro5</v>
    <v>1</v>
    <v>40155</v>
    <v>45175</v>
    <v>Limburg</v>
    <v>4</v>
    <v>J</v>
    <v>J</v>
    <v>J</v>
    <v>J</v>
    <v>J</v>
    <v>14</v>
    <v>TONGEREN</v>
    <v>126</v>
    <v>ONDERHOUD TONGEREN - NIEUW</v>
    <v>154</v>
    <v>5347</v>
    <v>5347</v>
    <v>City</v>
    <v>Kleine bus</v>
    <v>Bus</v>
  </rv>
  <rv s="0">
    <v>0</v>
    <v>5348</v>
    <v>1</v>
    <v>Generic</v>
    <v>216A</v>
    <v>Euro5</v>
    <v>1</v>
    <v>39891</v>
    <v>45175</v>
    <v>Vlaams-Brabant</v>
    <v>3</v>
    <v>J</v>
    <v>J</v>
    <v>J</v>
    <v>J</v>
    <v>J</v>
    <v>15</v>
    <v>Leuven Noord</v>
    <v>124</v>
    <v>Onderhoud Leuven Noord</v>
    <v>152</v>
    <v>5348</v>
    <v>5348</v>
    <v>Hybride streek</v>
    <v>12-m bus</v>
    <v>Bus</v>
  </rv>
  <rv s="0">
    <v>0</v>
    <v>5349</v>
    <v>1</v>
    <v>Generic</v>
    <v>216A</v>
    <v>Euro5</v>
    <v>1</v>
    <v>40534</v>
    <v>45175</v>
    <v>Vlaams-Brabant</v>
    <v>3</v>
    <v>J</v>
    <v>J</v>
    <v>J</v>
    <v>J</v>
    <v>J</v>
    <v>13</v>
    <v>Leuven Noord</v>
    <v>124</v>
    <v>Onderhoud Leuven Noord</v>
    <v>152</v>
    <v>5349</v>
    <v>5349</v>
    <v>Hybride streek</v>
    <v>12-m bus</v>
    <v>Bus</v>
  </rv>
  <rv s="0">
    <v>0</v>
    <v>5350</v>
    <v>1</v>
    <v>Generic</v>
    <v>216A</v>
    <v>Euro5</v>
    <v>1</v>
    <v>40382</v>
    <v>45175</v>
    <v>Vlaams-Brabant</v>
    <v>3</v>
    <v>J</v>
    <v>J</v>
    <v>J</v>
    <v>J</v>
    <v>J</v>
    <v>13</v>
    <v>Leuven Noord</v>
    <v>124</v>
    <v>Onderhoud Leuven Noord</v>
    <v>152</v>
    <v>5350</v>
    <v>5350</v>
    <v>Hybride streek</v>
    <v>12-m bus</v>
    <v>Bus</v>
  </rv>
  <rv s="0">
    <v>0</v>
    <v>5351</v>
    <v>1</v>
    <v>Generic</v>
    <v>216A</v>
    <v>Euro5</v>
    <v>1</v>
    <v>40435</v>
    <v>45175</v>
    <v>Vlaams-Brabant</v>
    <v>3</v>
    <v>J</v>
    <v>J</v>
    <v>J</v>
    <v>J</v>
    <v>J</v>
    <v>13</v>
    <v>Leuven Noord</v>
    <v>124</v>
    <v>Onderhoud Leuven Noord</v>
    <v>152</v>
    <v>5351</v>
    <v>5351</v>
    <v>Hybride streek</v>
    <v>12-m bus</v>
    <v>Bus</v>
  </rv>
  <rv s="0">
    <v>0</v>
    <v>5352</v>
    <v>1</v>
    <v>Generic</v>
    <v>216A</v>
    <v>Euro5</v>
    <v>1</v>
    <v>40435</v>
    <v>45175</v>
    <v>Vlaams-Brabant</v>
    <v>3</v>
    <v>J</v>
    <v>J</v>
    <v>J</v>
    <v>J</v>
    <v>J</v>
    <v>13</v>
    <v>Leuven Noord</v>
    <v>124</v>
    <v>Onderhoud Leuven Noord</v>
    <v>152</v>
    <v>5352</v>
    <v>5352</v>
    <v>Hybride streek</v>
    <v>12-m bus</v>
    <v>Bus</v>
  </rv>
  <rv s="0">
    <v>0</v>
    <v>5353</v>
    <v>1</v>
    <v>Generic</v>
    <v>216B</v>
    <v>Euro5</v>
    <v>1</v>
    <v>39927</v>
    <v>45175</v>
    <v>Antwerpen</v>
    <v>1</v>
    <v>J</v>
    <v>J</v>
    <v>J</v>
    <v>J</v>
    <v>J</v>
    <v>14</v>
    <v>Mechelen Racing</v>
    <v>115</v>
    <v>Onderhoud Mechelen</v>
    <v>144</v>
    <v>5353</v>
    <v>5353</v>
    <v>City Hybride</v>
    <v>Kleine bus</v>
    <v>Bus</v>
  </rv>
  <rv s="0">
    <v>0</v>
    <v>5354</v>
    <v>1</v>
    <v>Generic</v>
    <v>216B</v>
    <v>Euro5</v>
    <v>1</v>
    <v>40416</v>
    <v>45175</v>
    <v>Antwerpen</v>
    <v>1</v>
    <v>J</v>
    <v>J</v>
    <v>J</v>
    <v>J</v>
    <v>J</v>
    <v>13</v>
    <v>Mechelen Racing</v>
    <v>115</v>
    <v>Onderhoud Mechelen</v>
    <v>144</v>
    <v>5354</v>
    <v>5354</v>
    <v>City Hybride</v>
    <v>Kleine bus</v>
    <v>Bus</v>
  </rv>
  <rv s="0">
    <v>0</v>
    <v>5355</v>
    <v>1</v>
    <v>Generic</v>
    <v>216B</v>
    <v>Euro5</v>
    <v>2</v>
    <v>40416</v>
    <v>45175</v>
    <v>Centrale Diensten</v>
    <v>9</v>
    <v>J</v>
    <v>J</v>
    <v>J</v>
    <v>J</v>
    <v>J</v>
    <v>13</v>
    <v>Onbekend</v>
    <v>#</v>
    <v>Onbekend</v>
    <v>#</v>
    <v>5355</v>
    <v>5355</v>
    <v>City Hybride</v>
    <v>Kleine bus</v>
    <v>Bus</v>
  </rv>
  <rv s="0">
    <v>0</v>
    <v>5356</v>
    <v>1</v>
    <v>Generic</v>
    <v>216B</v>
    <v>Euro5</v>
    <v>1</v>
    <v>40423</v>
    <v>45175</v>
    <v>Antwerpen</v>
    <v>1</v>
    <v>J</v>
    <v>J</v>
    <v>J</v>
    <v>J</v>
    <v>J</v>
    <v>13</v>
    <v>Mechelen Racing</v>
    <v>115</v>
    <v>Onderhoud Mechelen</v>
    <v>144</v>
    <v>5356</v>
    <v>5356</v>
    <v>City Hybride</v>
    <v>Kleine bus</v>
    <v>Bus</v>
  </rv>
  <rv s="0">
    <v>0</v>
    <v>5357</v>
    <v>1</v>
    <v>Generic</v>
    <v>216B</v>
    <v>Euro5</v>
    <v>1</v>
    <v>40416</v>
    <v>45175</v>
    <v>Antwerpen</v>
    <v>1</v>
    <v>J</v>
    <v>J</v>
    <v>J</v>
    <v>J</v>
    <v>J</v>
    <v>13</v>
    <v>Mechelen Racing</v>
    <v>115</v>
    <v>Onderhoud Mechelen</v>
    <v>144</v>
    <v>5357</v>
    <v>5357</v>
    <v>City Hybride</v>
    <v>Kleine bus</v>
    <v>Bus</v>
  </rv>
  <rv s="0">
    <v>0</v>
    <v>5358</v>
    <v>1</v>
    <v>Generic</v>
    <v>216C</v>
    <v>Euro5</v>
    <v>1</v>
    <v>39878</v>
    <v>45175</v>
    <v>Oost-Vlaanderen</v>
    <v>2</v>
    <v>J</v>
    <v>J</v>
    <v>J</v>
    <v>J</v>
    <v>J</v>
    <v>15</v>
    <v>Gentbrugge</v>
    <v>112</v>
    <v>Werkhuis Gentbrugge</v>
    <v>141</v>
    <v>5358</v>
    <v>5358</v>
    <v>Hybride streek</v>
    <v>Gelede bus</v>
    <v>Bus</v>
  </rv>
  <rv s="0">
    <v>0</v>
    <v>5359</v>
    <v>1</v>
    <v>Generic</v>
    <v>216C</v>
    <v>Euro5</v>
    <v>1</v>
    <v>40211</v>
    <v>45175</v>
    <v>Oost-Vlaanderen</v>
    <v>2</v>
    <v>J</v>
    <v>J</v>
    <v>J</v>
    <v>J</v>
    <v>J</v>
    <v>14</v>
    <v>Gentbrugge</v>
    <v>112</v>
    <v>Werkhuis Gentbrugge</v>
    <v>141</v>
    <v>5359</v>
    <v>5359</v>
    <v>Hybride streek</v>
    <v>Gelede bus</v>
    <v>Bus</v>
  </rv>
  <rv s="0">
    <v>0</v>
    <v>5360</v>
    <v>1</v>
    <v>Generic</v>
    <v>216C</v>
    <v>Euro5</v>
    <v>1</v>
    <v>40211</v>
    <v>45175</v>
    <v>Oost-Vlaanderen</v>
    <v>2</v>
    <v>J</v>
    <v>J</v>
    <v>J</v>
    <v>J</v>
    <v>J</v>
    <v>14</v>
    <v>Gentbrugge</v>
    <v>112</v>
    <v>Werkhuis Gentbrugge</v>
    <v>141</v>
    <v>5360</v>
    <v>5360</v>
    <v>Hybride streek</v>
    <v>Gelede bus</v>
    <v>Bus</v>
  </rv>
  <rv s="0">
    <v>0</v>
    <v>5361</v>
    <v>1</v>
    <v>Generic</v>
    <v>216C</v>
    <v>Euro5</v>
    <v>1</v>
    <v>40170</v>
    <v>45175</v>
    <v>Oost-Vlaanderen</v>
    <v>2</v>
    <v>J</v>
    <v>J</v>
    <v>J</v>
    <v>J</v>
    <v>J</v>
    <v>14</v>
    <v>Gentbrugge</v>
    <v>112</v>
    <v>Werkhuis Gentbrugge</v>
    <v>141</v>
    <v>5361</v>
    <v>5361</v>
    <v>Hybride streek</v>
    <v>Gelede bus</v>
    <v>Bus</v>
  </rv>
  <rv s="0">
    <v>0</v>
    <v>5362</v>
    <v>1</v>
    <v>Generic</v>
    <v>216C</v>
    <v>Euro5</v>
    <v>1</v>
    <v>40170</v>
    <v>45175</v>
    <v>Oost-Vlaanderen</v>
    <v>2</v>
    <v>J</v>
    <v>J</v>
    <v>J</v>
    <v>J</v>
    <v>J</v>
    <v>14</v>
    <v>Gentbrugge</v>
    <v>112</v>
    <v>Werkhuis Gentbrugge</v>
    <v>141</v>
    <v>5362</v>
    <v>5362</v>
    <v>Hybride streek</v>
    <v>Gelede bus</v>
    <v>Bus</v>
  </rv>
  <rv s="0">
    <v>0</v>
    <v>5363</v>
    <v>1</v>
    <v>Generic</v>
    <v>216C</v>
    <v>Euro5</v>
    <v>1</v>
    <v>40225</v>
    <v>45175</v>
    <v>Oost-Vlaanderen</v>
    <v>2</v>
    <v>J</v>
    <v>J</v>
    <v>J</v>
    <v>J</v>
    <v>J</v>
    <v>14</v>
    <v>Gentbrugge</v>
    <v>112</v>
    <v>Werkhuis Gentbrugge</v>
    <v>141</v>
    <v>5363</v>
    <v>5363</v>
    <v>Hybride streek</v>
    <v>Gelede bus</v>
    <v>Bus</v>
  </rv>
  <rv s="0">
    <v>0</v>
    <v>5364</v>
    <v>1</v>
    <v>Generic</v>
    <v>216C</v>
    <v>Euro5</v>
    <v>1</v>
    <v>40225</v>
    <v>45175</v>
    <v>Oost-Vlaanderen</v>
    <v>2</v>
    <v>J</v>
    <v>J</v>
    <v>J</v>
    <v>J</v>
    <v>J</v>
    <v>14</v>
    <v>Gentbrugge</v>
    <v>112</v>
    <v>Werkhuis Gentbrugge</v>
    <v>141</v>
    <v>5364</v>
    <v>5364</v>
    <v>Hybride streek</v>
    <v>Gelede bus</v>
    <v>Bus</v>
  </rv>
  <rv s="0">
    <v>0</v>
    <v>5365</v>
    <v>1</v>
    <v>Generic</v>
    <v>216C</v>
    <v>Euro5</v>
    <v>1</v>
    <v>40266</v>
    <v>45175</v>
    <v>Oost-Vlaanderen</v>
    <v>2</v>
    <v>J</v>
    <v>J</v>
    <v>J</v>
    <v>J</v>
    <v>J</v>
    <v>13</v>
    <v>Gentbrugge</v>
    <v>112</v>
    <v>Werkhuis Gentbrugge</v>
    <v>141</v>
    <v>5365</v>
    <v>5365</v>
    <v>Hybride streek</v>
    <v>Gelede bus</v>
    <v>Bus</v>
  </rv>
  <rv s="0">
    <v>0</v>
    <v>5366</v>
    <v>1</v>
    <v>Generic</v>
    <v>216C</v>
    <v>Euro5</v>
    <v>1</v>
    <v>40267</v>
    <v>45175</v>
    <v>Oost-Vlaanderen</v>
    <v>2</v>
    <v>J</v>
    <v>J</v>
    <v>J</v>
    <v>J</v>
    <v>J</v>
    <v>13</v>
    <v>Gentbrugge</v>
    <v>112</v>
    <v>Werkhuis Gentbrugge</v>
    <v>141</v>
    <v>5366</v>
    <v>5366</v>
    <v>Hybride streek</v>
    <v>Gelede bus</v>
    <v>Bus</v>
  </rv>
  <rv s="0">
    <v>0</v>
    <v>5367</v>
    <v>1</v>
    <v>Generic</v>
    <v>216C</v>
    <v>Euro5</v>
    <v>1</v>
    <v>40274</v>
    <v>45175</v>
    <v>Oost-Vlaanderen</v>
    <v>2</v>
    <v>J</v>
    <v>J</v>
    <v>J</v>
    <v>J</v>
    <v>J</v>
    <v>13</v>
    <v>Gentbrugge</v>
    <v>112</v>
    <v>Werkhuis Gentbrugge</v>
    <v>141</v>
    <v>5367</v>
    <v>5367</v>
    <v>Hybride streek</v>
    <v>Gelede bus</v>
    <v>Bus</v>
  </rv>
  <rv s="0">
    <v>0</v>
    <v>5368</v>
    <v>1</v>
    <v>Generic</v>
    <v>216C</v>
    <v>Euro5</v>
    <v>1</v>
    <v>40267</v>
    <v>45175</v>
    <v>Oost-Vlaanderen</v>
    <v>2</v>
    <v>J</v>
    <v>J</v>
    <v>J</v>
    <v>J</v>
    <v>J</v>
    <v>13</v>
    <v>Gentbrugge</v>
    <v>112</v>
    <v>Werkhuis Gentbrugge</v>
    <v>141</v>
    <v>5368</v>
    <v>5368</v>
    <v>Hybride streek</v>
    <v>Gelede bus</v>
    <v>Bus</v>
  </rv>
  <rv s="0">
    <v>0</v>
    <v>5369</v>
    <v>1</v>
    <v>Generic</v>
    <v>216C</v>
    <v>Euro5</v>
    <v>1</v>
    <v>40290</v>
    <v>45175</v>
    <v>Oost-Vlaanderen</v>
    <v>2</v>
    <v>J</v>
    <v>J</v>
    <v>J</v>
    <v>J</v>
    <v>J</v>
    <v>13</v>
    <v>Gentbrugge</v>
    <v>112</v>
    <v>Werkhuis Gentbrugge</v>
    <v>141</v>
    <v>5369</v>
    <v>5369</v>
    <v>Hybride streek</v>
    <v>Gelede bus</v>
    <v>Bus</v>
  </rv>
  <rv s="0">
    <v>0</v>
    <v>5370</v>
    <v>1</v>
    <v>Generic</v>
    <v>216C</v>
    <v>Euro5</v>
    <v>1</v>
    <v>40280</v>
    <v>45175</v>
    <v>Oost-Vlaanderen</v>
    <v>2</v>
    <v>J</v>
    <v>J</v>
    <v>J</v>
    <v>J</v>
    <v>J</v>
    <v>13</v>
    <v>Gentbrugge</v>
    <v>112</v>
    <v>Werkhuis Gentbrugge</v>
    <v>141</v>
    <v>5370</v>
    <v>5370</v>
    <v>Hybride streek</v>
    <v>Gelede bus</v>
    <v>Bus</v>
  </rv>
  <rv s="0">
    <v>0</v>
    <v>5371</v>
    <v>1</v>
    <v>Generic</v>
    <v>216C</v>
    <v>Euro5</v>
    <v>1</v>
    <v>40290</v>
    <v>45175</v>
    <v>Oost-Vlaanderen</v>
    <v>2</v>
    <v>J</v>
    <v>J</v>
    <v>J</v>
    <v>J</v>
    <v>J</v>
    <v>13</v>
    <v>Gentbrugge</v>
    <v>112</v>
    <v>Werkhuis Gentbrugge</v>
    <v>141</v>
    <v>5371</v>
    <v>5371</v>
    <v>Hybride streek</v>
    <v>Gelede bus</v>
    <v>Bus</v>
  </rv>
  <rv s="0">
    <v>0</v>
    <v>5372</v>
    <v>1</v>
    <v>Generic</v>
    <v>216C</v>
    <v>Euro5</v>
    <v>1</v>
    <v>40339</v>
    <v>45175</v>
    <v>Oost-Vlaanderen</v>
    <v>2</v>
    <v>J</v>
    <v>J</v>
    <v>J</v>
    <v>J</v>
    <v>J</v>
    <v>13</v>
    <v>Gentbrugge</v>
    <v>112</v>
    <v>Werkhuis Gentbrugge</v>
    <v>141</v>
    <v>5372</v>
    <v>5372</v>
    <v>Hybride streek</v>
    <v>Gelede bus</v>
    <v>Bus</v>
  </rv>
  <rv s="0">
    <v>0</v>
    <v>5373</v>
    <v>1</v>
    <v>Generic</v>
    <v>216C</v>
    <v>Euro5</v>
    <v>1</v>
    <v>40310</v>
    <v>45175</v>
    <v>Oost-Vlaanderen</v>
    <v>2</v>
    <v>J</v>
    <v>J</v>
    <v>J</v>
    <v>J</v>
    <v>J</v>
    <v>13</v>
    <v>Gentbrugge</v>
    <v>112</v>
    <v>Werkhuis Gentbrugge</v>
    <v>141</v>
    <v>5373</v>
    <v>5373</v>
    <v>Hybride streek</v>
    <v>Gelede bus</v>
    <v>Bus</v>
  </rv>
  <rv s="0">
    <v>0</v>
    <v>5374</v>
    <v>1</v>
    <v>Generic</v>
    <v>216C</v>
    <v>Euro5</v>
    <v>1</v>
    <v>40302</v>
    <v>45175</v>
    <v>Oost-Vlaanderen</v>
    <v>2</v>
    <v>J</v>
    <v>J</v>
    <v>J</v>
    <v>J</v>
    <v>J</v>
    <v>13</v>
    <v>Gentbrugge</v>
    <v>112</v>
    <v>Werkhuis Gentbrugge</v>
    <v>141</v>
    <v>5374</v>
    <v>5374</v>
    <v>Hybride streek</v>
    <v>Gelede bus</v>
    <v>Bus</v>
  </rv>
  <rv s="0">
    <v>0</v>
    <v>5375</v>
    <v>1</v>
    <v>Generic</v>
    <v>216C</v>
    <v>Euro5</v>
    <v>1</v>
    <v>40339</v>
    <v>45175</v>
    <v>Oost-Vlaanderen</v>
    <v>2</v>
    <v>J</v>
    <v>J</v>
    <v>J</v>
    <v>J</v>
    <v>J</v>
    <v>13</v>
    <v>Gentbrugge</v>
    <v>112</v>
    <v>Werkhuis Gentbrugge</v>
    <v>141</v>
    <v>5375</v>
    <v>5375</v>
    <v>Hybride streek</v>
    <v>Gelede bus</v>
    <v>Bus</v>
  </rv>
  <rv s="0">
    <v>0</v>
    <v>5376</v>
    <v>1</v>
    <v>Generic</v>
    <v>216C</v>
    <v>Euro5</v>
    <v>1</v>
    <v>40351</v>
    <v>45175</v>
    <v>Oost-Vlaanderen</v>
    <v>2</v>
    <v>J</v>
    <v>J</v>
    <v>J</v>
    <v>J</v>
    <v>J</v>
    <v>13</v>
    <v>Gentbrugge</v>
    <v>112</v>
    <v>Werkhuis Gentbrugge</v>
    <v>141</v>
    <v>5376</v>
    <v>5376</v>
    <v>Hybride streek</v>
    <v>Gelede bus</v>
    <v>Bus</v>
  </rv>
  <rv s="0">
    <v>0</v>
    <v>5377</v>
    <v>1</v>
    <v>Generic</v>
    <v>216C</v>
    <v>Euro5</v>
    <v>1</v>
    <v>40351</v>
    <v>45175</v>
    <v>Oost-Vlaanderen</v>
    <v>2</v>
    <v>J</v>
    <v>J</v>
    <v>J</v>
    <v>J</v>
    <v>J</v>
    <v>13</v>
    <v>Gentbrugge</v>
    <v>112</v>
    <v>Werkhuis Gentbrugge</v>
    <v>141</v>
    <v>5377</v>
    <v>5377</v>
    <v>Hybride streek</v>
    <v>Gelede bus</v>
    <v>Bus</v>
  </rv>
  <rv s="0">
    <v>0</v>
    <v>5378</v>
    <v>1</v>
    <v>Generic</v>
    <v>216C</v>
    <v>Euro5</v>
    <v>1</v>
    <v>40361</v>
    <v>45175</v>
    <v>Vlaams-Brabant</v>
    <v>3</v>
    <v>J</v>
    <v>J</v>
    <v>J</v>
    <v>J</v>
    <v>J</v>
    <v>13</v>
    <v>Leuven Noord</v>
    <v>124</v>
    <v>Onderhoud Leuven Noord</v>
    <v>152</v>
    <v>5378</v>
    <v>5378</v>
    <v>Hybride streek</v>
    <v>Gelede bus</v>
    <v>Bus</v>
  </rv>
  <rv s="0">
    <v>0</v>
    <v>5379</v>
    <v>1</v>
    <v>Generic</v>
    <v>216C</v>
    <v>Euro5</v>
    <v>1</v>
    <v>40351</v>
    <v>45175</v>
    <v>Vlaams-Brabant</v>
    <v>3</v>
    <v>J</v>
    <v>J</v>
    <v>J</v>
    <v>J</v>
    <v>J</v>
    <v>13</v>
    <v>Leuven Noord</v>
    <v>124</v>
    <v>Onderhoud Leuven Noord</v>
    <v>152</v>
    <v>5379</v>
    <v>5379</v>
    <v>Hybride streek</v>
    <v>Gelede bus</v>
    <v>Bus</v>
  </rv>
  <rv s="0">
    <v>0</v>
    <v>5380</v>
    <v>1</v>
    <v>Generic</v>
    <v>216C</v>
    <v>Euro5</v>
    <v>1</v>
    <v>40372</v>
    <v>45175</v>
    <v>Vlaams-Brabant</v>
    <v>3</v>
    <v>J</v>
    <v>J</v>
    <v>J</v>
    <v>J</v>
    <v>J</v>
    <v>13</v>
    <v>Leuven Noord</v>
    <v>124</v>
    <v>Onderhoud Leuven Noord</v>
    <v>152</v>
    <v>5380</v>
    <v>5380</v>
    <v>Hybride streek</v>
    <v>Gelede bus</v>
    <v>Bus</v>
  </rv>
  <rv s="0">
    <v>0</v>
    <v>5381</v>
    <v>1</v>
    <v>Generic</v>
    <v>216C</v>
    <v>Euro5</v>
    <v>1</v>
    <v>40361</v>
    <v>45175</v>
    <v>Vlaams-Brabant</v>
    <v>3</v>
    <v>J</v>
    <v>J</v>
    <v>J</v>
    <v>J</v>
    <v>J</v>
    <v>13</v>
    <v>Leuven Noord</v>
    <v>124</v>
    <v>Onderhoud Leuven Noord</v>
    <v>152</v>
    <v>5381</v>
    <v>5381</v>
    <v>Hybride streek</v>
    <v>Gelede bus</v>
    <v>Bus</v>
  </rv>
  <rv s="0">
    <v>0</v>
    <v>5382</v>
    <v>1</v>
    <v>Generic</v>
    <v>216C</v>
    <v>Euro5</v>
    <v>1</v>
    <v>40381</v>
    <v>45175</v>
    <v>Vlaams-Brabant</v>
    <v>3</v>
    <v>J</v>
    <v>J</v>
    <v>J</v>
    <v>J</v>
    <v>J</v>
    <v>13</v>
    <v>Leuven Noord</v>
    <v>124</v>
    <v>Onderhoud Leuven Noord</v>
    <v>152</v>
    <v>5382</v>
    <v>5382</v>
    <v>Hybride streek</v>
    <v>Gelede bus</v>
    <v>Bus</v>
  </rv>
  <rv s="0">
    <v>0</v>
    <v>5389</v>
    <v>1</v>
    <v>Generic</v>
    <v>215</v>
    <v>4</v>
    <v>1</v>
    <v>40268</v>
    <v>45175</v>
    <v>West-Vlaanderen</v>
    <v>5</v>
    <v>J</v>
    <v>J</v>
    <v>J</v>
    <v>N</v>
    <v>J</v>
    <v>13</v>
    <v>Ieper</v>
    <v>131</v>
    <v>Onderhoud Ieper</v>
    <v>144</v>
    <v>5389</v>
    <v>5389</v>
    <v>Micro groot</v>
    <v>Kleine bus</v>
    <v>Bus</v>
  </rv>
  <rv s="0">
    <v>0</v>
    <v>5391</v>
    <v>1</v>
    <v>Generic</v>
    <v>215</v>
    <v>4</v>
    <v>2</v>
    <v>40256</v>
    <v>45175</v>
    <v>Centrale Diensten</v>
    <v>9</v>
    <v>J</v>
    <v>J</v>
    <v>J</v>
    <v>N</v>
    <v>J</v>
    <v>14</v>
    <v>Onbekend</v>
    <v>#</v>
    <v>Onbekend</v>
    <v>#</v>
    <v>5391</v>
    <v>5391</v>
    <v>Micro groot</v>
    <v>Kleine bus</v>
    <v>Bus</v>
  </rv>
  <rv s="0">
    <v>0</v>
    <v>5396</v>
    <v>1</v>
    <v>Generic</v>
    <v>215</v>
    <v>4</v>
    <v>2</v>
    <v>40267</v>
    <v>45175</v>
    <v>Centrale Diensten</v>
    <v>9</v>
    <v>J</v>
    <v>J</v>
    <v>J</v>
    <v>N</v>
    <v>J</v>
    <v>13</v>
    <v>Onbekend</v>
    <v>#</v>
    <v>Onbekend</v>
    <v>#</v>
    <v>5396</v>
    <v>5396</v>
    <v>Micro groot</v>
    <v>Kleine bus</v>
    <v>Bus</v>
  </rv>
  <rv s="0">
    <v>0</v>
    <v>5399</v>
    <v>1</v>
    <v>Generic</v>
    <v>215</v>
    <v>4</v>
    <v>2</v>
    <v>40291</v>
    <v>45175</v>
    <v>Centrale Diensten</v>
    <v>9</v>
    <v>J</v>
    <v>J</v>
    <v>J</v>
    <v>N</v>
    <v>J</v>
    <v>13</v>
    <v>Onbekend</v>
    <v>#</v>
    <v>Onbekend</v>
    <v>#</v>
    <v>5399</v>
    <v>5399</v>
    <v>Micro groot</v>
    <v>Kleine bus</v>
    <v>Bus</v>
  </rv>
  <rv s="0">
    <v>0</v>
    <v>5402</v>
    <v>1</v>
    <v>Generic</v>
    <v>218A</v>
    <v>Euro5</v>
    <v>1</v>
    <v>40724</v>
    <v>45175</v>
    <v>Vlaams-Brabant</v>
    <v>3</v>
    <v>J</v>
    <v>J</v>
    <v>J</v>
    <v>J</v>
    <v>J</v>
    <v>12</v>
    <v>Leuven Noord</v>
    <v>124</v>
    <v>Onderhoud Leuven Noord</v>
    <v>152</v>
    <v>5402</v>
    <v>5402</v>
    <v>Hybride streek</v>
    <v>12-m bus</v>
    <v>Bus</v>
  </rv>
  <rv s="0">
    <v>0</v>
    <v>5403</v>
    <v>1</v>
    <v>Generic</v>
    <v>218A</v>
    <v>Euro5</v>
    <v>1</v>
    <v>40549</v>
    <v>45175</v>
    <v>Vlaams-Brabant</v>
    <v>3</v>
    <v>J</v>
    <v>J</v>
    <v>J</v>
    <v>J</v>
    <v>J</v>
    <v>13</v>
    <v>Leuven Noord</v>
    <v>124</v>
    <v>Onderhoud Leuven Noord</v>
    <v>152</v>
    <v>5403</v>
    <v>5403</v>
    <v>Hybride streek</v>
    <v>12-m bus</v>
    <v>Bus</v>
  </rv>
  <rv s="0">
    <v>0</v>
    <v>5404</v>
    <v>1</v>
    <v>Generic</v>
    <v>218A</v>
    <v>Euro5</v>
    <v>1</v>
    <v>40534</v>
    <v>45175</v>
    <v>Vlaams-Brabant</v>
    <v>3</v>
    <v>J</v>
    <v>J</v>
    <v>J</v>
    <v>J</v>
    <v>J</v>
    <v>13</v>
    <v>Leuven Noord</v>
    <v>124</v>
    <v>Onderhoud Leuven Noord</v>
    <v>152</v>
    <v>5404</v>
    <v>5404</v>
    <v>Hybride streek</v>
    <v>12-m bus</v>
    <v>Bus</v>
  </rv>
  <rv s="0">
    <v>0</v>
    <v>5405</v>
    <v>1</v>
    <v>Generic</v>
    <v>218A</v>
    <v>Euro5</v>
    <v>1</v>
    <v>40534</v>
    <v>45175</v>
    <v>Vlaams-Brabant</v>
    <v>3</v>
    <v>J</v>
    <v>J</v>
    <v>J</v>
    <v>J</v>
    <v>J</v>
    <v>13</v>
    <v>Leuven Noord</v>
    <v>124</v>
    <v>Onderhoud Leuven Noord</v>
    <v>152</v>
    <v>5405</v>
    <v>5405</v>
    <v>Hybride streek</v>
    <v>12-m bus</v>
    <v>Bus</v>
  </rv>
  <rv s="0">
    <v>0</v>
    <v>5406</v>
    <v>1</v>
    <v>Generic</v>
    <v>218A</v>
    <v>Euro5</v>
    <v>1</v>
    <v>40549</v>
    <v>45175</v>
    <v>Vlaams-Brabant</v>
    <v>3</v>
    <v>J</v>
    <v>J</v>
    <v>J</v>
    <v>J</v>
    <v>J</v>
    <v>13</v>
    <v>Leuven Noord</v>
    <v>124</v>
    <v>Onderhoud Leuven Noord</v>
    <v>152</v>
    <v>5406</v>
    <v>5406</v>
    <v>Hybride streek</v>
    <v>12-m bus</v>
    <v>Bus</v>
  </rv>
  <rv s="0">
    <v>0</v>
    <v>5407</v>
    <v>1</v>
    <v>Generic</v>
    <v>218A</v>
    <v>Euro5</v>
    <v>1</v>
    <v>40534</v>
    <v>45175</v>
    <v>Vlaams-Brabant</v>
    <v>3</v>
    <v>J</v>
    <v>J</v>
    <v>J</v>
    <v>J</v>
    <v>J</v>
    <v>13</v>
    <v>Leuven Noord</v>
    <v>124</v>
    <v>Onderhoud Leuven Noord</v>
    <v>152</v>
    <v>5407</v>
    <v>5407</v>
    <v>Hybride streek</v>
    <v>12-m bus</v>
    <v>Bus</v>
  </rv>
  <rv s="0">
    <v>0</v>
    <v>5408</v>
    <v>1</v>
    <v>Generic</v>
    <v>218A</v>
    <v>Euro5</v>
    <v>1</v>
    <v>40557</v>
    <v>45175</v>
    <v>Vlaams-Brabant</v>
    <v>3</v>
    <v>J</v>
    <v>J</v>
    <v>J</v>
    <v>J</v>
    <v>J</v>
    <v>13</v>
    <v>Leuven Noord</v>
    <v>124</v>
    <v>Onderhoud Leuven Noord</v>
    <v>152</v>
    <v>5408</v>
    <v>5408</v>
    <v>Hybride streek</v>
    <v>12-m bus</v>
    <v>Bus</v>
  </rv>
  <rv s="0">
    <v>0</v>
    <v>5409</v>
    <v>1</v>
    <v>Generic</v>
    <v>218A</v>
    <v>Euro5</v>
    <v>1</v>
    <v>40550</v>
    <v>45175</v>
    <v>Vlaams-Brabant</v>
    <v>3</v>
    <v>J</v>
    <v>J</v>
    <v>J</v>
    <v>J</v>
    <v>J</v>
    <v>13</v>
    <v>Leuven Noord</v>
    <v>124</v>
    <v>Onderhoud Leuven Noord</v>
    <v>152</v>
    <v>5409</v>
    <v>5409</v>
    <v>Hybride streek</v>
    <v>12-m bus</v>
    <v>Bus</v>
  </rv>
  <rv s="0">
    <v>0</v>
    <v>5410</v>
    <v>1</v>
    <v>Generic</v>
    <v>218A</v>
    <v>Euro5</v>
    <v>1</v>
    <v>40564</v>
    <v>45175</v>
    <v>Vlaams-Brabant</v>
    <v>3</v>
    <v>J</v>
    <v>J</v>
    <v>J</v>
    <v>J</v>
    <v>J</v>
    <v>13</v>
    <v>Leuven Noord</v>
    <v>124</v>
    <v>Onderhoud Leuven Noord</v>
    <v>152</v>
    <v>5410</v>
    <v>5410</v>
    <v>Hybride streek</v>
    <v>12-m bus</v>
    <v>Bus</v>
  </rv>
  <rv s="0">
    <v>0</v>
    <v>5411</v>
    <v>1</v>
    <v>Generic</v>
    <v>218A</v>
    <v>Euro5</v>
    <v>1</v>
    <v>40564</v>
    <v>45175</v>
    <v>Vlaams-Brabant</v>
    <v>3</v>
    <v>J</v>
    <v>J</v>
    <v>J</v>
    <v>J</v>
    <v>J</v>
    <v>13</v>
    <v>Leuven Noord</v>
    <v>124</v>
    <v>Onderhoud Leuven Noord</v>
    <v>152</v>
    <v>5411</v>
    <v>5411</v>
    <v>Hybride streek</v>
    <v>12-m bus</v>
    <v>Bus</v>
  </rv>
  <rv s="0">
    <v>0</v>
    <v>5412</v>
    <v>1</v>
    <v>Generic</v>
    <v>218A</v>
    <v>Euro5</v>
    <v>1</v>
    <v>40899</v>
    <v>45175</v>
    <v>Vlaams-Brabant</v>
    <v>3</v>
    <v>J</v>
    <v>J</v>
    <v>J</v>
    <v>J</v>
    <v>J</v>
    <v>12</v>
    <v>Leuven Noord</v>
    <v>124</v>
    <v>Onderhoud Leuven Noord</v>
    <v>152</v>
    <v>5412</v>
    <v>5412</v>
    <v>Hybride streek</v>
    <v>12-m bus</v>
    <v>Bus</v>
  </rv>
  <rv s="0">
    <v>0</v>
    <v>5413</v>
    <v>1</v>
    <v>Generic</v>
    <v>218A</v>
    <v>Euro5</v>
    <v>1</v>
    <v>40570</v>
    <v>45175</v>
    <v>Vlaams-Brabant</v>
    <v>3</v>
    <v>J</v>
    <v>J</v>
    <v>J</v>
    <v>J</v>
    <v>J</v>
    <v>13</v>
    <v>Leuven Noord</v>
    <v>124</v>
    <v>Onderhoud Leuven Noord</v>
    <v>152</v>
    <v>5413</v>
    <v>5413</v>
    <v>Hybride streek</v>
    <v>12-m bus</v>
    <v>Bus</v>
  </rv>
  <rv s="0">
    <v>0</v>
    <v>5414</v>
    <v>1</v>
    <v>Generic</v>
    <v>218A</v>
    <v>Euro5</v>
    <v>1</v>
    <v>40581</v>
    <v>45175</v>
    <v>Vlaams-Brabant</v>
    <v>3</v>
    <v>J</v>
    <v>J</v>
    <v>J</v>
    <v>J</v>
    <v>J</v>
    <v>13</v>
    <v>Leuven Noord</v>
    <v>124</v>
    <v>Onderhoud Leuven Noord</v>
    <v>152</v>
    <v>5414</v>
    <v>5414</v>
    <v>Hybride streek</v>
    <v>12-m bus</v>
    <v>Bus</v>
  </rv>
  <rv s="0">
    <v>0</v>
    <v>5415</v>
    <v>1</v>
    <v>Generic</v>
    <v>218A</v>
    <v>Euro5</v>
    <v>1</v>
    <v>40583</v>
    <v>45175</v>
    <v>Vlaams-Brabant</v>
    <v>3</v>
    <v>J</v>
    <v>J</v>
    <v>J</v>
    <v>J</v>
    <v>J</v>
    <v>13</v>
    <v>Leuven Noord</v>
    <v>124</v>
    <v>Onderhoud Leuven Noord</v>
    <v>152</v>
    <v>5415</v>
    <v>5415</v>
    <v>Hybride streek</v>
    <v>12-m bus</v>
    <v>Bus</v>
  </rv>
  <rv s="0">
    <v>0</v>
    <v>5416</v>
    <v>1</v>
    <v>Generic</v>
    <v>218A</v>
    <v>Euro5</v>
    <v>1</v>
    <v>40583</v>
    <v>45175</v>
    <v>Vlaams-Brabant</v>
    <v>3</v>
    <v>J</v>
    <v>J</v>
    <v>J</v>
    <v>J</v>
    <v>J</v>
    <v>13</v>
    <v>Leuven Noord</v>
    <v>124</v>
    <v>Onderhoud Leuven Noord</v>
    <v>152</v>
    <v>5416</v>
    <v>5416</v>
    <v>Hybride streek</v>
    <v>12-m bus</v>
    <v>Bus</v>
  </rv>
  <rv s="0">
    <v>0</v>
    <v>5417</v>
    <v>1</v>
    <v>Generic</v>
    <v>218A</v>
    <v>Euro5</v>
    <v>1</v>
    <v>40584</v>
    <v>45175</v>
    <v>Vlaams-Brabant</v>
    <v>3</v>
    <v>J</v>
    <v>J</v>
    <v>J</v>
    <v>J</v>
    <v>J</v>
    <v>13</v>
    <v>Leuven Noord</v>
    <v>124</v>
    <v>Onderhoud Leuven Noord</v>
    <v>152</v>
    <v>5417</v>
    <v>5417</v>
    <v>Hybride streek</v>
    <v>12-m bus</v>
    <v>Bus</v>
  </rv>
  <rv s="0">
    <v>0</v>
    <v>5418</v>
    <v>1</v>
    <v>Generic</v>
    <v>218A</v>
    <v>Euro5</v>
    <v>1</v>
    <v>40596</v>
    <v>45175</v>
    <v>Vlaams-Brabant</v>
    <v>3</v>
    <v>J</v>
    <v>J</v>
    <v>J</v>
    <v>J</v>
    <v>J</v>
    <v>13</v>
    <v>Leuven Noord</v>
    <v>124</v>
    <v>Onderhoud Leuven Noord</v>
    <v>152</v>
    <v>5418</v>
    <v>5418</v>
    <v>Hybride streek</v>
    <v>12-m bus</v>
    <v>Bus</v>
  </rv>
  <rv s="0">
    <v>0</v>
    <v>5419</v>
    <v>1</v>
    <v>Generic</v>
    <v>218A</v>
    <v>Euro5</v>
    <v>1</v>
    <v>40596</v>
    <v>45175</v>
    <v>Vlaams-Brabant</v>
    <v>3</v>
    <v>J</v>
    <v>J</v>
    <v>J</v>
    <v>J</v>
    <v>J</v>
    <v>13</v>
    <v>Leuven Noord</v>
    <v>124</v>
    <v>Onderhoud Leuven Noord</v>
    <v>152</v>
    <v>5419</v>
    <v>5419</v>
    <v>Hybride streek</v>
    <v>12-m bus</v>
    <v>Bus</v>
  </rv>
  <rv s="0">
    <v>0</v>
    <v>5420</v>
    <v>1</v>
    <v>Generic</v>
    <v>218A</v>
    <v>Euro5</v>
    <v>1</v>
    <v>40605</v>
    <v>45175</v>
    <v>Vlaams-Brabant</v>
    <v>3</v>
    <v>J</v>
    <v>J</v>
    <v>J</v>
    <v>J</v>
    <v>J</v>
    <v>13</v>
    <v>Leuven Noord</v>
    <v>124</v>
    <v>Onderhoud Leuven Noord</v>
    <v>152</v>
    <v>5420</v>
    <v>5420</v>
    <v>Hybride streek</v>
    <v>12-m bus</v>
    <v>Bus</v>
  </rv>
  <rv s="0">
    <v>0</v>
    <v>5421</v>
    <v>1</v>
    <v>Generic</v>
    <v>218A</v>
    <v>Euro5</v>
    <v>1</v>
    <v>40605</v>
    <v>45175</v>
    <v>Vlaams-Brabant</v>
    <v>3</v>
    <v>J</v>
    <v>J</v>
    <v>J</v>
    <v>J</v>
    <v>J</v>
    <v>13</v>
    <v>Leuven Noord</v>
    <v>124</v>
    <v>Onderhoud Leuven Noord</v>
    <v>152</v>
    <v>5421</v>
    <v>5421</v>
    <v>Hybride streek</v>
    <v>12-m bus</v>
    <v>Bus</v>
  </rv>
  <rv s="0">
    <v>0</v>
    <v>5422</v>
    <v>1</v>
    <v>Generic</v>
    <v>218A</v>
    <v>Euro5</v>
    <v>1</v>
    <v>40613</v>
    <v>45175</v>
    <v>Vlaams-Brabant</v>
    <v>3</v>
    <v>J</v>
    <v>J</v>
    <v>J</v>
    <v>J</v>
    <v>J</v>
    <v>13</v>
    <v>Leuven Noord</v>
    <v>124</v>
    <v>Onderhoud Leuven Noord</v>
    <v>152</v>
    <v>5422</v>
    <v>5422</v>
    <v>Hybride streek</v>
    <v>12-m bus</v>
    <v>Bus</v>
  </rv>
  <rv s="0">
    <v>0</v>
    <v>5423</v>
    <v>1</v>
    <v>Generic</v>
    <v>218A</v>
    <v>Euro5</v>
    <v>1</v>
    <v>40625</v>
    <v>45175</v>
    <v>Vlaams-Brabant</v>
    <v>3</v>
    <v>J</v>
    <v>J</v>
    <v>J</v>
    <v>J</v>
    <v>J</v>
    <v>12</v>
    <v>Leuven Noord</v>
    <v>124</v>
    <v>Onderhoud Leuven Noord</v>
    <v>152</v>
    <v>5423</v>
    <v>5423</v>
    <v>Hybride streek</v>
    <v>12-m bus</v>
    <v>Bus</v>
  </rv>
  <rv s="0">
    <v>0</v>
    <v>5424</v>
    <v>1</v>
    <v>Generic</v>
    <v>218A</v>
    <v>Euro5</v>
    <v>1</v>
    <v>40613</v>
    <v>45175</v>
    <v>Vlaams-Brabant</v>
    <v>3</v>
    <v>J</v>
    <v>J</v>
    <v>J</v>
    <v>J</v>
    <v>J</v>
    <v>13</v>
    <v>Leuven Noord</v>
    <v>124</v>
    <v>Onderhoud Leuven Noord</v>
    <v>152</v>
    <v>5424</v>
    <v>5424</v>
    <v>Hybride streek</v>
    <v>12-m bus</v>
    <v>Bus</v>
  </rv>
  <rv s="0">
    <v>0</v>
    <v>5425</v>
    <v>1</v>
    <v>Generic</v>
    <v>218A</v>
    <v>Euro5</v>
    <v>1</v>
    <v>40625</v>
    <v>45175</v>
    <v>Vlaams-Brabant</v>
    <v>3</v>
    <v>J</v>
    <v>J</v>
    <v>J</v>
    <v>J</v>
    <v>J</v>
    <v>12</v>
    <v>Leuven Noord</v>
    <v>124</v>
    <v>Onderhoud Leuven Noord</v>
    <v>152</v>
    <v>5425</v>
    <v>5425</v>
    <v>Hybride streek</v>
    <v>12-m bus</v>
    <v>Bus</v>
  </rv>
  <rv s="0">
    <v>0</v>
    <v>5426</v>
    <v>1</v>
    <v>Generic</v>
    <v>218A</v>
    <v>Euro5</v>
    <v>1</v>
    <v>40640</v>
    <v>45175</v>
    <v>Vlaams-Brabant</v>
    <v>3</v>
    <v>J</v>
    <v>J</v>
    <v>J</v>
    <v>J</v>
    <v>J</v>
    <v>12</v>
    <v>Leuven Noord</v>
    <v>124</v>
    <v>Onderhoud Leuven Noord</v>
    <v>152</v>
    <v>5426</v>
    <v>5426</v>
    <v>Hybride streek</v>
    <v>12-m bus</v>
    <v>Bus</v>
  </rv>
  <rv s="0">
    <v>0</v>
    <v>5427</v>
    <v>1</v>
    <v>Generic</v>
    <v>218A</v>
    <v>Euro5</v>
    <v>1</v>
    <v>40744</v>
    <v>45175</v>
    <v>Vlaams-Brabant</v>
    <v>3</v>
    <v>J</v>
    <v>J</v>
    <v>J</v>
    <v>J</v>
    <v>J</v>
    <v>12</v>
    <v>Leuven Noord</v>
    <v>124</v>
    <v>Onderhoud Leuven Noord</v>
    <v>152</v>
    <v>5427</v>
    <v>5427</v>
    <v>Hybride streek</v>
    <v>12-m bus</v>
    <v>Bus</v>
  </rv>
  <rv s="0">
    <v>0</v>
    <v>5428</v>
    <v>1</v>
    <v>Generic</v>
    <v>218A</v>
    <v>Euro5</v>
    <v>1</v>
    <v>40780</v>
    <v>45175</v>
    <v>Vlaams-Brabant</v>
    <v>3</v>
    <v>J</v>
    <v>J</v>
    <v>J</v>
    <v>J</v>
    <v>J</v>
    <v>12</v>
    <v>Leuven Noord</v>
    <v>124</v>
    <v>Onderhoud Leuven Noord</v>
    <v>152</v>
    <v>5428</v>
    <v>5428</v>
    <v>Hybride streek</v>
    <v>12-m bus</v>
    <v>Bus</v>
  </rv>
  <rv s="0">
    <v>0</v>
    <v>5429</v>
    <v>1</v>
    <v>Generic</v>
    <v>218A</v>
    <v>Euro5</v>
    <v>1</v>
    <v>40744</v>
    <v>45175</v>
    <v>Vlaams-Brabant</v>
    <v>3</v>
    <v>J</v>
    <v>J</v>
    <v>J</v>
    <v>J</v>
    <v>J</v>
    <v>12</v>
    <v>Leuven Noord</v>
    <v>124</v>
    <v>Onderhoud Leuven Noord</v>
    <v>152</v>
    <v>5429</v>
    <v>5429</v>
    <v>Hybride streek</v>
    <v>12-m bus</v>
    <v>Bus</v>
  </rv>
  <rv s="0">
    <v>0</v>
    <v>5430</v>
    <v>1</v>
    <v>Generic</v>
    <v>218A</v>
    <v>Euro5</v>
    <v>1</v>
    <v>40780</v>
    <v>45175</v>
    <v>Vlaams-Brabant</v>
    <v>3</v>
    <v>J</v>
    <v>J</v>
    <v>J</v>
    <v>J</v>
    <v>J</v>
    <v>12</v>
    <v>Leuven Noord</v>
    <v>124</v>
    <v>Onderhoud Leuven Noord</v>
    <v>152</v>
    <v>5430</v>
    <v>5430</v>
    <v>Hybride streek</v>
    <v>12-m bus</v>
    <v>Bus</v>
  </rv>
  <rv s="0">
    <v>0</v>
    <v>5431</v>
    <v>1</v>
    <v>Generic</v>
    <v>218A</v>
    <v>Euro5</v>
    <v>1</v>
    <v>40793</v>
    <v>45175</v>
    <v>Vlaams-Brabant</v>
    <v>3</v>
    <v>J</v>
    <v>J</v>
    <v>J</v>
    <v>J</v>
    <v>J</v>
    <v>12</v>
    <v>Leuven Noord</v>
    <v>124</v>
    <v>Onderhoud Leuven Noord</v>
    <v>152</v>
    <v>5431</v>
    <v>5431</v>
    <v>Hybride streek</v>
    <v>12-m bus</v>
    <v>Bus</v>
  </rv>
  <rv s="0">
    <v>0</v>
    <v>5432</v>
    <v>1</v>
    <v>Generic</v>
    <v>218A</v>
    <v>Euro5</v>
    <v>1</v>
    <v>40801</v>
    <v>45175</v>
    <v>Vlaams-Brabant</v>
    <v>3</v>
    <v>J</v>
    <v>J</v>
    <v>J</v>
    <v>J</v>
    <v>J</v>
    <v>12</v>
    <v>Leuven Noord</v>
    <v>124</v>
    <v>Onderhoud Leuven Noord</v>
    <v>152</v>
    <v>5432</v>
    <v>5432</v>
    <v>Hybride streek</v>
    <v>12-m bus</v>
    <v>Bus</v>
  </rv>
  <rv s="0">
    <v>0</v>
    <v>5433</v>
    <v>1</v>
    <v>Generic</v>
    <v>218A</v>
    <v>Euro5</v>
    <v>1</v>
    <v>40801</v>
    <v>45175</v>
    <v>Vlaams-Brabant</v>
    <v>3</v>
    <v>J</v>
    <v>J</v>
    <v>J</v>
    <v>J</v>
    <v>J</v>
    <v>12</v>
    <v>Leuven Noord</v>
    <v>124</v>
    <v>Onderhoud Leuven Noord</v>
    <v>152</v>
    <v>5433</v>
    <v>5433</v>
    <v>Hybride streek</v>
    <v>12-m bus</v>
    <v>Bus</v>
  </rv>
  <rv s="0">
    <v>0</v>
    <v>5434</v>
    <v>1</v>
    <v>Generic</v>
    <v>218A</v>
    <v>Euro5</v>
    <v>1</v>
    <v>40709</v>
    <v>45175</v>
    <v>Vlaams-Brabant</v>
    <v>3</v>
    <v>J</v>
    <v>J</v>
    <v>J</v>
    <v>J</v>
    <v>J</v>
    <v>12</v>
    <v>Leuven Noord</v>
    <v>124</v>
    <v>Onderhoud Leuven Noord</v>
    <v>152</v>
    <v>5434</v>
    <v>5434</v>
    <v>Hybride streek</v>
    <v>12-m bus</v>
    <v>Bus</v>
  </rv>
  <rv s="0">
    <v>0</v>
    <v>5435</v>
    <v>1</v>
    <v>Generic</v>
    <v>218A</v>
    <v>Euro5</v>
    <v>1</v>
    <v>40780</v>
    <v>45175</v>
    <v>Vlaams-Brabant</v>
    <v>3</v>
    <v>J</v>
    <v>J</v>
    <v>J</v>
    <v>J</v>
    <v>J</v>
    <v>12</v>
    <v>Leuven Noord</v>
    <v>124</v>
    <v>Onderhoud Leuven Noord</v>
    <v>152</v>
    <v>5435</v>
    <v>5435</v>
    <v>Hybride streek</v>
    <v>12-m bus</v>
    <v>Bus</v>
  </rv>
  <rv s="0">
    <v>0</v>
    <v>5436</v>
    <v>1</v>
    <v>Generic</v>
    <v>218A</v>
    <v>Euro5</v>
    <v>1</v>
    <v>40830</v>
    <v>45175</v>
    <v>Vlaams-Brabant</v>
    <v>3</v>
    <v>J</v>
    <v>J</v>
    <v>J</v>
    <v>J</v>
    <v>J</v>
    <v>12</v>
    <v>Leuven Noord</v>
    <v>124</v>
    <v>Onderhoud Leuven Noord</v>
    <v>152</v>
    <v>5436</v>
    <v>5436</v>
    <v>Hybride streek</v>
    <v>12-m bus</v>
    <v>Bus</v>
  </rv>
  <rv s="0">
    <v>0</v>
    <v>5437</v>
    <v>1</v>
    <v>Generic</v>
    <v>218A</v>
    <v>Euro5</v>
    <v>1</v>
    <v>40828</v>
    <v>45175</v>
    <v>Limburg</v>
    <v>4</v>
    <v>J</v>
    <v>J</v>
    <v>J</v>
    <v>J</v>
    <v>J</v>
    <v>12</v>
    <v>Winterslag</v>
    <v>125</v>
    <v>Onderhoud Winterslag</v>
    <v>153</v>
    <v>5437</v>
    <v>5437</v>
    <v>Hybride streek</v>
    <v>12-m bus</v>
    <v>Bus</v>
  </rv>
  <rv s="0">
    <v>0</v>
    <v>5438</v>
    <v>1</v>
    <v>Generic</v>
    <v>218A</v>
    <v>Euro5</v>
    <v>1</v>
    <v>40837</v>
    <v>45175</v>
    <v>Limburg</v>
    <v>4</v>
    <v>J</v>
    <v>J</v>
    <v>J</v>
    <v>J</v>
    <v>J</v>
    <v>12</v>
    <v>Winterslag</v>
    <v>125</v>
    <v>Onderhoud Winterslag</v>
    <v>153</v>
    <v>5438</v>
    <v>5438</v>
    <v>Hybride streek</v>
    <v>12-m bus</v>
    <v>Bus</v>
  </rv>
  <rv s="0">
    <v>0</v>
    <v>5439</v>
    <v>1</v>
    <v>Generic</v>
    <v>218A</v>
    <v>Euro5</v>
    <v>1</v>
    <v>40871</v>
    <v>45175</v>
    <v>Limburg</v>
    <v>4</v>
    <v>J</v>
    <v>J</v>
    <v>J</v>
    <v>J</v>
    <v>J</v>
    <v>12</v>
    <v>Winterslag</v>
    <v>125</v>
    <v>Onderhoud Winterslag</v>
    <v>153</v>
    <v>5439</v>
    <v>5439</v>
    <v>Hybride streek</v>
    <v>12-m bus</v>
    <v>Bus</v>
  </rv>
  <rv s="0">
    <v>0</v>
    <v>5440</v>
    <v>1</v>
    <v>Generic</v>
    <v>218A</v>
    <v>Euro5</v>
    <v>1</v>
    <v>40870</v>
    <v>45175</v>
    <v>Limburg</v>
    <v>4</v>
    <v>J</v>
    <v>J</v>
    <v>J</v>
    <v>J</v>
    <v>J</v>
    <v>12</v>
    <v>Winterslag</v>
    <v>125</v>
    <v>Onderhoud Winterslag</v>
    <v>153</v>
    <v>5440</v>
    <v>5440</v>
    <v>Hybride streek</v>
    <v>12-m bus</v>
    <v>Bus</v>
  </rv>
  <rv s="0">
    <v>0</v>
    <v>5441</v>
    <v>1</v>
    <v>Generic</v>
    <v>218A</v>
    <v>Euro5</v>
    <v>1</v>
    <v>40885</v>
    <v>45175</v>
    <v>Limburg</v>
    <v>4</v>
    <v>J</v>
    <v>J</v>
    <v>J</v>
    <v>J</v>
    <v>J</v>
    <v>12</v>
    <v>Winterslag</v>
    <v>125</v>
    <v>Onderhoud Winterslag</v>
    <v>153</v>
    <v>5441</v>
    <v>5441</v>
    <v>Hybride streek</v>
    <v>12-m bus</v>
    <v>Bus</v>
  </rv>
  <rv s="0">
    <v>0</v>
    <v>5442</v>
    <v>1</v>
    <v>Generic</v>
    <v>218A</v>
    <v>Euro5</v>
    <v>1</v>
    <v>40791</v>
    <v>45175</v>
    <v>Limburg</v>
    <v>4</v>
    <v>J</v>
    <v>J</v>
    <v>J</v>
    <v>J</v>
    <v>J</v>
    <v>12</v>
    <v>Winterslag</v>
    <v>125</v>
    <v>Onderhoud Winterslag</v>
    <v>153</v>
    <v>5442</v>
    <v>5442</v>
    <v>Hybride streek</v>
    <v>12-m bus</v>
    <v>Bus</v>
  </rv>
  <rv s="0">
    <v>0</v>
    <v>5443</v>
    <v>1</v>
    <v>Generic</v>
    <v>218A</v>
    <v>Euro5</v>
    <v>1</v>
    <v>40878</v>
    <v>45175</v>
    <v>Limburg</v>
    <v>4</v>
    <v>J</v>
    <v>J</v>
    <v>J</v>
    <v>J</v>
    <v>J</v>
    <v>12</v>
    <v>Winterslag</v>
    <v>125</v>
    <v>Onderhoud Winterslag</v>
    <v>153</v>
    <v>5443</v>
    <v>5443</v>
    <v>Hybride streek</v>
    <v>12-m bus</v>
    <v>Bus</v>
  </rv>
  <rv s="0">
    <v>0</v>
    <v>5444</v>
    <v>1</v>
    <v>Generic</v>
    <v>218A</v>
    <v>Euro5</v>
    <v>1</v>
    <v>40884</v>
    <v>45175</v>
    <v>Limburg</v>
    <v>4</v>
    <v>J</v>
    <v>J</v>
    <v>J</v>
    <v>J</v>
    <v>J</v>
    <v>12</v>
    <v>Winterslag</v>
    <v>125</v>
    <v>Onderhoud Winterslag</v>
    <v>153</v>
    <v>5444</v>
    <v>5444</v>
    <v>Hybride streek</v>
    <v>12-m bus</v>
    <v>Bus</v>
  </rv>
  <rv s="0">
    <v>0</v>
    <v>5445</v>
    <v>1</v>
    <v>Generic</v>
    <v>218A</v>
    <v>Euro5</v>
    <v>1</v>
    <v>40883</v>
    <v>45175</v>
    <v>Limburg</v>
    <v>4</v>
    <v>J</v>
    <v>J</v>
    <v>J</v>
    <v>J</v>
    <v>J</v>
    <v>12</v>
    <v>Winterslag</v>
    <v>125</v>
    <v>Onderhoud Winterslag</v>
    <v>153</v>
    <v>5445</v>
    <v>5445</v>
    <v>Hybride streek</v>
    <v>12-m bus</v>
    <v>Bus</v>
  </rv>
  <rv s="0">
    <v>0</v>
    <v>5448</v>
    <v>1</v>
    <v>Generic</v>
    <v>219A</v>
    <v>Euro5</v>
    <v>1</v>
    <v>40450</v>
    <v>45175</v>
    <v>Oost-Vlaanderen</v>
    <v>2</v>
    <v>J</v>
    <v>J</v>
    <v>J</v>
    <v>J</v>
    <v>J</v>
    <v>13</v>
    <v>Hofstade</v>
    <v>116</v>
    <v>Onderhoud Hofstade</v>
    <v>144</v>
    <v>5448</v>
    <v>5448</v>
    <v>Lage vloer streek</v>
    <v>12-m bus</v>
    <v>Bus</v>
  </rv>
  <rv s="0">
    <v>0</v>
    <v>5449</v>
    <v>1</v>
    <v>Generic</v>
    <v>219A</v>
    <v>Euro5</v>
    <v>1</v>
    <v>40450</v>
    <v>45175</v>
    <v>Oost-Vlaanderen</v>
    <v>2</v>
    <v>J</v>
    <v>J</v>
    <v>J</v>
    <v>J</v>
    <v>J</v>
    <v>13</v>
    <v>Hofstade</v>
    <v>116</v>
    <v>Onderhoud Hofstade</v>
    <v>144</v>
    <v>5449</v>
    <v>5449</v>
    <v>Lage vloer streek</v>
    <v>12-m bus</v>
    <v>Bus</v>
  </rv>
  <rv s="0">
    <v>0</v>
    <v>5450</v>
    <v>1</v>
    <v>Generic</v>
    <v>219A</v>
    <v>Euro5</v>
    <v>1</v>
    <v>40448</v>
    <v>45175</v>
    <v>Oost-Vlaanderen</v>
    <v>2</v>
    <v>J</v>
    <v>J</v>
    <v>J</v>
    <v>J</v>
    <v>J</v>
    <v>13</v>
    <v>Hofstade</v>
    <v>116</v>
    <v>Onderhoud Hofstade</v>
    <v>144</v>
    <v>5450</v>
    <v>5450</v>
    <v>Lage vloer streek</v>
    <v>12-m bus</v>
    <v>Bus</v>
  </rv>
  <rv s="0">
    <v>0</v>
    <v>5451</v>
    <v>1</v>
    <v>Generic</v>
    <v>219A</v>
    <v>Euro5</v>
    <v>1</v>
    <v>40462</v>
    <v>45175</v>
    <v>Oost-Vlaanderen</v>
    <v>2</v>
    <v>J</v>
    <v>J</v>
    <v>J</v>
    <v>J</v>
    <v>J</v>
    <v>13</v>
    <v>Hofstade</v>
    <v>116</v>
    <v>Onderhoud Hofstade</v>
    <v>144</v>
    <v>5451</v>
    <v>5451</v>
    <v>Lage vloer streek</v>
    <v>12-m bus</v>
    <v>Bus</v>
  </rv>
  <rv s="0">
    <v>0</v>
    <v>5452</v>
    <v>1</v>
    <v>Generic</v>
    <v>219A</v>
    <v>Euro5</v>
    <v>1</v>
    <v>40462</v>
    <v>45175</v>
    <v>Oost-Vlaanderen</v>
    <v>2</v>
    <v>J</v>
    <v>J</v>
    <v>J</v>
    <v>J</v>
    <v>J</v>
    <v>13</v>
    <v>Hofstade</v>
    <v>116</v>
    <v>Onderhoud Hofstade</v>
    <v>144</v>
    <v>5452</v>
    <v>5452</v>
    <v>Lage vloer streek</v>
    <v>12-m bus</v>
    <v>Bus</v>
  </rv>
  <rv s="0">
    <v>0</v>
    <v>5453</v>
    <v>1</v>
    <v>Generic</v>
    <v>219A</v>
    <v>Euro5</v>
    <v>1</v>
    <v>40462</v>
    <v>45175</v>
    <v>Oost-Vlaanderen</v>
    <v>2</v>
    <v>J</v>
    <v>J</v>
    <v>J</v>
    <v>J</v>
    <v>J</v>
    <v>13</v>
    <v>Hofstade</v>
    <v>116</v>
    <v>Onderhoud Hofstade</v>
    <v>144</v>
    <v>5453</v>
    <v>5453</v>
    <v>Lage vloer streek</v>
    <v>12-m bus</v>
    <v>Bus</v>
  </rv>
  <rv s="0">
    <v>0</v>
    <v>5454</v>
    <v>1</v>
    <v>Generic</v>
    <v>219A</v>
    <v>Euro5</v>
    <v>1</v>
    <v>40469</v>
    <v>45175</v>
    <v>Oost-Vlaanderen</v>
    <v>2</v>
    <v>J</v>
    <v>J</v>
    <v>J</v>
    <v>J</v>
    <v>J</v>
    <v>13</v>
    <v>Hofstade</v>
    <v>116</v>
    <v>Onderhoud Hofstade</v>
    <v>144</v>
    <v>5454</v>
    <v>5454</v>
    <v>Lage vloer streek</v>
    <v>12-m bus</v>
    <v>Bus</v>
  </rv>
  <rv s="0">
    <v>0</v>
    <v>5455</v>
    <v>1</v>
    <v>Generic</v>
    <v>219A</v>
    <v>Euro5</v>
    <v>1</v>
    <v>40469</v>
    <v>45175</v>
    <v>Oost-Vlaanderen</v>
    <v>2</v>
    <v>J</v>
    <v>J</v>
    <v>J</v>
    <v>J</v>
    <v>J</v>
    <v>13</v>
    <v>Hofstade</v>
    <v>116</v>
    <v>Onderhoud Hofstade</v>
    <v>144</v>
    <v>5455</v>
    <v>5455</v>
    <v>Lage vloer streek</v>
    <v>12-m bus</v>
    <v>Bus</v>
  </rv>
  <rv s="0">
    <v>0</v>
    <v>5456</v>
    <v>1</v>
    <v>Generic</v>
    <v>219A</v>
    <v>Euro5</v>
    <v>1</v>
    <v>40469</v>
    <v>45175</v>
    <v>Oost-Vlaanderen</v>
    <v>2</v>
    <v>J</v>
    <v>J</v>
    <v>J</v>
    <v>J</v>
    <v>J</v>
    <v>13</v>
    <v>Hofstade</v>
    <v>116</v>
    <v>Onderhoud Hofstade</v>
    <v>144</v>
    <v>5456</v>
    <v>5456</v>
    <v>Lage vloer streek</v>
    <v>12-m bus</v>
    <v>Bus</v>
  </rv>
  <rv s="0">
    <v>0</v>
    <v>5457</v>
    <v>1</v>
    <v>Generic</v>
    <v>219A</v>
    <v>Euro5</v>
    <v>1</v>
    <v>40477</v>
    <v>45175</v>
    <v>Oost-Vlaanderen</v>
    <v>2</v>
    <v>J</v>
    <v>J</v>
    <v>J</v>
    <v>J</v>
    <v>J</v>
    <v>13</v>
    <v>Hofstade</v>
    <v>116</v>
    <v>Onderhoud Hofstade</v>
    <v>144</v>
    <v>5457</v>
    <v>5457</v>
    <v>Lage vloer streek</v>
    <v>12-m bus</v>
    <v>Bus</v>
  </rv>
  <rv s="0">
    <v>0</v>
    <v>5458</v>
    <v>1</v>
    <v>Generic</v>
    <v>219A</v>
    <v>Euro5</v>
    <v>1</v>
    <v>40477</v>
    <v>45175</v>
    <v>Oost-Vlaanderen</v>
    <v>2</v>
    <v>J</v>
    <v>J</v>
    <v>J</v>
    <v>J</v>
    <v>J</v>
    <v>13</v>
    <v>Hofstade</v>
    <v>116</v>
    <v>Onderhoud Hofstade</v>
    <v>144</v>
    <v>5458</v>
    <v>5458</v>
    <v>Lage vloer streek</v>
    <v>12-m bus</v>
    <v>Bus</v>
  </rv>
  <rv s="0">
    <v>0</v>
    <v>5459</v>
    <v>1</v>
    <v>Generic</v>
    <v>219A</v>
    <v>Euro5</v>
    <v>1</v>
    <v>40477</v>
    <v>45175</v>
    <v>Oost-Vlaanderen</v>
    <v>2</v>
    <v>J</v>
    <v>J</v>
    <v>J</v>
    <v>J</v>
    <v>J</v>
    <v>13</v>
    <v>Hofstade</v>
    <v>116</v>
    <v>Onderhoud Hofstade</v>
    <v>144</v>
    <v>5459</v>
    <v>5459</v>
    <v>Lage vloer streek</v>
    <v>12-m bus</v>
    <v>Bus</v>
  </rv>
  <rv s="0">
    <v>0</v>
    <v>5460</v>
    <v>1</v>
    <v>Generic</v>
    <v>219A</v>
    <v>Euro5</v>
    <v>1</v>
    <v>40497</v>
    <v>45175</v>
    <v>Oost-Vlaanderen</v>
    <v>2</v>
    <v>J</v>
    <v>J</v>
    <v>J</v>
    <v>J</v>
    <v>J</v>
    <v>13</v>
    <v>Hofstade</v>
    <v>116</v>
    <v>Onderhoud Hofstade</v>
    <v>144</v>
    <v>5460</v>
    <v>5460</v>
    <v>Lage vloer streek</v>
    <v>12-m bus</v>
    <v>Bus</v>
  </rv>
  <rv s="0">
    <v>0</v>
    <v>5461</v>
    <v>1</v>
    <v>Generic</v>
    <v>219A</v>
    <v>Euro5</v>
    <v>1</v>
    <v>40497</v>
    <v>45175</v>
    <v>Oost-Vlaanderen</v>
    <v>2</v>
    <v>J</v>
    <v>J</v>
    <v>J</v>
    <v>J</v>
    <v>J</v>
    <v>13</v>
    <v>Hofstade</v>
    <v>116</v>
    <v>Onderhoud Hofstade</v>
    <v>144</v>
    <v>5461</v>
    <v>5461</v>
    <v>Lage vloer streek</v>
    <v>12-m bus</v>
    <v>Bus</v>
  </rv>
  <rv s="0">
    <v>0</v>
    <v>5462</v>
    <v>1</v>
    <v>Generic</v>
    <v>219A</v>
    <v>Euro5</v>
    <v>1</v>
    <v>40500</v>
    <v>45175</v>
    <v>Oost-Vlaanderen</v>
    <v>2</v>
    <v>J</v>
    <v>J</v>
    <v>J</v>
    <v>J</v>
    <v>J</v>
    <v>13</v>
    <v>Hofstade</v>
    <v>116</v>
    <v>Onderhoud Hofstade</v>
    <v>144</v>
    <v>5462</v>
    <v>5462</v>
    <v>Lage vloer streek</v>
    <v>12-m bus</v>
    <v>Bus</v>
  </rv>
  <rv s="0">
    <v>0</v>
    <v>5463</v>
    <v>1</v>
    <v>Generic</v>
    <v>219A</v>
    <v>Euro5</v>
    <v>1</v>
    <v>40500</v>
    <v>45175</v>
    <v>Oost-Vlaanderen</v>
    <v>2</v>
    <v>J</v>
    <v>J</v>
    <v>J</v>
    <v>J</v>
    <v>J</v>
    <v>13</v>
    <v>Hofstade</v>
    <v>116</v>
    <v>Onderhoud Hofstade</v>
    <v>144</v>
    <v>5463</v>
    <v>5463</v>
    <v>Lage vloer streek</v>
    <v>12-m bus</v>
    <v>Bus</v>
  </rv>
  <rv s="0">
    <v>0</v>
    <v>5464</v>
    <v>1</v>
    <v>Generic</v>
    <v>219A</v>
    <v>Euro5</v>
    <v>1</v>
    <v>40528</v>
    <v>45175</v>
    <v>Antwerpen</v>
    <v>1</v>
    <v>J</v>
    <v>J</v>
    <v>J</v>
    <v>J</v>
    <v>J</v>
    <v>13</v>
    <v>Mechelen Racing</v>
    <v>115</v>
    <v>Onderhoud Mechelen</v>
    <v>144</v>
    <v>5464</v>
    <v>5464</v>
    <v>Lage vloer streek</v>
    <v>12-m bus</v>
    <v>Bus</v>
  </rv>
  <rv s="0">
    <v>0</v>
    <v>5465</v>
    <v>1</v>
    <v>Generic</v>
    <v>219A</v>
    <v>Euro5</v>
    <v>1</v>
    <v>40528</v>
    <v>45175</v>
    <v>Antwerpen</v>
    <v>1</v>
    <v>J</v>
    <v>J</v>
    <v>J</v>
    <v>J</v>
    <v>J</v>
    <v>13</v>
    <v>Mechelen Racing</v>
    <v>115</v>
    <v>Onderhoud Mechelen</v>
    <v>144</v>
    <v>5465</v>
    <v>5465</v>
    <v>Lage vloer streek</v>
    <v>12-m bus</v>
    <v>Bus</v>
  </rv>
  <rv s="0">
    <v>0</v>
    <v>5466</v>
    <v>1</v>
    <v>Generic</v>
    <v>219A</v>
    <v>Euro5</v>
    <v>1</v>
    <v>40528</v>
    <v>45175</v>
    <v>West-Vlaanderen</v>
    <v>5</v>
    <v>J</v>
    <v>J</v>
    <v>J</v>
    <v>J</v>
    <v>J</v>
    <v>13</v>
    <v>Oostende Slijkensestwg</v>
    <v>118</v>
    <v>Onderhoud Oostende - bus</v>
    <v>141</v>
    <v>5466</v>
    <v>5466</v>
    <v>Lage vloer streek</v>
    <v>12-m bus</v>
    <v>Bus</v>
  </rv>
  <rv s="0">
    <v>0</v>
    <v>5467</v>
    <v>1</v>
    <v>Generic</v>
    <v>219A</v>
    <v>Euro5</v>
    <v>1</v>
    <v>40528</v>
    <v>45175</v>
    <v>West-Vlaanderen</v>
    <v>5</v>
    <v>J</v>
    <v>J</v>
    <v>J</v>
    <v>J</v>
    <v>J</v>
    <v>13</v>
    <v>Oostende Slijkensestwg</v>
    <v>118</v>
    <v>Onderhoud Oostende - bus</v>
    <v>141</v>
    <v>5467</v>
    <v>5467</v>
    <v>Lage vloer streek</v>
    <v>12-m bus</v>
    <v>Bus</v>
  </rv>
  <rv s="0">
    <v>0</v>
    <v>5468</v>
    <v>1</v>
    <v>Generic</v>
    <v>219A</v>
    <v>Euro5</v>
    <v>1</v>
    <v>40528</v>
    <v>45175</v>
    <v>West-Vlaanderen</v>
    <v>5</v>
    <v>J</v>
    <v>J</v>
    <v>J</v>
    <v>J</v>
    <v>J</v>
    <v>13</v>
    <v>Oostende Slijkensestwg</v>
    <v>118</v>
    <v>Onderhoud Oostende - bus</v>
    <v>141</v>
    <v>5468</v>
    <v>5468</v>
    <v>Lage vloer streek</v>
    <v>12-m bus</v>
    <v>Bus</v>
  </rv>
  <rv s="0">
    <v>0</v>
    <v>5469</v>
    <v>1</v>
    <v>Generic</v>
    <v>219A</v>
    <v>Euro5</v>
    <v>1</v>
    <v>40549</v>
    <v>45175</v>
    <v>West-Vlaanderen</v>
    <v>5</v>
    <v>J</v>
    <v>J</v>
    <v>J</v>
    <v>J</v>
    <v>J</v>
    <v>13</v>
    <v>Oostende Slijkensestwg</v>
    <v>118</v>
    <v>Onderhoud Oostende - bus</v>
    <v>141</v>
    <v>5469</v>
    <v>5469</v>
    <v>Lage vloer streek</v>
    <v>12-m bus</v>
    <v>Bus</v>
  </rv>
  <rv s="0">
    <v>0</v>
    <v>5470</v>
    <v>1</v>
    <v>Generic</v>
    <v>219A</v>
    <v>Euro5</v>
    <v>1</v>
    <v>40549</v>
    <v>45175</v>
    <v>West-Vlaanderen</v>
    <v>5</v>
    <v>J</v>
    <v>J</v>
    <v>J</v>
    <v>J</v>
    <v>J</v>
    <v>13</v>
    <v>Oostende Slijkensestwg</v>
    <v>118</v>
    <v>Onderhoud Oostende - bus</v>
    <v>141</v>
    <v>5470</v>
    <v>5470</v>
    <v>Lage vloer streek</v>
    <v>12-m bus</v>
    <v>Bus</v>
  </rv>
  <rv s="0">
    <v>0</v>
    <v>5471</v>
    <v>1</v>
    <v>Generic</v>
    <v>219A</v>
    <v>Euro5</v>
    <v>1</v>
    <v>40556</v>
    <v>45175</v>
    <v>West-Vlaanderen</v>
    <v>5</v>
    <v>J</v>
    <v>J</v>
    <v>J</v>
    <v>J</v>
    <v>J</v>
    <v>13</v>
    <v>Oostende Slijkensestwg</v>
    <v>118</v>
    <v>Onderhoud Oostende - bus</v>
    <v>141</v>
    <v>5471</v>
    <v>5471</v>
    <v>Lage vloer streek</v>
    <v>12-m bus</v>
    <v>Bus</v>
  </rv>
  <rv s="0">
    <v>0</v>
    <v>5472</v>
    <v>1</v>
    <v>Generic</v>
    <v>219A</v>
    <v>Euro5</v>
    <v>1</v>
    <v>40597</v>
    <v>45175</v>
    <v>West-Vlaanderen</v>
    <v>5</v>
    <v>J</v>
    <v>J</v>
    <v>J</v>
    <v>J</v>
    <v>J</v>
    <v>13</v>
    <v>Oostende Slijkensestwg</v>
    <v>118</v>
    <v>Onderhoud Oostende - bus</v>
    <v>141</v>
    <v>5472</v>
    <v>5472</v>
    <v>Lage vloer streek</v>
    <v>12-m bus</v>
    <v>Bus</v>
  </rv>
  <rv s="0">
    <v>0</v>
    <v>5473</v>
    <v>1</v>
    <v>Generic</v>
    <v>219A</v>
    <v>Euro5</v>
    <v>1</v>
    <v>40549</v>
    <v>45175</v>
    <v>West-Vlaanderen</v>
    <v>5</v>
    <v>J</v>
    <v>J</v>
    <v>J</v>
    <v>J</v>
    <v>J</v>
    <v>13</v>
    <v>Oostende Slijkensestwg</v>
    <v>118</v>
    <v>Onderhoud Oostende - bus</v>
    <v>141</v>
    <v>5473</v>
    <v>5473</v>
    <v>Lage vloer streek</v>
    <v>12-m bus</v>
    <v>Bus</v>
  </rv>
  <rv s="0">
    <v>0</v>
    <v>5474</v>
    <v>1</v>
    <v>Generic</v>
    <v>219A</v>
    <v>Euro5</v>
    <v>1</v>
    <v>40563</v>
    <v>45175</v>
    <v>Oost-Vlaanderen</v>
    <v>2</v>
    <v>J</v>
    <v>J</v>
    <v>J</v>
    <v>J</v>
    <v>J</v>
    <v>13</v>
    <v>Hofstade</v>
    <v>116</v>
    <v>Onderhoud Hofstade</v>
    <v>144</v>
    <v>5474</v>
    <v>5474</v>
    <v>Lage vloer streek</v>
    <v>12-m bus</v>
    <v>Bus</v>
  </rv>
  <rv s="0">
    <v>0</v>
    <v>5475</v>
    <v>1</v>
    <v>Generic</v>
    <v>219A</v>
    <v>Euro5</v>
    <v>1</v>
    <v>40605</v>
    <v>45175</v>
    <v>Oost-Vlaanderen</v>
    <v>2</v>
    <v>J</v>
    <v>J</v>
    <v>J</v>
    <v>J</v>
    <v>J</v>
    <v>13</v>
    <v>Hofstade</v>
    <v>116</v>
    <v>Onderhoud Hofstade</v>
    <v>144</v>
    <v>5475</v>
    <v>5475</v>
    <v>Lage vloer streek</v>
    <v>12-m bus</v>
    <v>Bus</v>
  </rv>
  <rv s="0">
    <v>0</v>
    <v>5476</v>
    <v>1</v>
    <v>Generic</v>
    <v>219A</v>
    <v>Euro5</v>
    <v>1</v>
    <v>40618</v>
    <v>45175</v>
    <v>Oost-Vlaanderen</v>
    <v>2</v>
    <v>J</v>
    <v>J</v>
    <v>J</v>
    <v>J</v>
    <v>J</v>
    <v>13</v>
    <v>Hofstade</v>
    <v>116</v>
    <v>Onderhoud Hofstade</v>
    <v>144</v>
    <v>5476</v>
    <v>5476</v>
    <v>Lage vloer streek</v>
    <v>12-m bus</v>
    <v>Bus</v>
  </rv>
  <rv s="0">
    <v>0</v>
    <v>5477</v>
    <v>1</v>
    <v>Generic</v>
    <v>219A</v>
    <v>Euro5</v>
    <v>1</v>
    <v>40640</v>
    <v>45175</v>
    <v>Oost-Vlaanderen</v>
    <v>2</v>
    <v>J</v>
    <v>J</v>
    <v>J</v>
    <v>J</v>
    <v>J</v>
    <v>12</v>
    <v>Hofstade</v>
    <v>116</v>
    <v>Onderhoud Hofstade</v>
    <v>144</v>
    <v>5477</v>
    <v>5477</v>
    <v>Lage vloer streek</v>
    <v>12-m bus</v>
    <v>Bus</v>
  </rv>
  <rv s="0">
    <v>0</v>
    <v>5478</v>
    <v>1</v>
    <v>Generic</v>
    <v>219A</v>
    <v>Euro5</v>
    <v>1</v>
    <v>40660</v>
    <v>45175</v>
    <v>Oost-Vlaanderen</v>
    <v>2</v>
    <v>J</v>
    <v>J</v>
    <v>J</v>
    <v>J</v>
    <v>J</v>
    <v>12</v>
    <v>Hofstade</v>
    <v>116</v>
    <v>Onderhoud Hofstade</v>
    <v>144</v>
    <v>5478</v>
    <v>5478</v>
    <v>Lage vloer streek</v>
    <v>12-m bus</v>
    <v>Bus</v>
  </rv>
  <rv s="0">
    <v>0</v>
    <v>5479</v>
    <v>1</v>
    <v>Generic</v>
    <v>219A</v>
    <v>Euro5</v>
    <v>1</v>
    <v>40723</v>
    <v>45175</v>
    <v>Oost-Vlaanderen</v>
    <v>2</v>
    <v>J</v>
    <v>J</v>
    <v>J</v>
    <v>J</v>
    <v>J</v>
    <v>12</v>
    <v>Hofstade</v>
    <v>116</v>
    <v>Onderhoud Hofstade</v>
    <v>144</v>
    <v>5479</v>
    <v>5479</v>
    <v>Lage vloer streek</v>
    <v>12-m bus</v>
    <v>Bus</v>
  </rv>
  <rv s="0">
    <v>0</v>
    <v>5480</v>
    <v>1</v>
    <v>Generic</v>
    <v>219A</v>
    <v>Euro5</v>
    <v>1</v>
    <v>40794</v>
    <v>45175</v>
    <v>Oost-Vlaanderen</v>
    <v>2</v>
    <v>J</v>
    <v>J</v>
    <v>J</v>
    <v>J</v>
    <v>J</v>
    <v>12</v>
    <v>Hofstade</v>
    <v>116</v>
    <v>Onderhoud Hofstade</v>
    <v>144</v>
    <v>5480</v>
    <v>5480</v>
    <v>Lage vloer streek</v>
    <v>12-m bus</v>
    <v>Bus</v>
  </rv>
  <rv s="0">
    <v>0</v>
    <v>5481</v>
    <v>1</v>
    <v>Generic</v>
    <v>219A</v>
    <v>Euro5</v>
    <v>1</v>
    <v>40794</v>
    <v>45175</v>
    <v>Oost-Vlaanderen</v>
    <v>2</v>
    <v>J</v>
    <v>J</v>
    <v>J</v>
    <v>J</v>
    <v>J</v>
    <v>12</v>
    <v>Hofstade</v>
    <v>116</v>
    <v>Onderhoud Hofstade</v>
    <v>144</v>
    <v>5481</v>
    <v>5481</v>
    <v>Lage vloer streek</v>
    <v>12-m bus</v>
    <v>Bus</v>
  </rv>
  <rv s="0">
    <v>0</v>
    <v>5482</v>
    <v>1</v>
    <v>Generic</v>
    <v>219A</v>
    <v>Euro5</v>
    <v>1</v>
    <v>40800</v>
    <v>45175</v>
    <v>Oost-Vlaanderen</v>
    <v>2</v>
    <v>J</v>
    <v>J</v>
    <v>J</v>
    <v>J</v>
    <v>J</v>
    <v>12</v>
    <v>Hofstade</v>
    <v>116</v>
    <v>Onderhoud Hofstade</v>
    <v>144</v>
    <v>5482</v>
    <v>5482</v>
    <v>Lage vloer streek</v>
    <v>12-m bus</v>
    <v>Bus</v>
  </rv>
  <rv s="0">
    <v>0</v>
    <v>5483</v>
    <v>1</v>
    <v>Generic</v>
    <v>219A</v>
    <v>Euro5</v>
    <v>1</v>
    <v>40800</v>
    <v>45175</v>
    <v>Oost-Vlaanderen</v>
    <v>2</v>
    <v>J</v>
    <v>J</v>
    <v>J</v>
    <v>J</v>
    <v>J</v>
    <v>12</v>
    <v>Hofstade</v>
    <v>116</v>
    <v>Onderhoud Hofstade</v>
    <v>144</v>
    <v>5483</v>
    <v>5483</v>
    <v>Lage vloer streek</v>
    <v>12-m bus</v>
    <v>Bus</v>
  </rv>
  <rv s="0">
    <v>0</v>
    <v>5484</v>
    <v>1</v>
    <v>Generic</v>
    <v>219A</v>
    <v>Euro5</v>
    <v>1</v>
    <v>40800</v>
    <v>45175</v>
    <v>Vlaams-Brabant</v>
    <v>3</v>
    <v>J</v>
    <v>J</v>
    <v>J</v>
    <v>J</v>
    <v>J</v>
    <v>12</v>
    <v>Grimbergen</v>
    <v>114</v>
    <v>Onderhoud Grimbergen</v>
    <v>148</v>
    <v>5484</v>
    <v>5484</v>
    <v>Lage vloer streek</v>
    <v>12-m bus</v>
    <v>Bus</v>
  </rv>
  <rv s="0">
    <v>0</v>
    <v>5485</v>
    <v>1</v>
    <v>Generic</v>
    <v>219A</v>
    <v>Euro5</v>
    <v>1</v>
    <v>40806</v>
    <v>45175</v>
    <v>Vlaams-Brabant</v>
    <v>3</v>
    <v>J</v>
    <v>J</v>
    <v>J</v>
    <v>J</v>
    <v>J</v>
    <v>12</v>
    <v>Grimbergen</v>
    <v>114</v>
    <v>Onderhoud Grimbergen</v>
    <v>148</v>
    <v>5485</v>
    <v>5485</v>
    <v>Lage vloer streek</v>
    <v>12-m bus</v>
    <v>Bus</v>
  </rv>
  <rv s="0">
    <v>0</v>
    <v>5486</v>
    <v>1</v>
    <v>Generic</v>
    <v>219A</v>
    <v>Euro5</v>
    <v>1</v>
    <v>40806</v>
    <v>45175</v>
    <v>Vlaams-Brabant</v>
    <v>3</v>
    <v>J</v>
    <v>J</v>
    <v>J</v>
    <v>J</v>
    <v>J</v>
    <v>12</v>
    <v>Grimbergen</v>
    <v>114</v>
    <v>Onderhoud Grimbergen</v>
    <v>148</v>
    <v>5486</v>
    <v>5486</v>
    <v>Lage vloer streek</v>
    <v>12-m bus</v>
    <v>Bus</v>
  </rv>
  <rv s="0">
    <v>0</v>
    <v>5487</v>
    <v>1</v>
    <v>Generic</v>
    <v>219A</v>
    <v>Euro5</v>
    <v>1</v>
    <v>40812</v>
    <v>45175</v>
    <v>Vlaams-Brabant</v>
    <v>3</v>
    <v>J</v>
    <v>J</v>
    <v>J</v>
    <v>J</v>
    <v>J</v>
    <v>12</v>
    <v>Grimbergen</v>
    <v>114</v>
    <v>Onderhoud Grimbergen</v>
    <v>148</v>
    <v>5487</v>
    <v>5487</v>
    <v>Lage vloer streek</v>
    <v>12-m bus</v>
    <v>Bus</v>
  </rv>
  <rv s="0">
    <v>0</v>
    <v>5488</v>
    <v>1</v>
    <v>Generic</v>
    <v>219A</v>
    <v>Euro5</v>
    <v>1</v>
    <v>40812</v>
    <v>45175</v>
    <v>Vlaams-Brabant</v>
    <v>3</v>
    <v>J</v>
    <v>J</v>
    <v>J</v>
    <v>J</v>
    <v>J</v>
    <v>12</v>
    <v>Grimbergen</v>
    <v>114</v>
    <v>Onderhoud Grimbergen</v>
    <v>148</v>
    <v>5488</v>
    <v>5488</v>
    <v>Lage vloer streek</v>
    <v>12-m bus</v>
    <v>Bus</v>
  </rv>
  <rv s="0">
    <v>0</v>
    <v>5489</v>
    <v>1</v>
    <v>Generic</v>
    <v>219A</v>
    <v>Euro5</v>
    <v>1</v>
    <v>40812</v>
    <v>45175</v>
    <v>Vlaams-Brabant</v>
    <v>3</v>
    <v>J</v>
    <v>J</v>
    <v>J</v>
    <v>J</v>
    <v>J</v>
    <v>12</v>
    <v>Grimbergen</v>
    <v>114</v>
    <v>Onderhoud Grimbergen</v>
    <v>148</v>
    <v>5489</v>
    <v>5489</v>
    <v>Lage vloer streek</v>
    <v>12-m bus</v>
    <v>Bus</v>
  </rv>
  <rv s="0">
    <v>0</v>
    <v>5490</v>
    <v>1</v>
    <v>Generic</v>
    <v>219A</v>
    <v>Euro5</v>
    <v>1</v>
    <v>40814</v>
    <v>45175</v>
    <v>Limburg</v>
    <v>4</v>
    <v>J</v>
    <v>J</v>
    <v>J</v>
    <v>J</v>
    <v>J</v>
    <v>12</v>
    <v>Kinrooi</v>
    <v>114</v>
    <v>Onderhoud Kinrooi</v>
    <v>151</v>
    <v>5490</v>
    <v>5490</v>
    <v>Lage vloer streek</v>
    <v>12-m bus</v>
    <v>Bus</v>
  </rv>
  <rv s="0">
    <v>0</v>
    <v>5491</v>
    <v>1</v>
    <v>Generic</v>
    <v>219A</v>
    <v>Euro5</v>
    <v>1</v>
    <v>40815</v>
    <v>45175</v>
    <v>Limburg</v>
    <v>4</v>
    <v>J</v>
    <v>J</v>
    <v>J</v>
    <v>J</v>
    <v>J</v>
    <v>12</v>
    <v>Kinrooi</v>
    <v>114</v>
    <v>Onderhoud Kinrooi</v>
    <v>151</v>
    <v>5491</v>
    <v>5491</v>
    <v>Lage vloer streek</v>
    <v>12-m bus</v>
    <v>Bus</v>
  </rv>
  <rv s="0">
    <v>0</v>
    <v>5492</v>
    <v>1</v>
    <v>Generic</v>
    <v>219A</v>
    <v>Euro5</v>
    <v>1</v>
    <v>40815</v>
    <v>45175</v>
    <v>Limburg</v>
    <v>4</v>
    <v>J</v>
    <v>J</v>
    <v>J</v>
    <v>J</v>
    <v>J</v>
    <v>12</v>
    <v>Kinrooi</v>
    <v>114</v>
    <v>Onderhoud Kinrooi</v>
    <v>151</v>
    <v>5492</v>
    <v>5492</v>
    <v>Lage vloer streek</v>
    <v>12-m bus</v>
    <v>Bus</v>
  </rv>
  <rv s="0">
    <v>0</v>
    <v>5493</v>
    <v>1</v>
    <v>Generic</v>
    <v>219A</v>
    <v>Euro5</v>
    <v>1</v>
    <v>40843</v>
    <v>45175</v>
    <v>Limburg</v>
    <v>4</v>
    <v>J</v>
    <v>J</v>
    <v>J</v>
    <v>J</v>
    <v>J</v>
    <v>12</v>
    <v>Winterslag</v>
    <v>125</v>
    <v>Onderhoud Winterslag</v>
    <v>153</v>
    <v>5493</v>
    <v>5493</v>
    <v>Lage vloer streek</v>
    <v>12-m bus</v>
    <v>Bus</v>
  </rv>
  <rv s="0">
    <v>0</v>
    <v>5494</v>
    <v>1</v>
    <v>Generic</v>
    <v>219A</v>
    <v>Euro5</v>
    <v>1</v>
    <v>40836</v>
    <v>45175</v>
    <v>Limburg</v>
    <v>4</v>
    <v>J</v>
    <v>J</v>
    <v>J</v>
    <v>J</v>
    <v>J</v>
    <v>12</v>
    <v>Winterslag</v>
    <v>125</v>
    <v>Onderhoud Winterslag</v>
    <v>153</v>
    <v>5494</v>
    <v>5494</v>
    <v>Lage vloer streek</v>
    <v>12-m bus</v>
    <v>Bus</v>
  </rv>
  <rv s="0">
    <v>0</v>
    <v>5495</v>
    <v>1</v>
    <v>Generic</v>
    <v>219A</v>
    <v>Euro5</v>
    <v>1</v>
    <v>40847</v>
    <v>45175</v>
    <v>Limburg</v>
    <v>4</v>
    <v>J</v>
    <v>J</v>
    <v>J</v>
    <v>J</v>
    <v>J</v>
    <v>12</v>
    <v>Winterslag</v>
    <v>125</v>
    <v>Onderhoud Winterslag</v>
    <v>153</v>
    <v>5495</v>
    <v>5495</v>
    <v>Lage vloer streek</v>
    <v>12-m bus</v>
    <v>Bus</v>
  </rv>
  <rv s="0">
    <v>0</v>
    <v>5496</v>
    <v>1</v>
    <v>Generic</v>
    <v>219A</v>
    <v>Euro5</v>
    <v>1</v>
    <v>40847</v>
    <v>45175</v>
    <v>Limburg</v>
    <v>4</v>
    <v>J</v>
    <v>J</v>
    <v>J</v>
    <v>J</v>
    <v>J</v>
    <v>12</v>
    <v>Winterslag</v>
    <v>125</v>
    <v>Onderhoud Winterslag</v>
    <v>153</v>
    <v>5496</v>
    <v>5496</v>
    <v>Lage vloer streek</v>
    <v>12-m bus</v>
    <v>Bus</v>
  </rv>
  <rv s="0">
    <v>0</v>
    <v>5497</v>
    <v>1</v>
    <v>Generic</v>
    <v>219A</v>
    <v>Euro5</v>
    <v>1</v>
    <v>40854</v>
    <v>45175</v>
    <v>Limburg</v>
    <v>4</v>
    <v>J</v>
    <v>J</v>
    <v>J</v>
    <v>J</v>
    <v>J</v>
    <v>12</v>
    <v>Winterslag</v>
    <v>125</v>
    <v>Onderhoud Winterslag</v>
    <v>153</v>
    <v>5497</v>
    <v>5497</v>
    <v>Lage vloer streek</v>
    <v>12-m bus</v>
    <v>Bus</v>
  </rv>
  <rv s="0">
    <v>0</v>
    <v>5498</v>
    <v>1</v>
    <v>Generic</v>
    <v>219A</v>
    <v>Euro5</v>
    <v>1</v>
    <v>40854</v>
    <v>45175</v>
    <v>Limburg</v>
    <v>4</v>
    <v>J</v>
    <v>J</v>
    <v>J</v>
    <v>J</v>
    <v>J</v>
    <v>12</v>
    <v>Winterslag</v>
    <v>125</v>
    <v>Onderhoud Winterslag</v>
    <v>153</v>
    <v>5498</v>
    <v>5498</v>
    <v>Lage vloer streek</v>
    <v>12-m bus</v>
    <v>Bus</v>
  </rv>
  <rv s="0">
    <v>0</v>
    <v>5499</v>
    <v>1</v>
    <v>Generic</v>
    <v>219A</v>
    <v>Euro5</v>
    <v>1</v>
    <v>40857</v>
    <v>45175</v>
    <v>Limburg</v>
    <v>4</v>
    <v>J</v>
    <v>J</v>
    <v>J</v>
    <v>J</v>
    <v>J</v>
    <v>12</v>
    <v>Winterslag</v>
    <v>125</v>
    <v>Onderhoud Winterslag</v>
    <v>153</v>
    <v>5499</v>
    <v>5499</v>
    <v>Lage vloer streek</v>
    <v>12-m bus</v>
    <v>Bus</v>
  </rv>
  <rv s="0">
    <v>0</v>
    <v>5500</v>
    <v>1</v>
    <v>Generic</v>
    <v>219A</v>
    <v>Euro5</v>
    <v>1</v>
    <v>40868</v>
    <v>45175</v>
    <v>Limburg</v>
    <v>4</v>
    <v>J</v>
    <v>J</v>
    <v>J</v>
    <v>J</v>
    <v>J</v>
    <v>12</v>
    <v>Winterslag</v>
    <v>125</v>
    <v>Onderhoud Winterslag</v>
    <v>153</v>
    <v>5500</v>
    <v>5500</v>
    <v>Lage vloer streek</v>
    <v>12-m bus</v>
    <v>Bus</v>
  </rv>
  <rv s="0">
    <v>0</v>
    <v>5501</v>
    <v>1</v>
    <v>Generic</v>
    <v>219A</v>
    <v>Euro5</v>
    <v>1</v>
    <v>40876</v>
    <v>45175</v>
    <v>Limburg</v>
    <v>4</v>
    <v>J</v>
    <v>J</v>
    <v>J</v>
    <v>J</v>
    <v>J</v>
    <v>12</v>
    <v>Winterslag</v>
    <v>125</v>
    <v>Onderhoud Winterslag</v>
    <v>153</v>
    <v>5501</v>
    <v>5501</v>
    <v>Lage vloer streek</v>
    <v>12-m bus</v>
    <v>Bus</v>
  </rv>
  <rv s="0">
    <v>0</v>
    <v>5502</v>
    <v>1</v>
    <v>Generic</v>
    <v>219A</v>
    <v>Euro5</v>
    <v>1</v>
    <v>40875</v>
    <v>45175</v>
    <v>Limburg</v>
    <v>4</v>
    <v>J</v>
    <v>J</v>
    <v>J</v>
    <v>J</v>
    <v>J</v>
    <v>12</v>
    <v>Winterslag</v>
    <v>125</v>
    <v>Onderhoud Winterslag</v>
    <v>153</v>
    <v>5502</v>
    <v>5502</v>
    <v>Lage vloer streek</v>
    <v>12-m bus</v>
    <v>Bus</v>
  </rv>
  <rv s="0">
    <v>0</v>
    <v>5503</v>
    <v>1</v>
    <v>Generic</v>
    <v>219A</v>
    <v>Euro5</v>
    <v>1</v>
    <v>40876</v>
    <v>45175</v>
    <v>Limburg</v>
    <v>4</v>
    <v>J</v>
    <v>J</v>
    <v>J</v>
    <v>J</v>
    <v>J</v>
    <v>12</v>
    <v>Winterslag</v>
    <v>125</v>
    <v>Onderhoud Winterslag</v>
    <v>153</v>
    <v>5503</v>
    <v>5503</v>
    <v>Lage vloer streek</v>
    <v>12-m bus</v>
    <v>Bus</v>
  </rv>
  <rv s="0">
    <v>0</v>
    <v>5504</v>
    <v>1</v>
    <v>Generic</v>
    <v>219A</v>
    <v>Euro5</v>
    <v>1</v>
    <v>40882</v>
    <v>45175</v>
    <v>West-Vlaanderen</v>
    <v>5</v>
    <v>J</v>
    <v>J</v>
    <v>J</v>
    <v>J</v>
    <v>J</v>
    <v>12</v>
    <v>Knokke</v>
    <v>113</v>
    <v>Onderhoud Brugge</v>
    <v>142</v>
    <v>5504</v>
    <v>5504</v>
    <v>Lage vloer streek</v>
    <v>12-m bus</v>
    <v>Bus</v>
  </rv>
  <rv s="0">
    <v>0</v>
    <v>5505</v>
    <v>1</v>
    <v>Generic</v>
    <v>219A</v>
    <v>Euro5</v>
    <v>1</v>
    <v>40884</v>
    <v>45175</v>
    <v>West-Vlaanderen</v>
    <v>5</v>
    <v>J</v>
    <v>J</v>
    <v>J</v>
    <v>J</v>
    <v>J</v>
    <v>12</v>
    <v>Knokke</v>
    <v>113</v>
    <v>Onderhoud Brugge</v>
    <v>142</v>
    <v>5505</v>
    <v>5505</v>
    <v>Lage vloer streek</v>
    <v>12-m bus</v>
    <v>Bus</v>
  </rv>
  <rv s="0">
    <v>0</v>
    <v>5506</v>
    <v>1</v>
    <v>Generic</v>
    <v>219A</v>
    <v>Euro5</v>
    <v>1</v>
    <v>40897</v>
    <v>45175</v>
    <v>West-Vlaanderen</v>
    <v>5</v>
    <v>J</v>
    <v>J</v>
    <v>J</v>
    <v>J</v>
    <v>J</v>
    <v>12</v>
    <v>Brugge</v>
    <v>125</v>
    <v>Onderhoud Brugge</v>
    <v>142</v>
    <v>5506</v>
    <v>5506</v>
    <v>Lage vloer streek</v>
    <v>12-m bus</v>
    <v>Bus</v>
  </rv>
  <rv s="0">
    <v>0</v>
    <v>5507</v>
    <v>1</v>
    <v>Generic</v>
    <v>219A</v>
    <v>Euro5</v>
    <v>1</v>
    <v>40900</v>
    <v>45175</v>
    <v>West-Vlaanderen</v>
    <v>5</v>
    <v>J</v>
    <v>J</v>
    <v>J</v>
    <v>J</v>
    <v>J</v>
    <v>12</v>
    <v>Brugge</v>
    <v>125</v>
    <v>Onderhoud Brugge</v>
    <v>142</v>
    <v>5507</v>
    <v>5507</v>
    <v>Lage vloer streek</v>
    <v>12-m bus</v>
    <v>Bus</v>
  </rv>
  <rv s="0">
    <v>0</v>
    <v>5508</v>
    <v>1</v>
    <v>Generic</v>
    <v>219A</v>
    <v>Euro5</v>
    <v>1</v>
    <v>40911</v>
    <v>45175</v>
    <v>West-Vlaanderen</v>
    <v>5</v>
    <v>J</v>
    <v>J</v>
    <v>J</v>
    <v>J</v>
    <v>J</v>
    <v>12</v>
    <v>Brugge</v>
    <v>125</v>
    <v>Onderhoud Brugge</v>
    <v>142</v>
    <v>5508</v>
    <v>5508</v>
    <v>Lage vloer streek</v>
    <v>12-m bus</v>
    <v>Bus</v>
  </rv>
  <rv s="0">
    <v>0</v>
    <v>5509</v>
    <v>1</v>
    <v>Generic</v>
    <v>219A</v>
    <v>Euro5</v>
    <v>1</v>
    <v>40911</v>
    <v>45175</v>
    <v>West-Vlaanderen</v>
    <v>5</v>
    <v>J</v>
    <v>J</v>
    <v>J</v>
    <v>J</v>
    <v>J</v>
    <v>12</v>
    <v>Brugge</v>
    <v>125</v>
    <v>Onderhoud Brugge</v>
    <v>142</v>
    <v>5509</v>
    <v>5509</v>
    <v>Lage vloer streek</v>
    <v>12-m bus</v>
    <v>Bus</v>
  </rv>
  <rv s="0">
    <v>0</v>
    <v>5510</v>
    <v>1</v>
    <v>Generic</v>
    <v>219A</v>
    <v>Euro5</v>
    <v>1</v>
    <v>40918</v>
    <v>45175</v>
    <v>West-Vlaanderen</v>
    <v>5</v>
    <v>J</v>
    <v>J</v>
    <v>J</v>
    <v>J</v>
    <v>J</v>
    <v>12</v>
    <v>Brugge</v>
    <v>125</v>
    <v>Onderhoud Brugge</v>
    <v>142</v>
    <v>5510</v>
    <v>5510</v>
    <v>Lage vloer streek</v>
    <v>12-m bus</v>
    <v>Bus</v>
  </rv>
  <rv s="0">
    <v>0</v>
    <v>5511</v>
    <v>1</v>
    <v>Generic</v>
    <v>219A</v>
    <v>Euro5</v>
    <v>1</v>
    <v>40918</v>
    <v>45175</v>
    <v>West-Vlaanderen</v>
    <v>5</v>
    <v>J</v>
    <v>J</v>
    <v>J</v>
    <v>J</v>
    <v>J</v>
    <v>12</v>
    <v>Brugge</v>
    <v>125</v>
    <v>Onderhoud Brugge</v>
    <v>142</v>
    <v>5511</v>
    <v>5511</v>
    <v>Lage vloer streek</v>
    <v>12-m bus</v>
    <v>Bus</v>
  </rv>
  <rv s="0">
    <v>0</v>
    <v>5512</v>
    <v>1</v>
    <v>Generic</v>
    <v>219A</v>
    <v>Euro5</v>
    <v>1</v>
    <v>40918</v>
    <v>45175</v>
    <v>West-Vlaanderen</v>
    <v>5</v>
    <v>J</v>
    <v>J</v>
    <v>J</v>
    <v>J</v>
    <v>J</v>
    <v>12</v>
    <v>Brugge</v>
    <v>125</v>
    <v>Onderhoud Brugge</v>
    <v>142</v>
    <v>5512</v>
    <v>5512</v>
    <v>Lage vloer streek</v>
    <v>12-m bus</v>
    <v>Bus</v>
  </rv>
  <rv s="0">
    <v>0</v>
    <v>5513</v>
    <v>1</v>
    <v>Generic</v>
    <v>219A</v>
    <v>Euro5</v>
    <v>1</v>
    <v>40918</v>
    <v>45175</v>
    <v>West-Vlaanderen</v>
    <v>5</v>
    <v>J</v>
    <v>J</v>
    <v>J</v>
    <v>J</v>
    <v>J</v>
    <v>12</v>
    <v>Brugge</v>
    <v>125</v>
    <v>Onderhoud Brugge</v>
    <v>142</v>
    <v>5513</v>
    <v>5513</v>
    <v>Lage vloer streek</v>
    <v>12-m bus</v>
    <v>Bus</v>
  </rv>
  <rv s="0">
    <v>0</v>
    <v>5514</v>
    <v>1</v>
    <v>Generic</v>
    <v>219A</v>
    <v>Euro5</v>
    <v>1</v>
    <v>40918</v>
    <v>45175</v>
    <v>West-Vlaanderen</v>
    <v>5</v>
    <v>J</v>
    <v>J</v>
    <v>J</v>
    <v>J</v>
    <v>J</v>
    <v>12</v>
    <v>Brugge</v>
    <v>125</v>
    <v>Onderhoud Brugge</v>
    <v>142</v>
    <v>5514</v>
    <v>5514</v>
    <v>Lage vloer streek</v>
    <v>12-m bus</v>
    <v>Bus</v>
  </rv>
  <rv s="0">
    <v>0</v>
    <v>5515</v>
    <v>1</v>
    <v>Generic</v>
    <v>219A</v>
    <v>Euro5</v>
    <v>1</v>
    <v>40918</v>
    <v>45175</v>
    <v>West-Vlaanderen</v>
    <v>5</v>
    <v>J</v>
    <v>J</v>
    <v>J</v>
    <v>J</v>
    <v>J</v>
    <v>12</v>
    <v>Brugge</v>
    <v>125</v>
    <v>Onderhoud Brugge</v>
    <v>142</v>
    <v>5515</v>
    <v>5515</v>
    <v>Lage vloer streek</v>
    <v>12-m bus</v>
    <v>Bus</v>
  </rv>
  <rv s="0">
    <v>0</v>
    <v>5516</v>
    <v>1</v>
    <v>Generic</v>
    <v>219A</v>
    <v>Euro5</v>
    <v>1</v>
    <v>40934</v>
    <v>45175</v>
    <v>West-Vlaanderen</v>
    <v>5</v>
    <v>J</v>
    <v>J</v>
    <v>J</v>
    <v>J</v>
    <v>J</v>
    <v>12</v>
    <v>Brugge</v>
    <v>125</v>
    <v>Onderhoud Brugge</v>
    <v>142</v>
    <v>5516</v>
    <v>5516</v>
    <v>Lage vloer streek</v>
    <v>12-m bus</v>
    <v>Bus</v>
  </rv>
  <rv s="0">
    <v>0</v>
    <v>5517</v>
    <v>1</v>
    <v>Generic</v>
    <v>219A</v>
    <v>Euro5</v>
    <v>1</v>
    <v>40934</v>
    <v>45175</v>
    <v>West-Vlaanderen</v>
    <v>5</v>
    <v>J</v>
    <v>J</v>
    <v>J</v>
    <v>J</v>
    <v>J</v>
    <v>12</v>
    <v>Brugge</v>
    <v>125</v>
    <v>Onderhoud Brugge</v>
    <v>142</v>
    <v>5517</v>
    <v>5517</v>
    <v>Lage vloer streek</v>
    <v>12-m bus</v>
    <v>Bus</v>
  </rv>
  <rv s="0">
    <v>0</v>
    <v>5518</v>
    <v>1</v>
    <v>Generic</v>
    <v>219A</v>
    <v>Euro5</v>
    <v>1</v>
    <v>40934</v>
    <v>45175</v>
    <v>West-Vlaanderen</v>
    <v>5</v>
    <v>J</v>
    <v>J</v>
    <v>J</v>
    <v>J</v>
    <v>J</v>
    <v>12</v>
    <v>Brugge</v>
    <v>125</v>
    <v>Onderhoud Brugge</v>
    <v>142</v>
    <v>5518</v>
    <v>5518</v>
    <v>Lage vloer streek</v>
    <v>12-m bus</v>
    <v>Bus</v>
  </rv>
  <rv s="0">
    <v>0</v>
    <v>5519</v>
    <v>1</v>
    <v>Generic</v>
    <v>219A</v>
    <v>Euro5</v>
    <v>1</v>
    <v>40945</v>
    <v>45175</v>
    <v>West-Vlaanderen</v>
    <v>5</v>
    <v>J</v>
    <v>J</v>
    <v>J</v>
    <v>J</v>
    <v>J</v>
    <v>12</v>
    <v>Brugge</v>
    <v>125</v>
    <v>Onderhoud Brugge</v>
    <v>142</v>
    <v>5519</v>
    <v>5519</v>
    <v>Lage vloer streek</v>
    <v>12-m bus</v>
    <v>Bus</v>
  </rv>
  <rv s="0">
    <v>0</v>
    <v>5520</v>
    <v>1</v>
    <v>Generic</v>
    <v>219B</v>
    <v>Euro5</v>
    <v>1</v>
    <v>40435</v>
    <v>45175</v>
    <v>Antwerpen</v>
    <v>1</v>
    <v>J</v>
    <v>J</v>
    <v>J</v>
    <v>J</v>
    <v>J</v>
    <v>13</v>
    <v>Mechelen Racing</v>
    <v>115</v>
    <v>Onderhoud Mechelen</v>
    <v>144</v>
    <v>5520</v>
    <v>5520</v>
    <v>Lage vloer streek</v>
    <v>Gelede bus</v>
    <v>Bus</v>
  </rv>
  <rv s="0">
    <v>0</v>
    <v>5521</v>
    <v>1</v>
    <v>Generic</v>
    <v>219B</v>
    <v>Euro5</v>
    <v>1</v>
    <v>40382</v>
    <v>45175</v>
    <v>Antwerpen</v>
    <v>1</v>
    <v>J</v>
    <v>J</v>
    <v>J</v>
    <v>J</v>
    <v>J</v>
    <v>13</v>
    <v>Mechelen Racing</v>
    <v>115</v>
    <v>Onderhoud Mechelen</v>
    <v>144</v>
    <v>5521</v>
    <v>5521</v>
    <v>Lage vloer streek</v>
    <v>Gelede bus</v>
    <v>Bus</v>
  </rv>
  <rv s="0">
    <v>0</v>
    <v>5522</v>
    <v>1</v>
    <v>Generic</v>
    <v>219B</v>
    <v>Euro5</v>
    <v>1</v>
    <v>40386</v>
    <v>45175</v>
    <v>Antwerpen</v>
    <v>1</v>
    <v>J</v>
    <v>J</v>
    <v>J</v>
    <v>J</v>
    <v>J</v>
    <v>13</v>
    <v>Mechelen Racing</v>
    <v>115</v>
    <v>Onderhoud Mechelen</v>
    <v>144</v>
    <v>5522</v>
    <v>5522</v>
    <v>Lage vloer streek</v>
    <v>Gelede bus</v>
    <v>Bus</v>
  </rv>
  <rv s="0">
    <v>0</v>
    <v>5523</v>
    <v>1</v>
    <v>Generic</v>
    <v>219B</v>
    <v>Euro5</v>
    <v>1</v>
    <v>40416</v>
    <v>45175</v>
    <v>Antwerpen</v>
    <v>1</v>
    <v>J</v>
    <v>J</v>
    <v>J</v>
    <v>J</v>
    <v>J</v>
    <v>13</v>
    <v>Mechelen Racing</v>
    <v>115</v>
    <v>Onderhoud Mechelen</v>
    <v>144</v>
    <v>5523</v>
    <v>5523</v>
    <v>Lage vloer streek</v>
    <v>Gelede bus</v>
    <v>Bus</v>
  </rv>
  <rv s="0">
    <v>0</v>
    <v>5524</v>
    <v>1</v>
    <v>Generic</v>
    <v>219B</v>
    <v>Euro5</v>
    <v>1</v>
    <v>40416</v>
    <v>45175</v>
    <v>Antwerpen</v>
    <v>1</v>
    <v>J</v>
    <v>J</v>
    <v>J</v>
    <v>J</v>
    <v>J</v>
    <v>13</v>
    <v>Mechelen Racing</v>
    <v>115</v>
    <v>Onderhoud Mechelen</v>
    <v>144</v>
    <v>5524</v>
    <v>5524</v>
    <v>Lage vloer streek</v>
    <v>Gelede bus</v>
    <v>Bus</v>
  </rv>
  <rv s="0">
    <v>0</v>
    <v>5525</v>
    <v>1</v>
    <v>Generic</v>
    <v>219B</v>
    <v>Euro5</v>
    <v>1</v>
    <v>40416</v>
    <v>45175</v>
    <v>Antwerpen</v>
    <v>1</v>
    <v>J</v>
    <v>J</v>
    <v>J</v>
    <v>J</v>
    <v>J</v>
    <v>13</v>
    <v>Mechelen Racing</v>
    <v>115</v>
    <v>Onderhoud Mechelen</v>
    <v>144</v>
    <v>5525</v>
    <v>5525</v>
    <v>Lage vloer streek</v>
    <v>Gelede bus</v>
    <v>Bus</v>
  </rv>
  <rv s="0">
    <v>0</v>
    <v>5526</v>
    <v>1</v>
    <v>Generic</v>
    <v>219B</v>
    <v>Euro5</v>
    <v>1</v>
    <v>40416</v>
    <v>45175</v>
    <v>Antwerpen</v>
    <v>1</v>
    <v>J</v>
    <v>J</v>
    <v>J</v>
    <v>J</v>
    <v>J</v>
    <v>13</v>
    <v>Mechelen Racing</v>
    <v>115</v>
    <v>Onderhoud Mechelen</v>
    <v>144</v>
    <v>5526</v>
    <v>5526</v>
    <v>Lage vloer streek</v>
    <v>Gelede bus</v>
    <v>Bus</v>
  </rv>
  <rv s="0">
    <v>0</v>
    <v>5527</v>
    <v>1</v>
    <v>Generic</v>
    <v>219B</v>
    <v>Euro5</v>
    <v>1</v>
    <v>40422</v>
    <v>45175</v>
    <v>Antwerpen</v>
    <v>1</v>
    <v>J</v>
    <v>J</v>
    <v>J</v>
    <v>J</v>
    <v>J</v>
    <v>13</v>
    <v>Mechelen Racing</v>
    <v>115</v>
    <v>Onderhoud Mechelen</v>
    <v>144</v>
    <v>5527</v>
    <v>5527</v>
    <v>Lage vloer streek</v>
    <v>Gelede bus</v>
    <v>Bus</v>
  </rv>
  <rv s="0">
    <v>0</v>
    <v>5528</v>
    <v>1</v>
    <v>Generic</v>
    <v>219B</v>
    <v>Euro5</v>
    <v>1</v>
    <v>40422</v>
    <v>45175</v>
    <v>Antwerpen</v>
    <v>1</v>
    <v>J</v>
    <v>J</v>
    <v>J</v>
    <v>J</v>
    <v>J</v>
    <v>13</v>
    <v>Hoogstraten</v>
    <v>123</v>
    <v>Onderhoud Turnhout</v>
    <v>143</v>
    <v>5528</v>
    <v>5528</v>
    <v>Lage vloer streek</v>
    <v>Gelede bus</v>
    <v>Bus</v>
  </rv>
  <rv s="0">
    <v>0</v>
    <v>5529</v>
    <v>1</v>
    <v>Generic</v>
    <v>219B</v>
    <v>Euro5</v>
    <v>1</v>
    <v>40423</v>
    <v>45175</v>
    <v>Antwerpen</v>
    <v>1</v>
    <v>J</v>
    <v>J</v>
    <v>J</v>
    <v>J</v>
    <v>J</v>
    <v>13</v>
    <v>Hoogstraten</v>
    <v>123</v>
    <v>Onderhoud Turnhout</v>
    <v>143</v>
    <v>5529</v>
    <v>5529</v>
    <v>Lage vloer streek</v>
    <v>Gelede bus</v>
    <v>Bus</v>
  </rv>
  <rv s="0">
    <v>0</v>
    <v>5530</v>
    <v>1</v>
    <v>Generic</v>
    <v>219B</v>
    <v>Euro5</v>
    <v>1</v>
    <v>40423</v>
    <v>45175</v>
    <v>Antwerpen</v>
    <v>1</v>
    <v>J</v>
    <v>J</v>
    <v>J</v>
    <v>J</v>
    <v>J</v>
    <v>13</v>
    <v>Hoogstraten</v>
    <v>123</v>
    <v>Onderhoud Turnhout</v>
    <v>143</v>
    <v>5530</v>
    <v>5530</v>
    <v>Lage vloer streek</v>
    <v>Gelede bus</v>
    <v>Bus</v>
  </rv>
  <rv s="0">
    <v>0</v>
    <v>5531</v>
    <v>1</v>
    <v>Generic</v>
    <v>219B</v>
    <v>Euro5</v>
    <v>1</v>
    <v>40429</v>
    <v>45175</v>
    <v>Antwerpen</v>
    <v>1</v>
    <v>J</v>
    <v>J</v>
    <v>J</v>
    <v>J</v>
    <v>J</v>
    <v>13</v>
    <v>Tjalkstraat</v>
    <v>111</v>
    <v>Onderhoud Tjalkstraat</v>
    <v>142</v>
    <v>5531</v>
    <v>5531</v>
    <v>Lage vloer streek</v>
    <v>Gelede bus</v>
    <v>Bus</v>
  </rv>
  <rv s="0">
    <v>0</v>
    <v>5532</v>
    <v>1</v>
    <v>Generic</v>
    <v>219B</v>
    <v>Euro5</v>
    <v>1</v>
    <v>40429</v>
    <v>45175</v>
    <v>Antwerpen</v>
    <v>1</v>
    <v>J</v>
    <v>J</v>
    <v>J</v>
    <v>J</v>
    <v>J</v>
    <v>13</v>
    <v>Tjalkstraat</v>
    <v>111</v>
    <v>Onderhoud Tjalkstraat</v>
    <v>142</v>
    <v>5532</v>
    <v>5532</v>
    <v>Lage vloer streek</v>
    <v>Gelede bus</v>
    <v>Bus</v>
  </rv>
  <rv s="0">
    <v>0</v>
    <v>5533</v>
    <v>1</v>
    <v>Generic</v>
    <v>219B</v>
    <v>Euro5</v>
    <v>1</v>
    <v>40429</v>
    <v>45175</v>
    <v>Antwerpen</v>
    <v>1</v>
    <v>J</v>
    <v>J</v>
    <v>J</v>
    <v>J</v>
    <v>J</v>
    <v>13</v>
    <v>Tjalkstraat</v>
    <v>111</v>
    <v>Onderhoud Tjalkstraat</v>
    <v>142</v>
    <v>5533</v>
    <v>5533</v>
    <v>Lage vloer streek</v>
    <v>Gelede bus</v>
    <v>Bus</v>
  </rv>
  <rv s="0">
    <v>0</v>
    <v>5534</v>
    <v>1</v>
    <v>Generic</v>
    <v>219B</v>
    <v>Euro5</v>
    <v>1</v>
    <v>40435</v>
    <v>45175</v>
    <v>Antwerpen</v>
    <v>1</v>
    <v>J</v>
    <v>J</v>
    <v>J</v>
    <v>J</v>
    <v>J</v>
    <v>13</v>
    <v>Tjalkstraat</v>
    <v>111</v>
    <v>Onderhoud Tjalkstraat</v>
    <v>142</v>
    <v>5534</v>
    <v>5534</v>
    <v>Lage vloer streek</v>
    <v>Gelede bus</v>
    <v>Bus</v>
  </rv>
  <rv s="0">
    <v>0</v>
    <v>5535</v>
    <v>1</v>
    <v>Generic</v>
    <v>219B</v>
    <v>Euro5</v>
    <v>1</v>
    <v>40435</v>
    <v>45175</v>
    <v>Antwerpen</v>
    <v>1</v>
    <v>J</v>
    <v>J</v>
    <v>J</v>
    <v>J</v>
    <v>J</v>
    <v>13</v>
    <v>Tjalkstraat</v>
    <v>111</v>
    <v>Onderhoud Tjalkstraat</v>
    <v>142</v>
    <v>5535</v>
    <v>5535</v>
    <v>Lage vloer streek</v>
    <v>Gelede bus</v>
    <v>Bus</v>
  </rv>
  <rv s="0">
    <v>0</v>
    <v>5536</v>
    <v>1</v>
    <v>Generic</v>
    <v>219B</v>
    <v>Euro5</v>
    <v>1</v>
    <v>40438</v>
    <v>45175</v>
    <v>Antwerpen</v>
    <v>1</v>
    <v>J</v>
    <v>J</v>
    <v>J</v>
    <v>J</v>
    <v>J</v>
    <v>13</v>
    <v>Tjalkstraat</v>
    <v>111</v>
    <v>Onderhoud Tjalkstraat</v>
    <v>142</v>
    <v>5536</v>
    <v>5536</v>
    <v>Lage vloer streek</v>
    <v>Gelede bus</v>
    <v>Bus</v>
  </rv>
  <rv s="0">
    <v>0</v>
    <v>5537</v>
    <v>1</v>
    <v>Generic</v>
    <v>219B</v>
    <v>Euro5</v>
    <v>1</v>
    <v>40438</v>
    <v>45175</v>
    <v>Antwerpen</v>
    <v>1</v>
    <v>J</v>
    <v>J</v>
    <v>J</v>
    <v>J</v>
    <v>J</v>
    <v>13</v>
    <v>Tjalkstraat</v>
    <v>111</v>
    <v>Onderhoud Tjalkstraat</v>
    <v>142</v>
    <v>5537</v>
    <v>5537</v>
    <v>Lage vloer streek</v>
    <v>Gelede bus</v>
    <v>Bus</v>
  </rv>
  <rv s="0">
    <v>0</v>
    <v>5538</v>
    <v>1</v>
    <v>Generic</v>
    <v>219B</v>
    <v>Euro5</v>
    <v>1</v>
    <v>40442</v>
    <v>45175</v>
    <v>Antwerpen</v>
    <v>1</v>
    <v>J</v>
    <v>J</v>
    <v>J</v>
    <v>J</v>
    <v>J</v>
    <v>13</v>
    <v>Tjalkstraat</v>
    <v>111</v>
    <v>Onderhoud Tjalkstraat</v>
    <v>142</v>
    <v>5538</v>
    <v>5538</v>
    <v>Lage vloer streek</v>
    <v>Gelede bus</v>
    <v>Bus</v>
  </rv>
  <rv s="0">
    <v>0</v>
    <v>5539</v>
    <v>1</v>
    <v>Generic</v>
    <v>219B</v>
    <v>Euro5</v>
    <v>1</v>
    <v>40442</v>
    <v>45175</v>
    <v>Antwerpen</v>
    <v>1</v>
    <v>J</v>
    <v>J</v>
    <v>J</v>
    <v>J</v>
    <v>J</v>
    <v>13</v>
    <v>Turnhout</v>
    <v>122</v>
    <v>Onderhoud Turnhout</v>
    <v>143</v>
    <v>5539</v>
    <v>5539</v>
    <v>Lage vloer streek</v>
    <v>Gelede bus</v>
    <v>Bus</v>
  </rv>
  <rv s="0">
    <v>0</v>
    <v>5540</v>
    <v>1</v>
    <v>Generic</v>
    <v>219B</v>
    <v>Euro5</v>
    <v>1</v>
    <v>40445</v>
    <v>45175</v>
    <v>Antwerpen</v>
    <v>1</v>
    <v>J</v>
    <v>J</v>
    <v>J</v>
    <v>J</v>
    <v>J</v>
    <v>13</v>
    <v>Turnhout</v>
    <v>122</v>
    <v>Onderhoud Turnhout</v>
    <v>143</v>
    <v>5540</v>
    <v>5540</v>
    <v>Lage vloer streek</v>
    <v>Gelede bus</v>
    <v>Bus</v>
  </rv>
  <rv s="0">
    <v>0</v>
    <v>5541</v>
    <v>1</v>
    <v>Generic</v>
    <v>219B</v>
    <v>Euro5</v>
    <v>1</v>
    <v>40445</v>
    <v>45175</v>
    <v>Antwerpen</v>
    <v>1</v>
    <v>J</v>
    <v>J</v>
    <v>J</v>
    <v>J</v>
    <v>J</v>
    <v>13</v>
    <v>Tjalkstraat</v>
    <v>111</v>
    <v>Onderhoud Tjalkstraat</v>
    <v>142</v>
    <v>5541</v>
    <v>5541</v>
    <v>Lage vloer streek</v>
    <v>Gelede bus</v>
    <v>Bus</v>
  </rv>
  <rv s="0">
    <v>0</v>
    <v>5542</v>
    <v>1</v>
    <v>Generic</v>
    <v>219B</v>
    <v>Euro5</v>
    <v>1</v>
    <v>40445</v>
    <v>45175</v>
    <v>Antwerpen</v>
    <v>1</v>
    <v>J</v>
    <v>J</v>
    <v>J</v>
    <v>J</v>
    <v>J</v>
    <v>13</v>
    <v>Tjalkstraat</v>
    <v>111</v>
    <v>Onderhoud Tjalkstraat</v>
    <v>142</v>
    <v>5542</v>
    <v>5542</v>
    <v>Lage vloer streek</v>
    <v>Gelede bus</v>
    <v>Bus</v>
  </rv>
  <rv s="0">
    <v>0</v>
    <v>5543</v>
    <v>1</v>
    <v>Generic</v>
    <v>219B</v>
    <v>Euro5</v>
    <v>1</v>
    <v>40445</v>
    <v>45175</v>
    <v>Antwerpen</v>
    <v>1</v>
    <v>J</v>
    <v>J</v>
    <v>J</v>
    <v>J</v>
    <v>J</v>
    <v>13</v>
    <v>Tjalkstraat</v>
    <v>111</v>
    <v>Onderhoud Tjalkstraat</v>
    <v>142</v>
    <v>5543</v>
    <v>5543</v>
    <v>Lage vloer streek</v>
    <v>Gelede bus</v>
    <v>Bus</v>
  </rv>
  <rv s="0">
    <v>0</v>
    <v>5544</v>
    <v>1</v>
    <v>Generic</v>
    <v>219B</v>
    <v>Euro5</v>
    <v>1</v>
    <v>40450</v>
    <v>45175</v>
    <v>Antwerpen</v>
    <v>1</v>
    <v>J</v>
    <v>J</v>
    <v>J</v>
    <v>J</v>
    <v>J</v>
    <v>13</v>
    <v>Tjalkstraat</v>
    <v>111</v>
    <v>Onderhoud Tjalkstraat</v>
    <v>142</v>
    <v>5544</v>
    <v>5544</v>
    <v>Lage vloer streek</v>
    <v>Gelede bus</v>
    <v>Bus</v>
  </rv>
  <rv s="0">
    <v>0</v>
    <v>5545</v>
    <v>1</v>
    <v>Generic</v>
    <v>219B</v>
    <v>Euro5</v>
    <v>1</v>
    <v>40450</v>
    <v>45175</v>
    <v>Antwerpen</v>
    <v>1</v>
    <v>J</v>
    <v>J</v>
    <v>J</v>
    <v>J</v>
    <v>J</v>
    <v>13</v>
    <v>Tjalkstraat</v>
    <v>111</v>
    <v>Onderhoud Tjalkstraat</v>
    <v>142</v>
    <v>5545</v>
    <v>5545</v>
    <v>Lage vloer streek</v>
    <v>Gelede bus</v>
    <v>Bus</v>
  </rv>
  <rv s="0">
    <v>0</v>
    <v>5546</v>
    <v>1</v>
    <v>Generic</v>
    <v>219B</v>
    <v>Euro5</v>
    <v>1</v>
    <v>40450</v>
    <v>45175</v>
    <v>Antwerpen</v>
    <v>1</v>
    <v>J</v>
    <v>J</v>
    <v>J</v>
    <v>J</v>
    <v>J</v>
    <v>13</v>
    <v>Tjalkstraat</v>
    <v>111</v>
    <v>Onderhoud Tjalkstraat</v>
    <v>142</v>
    <v>5546</v>
    <v>5546</v>
    <v>Lage vloer streek</v>
    <v>Gelede bus</v>
    <v>Bus</v>
  </rv>
  <rv s="0">
    <v>0</v>
    <v>5547</v>
    <v>1</v>
    <v>Generic</v>
    <v>219B</v>
    <v>Euro5</v>
    <v>1</v>
    <v>40456</v>
    <v>45175</v>
    <v>Antwerpen</v>
    <v>1</v>
    <v>J</v>
    <v>J</v>
    <v>J</v>
    <v>J</v>
    <v>J</v>
    <v>13</v>
    <v>Oostmalle</v>
    <v>125</v>
    <v>Onderhoud Turnhout</v>
    <v>143</v>
    <v>5547</v>
    <v>5547</v>
    <v>Lage vloer streek</v>
    <v>Gelede bus</v>
    <v>Bus</v>
  </rv>
  <rv s="0">
    <v>0</v>
    <v>5548</v>
    <v>1</v>
    <v>Generic</v>
    <v>219B</v>
    <v>Euro5</v>
    <v>1</v>
    <v>40456</v>
    <v>45175</v>
    <v>Antwerpen</v>
    <v>1</v>
    <v>J</v>
    <v>J</v>
    <v>J</v>
    <v>J</v>
    <v>J</v>
    <v>13</v>
    <v>Oostmalle</v>
    <v>125</v>
    <v>Onderhoud Turnhout</v>
    <v>143</v>
    <v>5548</v>
    <v>5548</v>
    <v>Lage vloer streek</v>
    <v>Gelede bus</v>
    <v>Bus</v>
  </rv>
  <rv s="0">
    <v>0</v>
    <v>5549</v>
    <v>1</v>
    <v>Generic</v>
    <v>219B</v>
    <v>Euro5</v>
    <v>1</v>
    <v>40462</v>
    <v>45175</v>
    <v>Antwerpen</v>
    <v>1</v>
    <v>J</v>
    <v>J</v>
    <v>J</v>
    <v>J</v>
    <v>J</v>
    <v>13</v>
    <v>Oostmalle</v>
    <v>125</v>
    <v>Onderhoud Turnhout</v>
    <v>143</v>
    <v>5549</v>
    <v>5549</v>
    <v>Lage vloer streek</v>
    <v>Gelede bus</v>
    <v>Bus</v>
  </rv>
  <rv s="0">
    <v>0</v>
    <v>5550</v>
    <v>1</v>
    <v>Generic</v>
    <v>219B</v>
    <v>Euro5</v>
    <v>1</v>
    <v>40462</v>
    <v>45175</v>
    <v>Antwerpen</v>
    <v>1</v>
    <v>J</v>
    <v>J</v>
    <v>J</v>
    <v>J</v>
    <v>J</v>
    <v>13</v>
    <v>Oostmalle</v>
    <v>125</v>
    <v>Onderhoud Turnhout</v>
    <v>143</v>
    <v>5550</v>
    <v>5550</v>
    <v>Lage vloer streek</v>
    <v>Gelede bus</v>
    <v>Bus</v>
  </rv>
  <rv s="0">
    <v>0</v>
    <v>5551</v>
    <v>1</v>
    <v>Generic</v>
    <v>219B</v>
    <v>Euro5</v>
    <v>1</v>
    <v>40462</v>
    <v>45175</v>
    <v>Antwerpen</v>
    <v>1</v>
    <v>J</v>
    <v>J</v>
    <v>J</v>
    <v>J</v>
    <v>J</v>
    <v>13</v>
    <v>Oostmalle</v>
    <v>125</v>
    <v>Onderhoud Turnhout</v>
    <v>143</v>
    <v>5551</v>
    <v>5551</v>
    <v>Lage vloer streek</v>
    <v>Gelede bus</v>
    <v>Bus</v>
  </rv>
  <rv s="0">
    <v>0</v>
    <v>5552</v>
    <v>1</v>
    <v>Generic</v>
    <v>219B</v>
    <v>Euro5</v>
    <v>1</v>
    <v>40469</v>
    <v>45175</v>
    <v>Antwerpen</v>
    <v>1</v>
    <v>J</v>
    <v>J</v>
    <v>J</v>
    <v>J</v>
    <v>J</v>
    <v>13</v>
    <v>Oostmalle</v>
    <v>125</v>
    <v>Onderhoud Turnhout</v>
    <v>143</v>
    <v>5552</v>
    <v>5552</v>
    <v>Lage vloer streek</v>
    <v>Gelede bus</v>
    <v>Bus</v>
  </rv>
  <rv s="0">
    <v>0</v>
    <v>5553</v>
    <v>1</v>
    <v>Generic</v>
    <v>219B</v>
    <v>Euro5</v>
    <v>1</v>
    <v>40469</v>
    <v>45175</v>
    <v>Antwerpen</v>
    <v>1</v>
    <v>J</v>
    <v>J</v>
    <v>J</v>
    <v>J</v>
    <v>J</v>
    <v>13</v>
    <v>Oostmalle</v>
    <v>125</v>
    <v>Onderhoud Turnhout</v>
    <v>143</v>
    <v>5553</v>
    <v>5553</v>
    <v>Lage vloer streek</v>
    <v>Gelede bus</v>
    <v>Bus</v>
  </rv>
  <rv s="0">
    <v>0</v>
    <v>5554</v>
    <v>1</v>
    <v>Generic</v>
    <v>219B</v>
    <v>Euro5</v>
    <v>1</v>
    <v>40469</v>
    <v>45175</v>
    <v>Antwerpen</v>
    <v>1</v>
    <v>J</v>
    <v>J</v>
    <v>J</v>
    <v>J</v>
    <v>J</v>
    <v>13</v>
    <v>Oostmalle</v>
    <v>125</v>
    <v>Onderhoud Turnhout</v>
    <v>143</v>
    <v>5554</v>
    <v>5554</v>
    <v>Lage vloer streek</v>
    <v>Gelede bus</v>
    <v>Bus</v>
  </rv>
  <rv s="0">
    <v>0</v>
    <v>5555</v>
    <v>1</v>
    <v>Generic</v>
    <v>219B</v>
    <v>Euro5</v>
    <v>1</v>
    <v>40476</v>
    <v>45175</v>
    <v>Limburg</v>
    <v>4</v>
    <v>J</v>
    <v>J</v>
    <v>J</v>
    <v>J</v>
    <v>J</v>
    <v>13</v>
    <v>Lanaken</v>
    <v>115</v>
    <v>Onderhoud Lanaken</v>
    <v>147</v>
    <v>5555</v>
    <v>5555</v>
    <v>Lage vloer streek</v>
    <v>Gelede bus</v>
    <v>Bus</v>
  </rv>
  <rv s="0">
    <v>0</v>
    <v>5556</v>
    <v>1</v>
    <v>Generic</v>
    <v>219B</v>
    <v>Euro5</v>
    <v>1</v>
    <v>40476</v>
    <v>45175</v>
    <v>Limburg</v>
    <v>4</v>
    <v>J</v>
    <v>J</v>
    <v>J</v>
    <v>J</v>
    <v>J</v>
    <v>13</v>
    <v>Lanaken</v>
    <v>115</v>
    <v>Onderhoud Lanaken</v>
    <v>147</v>
    <v>5556</v>
    <v>5556</v>
    <v>Lage vloer streek</v>
    <v>Gelede bus</v>
    <v>Bus</v>
  </rv>
  <rv s="0">
    <v>0</v>
    <v>5557</v>
    <v>1</v>
    <v>Generic</v>
    <v>219B</v>
    <v>Euro5</v>
    <v>1</v>
    <v>40476</v>
    <v>45175</v>
    <v>Limburg</v>
    <v>4</v>
    <v>J</v>
    <v>J</v>
    <v>J</v>
    <v>J</v>
    <v>J</v>
    <v>13</v>
    <v>Lanaken</v>
    <v>115</v>
    <v>Onderhoud Lanaken</v>
    <v>147</v>
    <v>5557</v>
    <v>5557</v>
    <v>Lage vloer streek</v>
    <v>Gelede bus</v>
    <v>Bus</v>
  </rv>
  <rv s="0">
    <v>0</v>
    <v>5558</v>
    <v>1</v>
    <v>Generic</v>
    <v>219B</v>
    <v>Euro5</v>
    <v>1</v>
    <v>40479</v>
    <v>45175</v>
    <v>Limburg</v>
    <v>4</v>
    <v>J</v>
    <v>J</v>
    <v>J</v>
    <v>J</v>
    <v>J</v>
    <v>13</v>
    <v>Lanaken</v>
    <v>115</v>
    <v>Onderhoud Lanaken</v>
    <v>147</v>
    <v>5558</v>
    <v>5558</v>
    <v>Lage vloer streek</v>
    <v>Gelede bus</v>
    <v>Bus</v>
  </rv>
  <rv s="0">
    <v>0</v>
    <v>5559</v>
    <v>1</v>
    <v>Generic</v>
    <v>219B</v>
    <v>Euro5</v>
    <v>1</v>
    <v>40479</v>
    <v>45175</v>
    <v>Limburg</v>
    <v>4</v>
    <v>J</v>
    <v>J</v>
    <v>J</v>
    <v>J</v>
    <v>J</v>
    <v>13</v>
    <v>De Crutzen</v>
    <v>128</v>
    <v>Onderhoud De Crutzen</v>
    <v>155</v>
    <v>5559</v>
    <v>5559</v>
    <v>Lage vloer streek</v>
    <v>Gelede bus</v>
    <v>Bus</v>
  </rv>
  <rv s="0">
    <v>0</v>
    <v>5560</v>
    <v>1</v>
    <v>Generic</v>
    <v>219B</v>
    <v>Euro5</v>
    <v>1</v>
    <v>40490</v>
    <v>45175</v>
    <v>Antwerpen</v>
    <v>1</v>
    <v>J</v>
    <v>J</v>
    <v>J</v>
    <v>J</v>
    <v>J</v>
    <v>13</v>
    <v>Mechelen Racing</v>
    <v>115</v>
    <v>Onderhoud Mechelen</v>
    <v>144</v>
    <v>5560</v>
    <v>5560</v>
    <v>Lage vloer streek</v>
    <v>Gelede bus</v>
    <v>Bus</v>
  </rv>
  <rv s="0">
    <v>0</v>
    <v>5561</v>
    <v>1</v>
    <v>Generic</v>
    <v>219B</v>
    <v>Euro5</v>
    <v>1</v>
    <v>40490</v>
    <v>45175</v>
    <v>Antwerpen</v>
    <v>1</v>
    <v>J</v>
    <v>J</v>
    <v>J</v>
    <v>J</v>
    <v>J</v>
    <v>13</v>
    <v>Mechelen Racing</v>
    <v>115</v>
    <v>Onderhoud Mechelen</v>
    <v>144</v>
    <v>5561</v>
    <v>5561</v>
    <v>Lage vloer streek</v>
    <v>Gelede bus</v>
    <v>Bus</v>
  </rv>
  <rv s="0">
    <v>0</v>
    <v>5562</v>
    <v>1</v>
    <v>Generic</v>
    <v>219B</v>
    <v>Euro5</v>
    <v>1</v>
    <v>40728</v>
    <v>45175</v>
    <v>Antwerpen</v>
    <v>1</v>
    <v>J</v>
    <v>J</v>
    <v>J</v>
    <v>J</v>
    <v>J</v>
    <v>12</v>
    <v>Mechelen Racing</v>
    <v>115</v>
    <v>Onderhoud Mechelen</v>
    <v>144</v>
    <v>5562</v>
    <v>5562</v>
    <v>Lage vloer streek</v>
    <v>Gelede bus</v>
    <v>Bus</v>
  </rv>
  <rv s="0">
    <v>0</v>
    <v>5563</v>
    <v>1</v>
    <v>Generic</v>
    <v>219B</v>
    <v>Euro5</v>
    <v>1</v>
    <v>40744</v>
    <v>45175</v>
    <v>Oost-Vlaanderen</v>
    <v>2</v>
    <v>J</v>
    <v>J</v>
    <v>J</v>
    <v>J</v>
    <v>J</v>
    <v>12</v>
    <v>Sint-Niklaas Nieuw</v>
    <v>129</v>
    <v>Onderhoud Sint-Niklaas</v>
    <v>143</v>
    <v>5563</v>
    <v>5563</v>
    <v>Lage vloer streek</v>
    <v>Gelede bus</v>
    <v>Bus</v>
  </rv>
  <rv s="0">
    <v>0</v>
    <v>5564</v>
    <v>1</v>
    <v>Generic</v>
    <v>219B</v>
    <v>Euro5</v>
    <v>1</v>
    <v>40793</v>
    <v>45175</v>
    <v>Oost-Vlaanderen</v>
    <v>2</v>
    <v>J</v>
    <v>J</v>
    <v>J</v>
    <v>J</v>
    <v>J</v>
    <v>12</v>
    <v>Sint-Niklaas Nieuw</v>
    <v>129</v>
    <v>Onderhoud Sint-Niklaas</v>
    <v>143</v>
    <v>5564</v>
    <v>5564</v>
    <v>Lage vloer streek</v>
    <v>Gelede bus</v>
    <v>Bus</v>
  </rv>
  <rv s="0">
    <v>0</v>
    <v>5565</v>
    <v>1</v>
    <v>Generic</v>
    <v>219B</v>
    <v>Euro5</v>
    <v>1</v>
    <v>40801</v>
    <v>45175</v>
    <v>Oost-Vlaanderen</v>
    <v>2</v>
    <v>J</v>
    <v>J</v>
    <v>J</v>
    <v>J</v>
    <v>J</v>
    <v>12</v>
    <v>Sint-Niklaas Nieuw</v>
    <v>129</v>
    <v>Onderhoud Sint-Niklaas</v>
    <v>143</v>
    <v>5565</v>
    <v>5565</v>
    <v>Lage vloer streek</v>
    <v>Gelede bus</v>
    <v>Bus</v>
  </rv>
  <rv s="0">
    <v>0</v>
    <v>5566</v>
    <v>1</v>
    <v>Generic</v>
    <v>219B</v>
    <v>Euro5</v>
    <v>1</v>
    <v>40801</v>
    <v>45175</v>
    <v>Oost-Vlaanderen</v>
    <v>2</v>
    <v>J</v>
    <v>J</v>
    <v>J</v>
    <v>J</v>
    <v>J</v>
    <v>12</v>
    <v>Sint-Niklaas Nieuw</v>
    <v>129</v>
    <v>Onderhoud Sint-Niklaas</v>
    <v>143</v>
    <v>5566</v>
    <v>5566</v>
    <v>Lage vloer streek</v>
    <v>Gelede bus</v>
    <v>Bus</v>
  </rv>
  <rv s="0">
    <v>0</v>
    <v>5567</v>
    <v>1</v>
    <v>Generic</v>
    <v>219B</v>
    <v>Euro5</v>
    <v>1</v>
    <v>40813</v>
    <v>45175</v>
    <v>Oost-Vlaanderen</v>
    <v>2</v>
    <v>J</v>
    <v>J</v>
    <v>J</v>
    <v>J</v>
    <v>J</v>
    <v>12</v>
    <v>Sint-Niklaas Nieuw</v>
    <v>129</v>
    <v>Onderhoud Sint-Niklaas</v>
    <v>143</v>
    <v>5567</v>
    <v>5567</v>
    <v>Lage vloer streek</v>
    <v>Gelede bus</v>
    <v>Bus</v>
  </rv>
  <rv s="0">
    <v>0</v>
    <v>5568</v>
    <v>1</v>
    <v>Generic</v>
    <v>219B</v>
    <v>Euro5</v>
    <v>1</v>
    <v>40814</v>
    <v>45175</v>
    <v>Oost-Vlaanderen</v>
    <v>2</v>
    <v>J</v>
    <v>J</v>
    <v>J</v>
    <v>J</v>
    <v>J</v>
    <v>12</v>
    <v>Sint-Niklaas Nieuw</v>
    <v>129</v>
    <v>Onderhoud Sint-Niklaas</v>
    <v>143</v>
    <v>5568</v>
    <v>5568</v>
    <v>Lage vloer streek</v>
    <v>Gelede bus</v>
    <v>Bus</v>
  </rv>
  <rv s="0">
    <v>0</v>
    <v>5569</v>
    <v>1</v>
    <v>Generic</v>
    <v>219B</v>
    <v>Euro5</v>
    <v>1</v>
    <v>40814</v>
    <v>45175</v>
    <v>Oost-Vlaanderen</v>
    <v>2</v>
    <v>J</v>
    <v>J</v>
    <v>J</v>
    <v>J</v>
    <v>J</v>
    <v>12</v>
    <v>Sint-Niklaas Nieuw</v>
    <v>129</v>
    <v>Onderhoud Sint-Niklaas</v>
    <v>143</v>
    <v>5569</v>
    <v>5569</v>
    <v>Lage vloer streek</v>
    <v>Gelede bus</v>
    <v>Bus</v>
  </rv>
  <rv s="0">
    <v>0</v>
    <v>5570</v>
    <v>1</v>
    <v>Generic</v>
    <v>219B</v>
    <v>Euro5</v>
    <v>1</v>
    <v>40827</v>
    <v>45175</v>
    <v>Oost-Vlaanderen</v>
    <v>2</v>
    <v>J</v>
    <v>J</v>
    <v>J</v>
    <v>J</v>
    <v>J</v>
    <v>12</v>
    <v>Sint-Niklaas Nieuw</v>
    <v>129</v>
    <v>Onderhoud Sint-Niklaas</v>
    <v>143</v>
    <v>5570</v>
    <v>5570</v>
    <v>Lage vloer streek</v>
    <v>Gelede bus</v>
    <v>Bus</v>
  </rv>
  <rv s="0">
    <v>0</v>
    <v>5571</v>
    <v>1</v>
    <v>Generic</v>
    <v>219B</v>
    <v>Euro5</v>
    <v>1</v>
    <v>40827</v>
    <v>45175</v>
    <v>Oost-Vlaanderen</v>
    <v>2</v>
    <v>J</v>
    <v>J</v>
    <v>J</v>
    <v>J</v>
    <v>J</v>
    <v>12</v>
    <v>Sint-Niklaas Nieuw</v>
    <v>129</v>
    <v>Onderhoud Sint-Niklaas</v>
    <v>143</v>
    <v>5571</v>
    <v>5571</v>
    <v>Lage vloer streek</v>
    <v>Gelede bus</v>
    <v>Bus</v>
  </rv>
  <rv s="0">
    <v>0</v>
    <v>5572</v>
    <v>1</v>
    <v>Generic</v>
    <v>219B</v>
    <v>Euro5</v>
    <v>1</v>
    <v>40836</v>
    <v>45175</v>
    <v>Oost-Vlaanderen</v>
    <v>2</v>
    <v>J</v>
    <v>J</v>
    <v>J</v>
    <v>J</v>
    <v>J</v>
    <v>12</v>
    <v>Sint-Niklaas Nieuw</v>
    <v>129</v>
    <v>Onderhoud Sint-Niklaas</v>
    <v>143</v>
    <v>5572</v>
    <v>5572</v>
    <v>Lage vloer streek</v>
    <v>Gelede bus</v>
    <v>Bus</v>
  </rv>
  <rv s="0">
    <v>0</v>
    <v>5573</v>
    <v>1</v>
    <v>Generic</v>
    <v>219B</v>
    <v>Euro5</v>
    <v>1</v>
    <v>40836</v>
    <v>45175</v>
    <v>Oost-Vlaanderen</v>
    <v>2</v>
    <v>J</v>
    <v>J</v>
    <v>J</v>
    <v>J</v>
    <v>J</v>
    <v>12</v>
    <v>Sint-Niklaas Nieuw</v>
    <v>129</v>
    <v>Onderhoud Sint-Niklaas</v>
    <v>143</v>
    <v>5573</v>
    <v>5573</v>
    <v>Lage vloer streek</v>
    <v>Gelede bus</v>
    <v>Bus</v>
  </rv>
  <rv s="0">
    <v>0</v>
    <v>5574</v>
    <v>1</v>
    <v>Generic</v>
    <v>219B</v>
    <v>Euro5</v>
    <v>1</v>
    <v>40841</v>
    <v>45175</v>
    <v>Oost-Vlaanderen</v>
    <v>2</v>
    <v>J</v>
    <v>J</v>
    <v>J</v>
    <v>J</v>
    <v>J</v>
    <v>12</v>
    <v>Sint-Niklaas Nieuw</v>
    <v>129</v>
    <v>Onderhoud Sint-Niklaas</v>
    <v>143</v>
    <v>5574</v>
    <v>5574</v>
    <v>Lage vloer streek</v>
    <v>Gelede bus</v>
    <v>Bus</v>
  </rv>
  <rv s="0">
    <v>0</v>
    <v>5575</v>
    <v>1</v>
    <v>Generic</v>
    <v>219B</v>
    <v>Euro5</v>
    <v>1</v>
    <v>40843</v>
    <v>45175</v>
    <v>Oost-Vlaanderen</v>
    <v>2</v>
    <v>J</v>
    <v>J</v>
    <v>J</v>
    <v>J</v>
    <v>J</v>
    <v>12</v>
    <v>Sint-Niklaas Nieuw</v>
    <v>129</v>
    <v>Onderhoud Sint-Niklaas</v>
    <v>143</v>
    <v>5575</v>
    <v>5575</v>
    <v>Lage vloer streek</v>
    <v>Gelede bus</v>
    <v>Bus</v>
  </rv>
  <rv s="0">
    <v>0</v>
    <v>5576</v>
    <v>1</v>
    <v>Generic</v>
    <v>219B</v>
    <v>Euro5</v>
    <v>1</v>
    <v>40861</v>
    <v>45175</v>
    <v>Oost-Vlaanderen</v>
    <v>2</v>
    <v>J</v>
    <v>J</v>
    <v>J</v>
    <v>J</v>
    <v>J</v>
    <v>12</v>
    <v>Sint-Niklaas Nieuw</v>
    <v>129</v>
    <v>Onderhoud Sint-Niklaas</v>
    <v>143</v>
    <v>5576</v>
    <v>5576</v>
    <v>Lage vloer streek</v>
    <v>Gelede bus</v>
    <v>Bus</v>
  </rv>
  <rv s="0">
    <v>0</v>
    <v>5577</v>
    <v>1</v>
    <v>Generic</v>
    <v>219B</v>
    <v>Euro5</v>
    <v>1</v>
    <v>40861</v>
    <v>45175</v>
    <v>Oost-Vlaanderen</v>
    <v>2</v>
    <v>J</v>
    <v>J</v>
    <v>J</v>
    <v>J</v>
    <v>J</v>
    <v>12</v>
    <v>Sint-Niklaas Nieuw</v>
    <v>129</v>
    <v>Onderhoud Sint-Niklaas</v>
    <v>143</v>
    <v>5577</v>
    <v>5577</v>
    <v>Lage vloer streek</v>
    <v>Gelede bus</v>
    <v>Bus</v>
  </rv>
  <rv s="0">
    <v>0</v>
    <v>5578</v>
    <v>1</v>
    <v>Generic</v>
    <v>219B</v>
    <v>Euro5</v>
    <v>1</v>
    <v>40861</v>
    <v>45175</v>
    <v>Oost-Vlaanderen</v>
    <v>2</v>
    <v>J</v>
    <v>J</v>
    <v>J</v>
    <v>J</v>
    <v>J</v>
    <v>12</v>
    <v>Sint-Niklaas Nieuw</v>
    <v>129</v>
    <v>Onderhoud Sint-Niklaas</v>
    <v>143</v>
    <v>5578</v>
    <v>5578</v>
    <v>Lage vloer streek</v>
    <v>Gelede bus</v>
    <v>Bus</v>
  </rv>
  <rv s="0">
    <v>0</v>
    <v>5579</v>
    <v>1</v>
    <v>Generic</v>
    <v>219B</v>
    <v>Euro5</v>
    <v>1</v>
    <v>40870</v>
    <v>45175</v>
    <v>Vlaams-Brabant</v>
    <v>3</v>
    <v>J</v>
    <v>J</v>
    <v>J</v>
    <v>J</v>
    <v>J</v>
    <v>12</v>
    <v>Leuven Noord</v>
    <v>124</v>
    <v>Onderhoud Leuven Noord</v>
    <v>152</v>
    <v>5579</v>
    <v>5579</v>
    <v>Lage vloer streek</v>
    <v>Gelede bus</v>
    <v>Bus</v>
  </rv>
  <rv s="0">
    <v>0</v>
    <v>5580</v>
    <v>1</v>
    <v>Generic</v>
    <v>219B</v>
    <v>Euro5</v>
    <v>1</v>
    <v>40875</v>
    <v>45175</v>
    <v>Vlaams-Brabant</v>
    <v>3</v>
    <v>J</v>
    <v>J</v>
    <v>J</v>
    <v>J</v>
    <v>J</v>
    <v>12</v>
    <v>Leuven Noord</v>
    <v>124</v>
    <v>Onderhoud Leuven Noord</v>
    <v>152</v>
    <v>5580</v>
    <v>5580</v>
    <v>Lage vloer streek</v>
    <v>Gelede bus</v>
    <v>Bus</v>
  </rv>
  <rv s="0">
    <v>0</v>
    <v>5581</v>
    <v>1</v>
    <v>Generic</v>
    <v>219B</v>
    <v>Euro5</v>
    <v>1</v>
    <v>40882</v>
    <v>45175</v>
    <v>Vlaams-Brabant</v>
    <v>3</v>
    <v>J</v>
    <v>J</v>
    <v>J</v>
    <v>J</v>
    <v>J</v>
    <v>12</v>
    <v>Leuven Noord</v>
    <v>124</v>
    <v>Onderhoud Leuven Noord</v>
    <v>152</v>
    <v>5581</v>
    <v>5581</v>
    <v>Lage vloer streek</v>
    <v>Gelede bus</v>
    <v>Bus</v>
  </rv>
  <rv s="0">
    <v>0</v>
    <v>5582</v>
    <v>1</v>
    <v>Generic</v>
    <v>219B</v>
    <v>Euro5</v>
    <v>1</v>
    <v>40878</v>
    <v>45175</v>
    <v>Vlaams-Brabant</v>
    <v>3</v>
    <v>J</v>
    <v>J</v>
    <v>J</v>
    <v>J</v>
    <v>J</v>
    <v>12</v>
    <v>Leuven Noord</v>
    <v>124</v>
    <v>Onderhoud Leuven Noord</v>
    <v>152</v>
    <v>5582</v>
    <v>5582</v>
    <v>Lage vloer streek</v>
    <v>Gelede bus</v>
    <v>Bus</v>
  </rv>
  <rv s="0">
    <v>0</v>
    <v>5583</v>
    <v>1</v>
    <v>Generic</v>
    <v>219B</v>
    <v>Euro5</v>
    <v>1</v>
    <v>40884</v>
    <v>45175</v>
    <v>Vlaams-Brabant</v>
    <v>3</v>
    <v>J</v>
    <v>J</v>
    <v>J</v>
    <v>J</v>
    <v>J</v>
    <v>12</v>
    <v>Leuven Noord</v>
    <v>124</v>
    <v>Onderhoud Leuven Noord</v>
    <v>152</v>
    <v>5583</v>
    <v>5583</v>
    <v>Lage vloer streek</v>
    <v>Gelede bus</v>
    <v>Bus</v>
  </rv>
  <rv s="0">
    <v>0</v>
    <v>5584</v>
    <v>1</v>
    <v>Generic</v>
    <v>219B</v>
    <v>Euro5</v>
    <v>1</v>
    <v>40900</v>
    <v>45175</v>
    <v>Vlaams-Brabant</v>
    <v>3</v>
    <v>J</v>
    <v>J</v>
    <v>J</v>
    <v>J</v>
    <v>J</v>
    <v>12</v>
    <v>Leuven Noord</v>
    <v>124</v>
    <v>Onderhoud Leuven Noord</v>
    <v>152</v>
    <v>5584</v>
    <v>5584</v>
    <v>Lage vloer streek</v>
    <v>Gelede bus</v>
    <v>Bus</v>
  </rv>
  <rv s="0">
    <v>0</v>
    <v>5585</v>
    <v>1</v>
    <v>Generic</v>
    <v>219B</v>
    <v>Euro5</v>
    <v>1</v>
    <v>40899</v>
    <v>45175</v>
    <v>Vlaams-Brabant</v>
    <v>3</v>
    <v>J</v>
    <v>J</v>
    <v>J</v>
    <v>J</v>
    <v>J</v>
    <v>12</v>
    <v>Leuven Noord</v>
    <v>124</v>
    <v>Onderhoud Leuven Noord</v>
    <v>152</v>
    <v>5585</v>
    <v>5585</v>
    <v>Lage vloer streek</v>
    <v>Gelede bus</v>
    <v>Bus</v>
  </rv>
  <rv s="0">
    <v>0</v>
    <v>5586</v>
    <v>1</v>
    <v>Generic</v>
    <v>219B</v>
    <v>Euro5</v>
    <v>1</v>
    <v>40911</v>
    <v>45175</v>
    <v>Vlaams-Brabant</v>
    <v>3</v>
    <v>J</v>
    <v>J</v>
    <v>J</v>
    <v>J</v>
    <v>J</v>
    <v>12</v>
    <v>Leuven Noord</v>
    <v>124</v>
    <v>Onderhoud Leuven Noord</v>
    <v>152</v>
    <v>5586</v>
    <v>5586</v>
    <v>Lage vloer streek</v>
    <v>Gelede bus</v>
    <v>Bus</v>
  </rv>
  <rv s="0">
    <v>0</v>
    <v>5587</v>
    <v>1</v>
    <v>Generic</v>
    <v>219B</v>
    <v>Euro5</v>
    <v>1</v>
    <v>40911</v>
    <v>45175</v>
    <v>Vlaams-Brabant</v>
    <v>3</v>
    <v>J</v>
    <v>J</v>
    <v>J</v>
    <v>J</v>
    <v>J</v>
    <v>12</v>
    <v>Leuven Noord</v>
    <v>124</v>
    <v>Onderhoud Leuven Noord</v>
    <v>152</v>
    <v>5587</v>
    <v>5587</v>
    <v>Lage vloer streek</v>
    <v>Gelede bus</v>
    <v>Bus</v>
  </rv>
  <rv s="0">
    <v>0</v>
    <v>5588</v>
    <v>1</v>
    <v>Generic</v>
    <v>219B</v>
    <v>Euro5</v>
    <v>1</v>
    <v>40911</v>
    <v>45175</v>
    <v>Vlaams-Brabant</v>
    <v>3</v>
    <v>J</v>
    <v>J</v>
    <v>J</v>
    <v>J</v>
    <v>J</v>
    <v>12</v>
    <v>Leuven Noord</v>
    <v>124</v>
    <v>Onderhoud Leuven Noord</v>
    <v>152</v>
    <v>5588</v>
    <v>5588</v>
    <v>Lage vloer streek</v>
    <v>Gelede bus</v>
    <v>Bus</v>
  </rv>
  <rv s="0">
    <v>0</v>
    <v>5589</v>
    <v>1</v>
    <v>Generic</v>
    <v>219B</v>
    <v>Euro5</v>
    <v>1</v>
    <v>40921</v>
    <v>45175</v>
    <v>Vlaams-Brabant</v>
    <v>3</v>
    <v>J</v>
    <v>J</v>
    <v>J</v>
    <v>J</v>
    <v>J</v>
    <v>12</v>
    <v>Leuven Noord</v>
    <v>124</v>
    <v>Onderhoud Leuven Noord</v>
    <v>152</v>
    <v>5589</v>
    <v>5589</v>
    <v>Lage vloer streek</v>
    <v>Gelede bus</v>
    <v>Bus</v>
  </rv>
  <rv s="0">
    <v>0</v>
    <v>5590</v>
    <v>1</v>
    <v>Generic</v>
    <v>219B</v>
    <v>Euro5</v>
    <v>1</v>
    <v>40918</v>
    <v>45175</v>
    <v>Vlaams-Brabant</v>
    <v>3</v>
    <v>J</v>
    <v>J</v>
    <v>J</v>
    <v>J</v>
    <v>J</v>
    <v>12</v>
    <v>Leuven Noord</v>
    <v>124</v>
    <v>Onderhoud Leuven Noord</v>
    <v>152</v>
    <v>5590</v>
    <v>5590</v>
    <v>Lage vloer streek</v>
    <v>Gelede bus</v>
    <v>Bus</v>
  </rv>
  <rv s="0">
    <v>0</v>
    <v>5591</v>
    <v>1</v>
    <v>Generic</v>
    <v>219B</v>
    <v>Euro5</v>
    <v>1</v>
    <v>40918</v>
    <v>45175</v>
    <v>Vlaams-Brabant</v>
    <v>3</v>
    <v>J</v>
    <v>J</v>
    <v>J</v>
    <v>J</v>
    <v>J</v>
    <v>12</v>
    <v>Leuven Noord</v>
    <v>124</v>
    <v>Onderhoud Leuven Noord</v>
    <v>152</v>
    <v>5591</v>
    <v>5591</v>
    <v>Lage vloer streek</v>
    <v>Gelede bus</v>
    <v>Bus</v>
  </rv>
  <rv s="0">
    <v>0</v>
    <v>5592</v>
    <v>1</v>
    <v>Generic</v>
    <v>219B</v>
    <v>Euro5</v>
    <v>1</v>
    <v>40918</v>
    <v>45175</v>
    <v>Vlaams-Brabant</v>
    <v>3</v>
    <v>J</v>
    <v>J</v>
    <v>J</v>
    <v>J</v>
    <v>J</v>
    <v>12</v>
    <v>Leuven Noord</v>
    <v>124</v>
    <v>Onderhoud Leuven Noord</v>
    <v>152</v>
    <v>5592</v>
    <v>5592</v>
    <v>Lage vloer streek</v>
    <v>Gelede bus</v>
    <v>Bus</v>
  </rv>
  <rv s="0">
    <v>0</v>
    <v>5593</v>
    <v>1</v>
    <v>Generic</v>
    <v>219B</v>
    <v>Euro5</v>
    <v>1</v>
    <v>40927</v>
    <v>45175</v>
    <v>Vlaams-Brabant</v>
    <v>3</v>
    <v>J</v>
    <v>J</v>
    <v>J</v>
    <v>J</v>
    <v>J</v>
    <v>12</v>
    <v>Leuven Noord</v>
    <v>124</v>
    <v>Onderhoud Leuven Noord</v>
    <v>152</v>
    <v>5593</v>
    <v>5593</v>
    <v>Lage vloer streek</v>
    <v>Gelede bus</v>
    <v>Bus</v>
  </rv>
  <rv s="0">
    <v>0</v>
    <v>5594</v>
    <v>1</v>
    <v>Generic</v>
    <v>219B</v>
    <v>Euro5</v>
    <v>1</v>
    <v>40927</v>
    <v>45175</v>
    <v>Vlaams-Brabant</v>
    <v>3</v>
    <v>J</v>
    <v>J</v>
    <v>J</v>
    <v>J</v>
    <v>J</v>
    <v>12</v>
    <v>Leuven Noord</v>
    <v>124</v>
    <v>Onderhoud Leuven Noord</v>
    <v>152</v>
    <v>5594</v>
    <v>5594</v>
    <v>Lage vloer streek</v>
    <v>Gelede bus</v>
    <v>Bus</v>
  </rv>
  <rv s="0">
    <v>0</v>
    <v>5595</v>
    <v>1</v>
    <v>Generic</v>
    <v>219B</v>
    <v>Euro5</v>
    <v>1</v>
    <v>40927</v>
    <v>45175</v>
    <v>Vlaams-Brabant</v>
    <v>3</v>
    <v>J</v>
    <v>J</v>
    <v>J</v>
    <v>J</v>
    <v>J</v>
    <v>12</v>
    <v>Leuven Noord</v>
    <v>124</v>
    <v>Onderhoud Leuven Noord</v>
    <v>152</v>
    <v>5595</v>
    <v>5595</v>
    <v>Lage vloer streek</v>
    <v>Gelede bus</v>
    <v>Bus</v>
  </rv>
  <rv s="0">
    <v>0</v>
    <v>5596</v>
    <v>1</v>
    <v>Generic</v>
    <v>219B</v>
    <v>Euro5</v>
    <v>1</v>
    <v>40927</v>
    <v>45175</v>
    <v>Vlaams-Brabant</v>
    <v>3</v>
    <v>J</v>
    <v>J</v>
    <v>J</v>
    <v>J</v>
    <v>J</v>
    <v>12</v>
    <v>Leuven Noord</v>
    <v>124</v>
    <v>Onderhoud Leuven Noord</v>
    <v>152</v>
    <v>5596</v>
    <v>5596</v>
    <v>Lage vloer streek</v>
    <v>Gelede bus</v>
    <v>Bus</v>
  </rv>
  <rv s="0">
    <v>0</v>
    <v>5601</v>
    <v>1</v>
    <v>Generic</v>
    <v>00297</v>
    <v>0E</v>
    <v>1</v>
    <v>41901</v>
    <v>45175</v>
    <v>Antwerpen</v>
    <v>1</v>
    <v>J</v>
    <v>J</v>
    <v>J</v>
    <v>N</v>
    <v>J</v>
    <v>9</v>
    <v>Tjalkstraat</v>
    <v>111</v>
    <v>Onderhoud Tjalkstraat</v>
    <v>142</v>
    <v>5601</v>
    <v>5601</v>
    <v>Lage vloer stad</v>
    <v>12-m bus</v>
    <v>Bus</v>
  </rv>
  <rv s="0">
    <v>0</v>
    <v>5602</v>
    <v>1</v>
    <v>Generic</v>
    <v>00297</v>
    <v>0E</v>
    <v>1</v>
    <v>41835</v>
    <v>45175</v>
    <v>Antwerpen</v>
    <v>1</v>
    <v>J</v>
    <v>J</v>
    <v>J</v>
    <v>N</v>
    <v>J</v>
    <v>9</v>
    <v>Tjalkstraat</v>
    <v>111</v>
    <v>Onderhoud Tjalkstraat</v>
    <v>142</v>
    <v>5602</v>
    <v>5602</v>
    <v>Lage vloer stad</v>
    <v>12-m bus</v>
    <v>Bus</v>
  </rv>
  <rv s="0">
    <v>0</v>
    <v>5603</v>
    <v>1</v>
    <v>Generic</v>
    <v>00297</v>
    <v>0E</v>
    <v>1</v>
    <v>41835</v>
    <v>45175</v>
    <v>Antwerpen</v>
    <v>1</v>
    <v>J</v>
    <v>J</v>
    <v>J</v>
    <v>N</v>
    <v>J</v>
    <v>9</v>
    <v>Tjalkstraat</v>
    <v>111</v>
    <v>Onderhoud Tjalkstraat</v>
    <v>142</v>
    <v>5603</v>
    <v>5603</v>
    <v>Lage vloer stad</v>
    <v>12-m bus</v>
    <v>Bus</v>
  </rv>
  <rv s="0">
    <v>0</v>
    <v>5604</v>
    <v>1</v>
    <v>Generic</v>
    <v>00297</v>
    <v>0E</v>
    <v>1</v>
    <v>41836</v>
    <v>45175</v>
    <v>Antwerpen</v>
    <v>1</v>
    <v>J</v>
    <v>J</v>
    <v>J</v>
    <v>N</v>
    <v>J</v>
    <v>9</v>
    <v>Tjalkstraat</v>
    <v>111</v>
    <v>Onderhoud Tjalkstraat</v>
    <v>142</v>
    <v>5604</v>
    <v>5604</v>
    <v>Lage vloer stad</v>
    <v>12-m bus</v>
    <v>Bus</v>
  </rv>
  <rv s="0">
    <v>0</v>
    <v>5605</v>
    <v>1</v>
    <v>Generic</v>
    <v>00297</v>
    <v>0E</v>
    <v>1</v>
    <v>41852</v>
    <v>45175</v>
    <v>Antwerpen</v>
    <v>1</v>
    <v>J</v>
    <v>J</v>
    <v>J</v>
    <v>N</v>
    <v>J</v>
    <v>9</v>
    <v>Tjalkstraat</v>
    <v>111</v>
    <v>Onderhoud Tjalkstraat</v>
    <v>142</v>
    <v>5605</v>
    <v>5605</v>
    <v>Lage vloer stad</v>
    <v>12-m bus</v>
    <v>Bus</v>
  </rv>
  <rv s="0">
    <v>0</v>
    <v>5606</v>
    <v>1</v>
    <v>Generic</v>
    <v>220A</v>
    <v>Euro6</v>
    <v>1</v>
    <v>42131</v>
    <v>45175</v>
    <v>Antwerpen</v>
    <v>1</v>
    <v>J</v>
    <v>J</v>
    <v>J</v>
    <v>J</v>
    <v>J</v>
    <v>8</v>
    <v>Tjalkstraat</v>
    <v>111</v>
    <v>Onderhoud Tjalkstraat</v>
    <v>142</v>
    <v>5606</v>
    <v>5606</v>
    <v>Lage vloer streek</v>
    <v>12-m bus</v>
    <v>Bus</v>
  </rv>
  <rv s="0">
    <v>0</v>
    <v>5607</v>
    <v>1</v>
    <v>Generic</v>
    <v>220A</v>
    <v>Euro6</v>
    <v>1</v>
    <v>41894</v>
    <v>45175</v>
    <v>Antwerpen</v>
    <v>1</v>
    <v>J</v>
    <v>J</v>
    <v>J</v>
    <v>J</v>
    <v>J</v>
    <v>9</v>
    <v>Tjalkstraat</v>
    <v>111</v>
    <v>Onderhoud Tjalkstraat</v>
    <v>142</v>
    <v>5607</v>
    <v>5607</v>
    <v>Lage vloer streek</v>
    <v>12-m bus</v>
    <v>Bus</v>
  </rv>
  <rv s="0">
    <v>0</v>
    <v>5608</v>
    <v>1</v>
    <v>Generic</v>
    <v>220A</v>
    <v>Euro6</v>
    <v>1</v>
    <v>41822</v>
    <v>45175</v>
    <v>Antwerpen</v>
    <v>1</v>
    <v>J</v>
    <v>J</v>
    <v>J</v>
    <v>J</v>
    <v>J</v>
    <v>9</v>
    <v>Tjalkstraat</v>
    <v>111</v>
    <v>Onderhoud Tjalkstraat</v>
    <v>142</v>
    <v>5608</v>
    <v>5608</v>
    <v>Lage vloer streek</v>
    <v>12-m bus</v>
    <v>Bus</v>
  </rv>
  <rv s="0">
    <v>0</v>
    <v>5609</v>
    <v>1</v>
    <v>Generic</v>
    <v>220A</v>
    <v>Euro6</v>
    <v>1</v>
    <v>41821</v>
    <v>45175</v>
    <v>Antwerpen</v>
    <v>1</v>
    <v>J</v>
    <v>J</v>
    <v>J</v>
    <v>J</v>
    <v>J</v>
    <v>9</v>
    <v>Tjalkstraat</v>
    <v>111</v>
    <v>Onderhoud Tjalkstraat</v>
    <v>142</v>
    <v>5609</v>
    <v>5609</v>
    <v>Lage vloer streek</v>
    <v>12-m bus</v>
    <v>Bus</v>
  </rv>
  <rv s="0">
    <v>0</v>
    <v>5610</v>
    <v>1</v>
    <v>Generic</v>
    <v>220A</v>
    <v>Euro6</v>
    <v>1</v>
    <v>41823</v>
    <v>45175</v>
    <v>Antwerpen</v>
    <v>1</v>
    <v>J</v>
    <v>J</v>
    <v>J</v>
    <v>J</v>
    <v>J</v>
    <v>9</v>
    <v>Tjalkstraat</v>
    <v>111</v>
    <v>Onderhoud Tjalkstraat</v>
    <v>142</v>
    <v>5610</v>
    <v>5610</v>
    <v>Lage vloer streek</v>
    <v>12-m bus</v>
    <v>Bus</v>
  </rv>
  <rv s="0">
    <v>0</v>
    <v>5611</v>
    <v>1</v>
    <v>Generic</v>
    <v>220A</v>
    <v>Euro6</v>
    <v>1</v>
    <v>41946</v>
    <v>45175</v>
    <v>Antwerpen</v>
    <v>1</v>
    <v>J</v>
    <v>J</v>
    <v>J</v>
    <v>J</v>
    <v>J</v>
    <v>9</v>
    <v>Tjalkstraat</v>
    <v>111</v>
    <v>Onderhoud Tjalkstraat</v>
    <v>142</v>
    <v>5611</v>
    <v>5611</v>
    <v>Lage vloer streek</v>
    <v>12-m bus</v>
    <v>Bus</v>
  </rv>
  <rv s="0">
    <v>0</v>
    <v>5612</v>
    <v>1</v>
    <v>Generic</v>
    <v>220A</v>
    <v>Euro6</v>
    <v>1</v>
    <v>41929</v>
    <v>45175</v>
    <v>Antwerpen</v>
    <v>1</v>
    <v>J</v>
    <v>J</v>
    <v>J</v>
    <v>J</v>
    <v>J</v>
    <v>9</v>
    <v>Tjalkstraat</v>
    <v>111</v>
    <v>Onderhoud Tjalkstraat</v>
    <v>142</v>
    <v>5612</v>
    <v>5612</v>
    <v>Lage vloer streek</v>
    <v>12-m bus</v>
    <v>Bus</v>
  </rv>
  <rv s="0">
    <v>0</v>
    <v>5613</v>
    <v>1</v>
    <v>Generic</v>
    <v>220A</v>
    <v>Euro6</v>
    <v>1</v>
    <v>41890</v>
    <v>45175</v>
    <v>Antwerpen</v>
    <v>1</v>
    <v>J</v>
    <v>J</v>
    <v>J</v>
    <v>J</v>
    <v>J</v>
    <v>9</v>
    <v>Tjalkstraat</v>
    <v>111</v>
    <v>Onderhoud Tjalkstraat</v>
    <v>142</v>
    <v>5613</v>
    <v>5613</v>
    <v>Lage vloer streek</v>
    <v>12-m bus</v>
    <v>Bus</v>
  </rv>
  <rv s="0">
    <v>0</v>
    <v>5614</v>
    <v>1</v>
    <v>Generic</v>
    <v>220A</v>
    <v>Euro6</v>
    <v>1</v>
    <v>41933</v>
    <v>45175</v>
    <v>Antwerpen</v>
    <v>1</v>
    <v>J</v>
    <v>J</v>
    <v>J</v>
    <v>J</v>
    <v>J</v>
    <v>9</v>
    <v>Tjalkstraat</v>
    <v>111</v>
    <v>Onderhoud Tjalkstraat</v>
    <v>142</v>
    <v>5614</v>
    <v>5614</v>
    <v>Lage vloer streek</v>
    <v>12-m bus</v>
    <v>Bus</v>
  </rv>
  <rv s="0">
    <v>0</v>
    <v>5615</v>
    <v>1</v>
    <v>Generic</v>
    <v>220A</v>
    <v>Euro6</v>
    <v>1</v>
    <v>41916</v>
    <v>45175</v>
    <v>Antwerpen</v>
    <v>1</v>
    <v>J</v>
    <v>J</v>
    <v>J</v>
    <v>J</v>
    <v>J</v>
    <v>9</v>
    <v>Tjalkstraat</v>
    <v>111</v>
    <v>Onderhoud Tjalkstraat</v>
    <v>142</v>
    <v>5615</v>
    <v>5615</v>
    <v>Lage vloer streek</v>
    <v>12-m bus</v>
    <v>Bus</v>
  </rv>
  <rv s="0">
    <v>0</v>
    <v>5616</v>
    <v>1</v>
    <v>Generic</v>
    <v>220A</v>
    <v>Euro6</v>
    <v>1</v>
    <v>41892</v>
    <v>45175</v>
    <v>Antwerpen</v>
    <v>1</v>
    <v>J</v>
    <v>J</v>
    <v>J</v>
    <v>J</v>
    <v>J</v>
    <v>9</v>
    <v>Tjalkstraat</v>
    <v>111</v>
    <v>Onderhoud Tjalkstraat</v>
    <v>142</v>
    <v>5616</v>
    <v>5616</v>
    <v>Lage vloer streek</v>
    <v>12-m bus</v>
    <v>Bus</v>
  </rv>
  <rv s="0">
    <v>0</v>
    <v>5617</v>
    <v>1</v>
    <v>Generic</v>
    <v>220A</v>
    <v>Euro6</v>
    <v>1</v>
    <v>41828</v>
    <v>45175</v>
    <v>Antwerpen</v>
    <v>1</v>
    <v>J</v>
    <v>J</v>
    <v>J</v>
    <v>J</v>
    <v>J</v>
    <v>9</v>
    <v>Tjalkstraat</v>
    <v>111</v>
    <v>Onderhoud Tjalkstraat</v>
    <v>142</v>
    <v>5617</v>
    <v>5617</v>
    <v>Lage vloer streek</v>
    <v>12-m bus</v>
    <v>Bus</v>
  </rv>
  <rv s="0">
    <v>0</v>
    <v>5618</v>
    <v>1</v>
    <v>Generic</v>
    <v>220A</v>
    <v>Euro6</v>
    <v>1</v>
    <v>41935</v>
    <v>45175</v>
    <v>Antwerpen</v>
    <v>1</v>
    <v>J</v>
    <v>J</v>
    <v>J</v>
    <v>J</v>
    <v>J</v>
    <v>9</v>
    <v>Tjalkstraat</v>
    <v>111</v>
    <v>Onderhoud Tjalkstraat</v>
    <v>142</v>
    <v>5618</v>
    <v>5618</v>
    <v>Lage vloer streek</v>
    <v>12-m bus</v>
    <v>Bus</v>
  </rv>
  <rv s="0">
    <v>0</v>
    <v>5619</v>
    <v>1</v>
    <v>Generic</v>
    <v>220A</v>
    <v>Euro6</v>
    <v>1</v>
    <v>41849</v>
    <v>45175</v>
    <v>Antwerpen</v>
    <v>1</v>
    <v>J</v>
    <v>J</v>
    <v>J</v>
    <v>J</v>
    <v>J</v>
    <v>9</v>
    <v>Tjalkstraat</v>
    <v>111</v>
    <v>Onderhoud Tjalkstraat</v>
    <v>142</v>
    <v>5619</v>
    <v>5619</v>
    <v>Lage vloer streek</v>
    <v>12-m bus</v>
    <v>Bus</v>
  </rv>
  <rv s="0">
    <v>0</v>
    <v>5620</v>
    <v>1</v>
    <v>Generic</v>
    <v>220A</v>
    <v>Euro6</v>
    <v>1</v>
    <v>41932</v>
    <v>45175</v>
    <v>Antwerpen</v>
    <v>1</v>
    <v>J</v>
    <v>J</v>
    <v>J</v>
    <v>J</v>
    <v>J</v>
    <v>9</v>
    <v>Tjalkstraat</v>
    <v>111</v>
    <v>Onderhoud Tjalkstraat</v>
    <v>142</v>
    <v>5620</v>
    <v>5620</v>
    <v>Lage vloer streek</v>
    <v>12-m bus</v>
    <v>Bus</v>
  </rv>
  <rv s="0">
    <v>0</v>
    <v>5621</v>
    <v>1</v>
    <v>Generic</v>
    <v>220A</v>
    <v>Euro6</v>
    <v>1</v>
    <v>41828</v>
    <v>45175</v>
    <v>Antwerpen</v>
    <v>1</v>
    <v>J</v>
    <v>J</v>
    <v>J</v>
    <v>J</v>
    <v>J</v>
    <v>9</v>
    <v>Tjalkstraat</v>
    <v>111</v>
    <v>Onderhoud Tjalkstraat</v>
    <v>142</v>
    <v>5621</v>
    <v>5621</v>
    <v>Lage vloer streek</v>
    <v>12-m bus</v>
    <v>Bus</v>
  </rv>
  <rv s="0">
    <v>0</v>
    <v>5622</v>
    <v>1</v>
    <v>Generic</v>
    <v>220A</v>
    <v>Euro6</v>
    <v>1</v>
    <v>41946</v>
    <v>45175</v>
    <v>Antwerpen</v>
    <v>1</v>
    <v>J</v>
    <v>J</v>
    <v>J</v>
    <v>J</v>
    <v>J</v>
    <v>9</v>
    <v>Tjalkstraat</v>
    <v>111</v>
    <v>Onderhoud Tjalkstraat</v>
    <v>142</v>
    <v>5622</v>
    <v>5622</v>
    <v>Lage vloer streek</v>
    <v>12-m bus</v>
    <v>Bus</v>
  </rv>
  <rv s="0">
    <v>0</v>
    <v>5623</v>
    <v>1</v>
    <v>Generic</v>
    <v>220A</v>
    <v>Euro6</v>
    <v>1</v>
    <v>41838</v>
    <v>45175</v>
    <v>Antwerpen</v>
    <v>1</v>
    <v>J</v>
    <v>J</v>
    <v>J</v>
    <v>J</v>
    <v>J</v>
    <v>9</v>
    <v>Tjalkstraat</v>
    <v>111</v>
    <v>Onderhoud Tjalkstraat</v>
    <v>142</v>
    <v>5623</v>
    <v>5623</v>
    <v>Lage vloer streek</v>
    <v>12-m bus</v>
    <v>Bus</v>
  </rv>
  <rv s="0">
    <v>0</v>
    <v>5624</v>
    <v>1</v>
    <v>Generic</v>
    <v>220A</v>
    <v>Euro6</v>
    <v>1</v>
    <v>41869</v>
    <v>45175</v>
    <v>Antwerpen</v>
    <v>1</v>
    <v>J</v>
    <v>J</v>
    <v>J</v>
    <v>J</v>
    <v>J</v>
    <v>9</v>
    <v>Wuustwezel</v>
    <v>114</v>
    <v>Onderhoud Tjalkstraat</v>
    <v>142</v>
    <v>5624</v>
    <v>5624</v>
    <v>Lage vloer streek</v>
    <v>12-m bus</v>
    <v>Bus</v>
  </rv>
  <rv s="0">
    <v>0</v>
    <v>5625</v>
    <v>1</v>
    <v>Generic</v>
    <v>220A</v>
    <v>Euro6</v>
    <v>1</v>
    <v>41865</v>
    <v>45175</v>
    <v>Antwerpen</v>
    <v>1</v>
    <v>J</v>
    <v>J</v>
    <v>J</v>
    <v>J</v>
    <v>J</v>
    <v>9</v>
    <v>Wuustwezel</v>
    <v>114</v>
    <v>Onderhoud Tjalkstraat</v>
    <v>142</v>
    <v>5625</v>
    <v>5625</v>
    <v>Lage vloer streek</v>
    <v>12-m bus</v>
    <v>Bus</v>
  </rv>
  <rv s="0">
    <v>0</v>
    <v>5626</v>
    <v>1</v>
    <v>Generic</v>
    <v>220A</v>
    <v>Euro6</v>
    <v>1</v>
    <v>41891</v>
    <v>45175</v>
    <v>Antwerpen</v>
    <v>1</v>
    <v>J</v>
    <v>J</v>
    <v>J</v>
    <v>J</v>
    <v>J</v>
    <v>9</v>
    <v>Wuustwezel</v>
    <v>114</v>
    <v>Onderhoud Tjalkstraat</v>
    <v>142</v>
    <v>5626</v>
    <v>5626</v>
    <v>Lage vloer streek</v>
    <v>12-m bus</v>
    <v>Bus</v>
  </rv>
  <rv s="0">
    <v>0</v>
    <v>5627</v>
    <v>1</v>
    <v>Generic</v>
    <v>220A</v>
    <v>Euro6</v>
    <v>1</v>
    <v>41850</v>
    <v>45175</v>
    <v>Antwerpen</v>
    <v>1</v>
    <v>J</v>
    <v>J</v>
    <v>J</v>
    <v>J</v>
    <v>J</v>
    <v>9</v>
    <v>Wuustwezel</v>
    <v>114</v>
    <v>Onderhoud Tjalkstraat</v>
    <v>142</v>
    <v>5627</v>
    <v>5627</v>
    <v>Lage vloer streek</v>
    <v>12-m bus</v>
    <v>Bus</v>
  </rv>
  <rv s="0">
    <v>0</v>
    <v>5628</v>
    <v>1</v>
    <v>Generic</v>
    <v>220A</v>
    <v>Euro6</v>
    <v>1</v>
    <v>41842</v>
    <v>45175</v>
    <v>Antwerpen</v>
    <v>1</v>
    <v>J</v>
    <v>J</v>
    <v>J</v>
    <v>J</v>
    <v>J</v>
    <v>9</v>
    <v>Zandvliet</v>
    <v>113</v>
    <v>Onderhoud Tjalkstraat</v>
    <v>142</v>
    <v>5628</v>
    <v>5628</v>
    <v>Lage vloer streek</v>
    <v>12-m bus</v>
    <v>Bus</v>
  </rv>
  <rv s="0">
    <v>0</v>
    <v>5629</v>
    <v>1</v>
    <v>Generic</v>
    <v>220A</v>
    <v>Euro6</v>
    <v>1</v>
    <v>41828</v>
    <v>45175</v>
    <v>Antwerpen</v>
    <v>1</v>
    <v>J</v>
    <v>J</v>
    <v>J</v>
    <v>J</v>
    <v>J</v>
    <v>9</v>
    <v>Zandvliet</v>
    <v>113</v>
    <v>Onderhoud Tjalkstraat</v>
    <v>142</v>
    <v>5629</v>
    <v>5629</v>
    <v>Lage vloer streek</v>
    <v>12-m bus</v>
    <v>Bus</v>
  </rv>
  <rv s="0">
    <v>0</v>
    <v>5630</v>
    <v>1</v>
    <v>Generic</v>
    <v>220A</v>
    <v>Euro6</v>
    <v>1</v>
    <v>41865</v>
    <v>45175</v>
    <v>Antwerpen</v>
    <v>1</v>
    <v>J</v>
    <v>J</v>
    <v>J</v>
    <v>J</v>
    <v>J</v>
    <v>9</v>
    <v>Zandvliet</v>
    <v>113</v>
    <v>Onderhoud Tjalkstraat</v>
    <v>142</v>
    <v>5630</v>
    <v>5630</v>
    <v>Lage vloer streek</v>
    <v>12-m bus</v>
    <v>Bus</v>
  </rv>
  <rv s="0">
    <v>0</v>
    <v>5631</v>
    <v>1</v>
    <v>Generic</v>
    <v>220A</v>
    <v>Euro6</v>
    <v>1</v>
    <v>41843</v>
    <v>45175</v>
    <v>Antwerpen</v>
    <v>1</v>
    <v>J</v>
    <v>J</v>
    <v>J</v>
    <v>J</v>
    <v>J</v>
    <v>9</v>
    <v>Zandvliet</v>
    <v>113</v>
    <v>Onderhoud Tjalkstraat</v>
    <v>142</v>
    <v>5631</v>
    <v>5631</v>
    <v>Lage vloer streek</v>
    <v>12-m bus</v>
    <v>Bus</v>
  </rv>
  <rv s="0">
    <v>0</v>
    <v>5632</v>
    <v>1</v>
    <v>Generic</v>
    <v>220A</v>
    <v>Euro6</v>
    <v>1</v>
    <v>41853</v>
    <v>45175</v>
    <v>Antwerpen</v>
    <v>1</v>
    <v>J</v>
    <v>J</v>
    <v>J</v>
    <v>J</v>
    <v>J</v>
    <v>9</v>
    <v>Zandvliet</v>
    <v>113</v>
    <v>Onderhoud Tjalkstraat</v>
    <v>142</v>
    <v>5632</v>
    <v>5632</v>
    <v>Lage vloer streek</v>
    <v>12-m bus</v>
    <v>Bus</v>
  </rv>
  <rv s="0">
    <v>0</v>
    <v>5633</v>
    <v>1</v>
    <v>Generic</v>
    <v>220A</v>
    <v>Euro6</v>
    <v>1</v>
    <v>41645</v>
    <v>45175</v>
    <v>Antwerpen</v>
    <v>1</v>
    <v>J</v>
    <v>J</v>
    <v>J</v>
    <v>J</v>
    <v>J</v>
    <v>10</v>
    <v>Zandvliet</v>
    <v>113</v>
    <v>Onderhoud Tjalkstraat</v>
    <v>142</v>
    <v>5633</v>
    <v>5633</v>
    <v>Lage vloer streek</v>
    <v>12-m bus</v>
    <v>Bus</v>
  </rv>
  <rv s="0">
    <v>0</v>
    <v>5634</v>
    <v>1</v>
    <v>Generic</v>
    <v>220A</v>
    <v>Euro6</v>
    <v>1</v>
    <v>41956</v>
    <v>45175</v>
    <v>Antwerpen</v>
    <v>1</v>
    <v>J</v>
    <v>J</v>
    <v>J</v>
    <v>J</v>
    <v>J</v>
    <v>9</v>
    <v>Zandvliet</v>
    <v>113</v>
    <v>Onderhoud Tjalkstraat</v>
    <v>142</v>
    <v>5634</v>
    <v>5634</v>
    <v>Lage vloer streek</v>
    <v>12-m bus</v>
    <v>Bus</v>
  </rv>
  <rv s="0">
    <v>0</v>
    <v>5635</v>
    <v>1</v>
    <v>Generic</v>
    <v>220A</v>
    <v>Euro6</v>
    <v>1</v>
    <v>41857</v>
    <v>45175</v>
    <v>Antwerpen</v>
    <v>1</v>
    <v>J</v>
    <v>J</v>
    <v>J</v>
    <v>J</v>
    <v>J</v>
    <v>9</v>
    <v>Zandvliet</v>
    <v>113</v>
    <v>Onderhoud Tjalkstraat</v>
    <v>142</v>
    <v>5635</v>
    <v>5635</v>
    <v>Lage vloer streek</v>
    <v>12-m bus</v>
    <v>Bus</v>
  </rv>
  <rv s="0">
    <v>0</v>
    <v>5636</v>
    <v>1</v>
    <v>Generic</v>
    <v>220A</v>
    <v>Euro6</v>
    <v>1</v>
    <v>41946</v>
    <v>45175</v>
    <v>Antwerpen</v>
    <v>1</v>
    <v>J</v>
    <v>J</v>
    <v>J</v>
    <v>J</v>
    <v>J</v>
    <v>9</v>
    <v>Zandvliet</v>
    <v>113</v>
    <v>Onderhoud Tjalkstraat</v>
    <v>142</v>
    <v>5636</v>
    <v>5636</v>
    <v>Lage vloer streek</v>
    <v>12-m bus</v>
    <v>Bus</v>
  </rv>
  <rv s="0">
    <v>0</v>
    <v>5637</v>
    <v>1</v>
    <v>Generic</v>
    <v>220A</v>
    <v>Euro6</v>
    <v>1</v>
    <v>41977</v>
    <v>45175</v>
    <v>Antwerpen</v>
    <v>1</v>
    <v>J</v>
    <v>J</v>
    <v>J</v>
    <v>J</v>
    <v>J</v>
    <v>9</v>
    <v>Broechem</v>
    <v>129</v>
    <v>Onderhoud Tjalkstraat</v>
    <v>142</v>
    <v>5637</v>
    <v>5637</v>
    <v>Lage vloer streek</v>
    <v>12-m bus</v>
    <v>Bus</v>
  </rv>
  <rv s="0">
    <v>0</v>
    <v>5638</v>
    <v>1</v>
    <v>Generic</v>
    <v>220A</v>
    <v>Euro6</v>
    <v>1</v>
    <v>41956</v>
    <v>45175</v>
    <v>Antwerpen</v>
    <v>1</v>
    <v>J</v>
    <v>J</v>
    <v>J</v>
    <v>J</v>
    <v>J</v>
    <v>9</v>
    <v>Broechem</v>
    <v>129</v>
    <v>Onderhoud Tjalkstraat</v>
    <v>142</v>
    <v>5638</v>
    <v>5638</v>
    <v>Lage vloer streek</v>
    <v>12-m bus</v>
    <v>Bus</v>
  </rv>
  <rv s="0">
    <v>0</v>
    <v>5639</v>
    <v>1</v>
    <v>Generic</v>
    <v>220A</v>
    <v>Euro6</v>
    <v>1</v>
    <v>41970</v>
    <v>45175</v>
    <v>Antwerpen</v>
    <v>1</v>
    <v>J</v>
    <v>J</v>
    <v>J</v>
    <v>J</v>
    <v>J</v>
    <v>9</v>
    <v>Broechem</v>
    <v>129</v>
    <v>Onderhoud Tjalkstraat</v>
    <v>142</v>
    <v>5639</v>
    <v>5639</v>
    <v>Lage vloer streek</v>
    <v>12-m bus</v>
    <v>Bus</v>
  </rv>
  <rv s="0">
    <v>0</v>
    <v>5640</v>
    <v>1</v>
    <v>Generic</v>
    <v>220A</v>
    <v>Euro6</v>
    <v>1</v>
    <v>41991</v>
    <v>45175</v>
    <v>Antwerpen</v>
    <v>1</v>
    <v>J</v>
    <v>J</v>
    <v>J</v>
    <v>J</v>
    <v>J</v>
    <v>9</v>
    <v>Broechem</v>
    <v>129</v>
    <v>Onderhoud Tjalkstraat</v>
    <v>142</v>
    <v>5640</v>
    <v>5640</v>
    <v>Lage vloer streek</v>
    <v>12-m bus</v>
    <v>Bus</v>
  </rv>
  <rv s="0">
    <v>0</v>
    <v>5641</v>
    <v>1</v>
    <v>Generic</v>
    <v>220A</v>
    <v>Euro6</v>
    <v>1</v>
    <v>41969</v>
    <v>45175</v>
    <v>Antwerpen</v>
    <v>1</v>
    <v>J</v>
    <v>J</v>
    <v>J</v>
    <v>J</v>
    <v>J</v>
    <v>9</v>
    <v>Broechem</v>
    <v>129</v>
    <v>Onderhoud Tjalkstraat</v>
    <v>142</v>
    <v>5641</v>
    <v>5641</v>
    <v>Lage vloer streek</v>
    <v>12-m bus</v>
    <v>Bus</v>
  </rv>
  <rv s="0">
    <v>0</v>
    <v>5642</v>
    <v>1</v>
    <v>Generic</v>
    <v>220A</v>
    <v>Euro6</v>
    <v>1</v>
    <v>41971</v>
    <v>45175</v>
    <v>Limburg</v>
    <v>4</v>
    <v>J</v>
    <v>J</v>
    <v>J</v>
    <v>J</v>
    <v>J</v>
    <v>9</v>
    <v>Lanaken</v>
    <v>115</v>
    <v>Onderhoud Lanaken</v>
    <v>147</v>
    <v>5642</v>
    <v>5642</v>
    <v>Lage vloer streek</v>
    <v>12-m bus</v>
    <v>Bus</v>
  </rv>
  <rv s="0">
    <v>0</v>
    <v>5643</v>
    <v>1</v>
    <v>Generic</v>
    <v>220A</v>
    <v>Euro6</v>
    <v>1</v>
    <v>42037</v>
    <v>45175</v>
    <v>Limburg</v>
    <v>4</v>
    <v>J</v>
    <v>J</v>
    <v>J</v>
    <v>J</v>
    <v>J</v>
    <v>9</v>
    <v>Lanaken</v>
    <v>115</v>
    <v>Onderhoud Lanaken</v>
    <v>147</v>
    <v>5643</v>
    <v>5643</v>
    <v>Lage vloer streek</v>
    <v>12-m bus</v>
    <v>Bus</v>
  </rv>
  <rv s="0">
    <v>0</v>
    <v>5644</v>
    <v>1</v>
    <v>Generic</v>
    <v>220A</v>
    <v>Euro6</v>
    <v>1</v>
    <v>42010</v>
    <v>45175</v>
    <v>Antwerpen</v>
    <v>1</v>
    <v>J</v>
    <v>J</v>
    <v>J</v>
    <v>J</v>
    <v>J</v>
    <v>9</v>
    <v>Tjalkstraat</v>
    <v>111</v>
    <v>Onderhoud Tjalkstraat</v>
    <v>142</v>
    <v>5644</v>
    <v>5644</v>
    <v>Lage vloer streek</v>
    <v>12-m bus</v>
    <v>Bus</v>
  </rv>
  <rv s="0">
    <v>0</v>
    <v>5645</v>
    <v>1</v>
    <v>Generic</v>
    <v>220A</v>
    <v>Euro6</v>
    <v>1</v>
    <v>42012</v>
    <v>45175</v>
    <v>Antwerpen</v>
    <v>1</v>
    <v>J</v>
    <v>J</v>
    <v>J</v>
    <v>J</v>
    <v>J</v>
    <v>9</v>
    <v>Tjalkstraat</v>
    <v>111</v>
    <v>Onderhoud Tjalkstraat</v>
    <v>142</v>
    <v>5645</v>
    <v>5645</v>
    <v>Lage vloer streek</v>
    <v>12-m bus</v>
    <v>Bus</v>
  </rv>
  <rv s="0">
    <v>0</v>
    <v>5646</v>
    <v>1</v>
    <v>Generic</v>
    <v>220A</v>
    <v>Euro6</v>
    <v>1</v>
    <v>41955</v>
    <v>45175</v>
    <v>Antwerpen</v>
    <v>1</v>
    <v>J</v>
    <v>J</v>
    <v>J</v>
    <v>J</v>
    <v>J</v>
    <v>9</v>
    <v>Tjalkstraat</v>
    <v>111</v>
    <v>Onderhoud Tjalkstraat</v>
    <v>142</v>
    <v>5646</v>
    <v>5646</v>
    <v>Lage vloer streek</v>
    <v>12-m bus</v>
    <v>Bus</v>
  </rv>
  <rv s="0">
    <v>0</v>
    <v>5647</v>
    <v>1</v>
    <v>Generic</v>
    <v>220A</v>
    <v>Euro6</v>
    <v>1</v>
    <v>41934</v>
    <v>45175</v>
    <v>Antwerpen</v>
    <v>1</v>
    <v>J</v>
    <v>J</v>
    <v>J</v>
    <v>J</v>
    <v>J</v>
    <v>9</v>
    <v>Tjalkstraat</v>
    <v>111</v>
    <v>Onderhoud Tjalkstraat</v>
    <v>142</v>
    <v>5647</v>
    <v>5647</v>
    <v>Lage vloer streek</v>
    <v>12-m bus</v>
    <v>Bus</v>
  </rv>
  <rv s="0">
    <v>0</v>
    <v>5648</v>
    <v>1</v>
    <v>Generic</v>
    <v>220A</v>
    <v>Euro6</v>
    <v>1</v>
    <v>41977</v>
    <v>45175</v>
    <v>Antwerpen</v>
    <v>1</v>
    <v>J</v>
    <v>J</v>
    <v>J</v>
    <v>J</v>
    <v>J</v>
    <v>9</v>
    <v>Broechem</v>
    <v>129</v>
    <v>Onderhoud Tjalkstraat</v>
    <v>142</v>
    <v>5648</v>
    <v>5648</v>
    <v>Lage vloer streek</v>
    <v>12-m bus</v>
    <v>Bus</v>
  </rv>
  <rv s="0">
    <v>0</v>
    <v>5649</v>
    <v>1</v>
    <v>Generic</v>
    <v>220A</v>
    <v>Euro6</v>
    <v>1</v>
    <v>41956</v>
    <v>45175</v>
    <v>Antwerpen</v>
    <v>1</v>
    <v>J</v>
    <v>J</v>
    <v>J</v>
    <v>J</v>
    <v>J</v>
    <v>9</v>
    <v>Broechem</v>
    <v>129</v>
    <v>Onderhoud Tjalkstraat</v>
    <v>142</v>
    <v>5649</v>
    <v>5649</v>
    <v>Lage vloer streek</v>
    <v>12-m bus</v>
    <v>Bus</v>
  </rv>
  <rv s="0">
    <v>0</v>
    <v>5650</v>
    <v>1</v>
    <v>Generic</v>
    <v>220A</v>
    <v>Euro6</v>
    <v>1</v>
    <v>41974</v>
    <v>45175</v>
    <v>Antwerpen</v>
    <v>1</v>
    <v>J</v>
    <v>J</v>
    <v>J</v>
    <v>J</v>
    <v>J</v>
    <v>9</v>
    <v>Broechem</v>
    <v>129</v>
    <v>Onderhoud Tjalkstraat</v>
    <v>142</v>
    <v>5650</v>
    <v>5650</v>
    <v>Lage vloer streek</v>
    <v>12-m bus</v>
    <v>Bus</v>
  </rv>
  <rv s="0">
    <v>0</v>
    <v>5651</v>
    <v>1</v>
    <v>Generic</v>
    <v>220A</v>
    <v>Euro6</v>
    <v>1</v>
    <v>42012</v>
    <v>45175</v>
    <v>Antwerpen</v>
    <v>1</v>
    <v>J</v>
    <v>J</v>
    <v>J</v>
    <v>J</v>
    <v>J</v>
    <v>9</v>
    <v>Broechem</v>
    <v>129</v>
    <v>Onderhoud Tjalkstraat</v>
    <v>142</v>
    <v>5651</v>
    <v>5651</v>
    <v>Lage vloer streek</v>
    <v>12-m bus</v>
    <v>Bus</v>
  </rv>
  <rv s="0">
    <v>0</v>
    <v>5652</v>
    <v>1</v>
    <v>Generic</v>
    <v>220A</v>
    <v>Euro6</v>
    <v>1</v>
    <v>42010</v>
    <v>45175</v>
    <v>Antwerpen</v>
    <v>1</v>
    <v>J</v>
    <v>J</v>
    <v>J</v>
    <v>J</v>
    <v>J</v>
    <v>9</v>
    <v>Broechem</v>
    <v>129</v>
    <v>Onderhoud Tjalkstraat</v>
    <v>142</v>
    <v>5652</v>
    <v>5652</v>
    <v>Lage vloer streek</v>
    <v>12-m bus</v>
    <v>Bus</v>
  </rv>
  <rv s="0">
    <v>0</v>
    <v>5653</v>
    <v>1</v>
    <v>Generic</v>
    <v>220A</v>
    <v>Euro6</v>
    <v>1</v>
    <v>42004</v>
    <v>45175</v>
    <v>Antwerpen</v>
    <v>1</v>
    <v>J</v>
    <v>J</v>
    <v>J</v>
    <v>J</v>
    <v>J</v>
    <v>9</v>
    <v>Broechem</v>
    <v>129</v>
    <v>Onderhoud Tjalkstraat</v>
    <v>142</v>
    <v>5653</v>
    <v>5653</v>
    <v>Lage vloer streek</v>
    <v>12-m bus</v>
    <v>Bus</v>
  </rv>
  <rv s="0">
    <v>0</v>
    <v>5654</v>
    <v>1</v>
    <v>Generic</v>
    <v>220A</v>
    <v>Euro6</v>
    <v>1</v>
    <v>41997</v>
    <v>45175</v>
    <v>Antwerpen</v>
    <v>1</v>
    <v>J</v>
    <v>J</v>
    <v>J</v>
    <v>J</v>
    <v>J</v>
    <v>9</v>
    <v>Broechem</v>
    <v>129</v>
    <v>Onderhoud Tjalkstraat</v>
    <v>142</v>
    <v>5654</v>
    <v>5654</v>
    <v>Lage vloer streek</v>
    <v>12-m bus</v>
    <v>Bus</v>
  </rv>
  <rv s="0">
    <v>0</v>
    <v>5655</v>
    <v>1</v>
    <v>Generic</v>
    <v>220A</v>
    <v>Euro6</v>
    <v>1</v>
    <v>41997</v>
    <v>45175</v>
    <v>Antwerpen</v>
    <v>1</v>
    <v>J</v>
    <v>J</v>
    <v>J</v>
    <v>J</v>
    <v>J</v>
    <v>9</v>
    <v>Tjalkstraat</v>
    <v>111</v>
    <v>Onderhoud Tjalkstraat</v>
    <v>142</v>
    <v>5655</v>
    <v>5655</v>
    <v>Lage vloer streek</v>
    <v>12-m bus</v>
    <v>Bus</v>
  </rv>
  <rv s="0">
    <v>0</v>
    <v>5656</v>
    <v>1</v>
    <v>Generic</v>
    <v>220A</v>
    <v>Euro6</v>
    <v>1</v>
    <v>42065</v>
    <v>45175</v>
    <v>Antwerpen</v>
    <v>1</v>
    <v>J</v>
    <v>J</v>
    <v>J</v>
    <v>J</v>
    <v>J</v>
    <v>9</v>
    <v>Tjalkstraat</v>
    <v>111</v>
    <v>Onderhoud Tjalkstraat</v>
    <v>142</v>
    <v>5656</v>
    <v>5656</v>
    <v>Lage vloer streek</v>
    <v>12-m bus</v>
    <v>Bus</v>
  </rv>
  <rv s="0">
    <v>0</v>
    <v>5657</v>
    <v>1</v>
    <v>Generic</v>
    <v>220A</v>
    <v>Euro6</v>
    <v>1</v>
    <v>41991</v>
    <v>45175</v>
    <v>Antwerpen</v>
    <v>1</v>
    <v>J</v>
    <v>J</v>
    <v>J</v>
    <v>J</v>
    <v>J</v>
    <v>9</v>
    <v>Tjalkstraat</v>
    <v>111</v>
    <v>Onderhoud Tjalkstraat</v>
    <v>142</v>
    <v>5657</v>
    <v>5657</v>
    <v>Lage vloer streek</v>
    <v>12-m bus</v>
    <v>Bus</v>
  </rv>
  <rv s="0">
    <v>0</v>
    <v>5658</v>
    <v>1</v>
    <v>Generic</v>
    <v>220A</v>
    <v>Euro6</v>
    <v>1</v>
    <v>42006</v>
    <v>45175</v>
    <v>Antwerpen</v>
    <v>1</v>
    <v>J</v>
    <v>J</v>
    <v>J</v>
    <v>J</v>
    <v>J</v>
    <v>9</v>
    <v>Tjalkstraat</v>
    <v>111</v>
    <v>Onderhoud Tjalkstraat</v>
    <v>142</v>
    <v>5658</v>
    <v>5658</v>
    <v>Lage vloer streek</v>
    <v>12-m bus</v>
    <v>Bus</v>
  </rv>
  <rv s="0">
    <v>0</v>
    <v>5659</v>
    <v>1</v>
    <v>Generic</v>
    <v>220A</v>
    <v>Euro6</v>
    <v>1</v>
    <v>42012</v>
    <v>45175</v>
    <v>Antwerpen</v>
    <v>1</v>
    <v>J</v>
    <v>J</v>
    <v>J</v>
    <v>J</v>
    <v>J</v>
    <v>9</v>
    <v>Tjalkstraat</v>
    <v>111</v>
    <v>Onderhoud Tjalkstraat</v>
    <v>142</v>
    <v>5659</v>
    <v>5659</v>
    <v>Lage vloer streek</v>
    <v>12-m bus</v>
    <v>Bus</v>
  </rv>
  <rv s="0">
    <v>0</v>
    <v>5660</v>
    <v>1</v>
    <v>Generic</v>
    <v>220A</v>
    <v>Euro6</v>
    <v>1</v>
    <v>41997</v>
    <v>45175</v>
    <v>Antwerpen</v>
    <v>1</v>
    <v>J</v>
    <v>J</v>
    <v>J</v>
    <v>J</v>
    <v>J</v>
    <v>9</v>
    <v>Tjalkstraat</v>
    <v>111</v>
    <v>Onderhoud Tjalkstraat</v>
    <v>142</v>
    <v>5660</v>
    <v>5660</v>
    <v>Lage vloer streek</v>
    <v>12-m bus</v>
    <v>Bus</v>
  </rv>
  <rv s="0">
    <v>0</v>
    <v>5661</v>
    <v>1</v>
    <v>Generic</v>
    <v>220A</v>
    <v>Euro6</v>
    <v>1</v>
    <v>42019</v>
    <v>45175</v>
    <v>Antwerpen</v>
    <v>1</v>
    <v>J</v>
    <v>J</v>
    <v>J</v>
    <v>J</v>
    <v>J</v>
    <v>9</v>
    <v>Tjalkstraat</v>
    <v>111</v>
    <v>Onderhoud Tjalkstraat</v>
    <v>142</v>
    <v>5661</v>
    <v>5661</v>
    <v>Lage vloer streek</v>
    <v>12-m bus</v>
    <v>Bus</v>
  </rv>
  <rv s="0">
    <v>0</v>
    <v>5662</v>
    <v>1</v>
    <v>Generic</v>
    <v>220A</v>
    <v>Euro6</v>
    <v>1</v>
    <v>42019</v>
    <v>45175</v>
    <v>Antwerpen</v>
    <v>1</v>
    <v>J</v>
    <v>J</v>
    <v>J</v>
    <v>J</v>
    <v>J</v>
    <v>9</v>
    <v>Tjalkstraat</v>
    <v>111</v>
    <v>Onderhoud Tjalkstraat</v>
    <v>142</v>
    <v>5662</v>
    <v>5662</v>
    <v>Lage vloer streek</v>
    <v>12-m bus</v>
    <v>Bus</v>
  </rv>
  <rv s="0">
    <v>0</v>
    <v>5663</v>
    <v>1</v>
    <v>Generic</v>
    <v>220A</v>
    <v>Euro6</v>
    <v>1</v>
    <v>41983</v>
    <v>45175</v>
    <v>Limburg</v>
    <v>4</v>
    <v>J</v>
    <v>J</v>
    <v>J</v>
    <v>J</v>
    <v>J</v>
    <v>9</v>
    <v>Winterslag</v>
    <v>125</v>
    <v>Onderhoud Winterslag</v>
    <v>153</v>
    <v>5663</v>
    <v>5663</v>
    <v>Lage vloer streek</v>
    <v>12-m bus</v>
    <v>Bus</v>
  </rv>
  <rv s="0">
    <v>0</v>
    <v>5664</v>
    <v>1</v>
    <v>Generic</v>
    <v>220A</v>
    <v>Euro6</v>
    <v>1</v>
    <v>42024</v>
    <v>45175</v>
    <v>Limburg</v>
    <v>4</v>
    <v>J</v>
    <v>J</v>
    <v>J</v>
    <v>J</v>
    <v>J</v>
    <v>9</v>
    <v>Winterslag</v>
    <v>125</v>
    <v>Onderhoud Winterslag</v>
    <v>153</v>
    <v>5664</v>
    <v>5664</v>
    <v>Lage vloer streek</v>
    <v>12-m bus</v>
    <v>Bus</v>
  </rv>
  <rv s="0">
    <v>0</v>
    <v>5665</v>
    <v>1</v>
    <v>Generic</v>
    <v>220A</v>
    <v>Euro6</v>
    <v>1</v>
    <v>42035</v>
    <v>45175</v>
    <v>Limburg</v>
    <v>4</v>
    <v>J</v>
    <v>J</v>
    <v>J</v>
    <v>J</v>
    <v>J</v>
    <v>9</v>
    <v>Lanaken</v>
    <v>115</v>
    <v>Onderhoud Lanaken</v>
    <v>147</v>
    <v>5665</v>
    <v>5665</v>
    <v>Lage vloer streek</v>
    <v>12-m bus</v>
    <v>Bus</v>
  </rv>
  <rv s="0">
    <v>0</v>
    <v>5666</v>
    <v>1</v>
    <v>Generic</v>
    <v>220A</v>
    <v>Euro6</v>
    <v>1</v>
    <v>42017</v>
    <v>45175</v>
    <v>Antwerpen</v>
    <v>1</v>
    <v>J</v>
    <v>J</v>
    <v>J</v>
    <v>J</v>
    <v>J</v>
    <v>9</v>
    <v>Tjalkstraat</v>
    <v>111</v>
    <v>Onderhoud Tjalkstraat</v>
    <v>142</v>
    <v>5666</v>
    <v>5666</v>
    <v>Lage vloer streek</v>
    <v>12-m bus</v>
    <v>Bus</v>
  </rv>
  <rv s="0">
    <v>0</v>
    <v>5667</v>
    <v>1</v>
    <v>Generic</v>
    <v>220A</v>
    <v>Euro6</v>
    <v>1</v>
    <v>41914</v>
    <v>45175</v>
    <v>Vlaams-Brabant</v>
    <v>3</v>
    <v>J</v>
    <v>J</v>
    <v>J</v>
    <v>J</v>
    <v>J</v>
    <v>9</v>
    <v>Leerbeek</v>
    <v>112</v>
    <v>Onderhoud Leerbeek</v>
    <v>145</v>
    <v>5667</v>
    <v>5667</v>
    <v>Lage vloer streek</v>
    <v>12-m bus</v>
    <v>Bus</v>
  </rv>
  <rv s="0">
    <v>0</v>
    <v>5668</v>
    <v>1</v>
    <v>Generic</v>
    <v>220A</v>
    <v>Euro6</v>
    <v>1</v>
    <v>41898</v>
    <v>45175</v>
    <v>Vlaams-Brabant</v>
    <v>3</v>
    <v>J</v>
    <v>J</v>
    <v>J</v>
    <v>J</v>
    <v>J</v>
    <v>9</v>
    <v>Leerbeek</v>
    <v>112</v>
    <v>Onderhoud Leerbeek</v>
    <v>145</v>
    <v>5668</v>
    <v>5668</v>
    <v>Lage vloer streek</v>
    <v>12-m bus</v>
    <v>Bus</v>
  </rv>
  <rv s="0">
    <v>0</v>
    <v>5669</v>
    <v>1</v>
    <v>Generic</v>
    <v>220A</v>
    <v>Euro6</v>
    <v>1</v>
    <v>41898</v>
    <v>45175</v>
    <v>Vlaams-Brabant</v>
    <v>3</v>
    <v>J</v>
    <v>J</v>
    <v>J</v>
    <v>J</v>
    <v>J</v>
    <v>9</v>
    <v>Leerbeek</v>
    <v>112</v>
    <v>Onderhoud Leerbeek</v>
    <v>145</v>
    <v>5669</v>
    <v>5669</v>
    <v>Lage vloer streek</v>
    <v>12-m bus</v>
    <v>Bus</v>
  </rv>
  <rv s="0">
    <v>0</v>
    <v>5670</v>
    <v>1</v>
    <v>Generic</v>
    <v>220A</v>
    <v>Euro6</v>
    <v>1</v>
    <v>41843</v>
    <v>45175</v>
    <v>Vlaams-Brabant</v>
    <v>3</v>
    <v>J</v>
    <v>J</v>
    <v>J</v>
    <v>J</v>
    <v>J</v>
    <v>9</v>
    <v>Leerbeek</v>
    <v>112</v>
    <v>Onderhoud Leerbeek</v>
    <v>145</v>
    <v>5670</v>
    <v>5670</v>
    <v>Lage vloer streek</v>
    <v>12-m bus</v>
    <v>Bus</v>
  </rv>
  <rv s="0">
    <v>0</v>
    <v>5671</v>
    <v>1</v>
    <v>Generic</v>
    <v>220A</v>
    <v>Euro6</v>
    <v>1</v>
    <v>41830</v>
    <v>45175</v>
    <v>Vlaams-Brabant</v>
    <v>3</v>
    <v>J</v>
    <v>J</v>
    <v>J</v>
    <v>J</v>
    <v>J</v>
    <v>9</v>
    <v>Leerbeek</v>
    <v>112</v>
    <v>Onderhoud Leerbeek</v>
    <v>145</v>
    <v>5671</v>
    <v>5671</v>
    <v>Lage vloer streek</v>
    <v>12-m bus</v>
    <v>Bus</v>
  </rv>
  <rv s="0">
    <v>0</v>
    <v>5672</v>
    <v>1</v>
    <v>Generic</v>
    <v>220A</v>
    <v>Euro6</v>
    <v>1</v>
    <v>41843</v>
    <v>45175</v>
    <v>Vlaams-Brabant</v>
    <v>3</v>
    <v>J</v>
    <v>J</v>
    <v>J</v>
    <v>J</v>
    <v>J</v>
    <v>9</v>
    <v>Leerbeek</v>
    <v>112</v>
    <v>Onderhoud Leerbeek</v>
    <v>145</v>
    <v>5672</v>
    <v>5672</v>
    <v>Lage vloer streek</v>
    <v>12-m bus</v>
    <v>Bus</v>
  </rv>
  <rv s="0">
    <v>0</v>
    <v>5673</v>
    <v>1</v>
    <v>Generic</v>
    <v>220A</v>
    <v>Euro6</v>
    <v>1</v>
    <v>41939</v>
    <v>45175</v>
    <v>Vlaams-Brabant</v>
    <v>3</v>
    <v>J</v>
    <v>J</v>
    <v>J</v>
    <v>J</v>
    <v>J</v>
    <v>9</v>
    <v>Leerbeek</v>
    <v>112</v>
    <v>Onderhoud Leerbeek</v>
    <v>145</v>
    <v>5673</v>
    <v>5673</v>
    <v>Lage vloer streek</v>
    <v>12-m bus</v>
    <v>Bus</v>
  </rv>
  <rv s="0">
    <v>0</v>
    <v>5674</v>
    <v>1</v>
    <v>Generic</v>
    <v>220A</v>
    <v>Euro6</v>
    <v>1</v>
    <v>41830</v>
    <v>45175</v>
    <v>Vlaams-Brabant</v>
    <v>3</v>
    <v>J</v>
    <v>J</v>
    <v>J</v>
    <v>J</v>
    <v>J</v>
    <v>9</v>
    <v>Leerbeek</v>
    <v>112</v>
    <v>Onderhoud Leerbeek</v>
    <v>145</v>
    <v>5674</v>
    <v>5674</v>
    <v>Lage vloer streek</v>
    <v>12-m bus</v>
    <v>Bus</v>
  </rv>
  <rv s="0">
    <v>0</v>
    <v>5675</v>
    <v>1</v>
    <v>Generic</v>
    <v>220A</v>
    <v>Euro6</v>
    <v>1</v>
    <v>41815</v>
    <v>45175</v>
    <v>Vlaams-Brabant</v>
    <v>3</v>
    <v>J</v>
    <v>J</v>
    <v>J</v>
    <v>J</v>
    <v>J</v>
    <v>9</v>
    <v>Leerbeek</v>
    <v>112</v>
    <v>Onderhoud Leerbeek</v>
    <v>145</v>
    <v>5675</v>
    <v>5675</v>
    <v>Lage vloer streek</v>
    <v>12-m bus</v>
    <v>Bus</v>
  </rv>
  <rv s="0">
    <v>0</v>
    <v>5676</v>
    <v>1</v>
    <v>Generic</v>
    <v>220A</v>
    <v>Euro6</v>
    <v>1</v>
    <v>41809</v>
    <v>45175</v>
    <v>Vlaams-Brabant</v>
    <v>3</v>
    <v>J</v>
    <v>J</v>
    <v>J</v>
    <v>J</v>
    <v>J</v>
    <v>9</v>
    <v>Leerbeek</v>
    <v>112</v>
    <v>Onderhoud Leerbeek</v>
    <v>145</v>
    <v>5676</v>
    <v>5676</v>
    <v>Lage vloer streek</v>
    <v>12-m bus</v>
    <v>Bus</v>
  </rv>
  <rv s="0">
    <v>0</v>
    <v>5677</v>
    <v>1</v>
    <v>Generic</v>
    <v>220A</v>
    <v>Euro6</v>
    <v>1</v>
    <v>41815</v>
    <v>45175</v>
    <v>Vlaams-Brabant</v>
    <v>3</v>
    <v>J</v>
    <v>J</v>
    <v>J</v>
    <v>J</v>
    <v>J</v>
    <v>9</v>
    <v>Leerbeek</v>
    <v>112</v>
    <v>Onderhoud Leerbeek</v>
    <v>145</v>
    <v>5677</v>
    <v>5677</v>
    <v>Lage vloer streek</v>
    <v>12-m bus</v>
    <v>Bus</v>
  </rv>
  <rv s="0">
    <v>0</v>
    <v>5678</v>
    <v>1</v>
    <v>Generic</v>
    <v>220A</v>
    <v>Euro6</v>
    <v>1</v>
    <v>41823</v>
    <v>45175</v>
    <v>Vlaams-Brabant</v>
    <v>3</v>
    <v>J</v>
    <v>J</v>
    <v>J</v>
    <v>J</v>
    <v>J</v>
    <v>9</v>
    <v>Leerbeek</v>
    <v>112</v>
    <v>Onderhoud Leerbeek</v>
    <v>145</v>
    <v>5678</v>
    <v>5678</v>
    <v>Lage vloer streek</v>
    <v>12-m bus</v>
    <v>Bus</v>
  </rv>
  <rv s="0">
    <v>0</v>
    <v>5679</v>
    <v>1</v>
    <v>Generic</v>
    <v>220A</v>
    <v>Euro6</v>
    <v>1</v>
    <v>41823</v>
    <v>45175</v>
    <v>Vlaams-Brabant</v>
    <v>3</v>
    <v>J</v>
    <v>J</v>
    <v>J</v>
    <v>J</v>
    <v>J</v>
    <v>9</v>
    <v>Leerbeek</v>
    <v>112</v>
    <v>Onderhoud Leerbeek</v>
    <v>145</v>
    <v>5679</v>
    <v>5679</v>
    <v>Lage vloer streek</v>
    <v>12-m bus</v>
    <v>Bus</v>
  </rv>
  <rv s="0">
    <v>0</v>
    <v>5680</v>
    <v>1</v>
    <v>Generic</v>
    <v>220A</v>
    <v>Euro6</v>
    <v>1</v>
    <v>41815</v>
    <v>45175</v>
    <v>Vlaams-Brabant</v>
    <v>3</v>
    <v>J</v>
    <v>J</v>
    <v>J</v>
    <v>J</v>
    <v>J</v>
    <v>9</v>
    <v>Leerbeek</v>
    <v>112</v>
    <v>Onderhoud Leerbeek</v>
    <v>145</v>
    <v>5680</v>
    <v>5680</v>
    <v>Lage vloer streek</v>
    <v>12-m bus</v>
    <v>Bus</v>
  </rv>
  <rv s="0">
    <v>0</v>
    <v>5681</v>
    <v>1</v>
    <v>Generic</v>
    <v>220A</v>
    <v>Euro6</v>
    <v>1</v>
    <v>41823</v>
    <v>45175</v>
    <v>Vlaams-Brabant</v>
    <v>3</v>
    <v>J</v>
    <v>J</v>
    <v>J</v>
    <v>J</v>
    <v>J</v>
    <v>9</v>
    <v>Leerbeek</v>
    <v>112</v>
    <v>Onderhoud Leerbeek</v>
    <v>145</v>
    <v>5681</v>
    <v>5681</v>
    <v>Lage vloer streek</v>
    <v>12-m bus</v>
    <v>Bus</v>
  </rv>
  <rv s="0">
    <v>0</v>
    <v>5682</v>
    <v>1</v>
    <v>Generic</v>
    <v>220A</v>
    <v>Euro6</v>
    <v>1</v>
    <v>41946</v>
    <v>45175</v>
    <v>Vlaams-Brabant</v>
    <v>3</v>
    <v>J</v>
    <v>J</v>
    <v>J</v>
    <v>J</v>
    <v>J</v>
    <v>9</v>
    <v>Leerbeek</v>
    <v>112</v>
    <v>Onderhoud Leerbeek</v>
    <v>145</v>
    <v>5682</v>
    <v>5682</v>
    <v>Lage vloer streek</v>
    <v>12-m bus</v>
    <v>Bus</v>
  </rv>
  <rv s="0">
    <v>0</v>
    <v>5683</v>
    <v>1</v>
    <v>Generic</v>
    <v>220A</v>
    <v>Euro6</v>
    <v>1</v>
    <v>41843</v>
    <v>45175</v>
    <v>Vlaams-Brabant</v>
    <v>3</v>
    <v>J</v>
    <v>J</v>
    <v>J</v>
    <v>J</v>
    <v>J</v>
    <v>9</v>
    <v>Leerbeek</v>
    <v>112</v>
    <v>Onderhoud Leerbeek</v>
    <v>145</v>
    <v>5683</v>
    <v>5683</v>
    <v>Lage vloer streek</v>
    <v>12-m bus</v>
    <v>Bus</v>
  </rv>
  <rv s="0">
    <v>0</v>
    <v>5684</v>
    <v>1</v>
    <v>Generic</v>
    <v>220A</v>
    <v>Euro6</v>
    <v>1</v>
    <v>41844</v>
    <v>45175</v>
    <v>Vlaams-Brabant</v>
    <v>3</v>
    <v>J</v>
    <v>J</v>
    <v>J</v>
    <v>J</v>
    <v>J</v>
    <v>9</v>
    <v>Leerbeek</v>
    <v>112</v>
    <v>Onderhoud Leerbeek</v>
    <v>145</v>
    <v>5684</v>
    <v>5684</v>
    <v>Lage vloer streek</v>
    <v>12-m bus</v>
    <v>Bus</v>
  </rv>
  <rv s="0">
    <v>0</v>
    <v>5685</v>
    <v>1</v>
    <v>Generic</v>
    <v>220A</v>
    <v>Euro6</v>
    <v>1</v>
    <v>41843</v>
    <v>45175</v>
    <v>Vlaams-Brabant</v>
    <v>3</v>
    <v>J</v>
    <v>J</v>
    <v>J</v>
    <v>J</v>
    <v>J</v>
    <v>9</v>
    <v>Leerbeek</v>
    <v>112</v>
    <v>Onderhoud Leerbeek</v>
    <v>145</v>
    <v>5685</v>
    <v>5685</v>
    <v>Lage vloer streek</v>
    <v>12-m bus</v>
    <v>Bus</v>
  </rv>
  <rv s="0">
    <v>0</v>
    <v>5686</v>
    <v>1</v>
    <v>Generic</v>
    <v>220A</v>
    <v>Euro6</v>
    <v>1</v>
    <v>41898</v>
    <v>45175</v>
    <v>Vlaams-Brabant</v>
    <v>3</v>
    <v>J</v>
    <v>J</v>
    <v>J</v>
    <v>J</v>
    <v>J</v>
    <v>9</v>
    <v>Leerbeek</v>
    <v>112</v>
    <v>Onderhoud Leerbeek</v>
    <v>145</v>
    <v>5686</v>
    <v>5686</v>
    <v>Lage vloer streek</v>
    <v>12-m bus</v>
    <v>Bus</v>
  </rv>
  <rv s="0">
    <v>0</v>
    <v>5687</v>
    <v>1</v>
    <v>Generic</v>
    <v>220A</v>
    <v>Euro6</v>
    <v>1</v>
    <v>41939</v>
    <v>45175</v>
    <v>Vlaams-Brabant</v>
    <v>3</v>
    <v>J</v>
    <v>J</v>
    <v>J</v>
    <v>J</v>
    <v>J</v>
    <v>9</v>
    <v>Leerbeek</v>
    <v>112</v>
    <v>Onderhoud Leerbeek</v>
    <v>145</v>
    <v>5687</v>
    <v>5687</v>
    <v>Lage vloer streek</v>
    <v>12-m bus</v>
    <v>Bus</v>
  </rv>
  <rv s="0">
    <v>0</v>
    <v>5688</v>
    <v>1</v>
    <v>Generic</v>
    <v>220A</v>
    <v>Euro6</v>
    <v>1</v>
    <v>41843</v>
    <v>45175</v>
    <v>Vlaams-Brabant</v>
    <v>3</v>
    <v>J</v>
    <v>J</v>
    <v>J</v>
    <v>J</v>
    <v>J</v>
    <v>9</v>
    <v>Leerbeek</v>
    <v>112</v>
    <v>Onderhoud Leerbeek</v>
    <v>145</v>
    <v>5688</v>
    <v>5688</v>
    <v>Lage vloer streek</v>
    <v>12-m bus</v>
    <v>Bus</v>
  </rv>
  <rv s="0">
    <v>0</v>
    <v>5689</v>
    <v>1</v>
    <v>Generic</v>
    <v>220A</v>
    <v>Euro6</v>
    <v>1</v>
    <v>41946</v>
    <v>45175</v>
    <v>Vlaams-Brabant</v>
    <v>3</v>
    <v>J</v>
    <v>J</v>
    <v>J</v>
    <v>J</v>
    <v>J</v>
    <v>9</v>
    <v>Leerbeek</v>
    <v>112</v>
    <v>Onderhoud Leerbeek</v>
    <v>145</v>
    <v>5689</v>
    <v>5689</v>
    <v>Lage vloer streek</v>
    <v>12-m bus</v>
    <v>Bus</v>
  </rv>
  <rv s="0">
    <v>0</v>
    <v>5690</v>
    <v>1</v>
    <v>Generic</v>
    <v>220A</v>
    <v>Euro6</v>
    <v>1</v>
    <v>41914</v>
    <v>45175</v>
    <v>Vlaams-Brabant</v>
    <v>3</v>
    <v>J</v>
    <v>J</v>
    <v>J</v>
    <v>J</v>
    <v>J</v>
    <v>9</v>
    <v>Leerbeek</v>
    <v>112</v>
    <v>Onderhoud Leerbeek</v>
    <v>145</v>
    <v>5690</v>
    <v>5690</v>
    <v>Lage vloer streek</v>
    <v>12-m bus</v>
    <v>Bus</v>
  </rv>
  <rv s="0">
    <v>0</v>
    <v>5691</v>
    <v>1</v>
    <v>Generic</v>
    <v>220A</v>
    <v>Euro6</v>
    <v>1</v>
    <v>41870</v>
    <v>45175</v>
    <v>Vlaams-Brabant</v>
    <v>3</v>
    <v>J</v>
    <v>J</v>
    <v>J</v>
    <v>J</v>
    <v>J</v>
    <v>9</v>
    <v>Leerbeek</v>
    <v>112</v>
    <v>Onderhoud Leerbeek</v>
    <v>145</v>
    <v>5691</v>
    <v>5691</v>
    <v>Lage vloer streek</v>
    <v>12-m bus</v>
    <v>Bus</v>
  </rv>
  <rv s="0">
    <v>0</v>
    <v>5692</v>
    <v>1</v>
    <v>Generic</v>
    <v>220A</v>
    <v>Euro6</v>
    <v>1</v>
    <v>41956</v>
    <v>45175</v>
    <v>Vlaams-Brabant</v>
    <v>3</v>
    <v>J</v>
    <v>J</v>
    <v>J</v>
    <v>J</v>
    <v>J</v>
    <v>9</v>
    <v>Leerbeek</v>
    <v>112</v>
    <v>Onderhoud Leerbeek</v>
    <v>145</v>
    <v>5692</v>
    <v>5692</v>
    <v>Lage vloer streek</v>
    <v>12-m bus</v>
    <v>Bus</v>
  </rv>
  <rv s="0">
    <v>0</v>
    <v>5693</v>
    <v>1</v>
    <v>Generic</v>
    <v>220A</v>
    <v>Euro6</v>
    <v>1</v>
    <v>41925</v>
    <v>45175</v>
    <v>Vlaams-Brabant</v>
    <v>3</v>
    <v>J</v>
    <v>J</v>
    <v>J</v>
    <v>J</v>
    <v>J</v>
    <v>9</v>
    <v>Leerbeek</v>
    <v>112</v>
    <v>Onderhoud Leerbeek</v>
    <v>145</v>
    <v>5693</v>
    <v>5693</v>
    <v>Lage vloer streek</v>
    <v>12-m bus</v>
    <v>Bus</v>
  </rv>
  <rv s="0">
    <v>0</v>
    <v>5694</v>
    <v>1</v>
    <v>Generic</v>
    <v>220A</v>
    <v>Euro6</v>
    <v>1</v>
    <v>41946</v>
    <v>45175</v>
    <v>Vlaams-Brabant</v>
    <v>3</v>
    <v>J</v>
    <v>J</v>
    <v>J</v>
    <v>J</v>
    <v>J</v>
    <v>9</v>
    <v>Leerbeek</v>
    <v>112</v>
    <v>Onderhoud Leerbeek</v>
    <v>145</v>
    <v>5694</v>
    <v>5694</v>
    <v>Lage vloer streek</v>
    <v>12-m bus</v>
    <v>Bus</v>
  </rv>
  <rv s="0">
    <v>0</v>
    <v>5695</v>
    <v>1</v>
    <v>Generic</v>
    <v>220A</v>
    <v>Euro6</v>
    <v>1</v>
    <v>41898</v>
    <v>45175</v>
    <v>Vlaams-Brabant</v>
    <v>3</v>
    <v>J</v>
    <v>J</v>
    <v>J</v>
    <v>J</v>
    <v>J</v>
    <v>9</v>
    <v>Leerbeek</v>
    <v>112</v>
    <v>Onderhoud Leerbeek</v>
    <v>145</v>
    <v>5695</v>
    <v>5695</v>
    <v>Lage vloer streek</v>
    <v>12-m bus</v>
    <v>Bus</v>
  </rv>
  <rv s="0">
    <v>0</v>
    <v>5696</v>
    <v>1</v>
    <v>Generic</v>
    <v>220A</v>
    <v>Euro6</v>
    <v>1</v>
    <v>41914</v>
    <v>45175</v>
    <v>Vlaams-Brabant</v>
    <v>3</v>
    <v>J</v>
    <v>J</v>
    <v>J</v>
    <v>J</v>
    <v>J</v>
    <v>9</v>
    <v>Leerbeek</v>
    <v>112</v>
    <v>Onderhoud Leerbeek</v>
    <v>145</v>
    <v>5696</v>
    <v>5696</v>
    <v>Lage vloer streek</v>
    <v>12-m bus</v>
    <v>Bus</v>
  </rv>
  <rv s="0">
    <v>0</v>
    <v>5697</v>
    <v>1</v>
    <v>Generic</v>
    <v>220A</v>
    <v>Euro6</v>
    <v>1</v>
    <v>41939</v>
    <v>45175</v>
    <v>Vlaams-Brabant</v>
    <v>3</v>
    <v>J</v>
    <v>J</v>
    <v>J</v>
    <v>J</v>
    <v>J</v>
    <v>9</v>
    <v>Leerbeek</v>
    <v>112</v>
    <v>Onderhoud Leerbeek</v>
    <v>145</v>
    <v>5697</v>
    <v>5697</v>
    <v>Lage vloer streek</v>
    <v>12-m bus</v>
    <v>Bus</v>
  </rv>
  <rv s="0">
    <v>0</v>
    <v>5698</v>
    <v>1</v>
    <v>Generic</v>
    <v>220A</v>
    <v>Euro6</v>
    <v>1</v>
    <v>41957</v>
    <v>45175</v>
    <v>Vlaams-Brabant</v>
    <v>3</v>
    <v>J</v>
    <v>J</v>
    <v>J</v>
    <v>J</v>
    <v>J</v>
    <v>9</v>
    <v>Leerbeek</v>
    <v>112</v>
    <v>Onderhoud Leerbeek</v>
    <v>145</v>
    <v>5698</v>
    <v>5698</v>
    <v>Lage vloer streek</v>
    <v>12-m bus</v>
    <v>Bus</v>
  </rv>
  <rv s="0">
    <v>0</v>
    <v>5699</v>
    <v>1</v>
    <v>Generic</v>
    <v>220A</v>
    <v>Euro6</v>
    <v>1</v>
    <v>41957</v>
    <v>45175</v>
    <v>Vlaams-Brabant</v>
    <v>3</v>
    <v>J</v>
    <v>J</v>
    <v>J</v>
    <v>J</v>
    <v>J</v>
    <v>9</v>
    <v>Leerbeek</v>
    <v>112</v>
    <v>Onderhoud Leerbeek</v>
    <v>145</v>
    <v>5699</v>
    <v>5699</v>
    <v>Lage vloer streek</v>
    <v>12-m bus</v>
    <v>Bus</v>
  </rv>
  <rv s="0">
    <v>0</v>
    <v>5700</v>
    <v>1</v>
    <v>Generic</v>
    <v>220A</v>
    <v>Euro6</v>
    <v>1</v>
    <v>41925</v>
    <v>45175</v>
    <v>Vlaams-Brabant</v>
    <v>3</v>
    <v>J</v>
    <v>J</v>
    <v>J</v>
    <v>J</v>
    <v>J</v>
    <v>9</v>
    <v>Overijse</v>
    <v>115</v>
    <v>Onderhoud Overijse</v>
    <v>144</v>
    <v>5700</v>
    <v>5700</v>
    <v>Lage vloer streek</v>
    <v>12-m bus</v>
    <v>Bus</v>
  </rv>
  <rv s="0">
    <v>0</v>
    <v>5701</v>
    <v>1</v>
    <v>Generic</v>
    <v>220A</v>
    <v>Euro6</v>
    <v>1</v>
    <v>41947</v>
    <v>45175</v>
    <v>Vlaams-Brabant</v>
    <v>3</v>
    <v>J</v>
    <v>J</v>
    <v>J</v>
    <v>J</v>
    <v>J</v>
    <v>9</v>
    <v>Overijse</v>
    <v>115</v>
    <v>Onderhoud Overijse</v>
    <v>144</v>
    <v>5701</v>
    <v>5701</v>
    <v>Lage vloer streek</v>
    <v>12-m bus</v>
    <v>Bus</v>
  </rv>
  <rv s="0">
    <v>0</v>
    <v>5702</v>
    <v>1</v>
    <v>Generic</v>
    <v>220A</v>
    <v>Euro6</v>
    <v>1</v>
    <v>41946</v>
    <v>45175</v>
    <v>Vlaams-Brabant</v>
    <v>3</v>
    <v>J</v>
    <v>J</v>
    <v>J</v>
    <v>J</v>
    <v>J</v>
    <v>9</v>
    <v>Overijse</v>
    <v>115</v>
    <v>Onderhoud Overijse</v>
    <v>144</v>
    <v>5702</v>
    <v>5702</v>
    <v>Lage vloer streek</v>
    <v>12-m bus</v>
    <v>Bus</v>
  </rv>
  <rv s="0">
    <v>0</v>
    <v>5703</v>
    <v>1</v>
    <v>Generic</v>
    <v>220A</v>
    <v>Euro6</v>
    <v>1</v>
    <v>41956</v>
    <v>45175</v>
    <v>Vlaams-Brabant</v>
    <v>3</v>
    <v>J</v>
    <v>J</v>
    <v>J</v>
    <v>J</v>
    <v>J</v>
    <v>9</v>
    <v>Overijse</v>
    <v>115</v>
    <v>Onderhoud Overijse</v>
    <v>144</v>
    <v>5703</v>
    <v>5703</v>
    <v>Lage vloer streek</v>
    <v>12-m bus</v>
    <v>Bus</v>
  </rv>
  <rv s="0">
    <v>0</v>
    <v>5704</v>
    <v>1</v>
    <v>Generic</v>
    <v>220A</v>
    <v>Euro6</v>
    <v>1</v>
    <v>41981</v>
    <v>45175</v>
    <v>Vlaams-Brabant</v>
    <v>3</v>
    <v>J</v>
    <v>J</v>
    <v>J</v>
    <v>J</v>
    <v>J</v>
    <v>9</v>
    <v>Overijse</v>
    <v>115</v>
    <v>Onderhoud Overijse</v>
    <v>144</v>
    <v>5704</v>
    <v>5704</v>
    <v>Lage vloer streek</v>
    <v>12-m bus</v>
    <v>Bus</v>
  </rv>
  <rv s="0">
    <v>0</v>
    <v>5706</v>
    <v>1</v>
    <v>Generic</v>
    <v>220A</v>
    <v>Euro6</v>
    <v>1</v>
    <v>41960</v>
    <v>45175</v>
    <v>Vlaams-Brabant</v>
    <v>3</v>
    <v>J</v>
    <v>J</v>
    <v>J</v>
    <v>J</v>
    <v>J</v>
    <v>9</v>
    <v>Overijse</v>
    <v>115</v>
    <v>Onderhoud Overijse</v>
    <v>144</v>
    <v>5706</v>
    <v>5706</v>
    <v>Lage vloer streek</v>
    <v>12-m bus</v>
    <v>Bus</v>
  </rv>
  <rv s="0">
    <v>0</v>
    <v>5707</v>
    <v>1</v>
    <v>Generic</v>
    <v>220A</v>
    <v>Euro6</v>
    <v>1</v>
    <v>41939</v>
    <v>45175</v>
    <v>Vlaams-Brabant</v>
    <v>3</v>
    <v>J</v>
    <v>J</v>
    <v>J</v>
    <v>J</v>
    <v>J</v>
    <v>9</v>
    <v>Overijse</v>
    <v>115</v>
    <v>Onderhoud Overijse</v>
    <v>144</v>
    <v>5707</v>
    <v>5707</v>
    <v>Lage vloer streek</v>
    <v>12-m bus</v>
    <v>Bus</v>
  </rv>
  <rv s="0">
    <v>0</v>
    <v>5708</v>
    <v>1</v>
    <v>Generic</v>
    <v>220A</v>
    <v>Euro6</v>
    <v>1</v>
    <v>41970</v>
    <v>45175</v>
    <v>Vlaams-Brabant</v>
    <v>3</v>
    <v>J</v>
    <v>J</v>
    <v>J</v>
    <v>J</v>
    <v>J</v>
    <v>9</v>
    <v>Overijse</v>
    <v>115</v>
    <v>Onderhoud Overijse</v>
    <v>144</v>
    <v>5708</v>
    <v>5708</v>
    <v>Lage vloer streek</v>
    <v>12-m bus</v>
    <v>Bus</v>
  </rv>
  <rv s="0">
    <v>0</v>
    <v>5709</v>
    <v>1</v>
    <v>Generic</v>
    <v>220A</v>
    <v>Euro6</v>
    <v>1</v>
    <v>41970</v>
    <v>45175</v>
    <v>Vlaams-Brabant</v>
    <v>3</v>
    <v>J</v>
    <v>J</v>
    <v>J</v>
    <v>J</v>
    <v>J</v>
    <v>9</v>
    <v>Overijse</v>
    <v>115</v>
    <v>Onderhoud Overijse</v>
    <v>144</v>
    <v>5709</v>
    <v>5709</v>
    <v>Lage vloer streek</v>
    <v>12-m bus</v>
    <v>Bus</v>
  </rv>
  <rv s="0">
    <v>0</v>
    <v>5710</v>
    <v>1</v>
    <v>Generic</v>
    <v>220A</v>
    <v>Euro6</v>
    <v>1</v>
    <v>41946</v>
    <v>45175</v>
    <v>Vlaams-Brabant</v>
    <v>3</v>
    <v>J</v>
    <v>J</v>
    <v>J</v>
    <v>J</v>
    <v>J</v>
    <v>9</v>
    <v>Overijse</v>
    <v>115</v>
    <v>Onderhoud Overijse</v>
    <v>144</v>
    <v>5710</v>
    <v>5710</v>
    <v>Lage vloer streek</v>
    <v>12-m bus</v>
    <v>Bus</v>
  </rv>
  <rv s="0">
    <v>0</v>
    <v>5711</v>
    <v>1</v>
    <v>Generic</v>
    <v>220A</v>
    <v>Euro6</v>
    <v>1</v>
    <v>41981</v>
    <v>45175</v>
    <v>Vlaams-Brabant</v>
    <v>3</v>
    <v>J</v>
    <v>J</v>
    <v>J</v>
    <v>J</v>
    <v>J</v>
    <v>9</v>
    <v>Overijse</v>
    <v>115</v>
    <v>Onderhoud Overijse</v>
    <v>144</v>
    <v>5711</v>
    <v>5711</v>
    <v>Lage vloer streek</v>
    <v>12-m bus</v>
    <v>Bus</v>
  </rv>
  <rv s="0">
    <v>0</v>
    <v>5712</v>
    <v>1</v>
    <v>Generic</v>
    <v>220A</v>
    <v>Euro6</v>
    <v>1</v>
    <v>41981</v>
    <v>45175</v>
    <v>Vlaams-Brabant</v>
    <v>3</v>
    <v>J</v>
    <v>J</v>
    <v>J</v>
    <v>J</v>
    <v>J</v>
    <v>9</v>
    <v>Overijse</v>
    <v>115</v>
    <v>Onderhoud Overijse</v>
    <v>144</v>
    <v>5712</v>
    <v>5712</v>
    <v>Lage vloer streek</v>
    <v>12-m bus</v>
    <v>Bus</v>
  </rv>
  <rv s="0">
    <v>0</v>
    <v>5713</v>
    <v>1</v>
    <v>Generic</v>
    <v>220A</v>
    <v>Euro6</v>
    <v>1</v>
    <v>41981</v>
    <v>45175</v>
    <v>Vlaams-Brabant</v>
    <v>3</v>
    <v>J</v>
    <v>J</v>
    <v>J</v>
    <v>J</v>
    <v>J</v>
    <v>9</v>
    <v>Overijse</v>
    <v>115</v>
    <v>Onderhoud Overijse</v>
    <v>144</v>
    <v>5713</v>
    <v>5713</v>
    <v>Lage vloer streek</v>
    <v>12-m bus</v>
    <v>Bus</v>
  </rv>
  <rv s="0">
    <v>0</v>
    <v>5714</v>
    <v>1</v>
    <v>Generic</v>
    <v>220A</v>
    <v>Euro6</v>
    <v>1</v>
    <v>41970</v>
    <v>45175</v>
    <v>Vlaams-Brabant</v>
    <v>3</v>
    <v>J</v>
    <v>J</v>
    <v>J</v>
    <v>J</v>
    <v>J</v>
    <v>9</v>
    <v>Overijse</v>
    <v>115</v>
    <v>Onderhoud Overijse</v>
    <v>144</v>
    <v>5714</v>
    <v>5714</v>
    <v>Lage vloer streek</v>
    <v>12-m bus</v>
    <v>Bus</v>
  </rv>
  <rv s="0">
    <v>0</v>
    <v>5715</v>
    <v>1</v>
    <v>Generic</v>
    <v>220A</v>
    <v>Euro6</v>
    <v>1</v>
    <v>41981</v>
    <v>45175</v>
    <v>Vlaams-Brabant</v>
    <v>3</v>
    <v>J</v>
    <v>J</v>
    <v>J</v>
    <v>J</v>
    <v>J</v>
    <v>9</v>
    <v>Overijse</v>
    <v>115</v>
    <v>Onderhoud Overijse</v>
    <v>144</v>
    <v>5715</v>
    <v>5715</v>
    <v>Lage vloer streek</v>
    <v>12-m bus</v>
    <v>Bus</v>
  </rv>
  <rv s="0">
    <v>0</v>
    <v>5716</v>
    <v>1</v>
    <v>Generic</v>
    <v>220A</v>
    <v>Euro6</v>
    <v>1</v>
    <v>41820</v>
    <v>45175</v>
    <v>Limburg</v>
    <v>4</v>
    <v>J</v>
    <v>J</v>
    <v>J</v>
    <v>J</v>
    <v>J</v>
    <v>9</v>
    <v>Lanaken</v>
    <v>115</v>
    <v>Onderhoud Lanaken</v>
    <v>147</v>
    <v>5716</v>
    <v>5716</v>
    <v>Lage vloer streek</v>
    <v>12-m bus</v>
    <v>Bus</v>
  </rv>
  <rv s="0">
    <v>0</v>
    <v>5717</v>
    <v>1</v>
    <v>Generic</v>
    <v>220A</v>
    <v>Euro6</v>
    <v>1</v>
    <v>41929</v>
    <v>45175</v>
    <v>Limburg</v>
    <v>4</v>
    <v>J</v>
    <v>J</v>
    <v>J</v>
    <v>J</v>
    <v>J</v>
    <v>9</v>
    <v>Lanaken</v>
    <v>115</v>
    <v>Onderhoud Lanaken</v>
    <v>147</v>
    <v>5717</v>
    <v>5717</v>
    <v>Lage vloer streek</v>
    <v>12-m bus</v>
    <v>Bus</v>
  </rv>
  <rv s="0">
    <v>0</v>
    <v>5718</v>
    <v>1</v>
    <v>Generic</v>
    <v>220A</v>
    <v>Euro6</v>
    <v>1</v>
    <v>41837</v>
    <v>45175</v>
    <v>Limburg</v>
    <v>4</v>
    <v>J</v>
    <v>J</v>
    <v>J</v>
    <v>J</v>
    <v>J</v>
    <v>9</v>
    <v>Lanaken</v>
    <v>115</v>
    <v>Onderhoud Lanaken</v>
    <v>147</v>
    <v>5718</v>
    <v>5718</v>
    <v>Lage vloer streek</v>
    <v>12-m bus</v>
    <v>Bus</v>
  </rv>
  <rv s="0">
    <v>0</v>
    <v>5719</v>
    <v>1</v>
    <v>Generic</v>
    <v>220A</v>
    <v>Euro6</v>
    <v>1</v>
    <v>41851</v>
    <v>45175</v>
    <v>Limburg</v>
    <v>4</v>
    <v>J</v>
    <v>J</v>
    <v>J</v>
    <v>J</v>
    <v>J</v>
    <v>9</v>
    <v>Lanaken</v>
    <v>115</v>
    <v>Onderhoud Lanaken</v>
    <v>147</v>
    <v>5719</v>
    <v>5719</v>
    <v>Lage vloer streek</v>
    <v>12-m bus</v>
    <v>Bus</v>
  </rv>
  <rv s="0">
    <v>0</v>
    <v>5720</v>
    <v>1</v>
    <v>Generic</v>
    <v>220A</v>
    <v>Euro6</v>
    <v>1</v>
    <v>41851</v>
    <v>45175</v>
    <v>Limburg</v>
    <v>4</v>
    <v>J</v>
    <v>J</v>
    <v>J</v>
    <v>J</v>
    <v>J</v>
    <v>9</v>
    <v>Lanaken</v>
    <v>115</v>
    <v>Onderhoud Lanaken</v>
    <v>147</v>
    <v>5720</v>
    <v>5720</v>
    <v>Lage vloer streek</v>
    <v>12-m bus</v>
    <v>Bus</v>
  </rv>
  <rv s="0">
    <v>0</v>
    <v>5721</v>
    <v>1</v>
    <v>Generic</v>
    <v>220A</v>
    <v>Euro6</v>
    <v>1</v>
    <v>41865</v>
    <v>45175</v>
    <v>Limburg</v>
    <v>4</v>
    <v>J</v>
    <v>J</v>
    <v>J</v>
    <v>J</v>
    <v>J</v>
    <v>9</v>
    <v>Lanaken</v>
    <v>115</v>
    <v>Onderhoud Lanaken</v>
    <v>147</v>
    <v>5721</v>
    <v>5721</v>
    <v>Lage vloer streek</v>
    <v>12-m bus</v>
    <v>Bus</v>
  </rv>
  <rv s="0">
    <v>0</v>
    <v>5722</v>
    <v>1</v>
    <v>Generic</v>
    <v>220A</v>
    <v>Euro6</v>
    <v>1</v>
    <v>41837</v>
    <v>45175</v>
    <v>Limburg</v>
    <v>4</v>
    <v>J</v>
    <v>J</v>
    <v>J</v>
    <v>J</v>
    <v>J</v>
    <v>9</v>
    <v>Lanaken</v>
    <v>115</v>
    <v>Onderhoud Lanaken</v>
    <v>147</v>
    <v>5722</v>
    <v>5722</v>
    <v>Lage vloer streek</v>
    <v>12-m bus</v>
    <v>Bus</v>
  </rv>
  <rv s="0">
    <v>0</v>
    <v>5723</v>
    <v>1</v>
    <v>Generic</v>
    <v>220A</v>
    <v>Euro6</v>
    <v>1</v>
    <v>41851</v>
    <v>45175</v>
    <v>Limburg</v>
    <v>4</v>
    <v>J</v>
    <v>J</v>
    <v>J</v>
    <v>J</v>
    <v>J</v>
    <v>9</v>
    <v>Lanaken</v>
    <v>115</v>
    <v>Onderhoud Lanaken</v>
    <v>147</v>
    <v>5723</v>
    <v>5723</v>
    <v>Lage vloer streek</v>
    <v>12-m bus</v>
    <v>Bus</v>
  </rv>
  <rv s="0">
    <v>0</v>
    <v>5724</v>
    <v>1</v>
    <v>Generic</v>
    <v>220A</v>
    <v>Euro6</v>
    <v>1</v>
    <v>41890</v>
    <v>45175</v>
    <v>Limburg</v>
    <v>4</v>
    <v>J</v>
    <v>J</v>
    <v>J</v>
    <v>J</v>
    <v>J</v>
    <v>9</v>
    <v>Lanaken</v>
    <v>115</v>
    <v>Onderhoud Lanaken</v>
    <v>147</v>
    <v>5724</v>
    <v>5724</v>
    <v>Lage vloer streek</v>
    <v>12-m bus</v>
    <v>Bus</v>
  </rv>
  <rv s="0">
    <v>0</v>
    <v>5725</v>
    <v>1</v>
    <v>Generic</v>
    <v>220A</v>
    <v>Euro6</v>
    <v>1</v>
    <v>41918</v>
    <v>45175</v>
    <v>Limburg</v>
    <v>4</v>
    <v>J</v>
    <v>J</v>
    <v>J</v>
    <v>J</v>
    <v>J</v>
    <v>9</v>
    <v>Lanaken</v>
    <v>115</v>
    <v>Onderhoud Lanaken</v>
    <v>147</v>
    <v>5725</v>
    <v>5725</v>
    <v>Lage vloer streek</v>
    <v>12-m bus</v>
    <v>Bus</v>
  </rv>
  <rv s="0">
    <v>0</v>
    <v>5726</v>
    <v>1</v>
    <v>Generic</v>
    <v>220A</v>
    <v>Euro6</v>
    <v>1</v>
    <v>41837</v>
    <v>45175</v>
    <v>Limburg</v>
    <v>4</v>
    <v>J</v>
    <v>J</v>
    <v>J</v>
    <v>J</v>
    <v>J</v>
    <v>9</v>
    <v>Lanaken</v>
    <v>115</v>
    <v>Onderhoud Lanaken</v>
    <v>147</v>
    <v>5726</v>
    <v>5726</v>
    <v>Lage vloer streek</v>
    <v>12-m bus</v>
    <v>Bus</v>
  </rv>
  <rv s="0">
    <v>0</v>
    <v>5727</v>
    <v>1</v>
    <v>Generic</v>
    <v>220A</v>
    <v>Euro6</v>
    <v>1</v>
    <v>41929</v>
    <v>45175</v>
    <v>Limburg</v>
    <v>4</v>
    <v>J</v>
    <v>J</v>
    <v>J</v>
    <v>J</v>
    <v>J</v>
    <v>9</v>
    <v>Lanaken</v>
    <v>115</v>
    <v>Onderhoud Lanaken</v>
    <v>147</v>
    <v>5727</v>
    <v>5727</v>
    <v>Lage vloer streek</v>
    <v>12-m bus</v>
    <v>Bus</v>
  </rv>
  <rv s="0">
    <v>0</v>
    <v>5728</v>
    <v>1</v>
    <v>Generic</v>
    <v>220A</v>
    <v>Euro6</v>
    <v>1</v>
    <v>41918</v>
    <v>45175</v>
    <v>Limburg</v>
    <v>4</v>
    <v>J</v>
    <v>J</v>
    <v>J</v>
    <v>J</v>
    <v>J</v>
    <v>9</v>
    <v>Lanaken</v>
    <v>115</v>
    <v>Onderhoud Lanaken</v>
    <v>147</v>
    <v>5728</v>
    <v>5728</v>
    <v>Lage vloer streek</v>
    <v>12-m bus</v>
    <v>Bus</v>
  </rv>
  <rv s="0">
    <v>0</v>
    <v>5729</v>
    <v>1</v>
    <v>Generic</v>
    <v>220A</v>
    <v>Euro6</v>
    <v>1</v>
    <v>41820</v>
    <v>45175</v>
    <v>Limburg</v>
    <v>4</v>
    <v>J</v>
    <v>J</v>
    <v>J</v>
    <v>J</v>
    <v>J</v>
    <v>9</v>
    <v>Lanaken</v>
    <v>115</v>
    <v>Onderhoud Lanaken</v>
    <v>147</v>
    <v>5729</v>
    <v>5729</v>
    <v>Lage vloer streek</v>
    <v>12-m bus</v>
    <v>Bus</v>
  </rv>
  <rv s="0">
    <v>0</v>
    <v>5730</v>
    <v>1</v>
    <v>Generic</v>
    <v>220A</v>
    <v>Euro6</v>
    <v>1</v>
    <v>41820</v>
    <v>45175</v>
    <v>Limburg</v>
    <v>4</v>
    <v>J</v>
    <v>J</v>
    <v>J</v>
    <v>J</v>
    <v>J</v>
    <v>9</v>
    <v>Lanaken</v>
    <v>115</v>
    <v>Onderhoud Lanaken</v>
    <v>147</v>
    <v>5730</v>
    <v>5730</v>
    <v>Lage vloer streek</v>
    <v>12-m bus</v>
    <v>Bus</v>
  </rv>
  <rv s="0">
    <v>0</v>
    <v>5731</v>
    <v>1</v>
    <v>Generic</v>
    <v>220A</v>
    <v>Euro6</v>
    <v>1</v>
    <v>41915</v>
    <v>45175</v>
    <v>Limburg</v>
    <v>4</v>
    <v>J</v>
    <v>J</v>
    <v>J</v>
    <v>J</v>
    <v>J</v>
    <v>9</v>
    <v>Lanaken</v>
    <v>115</v>
    <v>Onderhoud Lanaken</v>
    <v>147</v>
    <v>5731</v>
    <v>5731</v>
    <v>Lage vloer streek</v>
    <v>12-m bus</v>
    <v>Bus</v>
  </rv>
  <rv s="0">
    <v>0</v>
    <v>5732</v>
    <v>1</v>
    <v>Generic</v>
    <v>220A</v>
    <v>Euro6</v>
    <v>1</v>
    <v>41939</v>
    <v>45175</v>
    <v>Limburg</v>
    <v>4</v>
    <v>J</v>
    <v>J</v>
    <v>J</v>
    <v>J</v>
    <v>J</v>
    <v>9</v>
    <v>Lanaken</v>
    <v>115</v>
    <v>Onderhoud Lanaken</v>
    <v>147</v>
    <v>5732</v>
    <v>5732</v>
    <v>Lage vloer streek</v>
    <v>12-m bus</v>
    <v>Bus</v>
  </rv>
  <rv s="0">
    <v>0</v>
    <v>5733</v>
    <v>1</v>
    <v>Generic</v>
    <v>220A</v>
    <v>Euro6</v>
    <v>1</v>
    <v>41951</v>
    <v>45175</v>
    <v>Limburg</v>
    <v>4</v>
    <v>J</v>
    <v>J</v>
    <v>J</v>
    <v>J</v>
    <v>J</v>
    <v>9</v>
    <v>Lanaken</v>
    <v>115</v>
    <v>Onderhoud Lanaken</v>
    <v>147</v>
    <v>5733</v>
    <v>5733</v>
    <v>Lage vloer streek</v>
    <v>12-m bus</v>
    <v>Bus</v>
  </rv>
  <rv s="0">
    <v>0</v>
    <v>5734</v>
    <v>1</v>
    <v>Generic</v>
    <v>220A</v>
    <v>Euro6</v>
    <v>1</v>
    <v>41939</v>
    <v>45175</v>
    <v>Limburg</v>
    <v>4</v>
    <v>J</v>
    <v>J</v>
    <v>J</v>
    <v>J</v>
    <v>J</v>
    <v>9</v>
    <v>Lanaken</v>
    <v>115</v>
    <v>Onderhoud Lanaken</v>
    <v>147</v>
    <v>5734</v>
    <v>5734</v>
    <v>Lage vloer streek</v>
    <v>12-m bus</v>
    <v>Bus</v>
  </rv>
  <rv s="0">
    <v>0</v>
    <v>5735</v>
    <v>1</v>
    <v>Generic</v>
    <v>220A</v>
    <v>Euro6</v>
    <v>1</v>
    <v>41890</v>
    <v>45175</v>
    <v>Limburg</v>
    <v>4</v>
    <v>J</v>
    <v>J</v>
    <v>J</v>
    <v>J</v>
    <v>J</v>
    <v>9</v>
    <v>Lanaken</v>
    <v>115</v>
    <v>Onderhoud Lanaken</v>
    <v>147</v>
    <v>5735</v>
    <v>5735</v>
    <v>Lage vloer streek</v>
    <v>12-m bus</v>
    <v>Bus</v>
  </rv>
  <rv s="0">
    <v>0</v>
    <v>5736</v>
    <v>1</v>
    <v>Generic</v>
    <v>220A</v>
    <v>Euro6</v>
    <v>1</v>
    <v>41918</v>
    <v>45175</v>
    <v>Limburg</v>
    <v>4</v>
    <v>J</v>
    <v>J</v>
    <v>J</v>
    <v>J</v>
    <v>J</v>
    <v>9</v>
    <v>Lanaken</v>
    <v>115</v>
    <v>Onderhoud Lanaken</v>
    <v>147</v>
    <v>5736</v>
    <v>5736</v>
    <v>Lage vloer streek</v>
    <v>12-m bus</v>
    <v>Bus</v>
  </rv>
  <rv s="0">
    <v>0</v>
    <v>5737</v>
    <v>1</v>
    <v>Generic</v>
    <v>220A</v>
    <v>Euro6</v>
    <v>1</v>
    <v>41939</v>
    <v>45175</v>
    <v>Limburg</v>
    <v>4</v>
    <v>J</v>
    <v>J</v>
    <v>J</v>
    <v>J</v>
    <v>J</v>
    <v>9</v>
    <v>Lanaken</v>
    <v>115</v>
    <v>Onderhoud Lanaken</v>
    <v>147</v>
    <v>5737</v>
    <v>5737</v>
    <v>Lage vloer streek</v>
    <v>12-m bus</v>
    <v>Bus</v>
  </rv>
  <rv s="0">
    <v>0</v>
    <v>5738</v>
    <v>1</v>
    <v>Generic</v>
    <v>220A</v>
    <v>Euro6</v>
    <v>1</v>
    <v>41968</v>
    <v>45175</v>
    <v>Limburg</v>
    <v>4</v>
    <v>J</v>
    <v>J</v>
    <v>J</v>
    <v>J</v>
    <v>J</v>
    <v>9</v>
    <v>Lanaken</v>
    <v>115</v>
    <v>Onderhoud Lanaken</v>
    <v>147</v>
    <v>5738</v>
    <v>5738</v>
    <v>Lage vloer streek</v>
    <v>12-m bus</v>
    <v>Bus</v>
  </rv>
  <rv s="0">
    <v>0</v>
    <v>5739</v>
    <v>1</v>
    <v>Generic</v>
    <v>220A</v>
    <v>Euro6</v>
    <v>1</v>
    <v>41939</v>
    <v>45175</v>
    <v>Limburg</v>
    <v>4</v>
    <v>J</v>
    <v>J</v>
    <v>J</v>
    <v>J</v>
    <v>J</v>
    <v>9</v>
    <v>Lanaken</v>
    <v>115</v>
    <v>Onderhoud Lanaken</v>
    <v>147</v>
    <v>5739</v>
    <v>5739</v>
    <v>Lage vloer streek</v>
    <v>12-m bus</v>
    <v>Bus</v>
  </rv>
  <rv s="0">
    <v>0</v>
    <v>5740</v>
    <v>1</v>
    <v>Generic</v>
    <v>220A</v>
    <v>Euro6</v>
    <v>1</v>
    <v>41939</v>
    <v>45175</v>
    <v>Limburg</v>
    <v>4</v>
    <v>J</v>
    <v>J</v>
    <v>J</v>
    <v>J</v>
    <v>J</v>
    <v>9</v>
    <v>Lanaken</v>
    <v>115</v>
    <v>Onderhoud Lanaken</v>
    <v>147</v>
    <v>5740</v>
    <v>5740</v>
    <v>Lage vloer streek</v>
    <v>12-m bus</v>
    <v>Bus</v>
  </rv>
  <rv s="0">
    <v>0</v>
    <v>5741</v>
    <v>1</v>
    <v>Generic</v>
    <v>220A</v>
    <v>Euro6</v>
    <v>1</v>
    <v>41939</v>
    <v>45175</v>
    <v>Limburg</v>
    <v>4</v>
    <v>J</v>
    <v>J</v>
    <v>J</v>
    <v>J</v>
    <v>J</v>
    <v>9</v>
    <v>Lanaken</v>
    <v>115</v>
    <v>Onderhoud Lanaken</v>
    <v>147</v>
    <v>5741</v>
    <v>5741</v>
    <v>Lage vloer streek</v>
    <v>12-m bus</v>
    <v>Bus</v>
  </rv>
  <rv s="0">
    <v>0</v>
    <v>5742</v>
    <v>1</v>
    <v>Generic</v>
    <v>220A</v>
    <v>Euro6</v>
    <v>1</v>
    <v>41968</v>
    <v>45175</v>
    <v>Limburg</v>
    <v>4</v>
    <v>J</v>
    <v>J</v>
    <v>J</v>
    <v>J</v>
    <v>J</v>
    <v>9</v>
    <v>Lanaken</v>
    <v>115</v>
    <v>Onderhoud Lanaken</v>
    <v>147</v>
    <v>5742</v>
    <v>5742</v>
    <v>Lage vloer streek</v>
    <v>12-m bus</v>
    <v>Bus</v>
  </rv>
  <rv s="0">
    <v>0</v>
    <v>5744</v>
    <v>1</v>
    <v>Generic</v>
    <v>220A</v>
    <v>Euro6</v>
    <v>1</v>
    <v>41977</v>
    <v>45175</v>
    <v>Limburg</v>
    <v>4</v>
    <v>J</v>
    <v>J</v>
    <v>J</v>
    <v>J</v>
    <v>J</v>
    <v>9</v>
    <v>Winterslag</v>
    <v>125</v>
    <v>Onderhoud Winterslag</v>
    <v>153</v>
    <v>5744</v>
    <v>5744</v>
    <v>Lage vloer streek</v>
    <v>12-m bus</v>
    <v>Bus</v>
  </rv>
  <rv s="0">
    <v>0</v>
    <v>5745</v>
    <v>1</v>
    <v>Generic</v>
    <v>220A</v>
    <v>Euro6</v>
    <v>1</v>
    <v>41991</v>
    <v>45175</v>
    <v>Limburg</v>
    <v>4</v>
    <v>J</v>
    <v>J</v>
    <v>J</v>
    <v>J</v>
    <v>J</v>
    <v>9</v>
    <v>Winterslag</v>
    <v>125</v>
    <v>Onderhoud Winterslag</v>
    <v>153</v>
    <v>5745</v>
    <v>5745</v>
    <v>Lage vloer streek</v>
    <v>12-m bus</v>
    <v>Bus</v>
  </rv>
  <rv s="0">
    <v>0</v>
    <v>5746</v>
    <v>1</v>
    <v>Generic</v>
    <v>220A</v>
    <v>Euro6</v>
    <v>1</v>
    <v>41977</v>
    <v>45175</v>
    <v>Limburg</v>
    <v>4</v>
    <v>J</v>
    <v>J</v>
    <v>J</v>
    <v>J</v>
    <v>J</v>
    <v>9</v>
    <v>Winterslag</v>
    <v>125</v>
    <v>Onderhoud Winterslag</v>
    <v>153</v>
    <v>5746</v>
    <v>5746</v>
    <v>Lage vloer streek</v>
    <v>12-m bus</v>
    <v>Bus</v>
  </rv>
  <rv s="0">
    <v>0</v>
    <v>5747</v>
    <v>1</v>
    <v>Generic</v>
    <v>220A</v>
    <v>Euro6</v>
    <v>1</v>
    <v>41991</v>
    <v>45175</v>
    <v>Limburg</v>
    <v>4</v>
    <v>J</v>
    <v>J</v>
    <v>J</v>
    <v>J</v>
    <v>J</v>
    <v>9</v>
    <v>Winterslag</v>
    <v>125</v>
    <v>Onderhoud Winterslag</v>
    <v>153</v>
    <v>5747</v>
    <v>5747</v>
    <v>Lage vloer streek</v>
    <v>12-m bus</v>
    <v>Bus</v>
  </rv>
  <rv s="0">
    <v>0</v>
    <v>5748</v>
    <v>1</v>
    <v>Generic</v>
    <v>220A</v>
    <v>Euro6</v>
    <v>1</v>
    <v>41968</v>
    <v>45175</v>
    <v>Limburg</v>
    <v>4</v>
    <v>J</v>
    <v>J</v>
    <v>J</v>
    <v>J</v>
    <v>J</v>
    <v>9</v>
    <v>Winterslag</v>
    <v>125</v>
    <v>Onderhoud Winterslag</v>
    <v>153</v>
    <v>5748</v>
    <v>5748</v>
    <v>Lage vloer streek</v>
    <v>12-m bus</v>
    <v>Bus</v>
  </rv>
  <rv s="0">
    <v>0</v>
    <v>5749</v>
    <v>1</v>
    <v>Generic</v>
    <v>220A</v>
    <v>Euro6</v>
    <v>1</v>
    <v>41956</v>
    <v>45175</v>
    <v>Limburg</v>
    <v>4</v>
    <v>J</v>
    <v>J</v>
    <v>J</v>
    <v>J</v>
    <v>J</v>
    <v>9</v>
    <v>Winterslag</v>
    <v>125</v>
    <v>Onderhoud Winterslag</v>
    <v>153</v>
    <v>5749</v>
    <v>5749</v>
    <v>Lage vloer streek</v>
    <v>12-m bus</v>
    <v>Bus</v>
  </rv>
  <rv s="0">
    <v>0</v>
    <v>5750</v>
    <v>1</v>
    <v>Generic</v>
    <v>220A</v>
    <v>Euro6</v>
    <v>1</v>
    <v>41977</v>
    <v>45175</v>
    <v>Limburg</v>
    <v>4</v>
    <v>J</v>
    <v>J</v>
    <v>J</v>
    <v>J</v>
    <v>J</v>
    <v>9</v>
    <v>Winterslag</v>
    <v>125</v>
    <v>Onderhoud Winterslag</v>
    <v>153</v>
    <v>5750</v>
    <v>5750</v>
    <v>Lage vloer streek</v>
    <v>12-m bus</v>
    <v>Bus</v>
  </rv>
  <rv s="0">
    <v>0</v>
    <v>5751</v>
    <v>1</v>
    <v>Generic</v>
    <v>220A</v>
    <v>Euro6</v>
    <v>1</v>
    <v>41983</v>
    <v>45175</v>
    <v>Limburg</v>
    <v>4</v>
    <v>J</v>
    <v>J</v>
    <v>J</v>
    <v>J</v>
    <v>J</v>
    <v>9</v>
    <v>Winterslag</v>
    <v>125</v>
    <v>Onderhoud Winterslag</v>
    <v>153</v>
    <v>5751</v>
    <v>5751</v>
    <v>Lage vloer streek</v>
    <v>12-m bus</v>
    <v>Bus</v>
  </rv>
  <rv s="0">
    <v>0</v>
    <v>5752</v>
    <v>1</v>
    <v>Generic</v>
    <v>220A</v>
    <v>Euro6</v>
    <v>1</v>
    <v>41983</v>
    <v>45175</v>
    <v>Limburg</v>
    <v>4</v>
    <v>J</v>
    <v>J</v>
    <v>J</v>
    <v>J</v>
    <v>J</v>
    <v>9</v>
    <v>Winterslag</v>
    <v>125</v>
    <v>Onderhoud Winterslag</v>
    <v>153</v>
    <v>5752</v>
    <v>5752</v>
    <v>Lage vloer streek</v>
    <v>12-m bus</v>
    <v>Bus</v>
  </rv>
  <rv s="0">
    <v>0</v>
    <v>5753</v>
    <v>1</v>
    <v>Generic</v>
    <v>220A</v>
    <v>Euro6</v>
    <v>1</v>
    <v>41983</v>
    <v>45175</v>
    <v>Limburg</v>
    <v>4</v>
    <v>J</v>
    <v>J</v>
    <v>J</v>
    <v>J</v>
    <v>J</v>
    <v>9</v>
    <v>Winterslag</v>
    <v>125</v>
    <v>Onderhoud Winterslag</v>
    <v>153</v>
    <v>5753</v>
    <v>5753</v>
    <v>Lage vloer streek</v>
    <v>12-m bus</v>
    <v>Bus</v>
  </rv>
  <rv s="0">
    <v>0</v>
    <v>5754</v>
    <v>1</v>
    <v>Generic</v>
    <v>220A</v>
    <v>Euro6</v>
    <v>1</v>
    <v>41977</v>
    <v>45175</v>
    <v>Limburg</v>
    <v>4</v>
    <v>J</v>
    <v>J</v>
    <v>J</v>
    <v>J</v>
    <v>J</v>
    <v>9</v>
    <v>Winterslag</v>
    <v>125</v>
    <v>Onderhoud Winterslag</v>
    <v>153</v>
    <v>5754</v>
    <v>5754</v>
    <v>Lage vloer streek</v>
    <v>12-m bus</v>
    <v>Bus</v>
  </rv>
  <rv s="0">
    <v>0</v>
    <v>5755</v>
    <v>1</v>
    <v>Generic</v>
    <v>220A</v>
    <v>Euro6</v>
    <v>1</v>
    <v>41997</v>
    <v>45175</v>
    <v>Limburg</v>
    <v>4</v>
    <v>J</v>
    <v>J</v>
    <v>J</v>
    <v>J</v>
    <v>J</v>
    <v>9</v>
    <v>Winterslag</v>
    <v>125</v>
    <v>Onderhoud Winterslag</v>
    <v>153</v>
    <v>5755</v>
    <v>5755</v>
    <v>Lage vloer streek</v>
    <v>12-m bus</v>
    <v>Bus</v>
  </rv>
  <rv s="0">
    <v>0</v>
    <v>5756</v>
    <v>1</v>
    <v>Generic</v>
    <v>220A</v>
    <v>Euro6</v>
    <v>1</v>
    <v>41983</v>
    <v>45175</v>
    <v>Limburg</v>
    <v>4</v>
    <v>J</v>
    <v>J</v>
    <v>J</v>
    <v>J</v>
    <v>J</v>
    <v>9</v>
    <v>Winterslag</v>
    <v>125</v>
    <v>Onderhoud Winterslag</v>
    <v>153</v>
    <v>5756</v>
    <v>5756</v>
    <v>Lage vloer streek</v>
    <v>12-m bus</v>
    <v>Bus</v>
  </rv>
  <rv s="0">
    <v>0</v>
    <v>5757</v>
    <v>1</v>
    <v>Generic</v>
    <v>220A</v>
    <v>Euro6</v>
    <v>1</v>
    <v>42007</v>
    <v>45175</v>
    <v>Limburg</v>
    <v>4</v>
    <v>J</v>
    <v>J</v>
    <v>J</v>
    <v>J</v>
    <v>J</v>
    <v>9</v>
    <v>Winterslag</v>
    <v>125</v>
    <v>Onderhoud Winterslag</v>
    <v>153</v>
    <v>5757</v>
    <v>5757</v>
    <v>Lage vloer streek</v>
    <v>12-m bus</v>
    <v>Bus</v>
  </rv>
  <rv s="0">
    <v>0</v>
    <v>5758</v>
    <v>1</v>
    <v>Generic</v>
    <v>220A</v>
    <v>Euro6</v>
    <v>1</v>
    <v>42007</v>
    <v>45175</v>
    <v>Limburg</v>
    <v>4</v>
    <v>J</v>
    <v>J</v>
    <v>J</v>
    <v>J</v>
    <v>J</v>
    <v>9</v>
    <v>Winterslag</v>
    <v>125</v>
    <v>Onderhoud Winterslag</v>
    <v>153</v>
    <v>5758</v>
    <v>5758</v>
    <v>Lage vloer streek</v>
    <v>12-m bus</v>
    <v>Bus</v>
  </rv>
  <rv s="0">
    <v>0</v>
    <v>5759</v>
    <v>1</v>
    <v>Generic</v>
    <v>220A</v>
    <v>Euro6</v>
    <v>1</v>
    <v>41983</v>
    <v>45175</v>
    <v>Limburg</v>
    <v>4</v>
    <v>J</v>
    <v>J</v>
    <v>J</v>
    <v>J</v>
    <v>J</v>
    <v>9</v>
    <v>Winterslag</v>
    <v>125</v>
    <v>Onderhoud Winterslag</v>
    <v>153</v>
    <v>5759</v>
    <v>5759</v>
    <v>Lage vloer streek</v>
    <v>12-m bus</v>
    <v>Bus</v>
  </rv>
  <rv s="0">
    <v>0</v>
    <v>5760</v>
    <v>1</v>
    <v>Generic</v>
    <v>220A</v>
    <v>Euro6</v>
    <v>1</v>
    <v>41997</v>
    <v>45175</v>
    <v>Limburg</v>
    <v>4</v>
    <v>J</v>
    <v>J</v>
    <v>J</v>
    <v>J</v>
    <v>J</v>
    <v>9</v>
    <v>Winterslag</v>
    <v>125</v>
    <v>Onderhoud Winterslag</v>
    <v>153</v>
    <v>5760</v>
    <v>5760</v>
    <v>Lage vloer streek</v>
    <v>12-m bus</v>
    <v>Bus</v>
  </rv>
  <rv s="0">
    <v>0</v>
    <v>5761</v>
    <v>1</v>
    <v>Generic</v>
    <v>220A</v>
    <v>Euro6</v>
    <v>1</v>
    <v>41991</v>
    <v>45175</v>
    <v>Limburg</v>
    <v>4</v>
    <v>J</v>
    <v>J</v>
    <v>J</v>
    <v>J</v>
    <v>J</v>
    <v>9</v>
    <v>Winterslag</v>
    <v>125</v>
    <v>Onderhoud Winterslag</v>
    <v>153</v>
    <v>5761</v>
    <v>5761</v>
    <v>Lage vloer streek</v>
    <v>12-m bus</v>
    <v>Bus</v>
  </rv>
  <rv s="0">
    <v>0</v>
    <v>5762</v>
    <v>1</v>
    <v>Generic</v>
    <v>220A</v>
    <v>Euro6</v>
    <v>1</v>
    <v>41991</v>
    <v>45175</v>
    <v>Limburg</v>
    <v>4</v>
    <v>J</v>
    <v>J</v>
    <v>J</v>
    <v>J</v>
    <v>J</v>
    <v>9</v>
    <v>Winterslag</v>
    <v>125</v>
    <v>Onderhoud Winterslag</v>
    <v>153</v>
    <v>5762</v>
    <v>5762</v>
    <v>Lage vloer streek</v>
    <v>12-m bus</v>
    <v>Bus</v>
  </rv>
  <rv s="0">
    <v>0</v>
    <v>5763</v>
    <v>1</v>
    <v>Generic</v>
    <v>220B</v>
    <v>Euro6</v>
    <v>1</v>
    <v>41886</v>
    <v>45175</v>
    <v>Oost-Vlaanderen</v>
    <v>2</v>
    <v>J</v>
    <v>J</v>
    <v>J</v>
    <v>J</v>
    <v>J</v>
    <v>9</v>
    <v>Gentbrugge</v>
    <v>112</v>
    <v>Werkhuis Gentbrugge</v>
    <v>141</v>
    <v>5763</v>
    <v>5763</v>
    <v>Lage vloer stad</v>
    <v>12-m bus</v>
    <v>Bus</v>
  </rv>
  <rv s="0">
    <v>0</v>
    <v>5764</v>
    <v>1</v>
    <v>Generic</v>
    <v>220B</v>
    <v>Euro6</v>
    <v>1</v>
    <v>41827</v>
    <v>45175</v>
    <v>Oost-Vlaanderen</v>
    <v>2</v>
    <v>J</v>
    <v>J</v>
    <v>J</v>
    <v>J</v>
    <v>J</v>
    <v>9</v>
    <v>Gentbrugge</v>
    <v>112</v>
    <v>Werkhuis Gentbrugge</v>
    <v>141</v>
    <v>5764</v>
    <v>5764</v>
    <v>Lage vloer stad</v>
    <v>12-m bus</v>
    <v>Bus</v>
  </rv>
  <rv s="0">
    <v>0</v>
    <v>5765</v>
    <v>1</v>
    <v>Generic</v>
    <v>220B</v>
    <v>Euro6</v>
    <v>1</v>
    <v>41837</v>
    <v>45175</v>
    <v>Oost-Vlaanderen</v>
    <v>2</v>
    <v>J</v>
    <v>J</v>
    <v>J</v>
    <v>J</v>
    <v>J</v>
    <v>9</v>
    <v>Gentbrugge</v>
    <v>112</v>
    <v>Werkhuis Gentbrugge</v>
    <v>141</v>
    <v>5765</v>
    <v>5765</v>
    <v>Lage vloer stad</v>
    <v>12-m bus</v>
    <v>Bus</v>
  </rv>
  <rv s="0">
    <v>0</v>
    <v>5766</v>
    <v>1</v>
    <v>Generic</v>
    <v>220B</v>
    <v>Euro6</v>
    <v>1</v>
    <v>41837</v>
    <v>45175</v>
    <v>Oost-Vlaanderen</v>
    <v>2</v>
    <v>J</v>
    <v>J</v>
    <v>J</v>
    <v>J</v>
    <v>J</v>
    <v>9</v>
    <v>Gentbrugge</v>
    <v>112</v>
    <v>Werkhuis Gentbrugge</v>
    <v>141</v>
    <v>5766</v>
    <v>5766</v>
    <v>Lage vloer stad</v>
    <v>12-m bus</v>
    <v>Bus</v>
  </rv>
  <rv s="0">
    <v>0</v>
    <v>5767</v>
    <v>1</v>
    <v>Generic</v>
    <v>220B</v>
    <v>Euro6</v>
    <v>1</v>
    <v>41822</v>
    <v>45175</v>
    <v>Oost-Vlaanderen</v>
    <v>2</v>
    <v>J</v>
    <v>J</v>
    <v>J</v>
    <v>J</v>
    <v>J</v>
    <v>9</v>
    <v>Gentbrugge</v>
    <v>112</v>
    <v>Werkhuis Gentbrugge</v>
    <v>141</v>
    <v>5767</v>
    <v>5767</v>
    <v>Lage vloer stad</v>
    <v>12-m bus</v>
    <v>Bus</v>
  </rv>
  <rv s="0">
    <v>0</v>
    <v>5768</v>
    <v>1</v>
    <v>Generic</v>
    <v>220B</v>
    <v>Euro6</v>
    <v>1</v>
    <v>41822</v>
    <v>45175</v>
    <v>Oost-Vlaanderen</v>
    <v>2</v>
    <v>J</v>
    <v>J</v>
    <v>J</v>
    <v>J</v>
    <v>J</v>
    <v>9</v>
    <v>Gentbrugge</v>
    <v>112</v>
    <v>Werkhuis Gentbrugge</v>
    <v>141</v>
    <v>5768</v>
    <v>5768</v>
    <v>Lage vloer stad</v>
    <v>12-m bus</v>
    <v>Bus</v>
  </rv>
  <rv s="0">
    <v>0</v>
    <v>5769</v>
    <v>1</v>
    <v>Generic</v>
    <v>220B</v>
    <v>Euro6</v>
    <v>1</v>
    <v>41822</v>
    <v>45175</v>
    <v>Oost-Vlaanderen</v>
    <v>2</v>
    <v>J</v>
    <v>J</v>
    <v>J</v>
    <v>J</v>
    <v>J</v>
    <v>9</v>
    <v>Gentbrugge</v>
    <v>112</v>
    <v>Werkhuis Gentbrugge</v>
    <v>141</v>
    <v>5769</v>
    <v>5769</v>
    <v>Lage vloer stad</v>
    <v>12-m bus</v>
    <v>Bus</v>
  </rv>
  <rv s="0">
    <v>0</v>
    <v>5770</v>
    <v>1</v>
    <v>Generic</v>
    <v>220B</v>
    <v>Euro6</v>
    <v>1</v>
    <v>41827</v>
    <v>45175</v>
    <v>Antwerpen</v>
    <v>1</v>
    <v>J</v>
    <v>J</v>
    <v>J</v>
    <v>J</v>
    <v>J</v>
    <v>9</v>
    <v>Onbekend</v>
    <v>#</v>
    <v>Onbekend</v>
    <v>#</v>
    <v>5770</v>
    <v>5770</v>
    <v>Lage vloer stad</v>
    <v>12-m bus</v>
    <v>Bus</v>
  </rv>
  <rv s="0">
    <v>0</v>
    <v>5771</v>
    <v>1</v>
    <v>Generic</v>
    <v>220B</v>
    <v>Euro6</v>
    <v>1</v>
    <v>41822</v>
    <v>45175</v>
    <v>Oost-Vlaanderen</v>
    <v>2</v>
    <v>J</v>
    <v>J</v>
    <v>J</v>
    <v>J</v>
    <v>J</v>
    <v>9</v>
    <v>Gentbrugge</v>
    <v>112</v>
    <v>Werkhuis Gentbrugge</v>
    <v>141</v>
    <v>5771</v>
    <v>5771</v>
    <v>Lage vloer stad</v>
    <v>12-m bus</v>
    <v>Bus</v>
  </rv>
  <rv s="0">
    <v>0</v>
    <v>5772</v>
    <v>1</v>
    <v>Generic</v>
    <v>220B</v>
    <v>Euro6</v>
    <v>1</v>
    <v>41822</v>
    <v>45175</v>
    <v>Antwerpen</v>
    <v>1</v>
    <v>J</v>
    <v>J</v>
    <v>J</v>
    <v>J</v>
    <v>J</v>
    <v>9</v>
    <v>Mechelen Racing</v>
    <v>115</v>
    <v>Onderhoud Mechelen</v>
    <v>144</v>
    <v>5772</v>
    <v>5772</v>
    <v>Lage vloer stad</v>
    <v>12-m bus</v>
    <v>Bus</v>
  </rv>
  <rv s="0">
    <v>0</v>
    <v>5773</v>
    <v>1</v>
    <v>Generic</v>
    <v>220B</v>
    <v>Euro6</v>
    <v>1</v>
    <v>41822</v>
    <v>45175</v>
    <v>Oost-Vlaanderen</v>
    <v>2</v>
    <v>J</v>
    <v>J</v>
    <v>J</v>
    <v>J</v>
    <v>J</v>
    <v>9</v>
    <v>Sint-Niklaas Nieuw</v>
    <v>129</v>
    <v>Onderhoud Sint-Niklaas</v>
    <v>143</v>
    <v>5773</v>
    <v>5773</v>
    <v>Lage vloer stad</v>
    <v>12-m bus</v>
    <v>Bus</v>
  </rv>
  <rv s="0">
    <v>0</v>
    <v>5774</v>
    <v>1</v>
    <v>Generic</v>
    <v>220B</v>
    <v>Euro6</v>
    <v>1</v>
    <v>41827</v>
    <v>45175</v>
    <v>Oost-Vlaanderen</v>
    <v>2</v>
    <v>J</v>
    <v>J</v>
    <v>J</v>
    <v>J</v>
    <v>J</v>
    <v>9</v>
    <v>Sint-Niklaas Nieuw</v>
    <v>129</v>
    <v>Onderhoud Sint-Niklaas</v>
    <v>143</v>
    <v>5774</v>
    <v>5774</v>
    <v>Lage vloer stad</v>
    <v>12-m bus</v>
    <v>Bus</v>
  </rv>
  <rv s="0">
    <v>0</v>
    <v>5775</v>
    <v>1</v>
    <v>Generic</v>
    <v>220B</v>
    <v>Euro6</v>
    <v>1</v>
    <v>41827</v>
    <v>45175</v>
    <v>Oost-Vlaanderen</v>
    <v>2</v>
    <v>J</v>
    <v>J</v>
    <v>J</v>
    <v>J</v>
    <v>J</v>
    <v>9</v>
    <v>Sint-Niklaas Nieuw</v>
    <v>129</v>
    <v>Onderhoud Sint-Niklaas</v>
    <v>143</v>
    <v>5775</v>
    <v>5775</v>
    <v>Lage vloer stad</v>
    <v>12-m bus</v>
    <v>Bus</v>
  </rv>
  <rv s="0">
    <v>0</v>
    <v>5776</v>
    <v>1</v>
    <v>Generic</v>
    <v>220B</v>
    <v>Euro6</v>
    <v>1</v>
    <v>41837</v>
    <v>45175</v>
    <v>Oost-Vlaanderen</v>
    <v>2</v>
    <v>J</v>
    <v>J</v>
    <v>J</v>
    <v>J</v>
    <v>J</v>
    <v>9</v>
    <v>Sint-Niklaas Nieuw</v>
    <v>129</v>
    <v>Onderhoud Sint-Niklaas</v>
    <v>143</v>
    <v>5776</v>
    <v>5776</v>
    <v>Lage vloer stad</v>
    <v>12-m bus</v>
    <v>Bus</v>
  </rv>
  <rv s="0">
    <v>0</v>
    <v>5777</v>
    <v>1</v>
    <v>Generic</v>
    <v>220B</v>
    <v>Euro6</v>
    <v>1</v>
    <v>41830</v>
    <v>45175</v>
    <v>Oost-Vlaanderen</v>
    <v>2</v>
    <v>J</v>
    <v>J</v>
    <v>J</v>
    <v>J</v>
    <v>J</v>
    <v>9</v>
    <v>Sint-Niklaas Nieuw</v>
    <v>129</v>
    <v>Onderhoud Sint-Niklaas</v>
    <v>143</v>
    <v>5777</v>
    <v>5777</v>
    <v>Lage vloer stad</v>
    <v>12-m bus</v>
    <v>Bus</v>
  </rv>
  <rv s="0">
    <v>0</v>
    <v>5778</v>
    <v>1</v>
    <v>Generic</v>
    <v>220B</v>
    <v>Euro6</v>
    <v>1</v>
    <v>41837</v>
    <v>45175</v>
    <v>Oost-Vlaanderen</v>
    <v>2</v>
    <v>J</v>
    <v>J</v>
    <v>J</v>
    <v>J</v>
    <v>J</v>
    <v>9</v>
    <v>Sint-Niklaas Nieuw</v>
    <v>129</v>
    <v>Onderhoud Sint-Niklaas</v>
    <v>143</v>
    <v>5778</v>
    <v>5778</v>
    <v>Lage vloer stad</v>
    <v>12-m bus</v>
    <v>Bus</v>
  </rv>
  <rv s="0">
    <v>0</v>
    <v>5779</v>
    <v>1</v>
    <v>Generic</v>
    <v>220B</v>
    <v>Euro6</v>
    <v>1</v>
    <v>41830</v>
    <v>45175</v>
    <v>Oost-Vlaanderen</v>
    <v>2</v>
    <v>J</v>
    <v>J</v>
    <v>J</v>
    <v>J</v>
    <v>J</v>
    <v>9</v>
    <v>Sint-Niklaas Nieuw</v>
    <v>129</v>
    <v>Onderhoud Sint-Niklaas</v>
    <v>143</v>
    <v>5779</v>
    <v>5779</v>
    <v>Lage vloer stad</v>
    <v>12-m bus</v>
    <v>Bus</v>
  </rv>
  <rv s="0">
    <v>0</v>
    <v>5780</v>
    <v>1</v>
    <v>Generic</v>
    <v>220B</v>
    <v>Euro6</v>
    <v>1</v>
    <v>41830</v>
    <v>45175</v>
    <v>Oost-Vlaanderen</v>
    <v>2</v>
    <v>J</v>
    <v>J</v>
    <v>J</v>
    <v>J</v>
    <v>J</v>
    <v>9</v>
    <v>Sint-Niklaas Nieuw</v>
    <v>129</v>
    <v>Onderhoud Sint-Niklaas</v>
    <v>143</v>
    <v>5780</v>
    <v>5780</v>
    <v>Lage vloer stad</v>
    <v>12-m bus</v>
    <v>Bus</v>
  </rv>
  <rv s="0">
    <v>0</v>
    <v>5781</v>
    <v>1</v>
    <v>Generic</v>
    <v>220B</v>
    <v>Euro6</v>
    <v>1</v>
    <v>41830</v>
    <v>45175</v>
    <v>Oost-Vlaanderen</v>
    <v>2</v>
    <v>J</v>
    <v>J</v>
    <v>J</v>
    <v>J</v>
    <v>J</v>
    <v>9</v>
    <v>Sint-Niklaas Nieuw</v>
    <v>129</v>
    <v>Onderhoud Sint-Niklaas</v>
    <v>143</v>
    <v>5781</v>
    <v>5781</v>
    <v>Lage vloer stad</v>
    <v>12-m bus</v>
    <v>Bus</v>
  </rv>
  <rv s="0">
    <v>0</v>
    <v>5782</v>
    <v>1</v>
    <v>Generic</v>
    <v>220B</v>
    <v>Euro6</v>
    <v>1</v>
    <v>41837</v>
    <v>45175</v>
    <v>Oost-Vlaanderen</v>
    <v>2</v>
    <v>J</v>
    <v>J</v>
    <v>J</v>
    <v>J</v>
    <v>J</v>
    <v>9</v>
    <v>Sint-Niklaas Nieuw</v>
    <v>129</v>
    <v>Onderhoud Sint-Niklaas</v>
    <v>143</v>
    <v>5782</v>
    <v>5782</v>
    <v>Lage vloer stad</v>
    <v>12-m bus</v>
    <v>Bus</v>
  </rv>
  <rv s="0">
    <v>0</v>
    <v>5783</v>
    <v>1</v>
    <v>Generic</v>
    <v>220B</v>
    <v>Euro6</v>
    <v>1</v>
    <v>41837</v>
    <v>45175</v>
    <v>Oost-Vlaanderen</v>
    <v>2</v>
    <v>J</v>
    <v>J</v>
    <v>J</v>
    <v>J</v>
    <v>J</v>
    <v>9</v>
    <v>Sint-Niklaas Nieuw</v>
    <v>129</v>
    <v>Onderhoud Sint-Niklaas</v>
    <v>143</v>
    <v>5783</v>
    <v>5783</v>
    <v>Lage vloer stad</v>
    <v>12-m bus</v>
    <v>Bus</v>
  </rv>
  <rv s="0">
    <v>0</v>
    <v>5784</v>
    <v>1</v>
    <v>Generic</v>
    <v>220B</v>
    <v>Euro6</v>
    <v>1</v>
    <v>41837</v>
    <v>45175</v>
    <v>Oost-Vlaanderen</v>
    <v>2</v>
    <v>J</v>
    <v>J</v>
    <v>J</v>
    <v>J</v>
    <v>J</v>
    <v>9</v>
    <v>Sint-Niklaas Nieuw</v>
    <v>129</v>
    <v>Onderhoud Sint-Niklaas</v>
    <v>143</v>
    <v>5784</v>
    <v>5784</v>
    <v>Lage vloer stad</v>
    <v>12-m bus</v>
    <v>Bus</v>
  </rv>
  <rv s="0">
    <v>0</v>
    <v>5785</v>
    <v>1</v>
    <v>Generic</v>
    <v>220B</v>
    <v>Euro6</v>
    <v>1</v>
    <v>41864</v>
    <v>45175</v>
    <v>Oost-Vlaanderen</v>
    <v>2</v>
    <v>J</v>
    <v>J</v>
    <v>J</v>
    <v>J</v>
    <v>J</v>
    <v>9</v>
    <v>Sint-Niklaas Nieuw</v>
    <v>129</v>
    <v>Onderhoud Sint-Niklaas</v>
    <v>143</v>
    <v>5785</v>
    <v>5785</v>
    <v>Lage vloer stad</v>
    <v>12-m bus</v>
    <v>Bus</v>
  </rv>
  <rv s="0">
    <v>0</v>
    <v>5786</v>
    <v>1</v>
    <v>Generic</v>
    <v>220B</v>
    <v>Euro6</v>
    <v>1</v>
    <v>41864</v>
    <v>45175</v>
    <v>Oost-Vlaanderen</v>
    <v>2</v>
    <v>J</v>
    <v>J</v>
    <v>J</v>
    <v>J</v>
    <v>J</v>
    <v>9</v>
    <v>Sint-Niklaas Nieuw</v>
    <v>129</v>
    <v>Onderhoud Sint-Niklaas</v>
    <v>143</v>
    <v>5786</v>
    <v>5786</v>
    <v>Lage vloer stad</v>
    <v>12-m bus</v>
    <v>Bus</v>
  </rv>
  <rv s="0">
    <v>0</v>
    <v>5787</v>
    <v>1</v>
    <v>Generic</v>
    <v>220B</v>
    <v>Euro6</v>
    <v>1</v>
    <v>41884</v>
    <v>45175</v>
    <v>Oost-Vlaanderen</v>
    <v>2</v>
    <v>J</v>
    <v>J</v>
    <v>J</v>
    <v>J</v>
    <v>J</v>
    <v>9</v>
    <v>Sint-Niklaas Nieuw</v>
    <v>129</v>
    <v>Onderhoud Sint-Niklaas</v>
    <v>143</v>
    <v>5787</v>
    <v>5787</v>
    <v>Lage vloer stad</v>
    <v>12-m bus</v>
    <v>Bus</v>
  </rv>
  <rv s="0">
    <v>0</v>
    <v>5788</v>
    <v>1</v>
    <v>Generic</v>
    <v>220B</v>
    <v>Euro6</v>
    <v>1</v>
    <v>41886</v>
    <v>45175</v>
    <v>Oost-Vlaanderen</v>
    <v>2</v>
    <v>J</v>
    <v>J</v>
    <v>J</v>
    <v>J</v>
    <v>J</v>
    <v>9</v>
    <v>Sint-Niklaas Nieuw</v>
    <v>129</v>
    <v>Onderhoud Sint-Niklaas</v>
    <v>143</v>
    <v>5788</v>
    <v>5788</v>
    <v>Lage vloer stad</v>
    <v>12-m bus</v>
    <v>Bus</v>
  </rv>
  <rv s="0">
    <v>0</v>
    <v>5790</v>
    <v>1</v>
    <v>Generic</v>
    <v>220C</v>
    <v>Euro6</v>
    <v>1</v>
    <v>41964</v>
    <v>45175</v>
    <v>Oost-Vlaanderen</v>
    <v>2</v>
    <v>J</v>
    <v>J</v>
    <v>J</v>
    <v>J</v>
    <v>J</v>
    <v>9</v>
    <v>Sint-Niklaas Nieuw</v>
    <v>129</v>
    <v>Onderhoud Sint-Niklaas</v>
    <v>143</v>
    <v>5790</v>
    <v>5790</v>
    <v>Lage vloer streek</v>
    <v>Gelede bus</v>
    <v>Bus</v>
  </rv>
  <rv s="0">
    <v>0</v>
    <v>5791</v>
    <v>1</v>
    <v>Generic</v>
    <v>220C</v>
    <v>Euro6</v>
    <v>1</v>
    <v>41928</v>
    <v>45175</v>
    <v>Oost-Vlaanderen</v>
    <v>2</v>
    <v>J</v>
    <v>J</v>
    <v>J</v>
    <v>J</v>
    <v>J</v>
    <v>9</v>
    <v>Sint-Niklaas Nieuw</v>
    <v>129</v>
    <v>Onderhoud Sint-Niklaas</v>
    <v>143</v>
    <v>5791</v>
    <v>5791</v>
    <v>Lage vloer streek</v>
    <v>Gelede bus</v>
    <v>Bus</v>
  </rv>
  <rv s="0">
    <v>0</v>
    <v>5792</v>
    <v>1</v>
    <v>Generic</v>
    <v>220C</v>
    <v>Euro6</v>
    <v>1</v>
    <v>41918</v>
    <v>45175</v>
    <v>Oost-Vlaanderen</v>
    <v>2</v>
    <v>J</v>
    <v>J</v>
    <v>J</v>
    <v>J</v>
    <v>J</v>
    <v>9</v>
    <v>Sint-Niklaas Nieuw</v>
    <v>129</v>
    <v>Onderhoud Sint-Niklaas</v>
    <v>143</v>
    <v>5792</v>
    <v>5792</v>
    <v>Lage vloer streek</v>
    <v>Gelede bus</v>
    <v>Bus</v>
  </rv>
  <rv s="0">
    <v>0</v>
    <v>5793</v>
    <v>1</v>
    <v>Generic</v>
    <v>220C</v>
    <v>Euro6</v>
    <v>1</v>
    <v>41921</v>
    <v>45175</v>
    <v>Oost-Vlaanderen</v>
    <v>2</v>
    <v>J</v>
    <v>J</v>
    <v>J</v>
    <v>J</v>
    <v>J</v>
    <v>9</v>
    <v>Sint-Niklaas Nieuw</v>
    <v>129</v>
    <v>Onderhoud Sint-Niklaas</v>
    <v>143</v>
    <v>5793</v>
    <v>5793</v>
    <v>Lage vloer streek</v>
    <v>Gelede bus</v>
    <v>Bus</v>
  </rv>
  <rv s="0">
    <v>0</v>
    <v>5794</v>
    <v>1</v>
    <v>Generic</v>
    <v>220C</v>
    <v>Euro6</v>
    <v>1</v>
    <v>41928</v>
    <v>45175</v>
    <v>Oost-Vlaanderen</v>
    <v>2</v>
    <v>J</v>
    <v>J</v>
    <v>J</v>
    <v>J</v>
    <v>J</v>
    <v>9</v>
    <v>Sint-Niklaas Nieuw</v>
    <v>129</v>
    <v>Onderhoud Sint-Niklaas</v>
    <v>143</v>
    <v>5794</v>
    <v>5794</v>
    <v>Lage vloer streek</v>
    <v>Gelede bus</v>
    <v>Bus</v>
  </rv>
  <rv s="0">
    <v>0</v>
    <v>5795</v>
    <v>1</v>
    <v>Generic</v>
    <v>220C</v>
    <v>Euro6</v>
    <v>1</v>
    <v>41921</v>
    <v>45175</v>
    <v>Oost-Vlaanderen</v>
    <v>2</v>
    <v>J</v>
    <v>J</v>
    <v>J</v>
    <v>J</v>
    <v>J</v>
    <v>9</v>
    <v>Sint-Niklaas Nieuw</v>
    <v>129</v>
    <v>Onderhoud Sint-Niklaas</v>
    <v>143</v>
    <v>5795</v>
    <v>5795</v>
    <v>Lage vloer streek</v>
    <v>Gelede bus</v>
    <v>Bus</v>
  </rv>
  <rv s="0">
    <v>0</v>
    <v>5796</v>
    <v>1</v>
    <v>Generic</v>
    <v>220C</v>
    <v>Euro6</v>
    <v>1</v>
    <v>41921</v>
    <v>45175</v>
    <v>Oost-Vlaanderen</v>
    <v>2</v>
    <v>J</v>
    <v>J</v>
    <v>J</v>
    <v>J</v>
    <v>J</v>
    <v>9</v>
    <v>Sint-Niklaas Nieuw</v>
    <v>129</v>
    <v>Onderhoud Sint-Niklaas</v>
    <v>143</v>
    <v>5796</v>
    <v>5796</v>
    <v>Lage vloer streek</v>
    <v>Gelede bus</v>
    <v>Bus</v>
  </rv>
  <rv s="0">
    <v>0</v>
    <v>5797</v>
    <v>1</v>
    <v>Generic</v>
    <v>220C</v>
    <v>Euro6</v>
    <v>1</v>
    <v>42103</v>
    <v>45175</v>
    <v>Oost-Vlaanderen</v>
    <v>2</v>
    <v>J</v>
    <v>J</v>
    <v>J</v>
    <v>J</v>
    <v>J</v>
    <v>8</v>
    <v>Sint-Niklaas Nieuw</v>
    <v>129</v>
    <v>Onderhoud Sint-Niklaas</v>
    <v>143</v>
    <v>5797</v>
    <v>5797</v>
    <v>Lage vloer streek</v>
    <v>Gelede bus</v>
    <v>Bus</v>
  </rv>
  <rv s="0">
    <v>0</v>
    <v>5798</v>
    <v>1</v>
    <v>Generic</v>
    <v>220C</v>
    <v>Euro6</v>
    <v>1</v>
    <v>41935</v>
    <v>45175</v>
    <v>Oost-Vlaanderen</v>
    <v>2</v>
    <v>J</v>
    <v>J</v>
    <v>J</v>
    <v>J</v>
    <v>J</v>
    <v>9</v>
    <v>Sint-Niklaas Nieuw</v>
    <v>129</v>
    <v>Onderhoud Sint-Niklaas</v>
    <v>143</v>
    <v>5798</v>
    <v>5798</v>
    <v>Lage vloer streek</v>
    <v>Gelede bus</v>
    <v>Bus</v>
  </rv>
  <rv s="0">
    <v>0</v>
    <v>5799</v>
    <v>1</v>
    <v>Generic</v>
    <v>220C</v>
    <v>Euro6</v>
    <v>1</v>
    <v>41935</v>
    <v>45175</v>
    <v>Oost-Vlaanderen</v>
    <v>2</v>
    <v>J</v>
    <v>J</v>
    <v>J</v>
    <v>J</v>
    <v>J</v>
    <v>9</v>
    <v>Sint-Niklaas Nieuw</v>
    <v>129</v>
    <v>Onderhoud Sint-Niklaas</v>
    <v>143</v>
    <v>5799</v>
    <v>5799</v>
    <v>Lage vloer streek</v>
    <v>Gelede bus</v>
    <v>Bus</v>
  </rv>
  <rv s="0">
    <v>0</v>
    <v>5800</v>
    <v>1</v>
    <v>Generic</v>
    <v>220C</v>
    <v>Euro6</v>
    <v>1</v>
    <v>41935</v>
    <v>45175</v>
    <v>West-Vlaanderen</v>
    <v>5</v>
    <v>J</v>
    <v>J</v>
    <v>J</v>
    <v>J</v>
    <v>J</v>
    <v>9</v>
    <v>Brugge</v>
    <v>125</v>
    <v>Onderhoud Brugge</v>
    <v>142</v>
    <v>5800</v>
    <v>5800</v>
    <v>Lage vloer streek</v>
    <v>Gelede bus</v>
    <v>Bus</v>
  </rv>
  <rv s="0">
    <v>0</v>
    <v>5801</v>
    <v>1</v>
    <v>Generic</v>
    <v>220C</v>
    <v>Euro6</v>
    <v>1</v>
    <v>41918</v>
    <v>45175</v>
    <v>West-Vlaanderen</v>
    <v>5</v>
    <v>J</v>
    <v>J</v>
    <v>J</v>
    <v>J</v>
    <v>J</v>
    <v>9</v>
    <v>Brugge</v>
    <v>125</v>
    <v>Onderhoud Brugge</v>
    <v>142</v>
    <v>5801</v>
    <v>5801</v>
    <v>Lage vloer streek</v>
    <v>Gelede bus</v>
    <v>Bus</v>
  </rv>
  <rv s="0">
    <v>0</v>
    <v>5802</v>
    <v>1</v>
    <v>Generic</v>
    <v>220C</v>
    <v>Euro6</v>
    <v>1</v>
    <v>41946</v>
    <v>45175</v>
    <v>West-Vlaanderen</v>
    <v>5</v>
    <v>J</v>
    <v>J</v>
    <v>J</v>
    <v>J</v>
    <v>J</v>
    <v>9</v>
    <v>Brugge</v>
    <v>125</v>
    <v>Onderhoud Brugge</v>
    <v>142</v>
    <v>5802</v>
    <v>5802</v>
    <v>Lage vloer streek</v>
    <v>Gelede bus</v>
    <v>Bus</v>
  </rv>
  <rv s="0">
    <v>0</v>
    <v>5803</v>
    <v>1</v>
    <v>Generic</v>
    <v>220C</v>
    <v>Euro6</v>
    <v>1</v>
    <v>41922</v>
    <v>45175</v>
    <v>West-Vlaanderen</v>
    <v>5</v>
    <v>J</v>
    <v>J</v>
    <v>J</v>
    <v>J</v>
    <v>J</v>
    <v>9</v>
    <v>Brugge</v>
    <v>125</v>
    <v>Onderhoud Brugge</v>
    <v>142</v>
    <v>5803</v>
    <v>5803</v>
    <v>Lage vloer streek</v>
    <v>Gelede bus</v>
    <v>Bus</v>
  </rv>
  <rv s="0">
    <v>0</v>
    <v>5804</v>
    <v>1</v>
    <v>Generic</v>
    <v>220C</v>
    <v>Euro6</v>
    <v>1</v>
    <v>41935</v>
    <v>45175</v>
    <v>West-Vlaanderen</v>
    <v>5</v>
    <v>J</v>
    <v>J</v>
    <v>J</v>
    <v>J</v>
    <v>J</v>
    <v>9</v>
    <v>Brugge</v>
    <v>125</v>
    <v>Onderhoud Brugge</v>
    <v>142</v>
    <v>5804</v>
    <v>5804</v>
    <v>Lage vloer streek</v>
    <v>Gelede bus</v>
    <v>Bus</v>
  </rv>
  <rv s="0">
    <v>0</v>
    <v>5805</v>
    <v>1</v>
    <v>Generic</v>
    <v>220C</v>
    <v>Euro6</v>
    <v>1</v>
    <v>41946</v>
    <v>45175</v>
    <v>West-Vlaanderen</v>
    <v>5</v>
    <v>J</v>
    <v>J</v>
    <v>J</v>
    <v>J</v>
    <v>J</v>
    <v>9</v>
    <v>Brugge</v>
    <v>125</v>
    <v>Onderhoud Brugge</v>
    <v>142</v>
    <v>5805</v>
    <v>5805</v>
    <v>Lage vloer streek</v>
    <v>Gelede bus</v>
    <v>Bus</v>
  </rv>
  <rv s="0">
    <v>0</v>
    <v>5806</v>
    <v>1</v>
    <v>Generic</v>
    <v>220C</v>
    <v>Euro6</v>
    <v>1</v>
    <v>41898</v>
    <v>45175</v>
    <v>West-Vlaanderen</v>
    <v>5</v>
    <v>J</v>
    <v>J</v>
    <v>J</v>
    <v>J</v>
    <v>J</v>
    <v>9</v>
    <v>Brugge</v>
    <v>125</v>
    <v>Onderhoud Brugge</v>
    <v>142</v>
    <v>5806</v>
    <v>5806</v>
    <v>Lage vloer streek</v>
    <v>Gelede bus</v>
    <v>Bus</v>
  </rv>
  <rv s="0">
    <v>0</v>
    <v>5807</v>
    <v>1</v>
    <v>Generic</v>
    <v>220C</v>
    <v>Euro6</v>
    <v>1</v>
    <v>41898</v>
    <v>45175</v>
    <v>West-Vlaanderen</v>
    <v>5</v>
    <v>J</v>
    <v>J</v>
    <v>J</v>
    <v>J</v>
    <v>J</v>
    <v>9</v>
    <v>Brugge</v>
    <v>125</v>
    <v>Onderhoud Brugge</v>
    <v>142</v>
    <v>5807</v>
    <v>5807</v>
    <v>Lage vloer streek</v>
    <v>Gelede bus</v>
    <v>Bus</v>
  </rv>
  <rv s="0">
    <v>0</v>
    <v>5808</v>
    <v>1</v>
    <v>Generic</v>
    <v>220C</v>
    <v>Euro6</v>
    <v>1</v>
    <v>41898</v>
    <v>45175</v>
    <v>West-Vlaanderen</v>
    <v>5</v>
    <v>J</v>
    <v>J</v>
    <v>J</v>
    <v>J</v>
    <v>J</v>
    <v>9</v>
    <v>Brugge</v>
    <v>125</v>
    <v>Onderhoud Brugge</v>
    <v>142</v>
    <v>5808</v>
    <v>5808</v>
    <v>Lage vloer streek</v>
    <v>Gelede bus</v>
    <v>Bus</v>
  </rv>
  <rv s="0">
    <v>0</v>
    <v>5809</v>
    <v>1</v>
    <v>Generic</v>
    <v>220C</v>
    <v>Euro6</v>
    <v>1</v>
    <v>41907</v>
    <v>45175</v>
    <v>West-Vlaanderen</v>
    <v>5</v>
    <v>J</v>
    <v>J</v>
    <v>J</v>
    <v>J</v>
    <v>J</v>
    <v>9</v>
    <v>Oostende Slijkensestwg</v>
    <v>118</v>
    <v>Onderhoud Oostende - bus</v>
    <v>141</v>
    <v>5809</v>
    <v>5809</v>
    <v>Lage vloer streek</v>
    <v>Gelede bus</v>
    <v>Bus</v>
  </rv>
  <rv s="0">
    <v>0</v>
    <v>5810</v>
    <v>1</v>
    <v>Generic</v>
    <v>220C</v>
    <v>Euro6</v>
    <v>1</v>
    <v>41907</v>
    <v>45175</v>
    <v>West-Vlaanderen</v>
    <v>5</v>
    <v>J</v>
    <v>J</v>
    <v>J</v>
    <v>J</v>
    <v>J</v>
    <v>9</v>
    <v>Oostende Slijkensestwg</v>
    <v>118</v>
    <v>Onderhoud Oostende - bus</v>
    <v>141</v>
    <v>5810</v>
    <v>5810</v>
    <v>Lage vloer streek</v>
    <v>Gelede bus</v>
    <v>Bus</v>
  </rv>
  <rv s="0">
    <v>0</v>
    <v>5811</v>
    <v>1</v>
    <v>Generic</v>
    <v>220C</v>
    <v>Euro6</v>
    <v>1</v>
    <v>41907</v>
    <v>45175</v>
    <v>West-Vlaanderen</v>
    <v>5</v>
    <v>J</v>
    <v>J</v>
    <v>J</v>
    <v>J</v>
    <v>J</v>
    <v>9</v>
    <v>Oostende Slijkensestwg</v>
    <v>118</v>
    <v>Onderhoud Oostende - bus</v>
    <v>141</v>
    <v>5811</v>
    <v>5811</v>
    <v>Lage vloer streek</v>
    <v>Gelede bus</v>
    <v>Bus</v>
  </rv>
  <rv s="0">
    <v>0</v>
    <v>5812</v>
    <v>1</v>
    <v>Generic</v>
    <v>220C</v>
    <v>Euro6</v>
    <v>1</v>
    <v>41907</v>
    <v>45175</v>
    <v>West-Vlaanderen</v>
    <v>5</v>
    <v>J</v>
    <v>J</v>
    <v>J</v>
    <v>J</v>
    <v>J</v>
    <v>9</v>
    <v>Oostende Slijkensestwg</v>
    <v>118</v>
    <v>Onderhoud Oostende - bus</v>
    <v>141</v>
    <v>5812</v>
    <v>5812</v>
    <v>Lage vloer streek</v>
    <v>Gelede bus</v>
    <v>Bus</v>
  </rv>
  <rv s="0">
    <v>0</v>
    <v>5813</v>
    <v>1</v>
    <v>Generic</v>
    <v>220C</v>
    <v>Euro6</v>
    <v>1</v>
    <v>41918</v>
    <v>45175</v>
    <v>West-Vlaanderen</v>
    <v>5</v>
    <v>J</v>
    <v>J</v>
    <v>J</v>
    <v>J</v>
    <v>J</v>
    <v>9</v>
    <v>Oostende Slijkensestwg</v>
    <v>118</v>
    <v>Onderhoud Oostende - bus</v>
    <v>141</v>
    <v>5813</v>
    <v>5813</v>
    <v>Lage vloer streek</v>
    <v>Gelede bus</v>
    <v>Bus</v>
  </rv>
  <rv s="0">
    <v>0</v>
    <v>5814</v>
    <v>1</v>
    <v>Generic</v>
    <v>220C</v>
    <v>Euro6</v>
    <v>1</v>
    <v>41907</v>
    <v>45175</v>
    <v>West-Vlaanderen</v>
    <v>5</v>
    <v>J</v>
    <v>J</v>
    <v>J</v>
    <v>J</v>
    <v>J</v>
    <v>9</v>
    <v>Oostende Slijkensestwg</v>
    <v>118</v>
    <v>Onderhoud Oostende - bus</v>
    <v>141</v>
    <v>5814</v>
    <v>5814</v>
    <v>Lage vloer streek</v>
    <v>Gelede bus</v>
    <v>Bus</v>
  </rv>
  <rv s="0">
    <v>0</v>
    <v>5815</v>
    <v>1</v>
    <v>Generic</v>
    <v>220C</v>
    <v>Euro6</v>
    <v>1</v>
    <v>41929</v>
    <v>45175</v>
    <v>West-Vlaanderen</v>
    <v>5</v>
    <v>J</v>
    <v>J</v>
    <v>J</v>
    <v>J</v>
    <v>J</v>
    <v>9</v>
    <v>Oostende Slijkensestwg</v>
    <v>118</v>
    <v>Onderhoud Oostende - bus</v>
    <v>141</v>
    <v>5815</v>
    <v>5815</v>
    <v>Lage vloer streek</v>
    <v>Gelede bus</v>
    <v>Bus</v>
  </rv>
  <rv s="0">
    <v>0</v>
    <v>5816</v>
    <v>1</v>
    <v>Generic</v>
    <v>220C</v>
    <v>Euro6</v>
    <v>1</v>
    <v>41918</v>
    <v>45175</v>
    <v>West-Vlaanderen</v>
    <v>5</v>
    <v>J</v>
    <v>J</v>
    <v>J</v>
    <v>J</v>
    <v>J</v>
    <v>9</v>
    <v>Oostende Slijkensestwg</v>
    <v>118</v>
    <v>Onderhoud Oostende - bus</v>
    <v>141</v>
    <v>5816</v>
    <v>5816</v>
    <v>Lage vloer streek</v>
    <v>Gelede bus</v>
    <v>Bus</v>
  </rv>
  <rv s="0">
    <v>0</v>
    <v>5817</v>
    <v>1</v>
    <v>Generic</v>
    <v>220E</v>
    <v>Euro6</v>
    <v>1</v>
    <v>41731</v>
    <v>45175</v>
    <v>Antwerpen</v>
    <v>1</v>
    <v>N</v>
    <v>J</v>
    <v>J</v>
    <v>J</v>
    <v>J</v>
    <v>9</v>
    <v>Mechelen Racing</v>
    <v>115</v>
    <v>Onderhoud Mechelen</v>
    <v>144</v>
    <v>5817</v>
    <v>5817</v>
    <v>Micro groot</v>
    <v>Kleine bus</v>
    <v>Bus</v>
  </rv>
  <rv s="0">
    <v>0</v>
    <v>5818</v>
    <v>1</v>
    <v>Generic</v>
    <v>220E</v>
    <v>Euro6</v>
    <v>1</v>
    <v>41731</v>
    <v>45175</v>
    <v>Antwerpen</v>
    <v>1</v>
    <v>N</v>
    <v>J</v>
    <v>J</v>
    <v>J</v>
    <v>J</v>
    <v>9</v>
    <v>Mechelen Racing</v>
    <v>115</v>
    <v>Onderhoud Mechelen</v>
    <v>144</v>
    <v>5818</v>
    <v>5818</v>
    <v>Micro groot</v>
    <v>Kleine bus</v>
    <v>Bus</v>
  </rv>
  <rv s="0">
    <v>0</v>
    <v>5819</v>
    <v>1</v>
    <v>Generic</v>
    <v>220E</v>
    <v>Euro6</v>
    <v>1</v>
    <v>41743</v>
    <v>45175</v>
    <v>Antwerpen</v>
    <v>1</v>
    <v>N</v>
    <v>J</v>
    <v>J</v>
    <v>J</v>
    <v>J</v>
    <v>9</v>
    <v>Tjalkstraat</v>
    <v>111</v>
    <v>Onderhoud Tjalkstraat</v>
    <v>142</v>
    <v>5819</v>
    <v>5819</v>
    <v>Micro groot</v>
    <v>Kleine bus</v>
    <v>Bus</v>
  </rv>
  <rv s="0">
    <v>0</v>
    <v>5820</v>
    <v>1</v>
    <v>Generic</v>
    <v>220E</v>
    <v>Euro6</v>
    <v>1</v>
    <v>41739</v>
    <v>45175</v>
    <v>Antwerpen</v>
    <v>1</v>
    <v>N</v>
    <v>J</v>
    <v>J</v>
    <v>J</v>
    <v>J</v>
    <v>9</v>
    <v>Mechelen Racing</v>
    <v>115</v>
    <v>Onderhoud Mechelen</v>
    <v>144</v>
    <v>5820</v>
    <v>5820</v>
    <v>Micro groot</v>
    <v>Kleine bus</v>
    <v>Bus</v>
  </rv>
  <rv s="0">
    <v>0</v>
    <v>5821</v>
    <v>1</v>
    <v>Generic</v>
    <v>220E</v>
    <v>Euro6</v>
    <v>1</v>
    <v>41739</v>
    <v>45175</v>
    <v>West-Vlaanderen</v>
    <v>5</v>
    <v>N</v>
    <v>J</v>
    <v>J</v>
    <v>J</v>
    <v>J</v>
    <v>9</v>
    <v>Ieper</v>
    <v>131</v>
    <v>Onderhoud Ieper</v>
    <v>144</v>
    <v>5821</v>
    <v>5821</v>
    <v>Micro groot</v>
    <v>Kleine bus</v>
    <v>Bus</v>
  </rv>
  <rv s="0">
    <v>0</v>
    <v>5822</v>
    <v>1</v>
    <v>Generic</v>
    <v>220E</v>
    <v>Euro6</v>
    <v>1</v>
    <v>41751</v>
    <v>45175</v>
    <v>West-Vlaanderen</v>
    <v>5</v>
    <v>N</v>
    <v>J</v>
    <v>J</v>
    <v>J</v>
    <v>J</v>
    <v>9</v>
    <v>Ieper</v>
    <v>131</v>
    <v>Onderhoud Ieper</v>
    <v>144</v>
    <v>5822</v>
    <v>5822</v>
    <v>Micro groot</v>
    <v>Kleine bus</v>
    <v>Bus</v>
  </rv>
  <rv s="0">
    <v>0</v>
    <v>5823</v>
    <v>1</v>
    <v>Generic</v>
    <v>220E</v>
    <v>Euro6</v>
    <v>1</v>
    <v>41751</v>
    <v>45175</v>
    <v>Antwerpen</v>
    <v>1</v>
    <v>N</v>
    <v>J</v>
    <v>J</v>
    <v>J</v>
    <v>J</v>
    <v>9</v>
    <v>Tjalkstraat</v>
    <v>111</v>
    <v>Onderhoud Tjalkstraat</v>
    <v>142</v>
    <v>5823</v>
    <v>5823</v>
    <v>Micro groot</v>
    <v>Kleine bus</v>
    <v>Bus</v>
  </rv>
  <rv s="0">
    <v>0</v>
    <v>5824</v>
    <v>1</v>
    <v>Generic</v>
    <v>220E</v>
    <v>Euro6</v>
    <v>1</v>
    <v>41757</v>
    <v>45175</v>
    <v>Limburg</v>
    <v>4</v>
    <v>N</v>
    <v>J</v>
    <v>J</v>
    <v>J</v>
    <v>J</v>
    <v>9</v>
    <v>TONGEREN</v>
    <v>126</v>
    <v>ONDERHOUD TONGEREN - NIEUW</v>
    <v>154</v>
    <v>5824</v>
    <v>5824</v>
    <v>Micro groot</v>
    <v>Kleine bus</v>
    <v>Bus</v>
  </rv>
  <rv s="0">
    <v>0</v>
    <v>5825</v>
    <v>1</v>
    <v>Generic</v>
    <v>220E</v>
    <v>Euro6</v>
    <v>1</v>
    <v>41757</v>
    <v>45175</v>
    <v>West-Vlaanderen</v>
    <v>5</v>
    <v>N</v>
    <v>J</v>
    <v>J</v>
    <v>J</v>
    <v>J</v>
    <v>9</v>
    <v>Ieper</v>
    <v>131</v>
    <v>Onderhoud Ieper</v>
    <v>144</v>
    <v>5825</v>
    <v>5825</v>
    <v>Micro groot</v>
    <v>Kleine bus</v>
    <v>Bus</v>
  </rv>
  <rv s="0">
    <v>0</v>
    <v>5826</v>
    <v>1</v>
    <v>Generic</v>
    <v>220E</v>
    <v>Euro6</v>
    <v>1</v>
    <v>41785</v>
    <v>45175</v>
    <v>Limburg</v>
    <v>4</v>
    <v>N</v>
    <v>J</v>
    <v>J</v>
    <v>J</v>
    <v>J</v>
    <v>9</v>
    <v>TONGEREN</v>
    <v>126</v>
    <v>ONDERHOUD TONGEREN - NIEUW</v>
    <v>154</v>
    <v>5826</v>
    <v>5826</v>
    <v>Micro groot</v>
    <v>Kleine bus</v>
    <v>Bus</v>
  </rv>
  <rv s="0">
    <v>0</v>
    <v>5827</v>
    <v>1</v>
    <v>Generic</v>
    <v>220E</v>
    <v>Euro6</v>
    <v>1</v>
    <v>41785</v>
    <v>45175</v>
    <v>Limburg</v>
    <v>4</v>
    <v>N</v>
    <v>J</v>
    <v>J</v>
    <v>J</v>
    <v>J</v>
    <v>9</v>
    <v>TONGEREN</v>
    <v>126</v>
    <v>ONDERHOUD TONGEREN - NIEUW</v>
    <v>154</v>
    <v>5827</v>
    <v>5827</v>
    <v>Micro groot</v>
    <v>Kleine bus</v>
    <v>Bus</v>
  </rv>
  <rv s="0">
    <v>0</v>
    <v>5828</v>
    <v>1</v>
    <v>Generic</v>
    <v>220E</v>
    <v>Euro6</v>
    <v>1</v>
    <v>41785</v>
    <v>45175</v>
    <v>Limburg</v>
    <v>4</v>
    <v>N</v>
    <v>J</v>
    <v>J</v>
    <v>J</v>
    <v>J</v>
    <v>9</v>
    <v>De Crutzen</v>
    <v>128</v>
    <v>Onderhoud De Crutzen</v>
    <v>155</v>
    <v>5828</v>
    <v>5828</v>
    <v>Micro groot</v>
    <v>Kleine bus</v>
    <v>Bus</v>
  </rv>
  <rv s="0">
    <v>0</v>
    <v>5829</v>
    <v>1</v>
    <v>Generic</v>
    <v>220E</v>
    <v>Euro6</v>
    <v>1</v>
    <v>41785</v>
    <v>45175</v>
    <v>Limburg</v>
    <v>4</v>
    <v>N</v>
    <v>J</v>
    <v>J</v>
    <v>J</v>
    <v>J</v>
    <v>9</v>
    <v>TONGEREN</v>
    <v>126</v>
    <v>ONDERHOUD TONGEREN - NIEUW</v>
    <v>154</v>
    <v>5829</v>
    <v>5829</v>
    <v>Micro groot</v>
    <v>Kleine bus</v>
    <v>Bus</v>
  </rv>
  <rv s="0">
    <v>0</v>
    <v>5830</v>
    <v>1</v>
    <v>Generic</v>
    <v>220E</v>
    <v>Euro6</v>
    <v>1</v>
    <v>41794</v>
    <v>45175</v>
    <v>Limburg</v>
    <v>4</v>
    <v>N</v>
    <v>J</v>
    <v>J</v>
    <v>J</v>
    <v>J</v>
    <v>9</v>
    <v>TONGEREN</v>
    <v>126</v>
    <v>ONDERHOUD TONGEREN - NIEUW</v>
    <v>154</v>
    <v>5830</v>
    <v>5830</v>
    <v>Micro groot</v>
    <v>Kleine bus</v>
    <v>Bus</v>
  </rv>
  <rv s="0">
    <v>0</v>
    <v>5831</v>
    <v>1</v>
    <v>Generic</v>
    <v>220E</v>
    <v>Euro6</v>
    <v>1</v>
    <v>41794</v>
    <v>45175</v>
    <v>Limburg</v>
    <v>4</v>
    <v>N</v>
    <v>J</v>
    <v>J</v>
    <v>J</v>
    <v>J</v>
    <v>9</v>
    <v>TONGEREN</v>
    <v>126</v>
    <v>ONDERHOUD TONGEREN - NIEUW</v>
    <v>154</v>
    <v>5831</v>
    <v>5831</v>
    <v>Micro groot</v>
    <v>Kleine bus</v>
    <v>Bus</v>
  </rv>
  <rv s="0">
    <v>0</v>
    <v>5832</v>
    <v>1</v>
    <v>Generic</v>
    <v>220E</v>
    <v>Euro6</v>
    <v>1</v>
    <v>41795</v>
    <v>45175</v>
    <v>Limburg</v>
    <v>4</v>
    <v>N</v>
    <v>J</v>
    <v>J</v>
    <v>J</v>
    <v>J</v>
    <v>9</v>
    <v>TONGEREN</v>
    <v>126</v>
    <v>ONDERHOUD TONGEREN - NIEUW</v>
    <v>154</v>
    <v>5832</v>
    <v>5832</v>
    <v>Micro groot</v>
    <v>Kleine bus</v>
    <v>Bus</v>
  </rv>
  <rv s="0">
    <v>0</v>
    <v>5833</v>
    <v>1</v>
    <v>Generic</v>
    <v>220E</v>
    <v>Euro6</v>
    <v>1</v>
    <v>41795</v>
    <v>45175</v>
    <v>Limburg</v>
    <v>4</v>
    <v>N</v>
    <v>J</v>
    <v>J</v>
    <v>J</v>
    <v>J</v>
    <v>9</v>
    <v>TONGEREN</v>
    <v>126</v>
    <v>ONDERHOUD TONGEREN - NIEUW</v>
    <v>154</v>
    <v>5833</v>
    <v>5833</v>
    <v>Micro groot</v>
    <v>Kleine bus</v>
    <v>Bus</v>
  </rv>
  <rv s="0">
    <v>0</v>
    <v>5834</v>
    <v>1</v>
    <v>Generic</v>
    <v>220E</v>
    <v>Euro6</v>
    <v>1</v>
    <v>41801</v>
    <v>45175</v>
    <v>Limburg</v>
    <v>4</v>
    <v>N</v>
    <v>J</v>
    <v>J</v>
    <v>J</v>
    <v>J</v>
    <v>9</v>
    <v>TONGEREN</v>
    <v>126</v>
    <v>ONDERHOUD TONGEREN - NIEUW</v>
    <v>154</v>
    <v>5834</v>
    <v>5834</v>
    <v>Micro groot</v>
    <v>Kleine bus</v>
    <v>Bus</v>
  </rv>
  <rv s="0">
    <v>0</v>
    <v>5835</v>
    <v>1</v>
    <v>Generic</v>
    <v>220E</v>
    <v>Euro6</v>
    <v>1</v>
    <v>41801</v>
    <v>45175</v>
    <v>Limburg</v>
    <v>4</v>
    <v>N</v>
    <v>J</v>
    <v>J</v>
    <v>J</v>
    <v>J</v>
    <v>9</v>
    <v>TONGEREN</v>
    <v>126</v>
    <v>ONDERHOUD TONGEREN - NIEUW</v>
    <v>154</v>
    <v>5835</v>
    <v>5835</v>
    <v>Micro groot</v>
    <v>Kleine bus</v>
    <v>Bus</v>
  </rv>
  <rv s="0">
    <v>0</v>
    <v>5836</v>
    <v>1</v>
    <v>Generic</v>
    <v>220E</v>
    <v>Euro6</v>
    <v>2</v>
    <v>41802</v>
    <v>45175</v>
    <v>Centrale Diensten</v>
    <v>9</v>
    <v>N</v>
    <v>J</v>
    <v>J</v>
    <v>J</v>
    <v>J</v>
    <v>9</v>
    <v>TONGEREN</v>
    <v>126</v>
    <v>ONDERHOUD TONGEREN - NIEUW</v>
    <v>154</v>
    <v>5836</v>
    <v>5836</v>
    <v>Micro groot</v>
    <v>Kleine bus</v>
    <v>Bus</v>
  </rv>
  <rv s="0">
    <v>0</v>
    <v>5837</v>
    <v>1</v>
    <v>Generic</v>
    <v>220E</v>
    <v>Euro6</v>
    <v>1</v>
    <v>41802</v>
    <v>45175</v>
    <v>West-Vlaanderen</v>
    <v>5</v>
    <v>N</v>
    <v>J</v>
    <v>J</v>
    <v>J</v>
    <v>J</v>
    <v>9</v>
    <v>Ieper</v>
    <v>131</v>
    <v>Onderhoud Ieper</v>
    <v>144</v>
    <v>5837</v>
    <v>5837</v>
    <v>Micro groot</v>
    <v>Kleine bus</v>
    <v>Bus</v>
  </rv>
  <rv s="0">
    <v>0</v>
    <v>5838</v>
    <v>1</v>
    <v>Generic</v>
    <v>220E</v>
    <v>Euro6</v>
    <v>1</v>
    <v>41796</v>
    <v>45175</v>
    <v>West-Vlaanderen</v>
    <v>5</v>
    <v>N</v>
    <v>J</v>
    <v>J</v>
    <v>J</v>
    <v>J</v>
    <v>9</v>
    <v>Ieper</v>
    <v>131</v>
    <v>Onderhoud Ieper</v>
    <v>144</v>
    <v>5838</v>
    <v>5838</v>
    <v>Micro groot</v>
    <v>Kleine bus</v>
    <v>Bus</v>
  </rv>
  <rv s="0">
    <v>0</v>
    <v>5839</v>
    <v>1</v>
    <v>Generic</v>
    <v>220E</v>
    <v>Euro6</v>
    <v>1</v>
    <v>41796</v>
    <v>45175</v>
    <v>West-Vlaanderen</v>
    <v>5</v>
    <v>N</v>
    <v>J</v>
    <v>J</v>
    <v>J</v>
    <v>J</v>
    <v>9</v>
    <v>Ieper</v>
    <v>131</v>
    <v>Onderhoud Ieper</v>
    <v>144</v>
    <v>5839</v>
    <v>5839</v>
    <v>Micro groot</v>
    <v>Kleine bus</v>
    <v>Bus</v>
  </rv>
  <rv s="0">
    <v>0</v>
    <v>5840</v>
    <v>1</v>
    <v>Generic</v>
    <v>220E</v>
    <v>Euro6</v>
    <v>1</v>
    <v>41796</v>
    <v>45175</v>
    <v>West-Vlaanderen</v>
    <v>5</v>
    <v>N</v>
    <v>J</v>
    <v>J</v>
    <v>J</v>
    <v>J</v>
    <v>9</v>
    <v>Ieper</v>
    <v>131</v>
    <v>Onderhoud Ieper</v>
    <v>144</v>
    <v>5840</v>
    <v>5840</v>
    <v>Micro groot</v>
    <v>Kleine bus</v>
    <v>Bus</v>
  </rv>
  <rv s="0">
    <v>0</v>
    <v>5841</v>
    <v>1</v>
    <v>Generic</v>
    <v>220E</v>
    <v>Euro6</v>
    <v>1</v>
    <v>41796</v>
    <v>45175</v>
    <v>Limburg</v>
    <v>4</v>
    <v>N</v>
    <v>J</v>
    <v>J</v>
    <v>J</v>
    <v>J</v>
    <v>9</v>
    <v>De Crutzen</v>
    <v>128</v>
    <v>Onderhoud De Crutzen</v>
    <v>155</v>
    <v>5841</v>
    <v>5841</v>
    <v>Micro groot</v>
    <v>Kleine bus</v>
    <v>Bus</v>
  </rv>
  <rv s="0">
    <v>0</v>
    <v>5842</v>
    <v>1</v>
    <v>Generic</v>
    <v>220E</v>
    <v>Euro6</v>
    <v>1</v>
    <v>41796</v>
    <v>45175</v>
    <v>Limburg</v>
    <v>4</v>
    <v>N</v>
    <v>J</v>
    <v>J</v>
    <v>J</v>
    <v>J</v>
    <v>9</v>
    <v>Kinrooi</v>
    <v>114</v>
    <v>Onderhoud Kinrooi</v>
    <v>151</v>
    <v>5842</v>
    <v>5842</v>
    <v>Micro groot</v>
    <v>Kleine bus</v>
    <v>Bus</v>
  </rv>
  <rv s="0">
    <v>0</v>
    <v>5843</v>
    <v>1</v>
    <v>Generic</v>
    <v>220E</v>
    <v>Euro6</v>
    <v>1</v>
    <v>41796</v>
    <v>45175</v>
    <v>Limburg</v>
    <v>4</v>
    <v>N</v>
    <v>J</v>
    <v>J</v>
    <v>J</v>
    <v>J</v>
    <v>9</v>
    <v>Kinrooi</v>
    <v>114</v>
    <v>Onderhoud Kinrooi</v>
    <v>151</v>
    <v>5843</v>
    <v>5843</v>
    <v>Micro groot</v>
    <v>Kleine bus</v>
    <v>Bus</v>
  </rv>
  <rv s="0">
    <v>0</v>
    <v>5844</v>
    <v>1</v>
    <v>Generic</v>
    <v>220E</v>
    <v>Euro6</v>
    <v>1</v>
    <v>41796</v>
    <v>45175</v>
    <v>Limburg</v>
    <v>4</v>
    <v>N</v>
    <v>J</v>
    <v>J</v>
    <v>J</v>
    <v>J</v>
    <v>9</v>
    <v>De Crutzen</v>
    <v>128</v>
    <v>Onderhoud De Crutzen</v>
    <v>155</v>
    <v>5844</v>
    <v>5844</v>
    <v>Micro groot</v>
    <v>Kleine bus</v>
    <v>Bus</v>
  </rv>
  <rv s="0">
    <v>0</v>
    <v>5845</v>
    <v>1</v>
    <v>Generic</v>
    <v>220E</v>
    <v>Euro6</v>
    <v>1</v>
    <v>41746</v>
    <v>45175</v>
    <v>West-Vlaanderen</v>
    <v>5</v>
    <v>N</v>
    <v>J</v>
    <v>J</v>
    <v>J</v>
    <v>J</v>
    <v>9</v>
    <v>Ieper</v>
    <v>131</v>
    <v>Onderhoud Ieper</v>
    <v>144</v>
    <v>5845</v>
    <v>5845</v>
    <v>Micro groot</v>
    <v>Kleine bus</v>
    <v>Bus</v>
  </rv>
  <rv s="0">
    <v>0</v>
    <v>5846</v>
    <v>1</v>
    <v>Generic</v>
    <v>220E</v>
    <v>Euro6</v>
    <v>1</v>
    <v>41785</v>
    <v>45175</v>
    <v>West-Vlaanderen</v>
    <v>5</v>
    <v>N</v>
    <v>J</v>
    <v>J</v>
    <v>J</v>
    <v>J</v>
    <v>9</v>
    <v>Ieper</v>
    <v>131</v>
    <v>Onderhoud Ieper</v>
    <v>144</v>
    <v>5846</v>
    <v>5846</v>
    <v>Micro groot</v>
    <v>Kleine bus</v>
    <v>Bus</v>
  </rv>
  <rv s="0">
    <v>0</v>
    <v>5847</v>
    <v>1</v>
    <v>Generic</v>
    <v>220E</v>
    <v>Euro6</v>
    <v>1</v>
    <v>41785</v>
    <v>45175</v>
    <v>West-Vlaanderen</v>
    <v>5</v>
    <v>N</v>
    <v>J</v>
    <v>J</v>
    <v>J</v>
    <v>J</v>
    <v>9</v>
    <v>Ieper</v>
    <v>131</v>
    <v>Onderhoud Ieper</v>
    <v>144</v>
    <v>5847</v>
    <v>5847</v>
    <v>Micro groot</v>
    <v>Kleine bus</v>
    <v>Bus</v>
  </rv>
  <rv s="0">
    <v>0</v>
    <v>5848</v>
    <v>1</v>
    <v>Generic</v>
    <v>220E</v>
    <v>Euro6</v>
    <v>2</v>
    <v>41785</v>
    <v>45175</v>
    <v>Centrale Diensten</v>
    <v>9</v>
    <v>N</v>
    <v>J</v>
    <v>J</v>
    <v>J</v>
    <v>J</v>
    <v>9</v>
    <v>Onbekend</v>
    <v>#</v>
    <v>Onbekend</v>
    <v>#</v>
    <v>5848</v>
    <v>5848</v>
    <v>Micro groot</v>
    <v>Kleine bus</v>
    <v>Bus</v>
  </rv>
  <rv s="0">
    <v>0</v>
    <v>5849</v>
    <v>1</v>
    <v>Generic</v>
    <v>220E</v>
    <v>Euro6</v>
    <v>1</v>
    <v>41785</v>
    <v>45175</v>
    <v>West-Vlaanderen</v>
    <v>5</v>
    <v>N</v>
    <v>J</v>
    <v>J</v>
    <v>J</v>
    <v>J</v>
    <v>9</v>
    <v>Ieper</v>
    <v>131</v>
    <v>Onderhoud Ieper</v>
    <v>144</v>
    <v>5849</v>
    <v>5849</v>
    <v>Micro groot</v>
    <v>Kleine bus</v>
    <v>Bus</v>
  </rv>
  <rv s="0">
    <v>0</v>
    <v>5850</v>
    <v>1</v>
    <v>Generic</v>
    <v>220E</v>
    <v>Euro6</v>
    <v>1</v>
    <v>41792</v>
    <v>45175</v>
    <v>West-Vlaanderen</v>
    <v>5</v>
    <v>N</v>
    <v>J</v>
    <v>J</v>
    <v>J</v>
    <v>J</v>
    <v>9</v>
    <v>Ieper</v>
    <v>131</v>
    <v>Onderhoud Ieper</v>
    <v>144</v>
    <v>5850</v>
    <v>5850</v>
    <v>Micro groot</v>
    <v>Kleine bus</v>
    <v>Bus</v>
  </rv>
  <rv s="0">
    <v>0</v>
    <v>5851</v>
    <v>1</v>
    <v>Generic</v>
    <v>220E</v>
    <v>Euro6</v>
    <v>1</v>
    <v>41792</v>
    <v>45175</v>
    <v>West-Vlaanderen</v>
    <v>5</v>
    <v>N</v>
    <v>J</v>
    <v>J</v>
    <v>J</v>
    <v>J</v>
    <v>9</v>
    <v>Ieper</v>
    <v>131</v>
    <v>Onderhoud Ieper</v>
    <v>144</v>
    <v>5851</v>
    <v>5851</v>
    <v>Micro groot</v>
    <v>Kleine bus</v>
    <v>Bus</v>
  </rv>
  <rv s="0">
    <v>0</v>
    <v>5852</v>
    <v>1</v>
    <v>Generic</v>
    <v>220E</v>
    <v>Euro6</v>
    <v>2</v>
    <v>41801</v>
    <v>45175</v>
    <v>Centrale Diensten</v>
    <v>9</v>
    <v>N</v>
    <v>J</v>
    <v>J</v>
    <v>J</v>
    <v>J</v>
    <v>9</v>
    <v>Onbekend</v>
    <v>#</v>
    <v>Onbekend</v>
    <v>#</v>
    <v>5852</v>
    <v>5852</v>
    <v>Micro groot</v>
    <v>Kleine bus</v>
    <v>Bus</v>
  </rv>
  <rv s="0">
    <v>0</v>
    <v>5854</v>
    <v>1</v>
    <v>Generic</v>
    <v>220E</v>
    <v>Euro6</v>
    <v>1</v>
    <v>41801</v>
    <v>45175</v>
    <v>West-Vlaanderen</v>
    <v>5</v>
    <v>N</v>
    <v>J</v>
    <v>J</v>
    <v>J</v>
    <v>J</v>
    <v>9</v>
    <v>Ieper</v>
    <v>131</v>
    <v>Onderhoud Ieper</v>
    <v>144</v>
    <v>5854</v>
    <v>5854</v>
    <v>Micro groot</v>
    <v>Kleine bus</v>
    <v>Bus</v>
  </rv>
  <rv s="0">
    <v>0</v>
    <v>5855</v>
    <v>1</v>
    <v>Generic</v>
    <v>220E</v>
    <v>Euro6</v>
    <v>1</v>
    <v>41794</v>
    <v>45175</v>
    <v>West-Vlaanderen</v>
    <v>5</v>
    <v>N</v>
    <v>J</v>
    <v>J</v>
    <v>J</v>
    <v>J</v>
    <v>9</v>
    <v>Ieper</v>
    <v>131</v>
    <v>Onderhoud Ieper</v>
    <v>144</v>
    <v>5855</v>
    <v>5855</v>
    <v>Micro groot</v>
    <v>Kleine bus</v>
    <v>Bus</v>
  </rv>
  <rv s="0">
    <v>0</v>
    <v>5856</v>
    <v>1</v>
    <v>Generic</v>
    <v>220E</v>
    <v>Euro6</v>
    <v>1</v>
    <v>41792</v>
    <v>45175</v>
    <v>West-Vlaanderen</v>
    <v>5</v>
    <v>N</v>
    <v>J</v>
    <v>J</v>
    <v>J</v>
    <v>J</v>
    <v>9</v>
    <v>Ieper</v>
    <v>131</v>
    <v>Onderhoud Ieper</v>
    <v>144</v>
    <v>5856</v>
    <v>5856</v>
    <v>Micro groot</v>
    <v>Kleine bus</v>
    <v>Bus</v>
  </rv>
  <rv s="0">
    <v>0</v>
    <v>5857</v>
    <v>1</v>
    <v>Generic</v>
    <v>220E</v>
    <v>Euro6</v>
    <v>1</v>
    <v>41801</v>
    <v>45175</v>
    <v>West-Vlaanderen</v>
    <v>5</v>
    <v>N</v>
    <v>J</v>
    <v>J</v>
    <v>J</v>
    <v>J</v>
    <v>9</v>
    <v>Ieper</v>
    <v>131</v>
    <v>Onderhoud Ieper</v>
    <v>144</v>
    <v>5857</v>
    <v>5857</v>
    <v>Micro groot</v>
    <v>Kleine bus</v>
    <v>Bus</v>
  </rv>
  <rv s="0">
    <v>0</v>
    <v>5858</v>
    <v>1</v>
    <v>Generic</v>
    <v>220G</v>
    <v>Euro6</v>
    <v>1</v>
    <v>42466</v>
    <v>45175</v>
    <v>Limburg</v>
    <v>4</v>
    <v>J</v>
    <v>J</v>
    <v>J</v>
    <v>J</v>
    <v>J</v>
    <v>7</v>
    <v>De Crutzen</v>
    <v>128</v>
    <v>Onderhoud De Crutzen</v>
    <v>155</v>
    <v>5858</v>
    <v>5858</v>
    <v>City Hybride</v>
    <v>Kleine bus</v>
    <v>Bus</v>
  </rv>
  <rv s="0">
    <v>0</v>
    <v>5859</v>
    <v>1</v>
    <v>Generic</v>
    <v>220G</v>
    <v>Euro6</v>
    <v>1</v>
    <v>42465</v>
    <v>45175</v>
    <v>Limburg</v>
    <v>4</v>
    <v>J</v>
    <v>J</v>
    <v>J</v>
    <v>J</v>
    <v>J</v>
    <v>7</v>
    <v>De Crutzen</v>
    <v>128</v>
    <v>Onderhoud De Crutzen</v>
    <v>155</v>
    <v>5859</v>
    <v>5859</v>
    <v>City Hybride</v>
    <v>Kleine bus</v>
    <v>Bus</v>
  </rv>
  <rv s="0">
    <v>0</v>
    <v>5860</v>
    <v>1</v>
    <v>Generic</v>
    <v>220G</v>
    <v>Euro6</v>
    <v>1</v>
    <v>42339</v>
    <v>45175</v>
    <v>Limburg</v>
    <v>4</v>
    <v>J</v>
    <v>J</v>
    <v>J</v>
    <v>J</v>
    <v>J</v>
    <v>8</v>
    <v>De Crutzen</v>
    <v>128</v>
    <v>Onderhoud De Crutzen</v>
    <v>155</v>
    <v>5860</v>
    <v>5860</v>
    <v>City Hybride</v>
    <v>Kleine bus</v>
    <v>Bus</v>
  </rv>
  <rv s="0">
    <v>0</v>
    <v>5861</v>
    <v>1</v>
    <v>Generic</v>
    <v>220G</v>
    <v>Euro6</v>
    <v>1</v>
    <v>42360</v>
    <v>45175</v>
    <v>Limburg</v>
    <v>4</v>
    <v>J</v>
    <v>J</v>
    <v>J</v>
    <v>J</v>
    <v>J</v>
    <v>8</v>
    <v>De Crutzen</v>
    <v>128</v>
    <v>Onderhoud De Crutzen</v>
    <v>155</v>
    <v>5861</v>
    <v>5861</v>
    <v>City Hybride</v>
    <v>Kleine bus</v>
    <v>Bus</v>
  </rv>
  <rv s="0">
    <v>0</v>
    <v>5862</v>
    <v>1</v>
    <v>Generic</v>
    <v>220G</v>
    <v>Euro6</v>
    <v>1</v>
    <v>42360</v>
    <v>45175</v>
    <v>Limburg</v>
    <v>4</v>
    <v>J</v>
    <v>J</v>
    <v>J</v>
    <v>J</v>
    <v>J</v>
    <v>8</v>
    <v>De Crutzen</v>
    <v>128</v>
    <v>Onderhoud De Crutzen</v>
    <v>155</v>
    <v>5862</v>
    <v>5862</v>
    <v>City Hybride</v>
    <v>Kleine bus</v>
    <v>Bus</v>
  </rv>
  <rv s="0">
    <v>0</v>
    <v>5863</v>
    <v>1</v>
    <v>Generic</v>
    <v>220G</v>
    <v>Euro6</v>
    <v>1</v>
    <v>42500</v>
    <v>45175</v>
    <v>Limburg</v>
    <v>4</v>
    <v>J</v>
    <v>J</v>
    <v>J</v>
    <v>J</v>
    <v>J</v>
    <v>7</v>
    <v>De Crutzen</v>
    <v>128</v>
    <v>Onderhoud De Crutzen</v>
    <v>155</v>
    <v>5863</v>
    <v>5863</v>
    <v>City Hybride</v>
    <v>Kleine bus</v>
    <v>Bus</v>
  </rv>
  <rv s="0">
    <v>0</v>
    <v>5864</v>
    <v>1</v>
    <v>Generic</v>
    <v>220G</v>
    <v>Euro6</v>
    <v>1</v>
    <v>42360</v>
    <v>45175</v>
    <v>Limburg</v>
    <v>4</v>
    <v>J</v>
    <v>J</v>
    <v>J</v>
    <v>J</v>
    <v>J</v>
    <v>8</v>
    <v>De Crutzen</v>
    <v>128</v>
    <v>Onderhoud De Crutzen</v>
    <v>155</v>
    <v>5864</v>
    <v>5864</v>
    <v>City Hybride</v>
    <v>Kleine bus</v>
    <v>Bus</v>
  </rv>
  <rv s="0">
    <v>0</v>
    <v>5865</v>
    <v>1</v>
    <v>Generic</v>
    <v>220G</v>
    <v>Euro6</v>
    <v>1</v>
    <v>42360</v>
    <v>45175</v>
    <v>Limburg</v>
    <v>4</v>
    <v>J</v>
    <v>J</v>
    <v>J</v>
    <v>J</v>
    <v>J</v>
    <v>8</v>
    <v>De Crutzen</v>
    <v>128</v>
    <v>Onderhoud De Crutzen</v>
    <v>155</v>
    <v>5865</v>
    <v>5865</v>
    <v>City Hybride</v>
    <v>Kleine bus</v>
    <v>Bus</v>
  </rv>
  <rv s="0">
    <v>0</v>
    <v>5866</v>
    <v>1</v>
    <v>Generic</v>
    <v>220G</v>
    <v>Euro6</v>
    <v>1</v>
    <v>42360</v>
    <v>45175</v>
    <v>West-Vlaanderen</v>
    <v>5</v>
    <v>J</v>
    <v>J</v>
    <v>J</v>
    <v>J</v>
    <v>J</v>
    <v>8</v>
    <v>Brugge</v>
    <v>125</v>
    <v>Onderhoud Brugge</v>
    <v>142</v>
    <v>5866</v>
    <v>5866</v>
    <v>City Hybride</v>
    <v>Kleine bus</v>
    <v>Bus</v>
  </rv>
  <rv s="0">
    <v>0</v>
    <v>5867</v>
    <v>1</v>
    <v>Generic</v>
    <v>220G</v>
    <v>Euro6</v>
    <v>1</v>
    <v>42459</v>
    <v>45175</v>
    <v>West-Vlaanderen</v>
    <v>5</v>
    <v>J</v>
    <v>J</v>
    <v>J</v>
    <v>J</v>
    <v>J</v>
    <v>7</v>
    <v>Brugge</v>
    <v>125</v>
    <v>Onderhoud Brugge</v>
    <v>142</v>
    <v>5867</v>
    <v>5867</v>
    <v>City Hybride</v>
    <v>Kleine bus</v>
    <v>Bus</v>
  </rv>
  <rv s="0">
    <v>0</v>
    <v>5868</v>
    <v>1</v>
    <v>Generic</v>
    <v>220G</v>
    <v>Euro6</v>
    <v>1</v>
    <v>42459</v>
    <v>45175</v>
    <v>West-Vlaanderen</v>
    <v>5</v>
    <v>J</v>
    <v>J</v>
    <v>J</v>
    <v>J</v>
    <v>J</v>
    <v>7</v>
    <v>Brugge</v>
    <v>125</v>
    <v>Onderhoud Brugge</v>
    <v>142</v>
    <v>5868</v>
    <v>5868</v>
    <v>City Hybride</v>
    <v>Kleine bus</v>
    <v>Bus</v>
  </rv>
  <rv s="0">
    <v>0</v>
    <v>5869</v>
    <v>1</v>
    <v>Generic</v>
    <v>220G</v>
    <v>Euro6</v>
    <v>1</v>
    <v>42459</v>
    <v>45175</v>
    <v>West-Vlaanderen</v>
    <v>5</v>
    <v>J</v>
    <v>J</v>
    <v>J</v>
    <v>J</v>
    <v>J</v>
    <v>7</v>
    <v>Brugge</v>
    <v>125</v>
    <v>Onderhoud Brugge</v>
    <v>142</v>
    <v>5869</v>
    <v>5869</v>
    <v>City Hybride</v>
    <v>Kleine bus</v>
    <v>Bus</v>
  </rv>
  <rv s="0">
    <v>0</v>
    <v>5870</v>
    <v>1</v>
    <v>Generic</v>
    <v>220G</v>
    <v>Euro6</v>
    <v>1</v>
    <v>42459</v>
    <v>45175</v>
    <v>West-Vlaanderen</v>
    <v>5</v>
    <v>J</v>
    <v>J</v>
    <v>J</v>
    <v>J</v>
    <v>J</v>
    <v>7</v>
    <v>Brugge</v>
    <v>125</v>
    <v>Onderhoud Brugge</v>
    <v>142</v>
    <v>5870</v>
    <v>5870</v>
    <v>City Hybride</v>
    <v>Kleine bus</v>
    <v>Bus</v>
  </rv>
  <rv s="0">
    <v>0</v>
    <v>5871</v>
    <v>1</v>
    <v>Generic</v>
    <v>220G</v>
    <v>Euro6</v>
    <v>1</v>
    <v>42459</v>
    <v>45175</v>
    <v>West-Vlaanderen</v>
    <v>5</v>
    <v>J</v>
    <v>J</v>
    <v>J</v>
    <v>J</v>
    <v>J</v>
    <v>7</v>
    <v>Brugge</v>
    <v>125</v>
    <v>Onderhoud Brugge</v>
    <v>142</v>
    <v>5871</v>
    <v>5871</v>
    <v>City Hybride</v>
    <v>Kleine bus</v>
    <v>Bus</v>
  </rv>
  <rv s="0">
    <v>0</v>
    <v>5872</v>
    <v>1</v>
    <v>Generic</v>
    <v>220G</v>
    <v>Euro6</v>
    <v>1</v>
    <v>42459</v>
    <v>45175</v>
    <v>West-Vlaanderen</v>
    <v>5</v>
    <v>J</v>
    <v>J</v>
    <v>J</v>
    <v>J</v>
    <v>J</v>
    <v>7</v>
    <v>Brugge</v>
    <v>125</v>
    <v>Onderhoud Brugge</v>
    <v>142</v>
    <v>5872</v>
    <v>5872</v>
    <v>City Hybride</v>
    <v>Kleine bus</v>
    <v>Bus</v>
  </rv>
  <rv s="0">
    <v>0</v>
    <v>5873</v>
    <v>1</v>
    <v>Generic</v>
    <v>220G</v>
    <v>Euro6</v>
    <v>1</v>
    <v>42459</v>
    <v>45175</v>
    <v>West-Vlaanderen</v>
    <v>5</v>
    <v>J</v>
    <v>J</v>
    <v>J</v>
    <v>J</v>
    <v>J</v>
    <v>7</v>
    <v>Brugge</v>
    <v>125</v>
    <v>Onderhoud Brugge</v>
    <v>142</v>
    <v>5873</v>
    <v>5873</v>
    <v>City Hybride</v>
    <v>Kleine bus</v>
    <v>Bus</v>
  </rv>
  <rv s="0">
    <v>0</v>
    <v>5874</v>
    <v>1</v>
    <v>Generic</v>
    <v>220G</v>
    <v>Euro6</v>
    <v>1</v>
    <v>42459</v>
    <v>45175</v>
    <v>West-Vlaanderen</v>
    <v>5</v>
    <v>J</v>
    <v>J</v>
    <v>J</v>
    <v>J</v>
    <v>J</v>
    <v>7</v>
    <v>Brugge</v>
    <v>125</v>
    <v>Onderhoud Brugge</v>
    <v>142</v>
    <v>5874</v>
    <v>5874</v>
    <v>City Hybride</v>
    <v>Kleine bus</v>
    <v>Bus</v>
  </rv>
  <rv s="0">
    <v>0</v>
    <v>5875</v>
    <v>1</v>
    <v>Generic</v>
    <v>220G</v>
    <v>Euro6</v>
    <v>1</v>
    <v>42459</v>
    <v>45175</v>
    <v>West-Vlaanderen</v>
    <v>5</v>
    <v>J</v>
    <v>J</v>
    <v>J</v>
    <v>J</v>
    <v>J</v>
    <v>7</v>
    <v>Brugge</v>
    <v>125</v>
    <v>Onderhoud Brugge</v>
    <v>142</v>
    <v>5875</v>
    <v>5875</v>
    <v>City Hybride</v>
    <v>Kleine bus</v>
    <v>Bus</v>
  </rv>
  <rv s="0">
    <v>0</v>
    <v>5877</v>
    <v>1</v>
    <v>Generic</v>
    <v>220F</v>
    <v>Euro6</v>
    <v>1</v>
    <v>42549</v>
    <v>45175</v>
    <v>Antwerpen</v>
    <v>1</v>
    <v>J</v>
    <v>J</v>
    <v>J</v>
    <v>J</v>
    <v>J</v>
    <v>7</v>
    <v>Autobussen Berchem</v>
    <v>126</v>
    <v>OC Berchem</v>
    <v>145</v>
    <v>5877</v>
    <v>5877</v>
    <v>Hybride stad</v>
    <v>12-m bus</v>
    <v>Bus</v>
  </rv>
  <rv s="0">
    <v>0</v>
    <v>5878</v>
    <v>1</v>
    <v>Generic</v>
    <v>220F</v>
    <v>Euro6</v>
    <v>1</v>
    <v>42546</v>
    <v>45175</v>
    <v>Antwerpen</v>
    <v>1</v>
    <v>J</v>
    <v>J</v>
    <v>J</v>
    <v>J</v>
    <v>J</v>
    <v>7</v>
    <v>Autobussen Berchem</v>
    <v>126</v>
    <v>OC Berchem</v>
    <v>145</v>
    <v>5878</v>
    <v>5878</v>
    <v>Hybride stad</v>
    <v>12-m bus</v>
    <v>Bus</v>
  </rv>
  <rv s="0">
    <v>0</v>
    <v>5879</v>
    <v>1</v>
    <v>Generic</v>
    <v>220F</v>
    <v>Euro6</v>
    <v>1</v>
    <v>42548</v>
    <v>45175</v>
    <v>Antwerpen</v>
    <v>1</v>
    <v>J</v>
    <v>J</v>
    <v>J</v>
    <v>J</v>
    <v>J</v>
    <v>7</v>
    <v>Autobussen Berchem</v>
    <v>126</v>
    <v>OC Berchem</v>
    <v>145</v>
    <v>5879</v>
    <v>5879</v>
    <v>Hybride stad</v>
    <v>12-m bus</v>
    <v>Bus</v>
  </rv>
  <rv s="0">
    <v>0</v>
    <v>5880</v>
    <v>1</v>
    <v>Generic</v>
    <v>220F</v>
    <v>Euro6</v>
    <v>1</v>
    <v>42496</v>
    <v>45175</v>
    <v>Antwerpen</v>
    <v>1</v>
    <v>J</v>
    <v>J</v>
    <v>J</v>
    <v>J</v>
    <v>J</v>
    <v>7</v>
    <v>Autobussen Berchem</v>
    <v>126</v>
    <v>OC Berchem</v>
    <v>145</v>
    <v>5880</v>
    <v>5880</v>
    <v>Hybride stad</v>
    <v>12-m bus</v>
    <v>Bus</v>
  </rv>
  <rv s="0">
    <v>0</v>
    <v>5881</v>
    <v>1</v>
    <v>Generic</v>
    <v>220F</v>
    <v>Euro6</v>
    <v>1</v>
    <v>42312</v>
    <v>45175</v>
    <v>Antwerpen</v>
    <v>1</v>
    <v>J</v>
    <v>J</v>
    <v>J</v>
    <v>J</v>
    <v>J</v>
    <v>8</v>
    <v>Autobussen Berchem</v>
    <v>126</v>
    <v>OC Berchem</v>
    <v>145</v>
    <v>5881</v>
    <v>5881</v>
    <v>Hybride stad</v>
    <v>12-m bus</v>
    <v>Bus</v>
  </rv>
  <rv s="0">
    <v>0</v>
    <v>5882</v>
    <v>1</v>
    <v>Generic</v>
    <v>220F</v>
    <v>Euro6</v>
    <v>1</v>
    <v>42317</v>
    <v>45175</v>
    <v>Antwerpen</v>
    <v>1</v>
    <v>J</v>
    <v>J</v>
    <v>J</v>
    <v>J</v>
    <v>J</v>
    <v>8</v>
    <v>Autobussen Berchem</v>
    <v>126</v>
    <v>OC Berchem</v>
    <v>145</v>
    <v>5882</v>
    <v>5882</v>
    <v>Hybride stad</v>
    <v>12-m bus</v>
    <v>Bus</v>
  </rv>
  <rv s="0">
    <v>0</v>
    <v>5883</v>
    <v>1</v>
    <v>Generic</v>
    <v>220F</v>
    <v>Euro6</v>
    <v>1</v>
    <v>42321</v>
    <v>45175</v>
    <v>Antwerpen</v>
    <v>1</v>
    <v>J</v>
    <v>J</v>
    <v>J</v>
    <v>J</v>
    <v>J</v>
    <v>8</v>
    <v>Autobussen Berchem</v>
    <v>126</v>
    <v>OC Berchem</v>
    <v>145</v>
    <v>5883</v>
    <v>5883</v>
    <v>Hybride stad</v>
    <v>12-m bus</v>
    <v>Bus</v>
  </rv>
  <rv s="0">
    <v>0</v>
    <v>5884</v>
    <v>1</v>
    <v>Generic</v>
    <v>220F</v>
    <v>Euro6</v>
    <v>1</v>
    <v>42317</v>
    <v>45175</v>
    <v>Antwerpen</v>
    <v>1</v>
    <v>J</v>
    <v>J</v>
    <v>J</v>
    <v>J</v>
    <v>J</v>
    <v>8</v>
    <v>Autobussen Berchem</v>
    <v>126</v>
    <v>OC Berchem</v>
    <v>145</v>
    <v>5884</v>
    <v>5884</v>
    <v>Hybride stad</v>
    <v>12-m bus</v>
    <v>Bus</v>
  </rv>
  <rv s="0">
    <v>0</v>
    <v>5885</v>
    <v>1</v>
    <v>Generic</v>
    <v>220F</v>
    <v>Euro6</v>
    <v>1</v>
    <v>42546</v>
    <v>45175</v>
    <v>Antwerpen</v>
    <v>1</v>
    <v>J</v>
    <v>J</v>
    <v>J</v>
    <v>J</v>
    <v>J</v>
    <v>7</v>
    <v>Autobussen Berchem</v>
    <v>126</v>
    <v>OC Berchem</v>
    <v>145</v>
    <v>5885</v>
    <v>5885</v>
    <v>Hybride stad</v>
    <v>12-m bus</v>
    <v>Bus</v>
  </rv>
  <rv s="0">
    <v>0</v>
    <v>5886</v>
    <v>1</v>
    <v>Generic</v>
    <v>220F</v>
    <v>Euro6</v>
    <v>1</v>
    <v>42335</v>
    <v>45175</v>
    <v>Antwerpen</v>
    <v>1</v>
    <v>J</v>
    <v>J</v>
    <v>J</v>
    <v>J</v>
    <v>J</v>
    <v>8</v>
    <v>Autobussen Berchem</v>
    <v>126</v>
    <v>OC Berchem</v>
    <v>145</v>
    <v>5886</v>
    <v>5886</v>
    <v>Hybride stad</v>
    <v>12-m bus</v>
    <v>Bus</v>
  </rv>
  <rv s="0">
    <v>0</v>
    <v>5887</v>
    <v>1</v>
    <v>Generic</v>
    <v>220F</v>
    <v>Euro6</v>
    <v>1</v>
    <v>42335</v>
    <v>45175</v>
    <v>Antwerpen</v>
    <v>1</v>
    <v>J</v>
    <v>J</v>
    <v>J</v>
    <v>J</v>
    <v>J</v>
    <v>8</v>
    <v>Autobussen Berchem</v>
    <v>126</v>
    <v>OC Berchem</v>
    <v>145</v>
    <v>5887</v>
    <v>5887</v>
    <v>Hybride stad</v>
    <v>12-m bus</v>
    <v>Bus</v>
  </rv>
  <rv s="0">
    <v>0</v>
    <v>5888</v>
    <v>1</v>
    <v>Generic</v>
    <v>220F</v>
    <v>Euro6</v>
    <v>1</v>
    <v>42335</v>
    <v>45175</v>
    <v>Antwerpen</v>
    <v>1</v>
    <v>J</v>
    <v>J</v>
    <v>J</v>
    <v>J</v>
    <v>J</v>
    <v>8</v>
    <v>Autobussen Berchem</v>
    <v>126</v>
    <v>OC Berchem</v>
    <v>145</v>
    <v>5888</v>
    <v>5888</v>
    <v>Hybride stad</v>
    <v>12-m bus</v>
    <v>Bus</v>
  </rv>
  <rv s="0">
    <v>0</v>
    <v>5889</v>
    <v>1</v>
    <v>Generic</v>
    <v>220F</v>
    <v>Euro6</v>
    <v>1</v>
    <v>42844</v>
    <v>45175</v>
    <v>Antwerpen</v>
    <v>1</v>
    <v>J</v>
    <v>J</v>
    <v>J</v>
    <v>J</v>
    <v>J</v>
    <v>6</v>
    <v>Autobussen Berchem</v>
    <v>126</v>
    <v>OC Berchem</v>
    <v>145</v>
    <v>5889</v>
    <v>5889</v>
    <v>Hybride stad</v>
    <v>12-m bus</v>
    <v>Bus</v>
  </rv>
  <rv s="0">
    <v>0</v>
    <v>5890</v>
    <v>1</v>
    <v>Generic</v>
    <v>220F</v>
    <v>Euro6</v>
    <v>1</v>
    <v>42335</v>
    <v>45175</v>
    <v>Antwerpen</v>
    <v>1</v>
    <v>J</v>
    <v>J</v>
    <v>J</v>
    <v>J</v>
    <v>J</v>
    <v>8</v>
    <v>Autobussen Berchem</v>
    <v>126</v>
    <v>OC Berchem</v>
    <v>145</v>
    <v>5890</v>
    <v>5890</v>
    <v>Hybride stad</v>
    <v>12-m bus</v>
    <v>Bus</v>
  </rv>
  <rv s="0">
    <v>0</v>
    <v>5891</v>
    <v>1</v>
    <v>Generic</v>
    <v>220F</v>
    <v>Euro6</v>
    <v>1</v>
    <v>42341</v>
    <v>45175</v>
    <v>Antwerpen</v>
    <v>1</v>
    <v>J</v>
    <v>J</v>
    <v>J</v>
    <v>J</v>
    <v>J</v>
    <v>8</v>
    <v>Autobussen Berchem</v>
    <v>126</v>
    <v>OC Berchem</v>
    <v>145</v>
    <v>5891</v>
    <v>5891</v>
    <v>Hybride stad</v>
    <v>12-m bus</v>
    <v>Bus</v>
  </rv>
  <rv s="0">
    <v>0</v>
    <v>5892</v>
    <v>1</v>
    <v>Generic</v>
    <v>220F</v>
    <v>Euro6</v>
    <v>1</v>
    <v>42355</v>
    <v>45175</v>
    <v>Antwerpen</v>
    <v>1</v>
    <v>J</v>
    <v>J</v>
    <v>J</v>
    <v>J</v>
    <v>J</v>
    <v>8</v>
    <v>Autobussen Berchem</v>
    <v>126</v>
    <v>OC Berchem</v>
    <v>145</v>
    <v>5892</v>
    <v>5892</v>
    <v>Hybride stad</v>
    <v>12-m bus</v>
    <v>Bus</v>
  </rv>
  <rv s="0">
    <v>0</v>
    <v>5893</v>
    <v>1</v>
    <v>Generic</v>
    <v>220F</v>
    <v>Euro6</v>
    <v>1</v>
    <v>42355</v>
    <v>45175</v>
    <v>Antwerpen</v>
    <v>1</v>
    <v>J</v>
    <v>J</v>
    <v>J</v>
    <v>J</v>
    <v>J</v>
    <v>8</v>
    <v>Autobussen Berchem</v>
    <v>126</v>
    <v>OC Berchem</v>
    <v>145</v>
    <v>5893</v>
    <v>5893</v>
    <v>Hybride stad</v>
    <v>12-m bus</v>
    <v>Bus</v>
  </rv>
  <rv s="0">
    <v>0</v>
    <v>5894</v>
    <v>1</v>
    <v>Generic</v>
    <v>220F</v>
    <v>Euro6</v>
    <v>1</v>
    <v>42356</v>
    <v>45175</v>
    <v>Antwerpen</v>
    <v>1</v>
    <v>J</v>
    <v>J</v>
    <v>J</v>
    <v>J</v>
    <v>J</v>
    <v>8</v>
    <v>Autobussen Berchem</v>
    <v>126</v>
    <v>OC Berchem</v>
    <v>145</v>
    <v>5894</v>
    <v>5894</v>
    <v>Hybride stad</v>
    <v>12-m bus</v>
    <v>Bus</v>
  </rv>
  <rv s="0">
    <v>0</v>
    <v>5895</v>
    <v>1</v>
    <v>Generic</v>
    <v>220F</v>
    <v>Euro6</v>
    <v>1</v>
    <v>42357</v>
    <v>45175</v>
    <v>Antwerpen</v>
    <v>1</v>
    <v>J</v>
    <v>J</v>
    <v>J</v>
    <v>J</v>
    <v>J</v>
    <v>8</v>
    <v>Autobussen Berchem</v>
    <v>126</v>
    <v>OC Berchem</v>
    <v>145</v>
    <v>5895</v>
    <v>5895</v>
    <v>Hybride stad</v>
    <v>12-m bus</v>
    <v>Bus</v>
  </rv>
  <rv s="0">
    <v>0</v>
    <v>5896</v>
    <v>1</v>
    <v>Generic</v>
    <v>220F</v>
    <v>Euro6</v>
    <v>1</v>
    <v>42436</v>
    <v>45175</v>
    <v>Antwerpen</v>
    <v>1</v>
    <v>J</v>
    <v>J</v>
    <v>J</v>
    <v>J</v>
    <v>J</v>
    <v>8</v>
    <v>Autobussen Berchem</v>
    <v>126</v>
    <v>OC Berchem</v>
    <v>145</v>
    <v>5896</v>
    <v>5896</v>
    <v>Hybride stad</v>
    <v>12-m bus</v>
    <v>Bus</v>
  </rv>
  <rv s="0">
    <v>0</v>
    <v>5897</v>
    <v>1</v>
    <v>Generic</v>
    <v>220F</v>
    <v>Euro6</v>
    <v>1</v>
    <v>42431</v>
    <v>45175</v>
    <v>Antwerpen</v>
    <v>1</v>
    <v>J</v>
    <v>J</v>
    <v>J</v>
    <v>J</v>
    <v>J</v>
    <v>8</v>
    <v>Autobussen Berchem</v>
    <v>126</v>
    <v>OC Berchem</v>
    <v>145</v>
    <v>5897</v>
    <v>5897</v>
    <v>Hybride stad</v>
    <v>12-m bus</v>
    <v>Bus</v>
  </rv>
  <rv s="0">
    <v>0</v>
    <v>5898</v>
    <v>1</v>
    <v>Generic</v>
    <v>220F</v>
    <v>Euro6</v>
    <v>1</v>
    <v>42431</v>
    <v>45175</v>
    <v>Antwerpen</v>
    <v>1</v>
    <v>J</v>
    <v>J</v>
    <v>J</v>
    <v>J</v>
    <v>J</v>
    <v>8</v>
    <v>Autobussen Berchem</v>
    <v>126</v>
    <v>OC Berchem</v>
    <v>145</v>
    <v>5898</v>
    <v>5898</v>
    <v>Hybride stad</v>
    <v>12-m bus</v>
    <v>Bus</v>
  </rv>
  <rv s="0">
    <v>0</v>
    <v>5899</v>
    <v>1</v>
    <v>Generic</v>
    <v>220F</v>
    <v>Euro6</v>
    <v>1</v>
    <v>42431</v>
    <v>45175</v>
    <v>Antwerpen</v>
    <v>1</v>
    <v>J</v>
    <v>J</v>
    <v>J</v>
    <v>J</v>
    <v>J</v>
    <v>8</v>
    <v>Autobussen Berchem</v>
    <v>126</v>
    <v>OC Berchem</v>
    <v>145</v>
    <v>5899</v>
    <v>5899</v>
    <v>Hybride stad</v>
    <v>12-m bus</v>
    <v>Bus</v>
  </rv>
  <rv s="0">
    <v>0</v>
    <v>5900</v>
    <v>1</v>
    <v>Generic</v>
    <v>220F</v>
    <v>Euro6</v>
    <v>1</v>
    <v>42475</v>
    <v>45175</v>
    <v>Antwerpen</v>
    <v>1</v>
    <v>J</v>
    <v>J</v>
    <v>J</v>
    <v>J</v>
    <v>J</v>
    <v>7</v>
    <v>Autobussen Berchem</v>
    <v>126</v>
    <v>OC Berchem</v>
    <v>145</v>
    <v>5900</v>
    <v>5900</v>
    <v>Hybride stad</v>
    <v>12-m bus</v>
    <v>Bus</v>
  </rv>
  <rv s="0">
    <v>0</v>
    <v>5901</v>
    <v>1</v>
    <v>Generic</v>
    <v>220F</v>
    <v>Euro6</v>
    <v>1</v>
    <v>42321</v>
    <v>45175</v>
    <v>Antwerpen</v>
    <v>1</v>
    <v>J</v>
    <v>J</v>
    <v>J</v>
    <v>J</v>
    <v>J</v>
    <v>8</v>
    <v>Autobussen Berchem</v>
    <v>126</v>
    <v>OC Berchem</v>
    <v>145</v>
    <v>5901</v>
    <v>5901</v>
    <v>Hybride stad</v>
    <v>12-m bus</v>
    <v>Bus</v>
  </rv>
  <rv s="0">
    <v>0</v>
    <v>5902</v>
    <v>1</v>
    <v>Generic</v>
    <v>220F</v>
    <v>Euro6</v>
    <v>1</v>
    <v>42474</v>
    <v>45175</v>
    <v>Antwerpen</v>
    <v>1</v>
    <v>J</v>
    <v>J</v>
    <v>J</v>
    <v>J</v>
    <v>J</v>
    <v>7</v>
    <v>Autobussen Berchem</v>
    <v>126</v>
    <v>OC Berchem</v>
    <v>145</v>
    <v>5902</v>
    <v>5902</v>
    <v>Hybride stad</v>
    <v>12-m bus</v>
    <v>Bus</v>
  </rv>
  <rv s="0">
    <v>0</v>
    <v>5903</v>
    <v>1</v>
    <v>Generic</v>
    <v>220F</v>
    <v>Euro6</v>
    <v>1</v>
    <v>42431</v>
    <v>45175</v>
    <v>Antwerpen</v>
    <v>1</v>
    <v>J</v>
    <v>J</v>
    <v>J</v>
    <v>J</v>
    <v>J</v>
    <v>8</v>
    <v>Autobussen Berchem</v>
    <v>126</v>
    <v>OC Berchem</v>
    <v>145</v>
    <v>5903</v>
    <v>5903</v>
    <v>Hybride stad</v>
    <v>12-m bus</v>
    <v>Bus</v>
  </rv>
  <rv s="0">
    <v>0</v>
    <v>5904</v>
    <v>1</v>
    <v>Generic</v>
    <v>220F</v>
    <v>Euro6</v>
    <v>1</v>
    <v>42432</v>
    <v>45175</v>
    <v>Antwerpen</v>
    <v>1</v>
    <v>J</v>
    <v>J</v>
    <v>J</v>
    <v>J</v>
    <v>J</v>
    <v>8</v>
    <v>Autobussen Berchem</v>
    <v>126</v>
    <v>OC Berchem</v>
    <v>145</v>
    <v>5904</v>
    <v>5904</v>
    <v>Hybride stad</v>
    <v>12-m bus</v>
    <v>Bus</v>
  </rv>
  <rv s="0">
    <v>0</v>
    <v>5905</v>
    <v>1</v>
    <v>Generic</v>
    <v>220F</v>
    <v>Euro6</v>
    <v>1</v>
    <v>42341</v>
    <v>45175</v>
    <v>Antwerpen</v>
    <v>1</v>
    <v>J</v>
    <v>J</v>
    <v>J</v>
    <v>J</v>
    <v>J</v>
    <v>8</v>
    <v>Autobussen Berchem</v>
    <v>126</v>
    <v>OC Berchem</v>
    <v>145</v>
    <v>5905</v>
    <v>5905</v>
    <v>Hybride stad</v>
    <v>12-m bus</v>
    <v>Bus</v>
  </rv>
  <rv s="0">
    <v>0</v>
    <v>5906</v>
    <v>1</v>
    <v>Generic</v>
    <v>220F</v>
    <v>Euro6</v>
    <v>1</v>
    <v>42321</v>
    <v>45175</v>
    <v>Antwerpen</v>
    <v>1</v>
    <v>J</v>
    <v>J</v>
    <v>J</v>
    <v>J</v>
    <v>J</v>
    <v>8</v>
    <v>Autobussen Berchem</v>
    <v>126</v>
    <v>OC Berchem</v>
    <v>145</v>
    <v>5906</v>
    <v>5906</v>
    <v>Hybride stad</v>
    <v>12-m bus</v>
    <v>Bus</v>
  </rv>
  <rv s="0">
    <v>0</v>
    <v>5907</v>
    <v>1</v>
    <v>Generic</v>
    <v>220F</v>
    <v>Euro6</v>
    <v>1</v>
    <v>42321</v>
    <v>45175</v>
    <v>Antwerpen</v>
    <v>1</v>
    <v>J</v>
    <v>J</v>
    <v>J</v>
    <v>J</v>
    <v>J</v>
    <v>8</v>
    <v>Autobussen Berchem</v>
    <v>126</v>
    <v>OC Berchem</v>
    <v>145</v>
    <v>5907</v>
    <v>5907</v>
    <v>Hybride stad</v>
    <v>12-m bus</v>
    <v>Bus</v>
  </rv>
  <rv s="0">
    <v>0</v>
    <v>5908</v>
    <v>1</v>
    <v>Generic</v>
    <v>220F</v>
    <v>Euro6</v>
    <v>1</v>
    <v>42321</v>
    <v>45175</v>
    <v>Antwerpen</v>
    <v>1</v>
    <v>J</v>
    <v>J</v>
    <v>J</v>
    <v>J</v>
    <v>J</v>
    <v>8</v>
    <v>Autobussen Berchem</v>
    <v>126</v>
    <v>OC Berchem</v>
    <v>145</v>
    <v>5908</v>
    <v>5908</v>
    <v>Hybride stad</v>
    <v>12-m bus</v>
    <v>Bus</v>
  </rv>
  <rv s="0">
    <v>0</v>
    <v>5909</v>
    <v>1</v>
    <v>Generic</v>
    <v>220F</v>
    <v>Euro6</v>
    <v>1</v>
    <v>43070</v>
    <v>45175</v>
    <v>Antwerpen</v>
    <v>1</v>
    <v>J</v>
    <v>J</v>
    <v>J</v>
    <v>J</v>
    <v>J</v>
    <v>6</v>
    <v>Mechelen Racing</v>
    <v>115</v>
    <v>Onderhoud Mechelen</v>
    <v>144</v>
    <v>5909</v>
    <v>5909</v>
    <v>Hybride stad</v>
    <v>12-m bus</v>
    <v>Bus</v>
  </rv>
  <rv s="0">
    <v>0</v>
    <v>5910</v>
    <v>1</v>
    <v>Generic</v>
    <v>220F</v>
    <v>Euro6</v>
    <v>1</v>
    <v>42128</v>
    <v>45175</v>
    <v>Oost-Vlaanderen</v>
    <v>2</v>
    <v>J</v>
    <v>J</v>
    <v>J</v>
    <v>J</v>
    <v>J</v>
    <v>8</v>
    <v>Onbekend</v>
    <v>#</v>
    <v>Onbekend</v>
    <v>#</v>
    <v>5910</v>
    <v>5910</v>
    <v>Hybride stad</v>
    <v>12-m bus</v>
    <v>Bus</v>
  </rv>
  <rv s="0">
    <v>0</v>
    <v>5911</v>
    <v>1</v>
    <v>Generic</v>
    <v>220F</v>
    <v>Euro6</v>
    <v>1</v>
    <v>42348</v>
    <v>45175</v>
    <v>Oost-Vlaanderen</v>
    <v>2</v>
    <v>J</v>
    <v>J</v>
    <v>J</v>
    <v>J</v>
    <v>J</v>
    <v>8</v>
    <v>Onbekend</v>
    <v>#</v>
    <v>Onbekend</v>
    <v>#</v>
    <v>5911</v>
    <v>5911</v>
    <v>Hybride stad</v>
    <v>12-m bus</v>
    <v>Bus</v>
  </rv>
  <rv s="0">
    <v>0</v>
    <v>5912</v>
    <v>1</v>
    <v>Generic</v>
    <v>220F</v>
    <v>Euro6</v>
    <v>1</v>
    <v>42459</v>
    <v>45175</v>
    <v>Oost-Vlaanderen</v>
    <v>2</v>
    <v>J</v>
    <v>J</v>
    <v>J</v>
    <v>J</v>
    <v>J</v>
    <v>7</v>
    <v>Gentbrugge</v>
    <v>112</v>
    <v>Werkhuis Gentbrugge</v>
    <v>141</v>
    <v>5912</v>
    <v>5912</v>
    <v>Hybride stad</v>
    <v>12-m bus</v>
    <v>Bus</v>
  </rv>
  <rv s="0">
    <v>0</v>
    <v>5913</v>
    <v>1</v>
    <v>Generic</v>
    <v>220F</v>
    <v>Euro6</v>
    <v>1</v>
    <v>42452</v>
    <v>45175</v>
    <v>Oost-Vlaanderen</v>
    <v>2</v>
    <v>J</v>
    <v>J</v>
    <v>J</v>
    <v>J</v>
    <v>J</v>
    <v>7</v>
    <v>Gentbrugge</v>
    <v>112</v>
    <v>Werkhuis Gentbrugge</v>
    <v>141</v>
    <v>5913</v>
    <v>5913</v>
    <v>Hybride stad</v>
    <v>12-m bus</v>
    <v>Bus</v>
  </rv>
  <rv s="0">
    <v>0</v>
    <v>5914</v>
    <v>1</v>
    <v>Generic</v>
    <v>220F</v>
    <v>Euro6</v>
    <v>1</v>
    <v>42452</v>
    <v>45175</v>
    <v>Oost-Vlaanderen</v>
    <v>2</v>
    <v>J</v>
    <v>J</v>
    <v>J</v>
    <v>J</v>
    <v>J</v>
    <v>7</v>
    <v>Gentbrugge</v>
    <v>112</v>
    <v>Werkhuis Gentbrugge</v>
    <v>141</v>
    <v>5914</v>
    <v>5914</v>
    <v>Hybride stad</v>
    <v>12-m bus</v>
    <v>Bus</v>
  </rv>
  <rv s="0">
    <v>0</v>
    <v>5915</v>
    <v>1</v>
    <v>Generic</v>
    <v>220F</v>
    <v>Euro6</v>
    <v>1</v>
    <v>42459</v>
    <v>45175</v>
    <v>Oost-Vlaanderen</v>
    <v>2</v>
    <v>J</v>
    <v>J</v>
    <v>J</v>
    <v>J</v>
    <v>J</v>
    <v>7</v>
    <v>Gentbrugge</v>
    <v>112</v>
    <v>Werkhuis Gentbrugge</v>
    <v>141</v>
    <v>5915</v>
    <v>5915</v>
    <v>Hybride stad</v>
    <v>12-m bus</v>
    <v>Bus</v>
  </rv>
  <rv s="0">
    <v>0</v>
    <v>5916</v>
    <v>1</v>
    <v>Generic</v>
    <v>220F</v>
    <v>Euro6</v>
    <v>1</v>
    <v>42452</v>
    <v>45175</v>
    <v>Oost-Vlaanderen</v>
    <v>2</v>
    <v>J</v>
    <v>J</v>
    <v>J</v>
    <v>J</v>
    <v>J</v>
    <v>7</v>
    <v>Gentbrugge</v>
    <v>112</v>
    <v>Werkhuis Gentbrugge</v>
    <v>141</v>
    <v>5916</v>
    <v>5916</v>
    <v>Hybride stad</v>
    <v>12-m bus</v>
    <v>Bus</v>
  </rv>
  <rv s="0">
    <v>0</v>
    <v>5917</v>
    <v>1</v>
    <v>Generic</v>
    <v>220F</v>
    <v>Euro6</v>
    <v>1</v>
    <v>42459</v>
    <v>45175</v>
    <v>Oost-Vlaanderen</v>
    <v>2</v>
    <v>J</v>
    <v>J</v>
    <v>J</v>
    <v>J</v>
    <v>J</v>
    <v>7</v>
    <v>Gentbrugge</v>
    <v>112</v>
    <v>Werkhuis Gentbrugge</v>
    <v>141</v>
    <v>5917</v>
    <v>5917</v>
    <v>Hybride stad</v>
    <v>12-m bus</v>
    <v>Bus</v>
  </rv>
  <rv s="0">
    <v>0</v>
    <v>5918</v>
    <v>1</v>
    <v>Generic</v>
    <v>220F</v>
    <v>Euro6</v>
    <v>1</v>
    <v>42452</v>
    <v>45175</v>
    <v>Oost-Vlaanderen</v>
    <v>2</v>
    <v>J</v>
    <v>J</v>
    <v>J</v>
    <v>J</v>
    <v>J</v>
    <v>7</v>
    <v>Gentbrugge</v>
    <v>112</v>
    <v>Werkhuis Gentbrugge</v>
    <v>141</v>
    <v>5918</v>
    <v>5918</v>
    <v>Hybride stad</v>
    <v>12-m bus</v>
    <v>Bus</v>
  </rv>
  <rv s="0">
    <v>0</v>
    <v>5919</v>
    <v>1</v>
    <v>Generic</v>
    <v>220F</v>
    <v>Euro6</v>
    <v>1</v>
    <v>42476</v>
    <v>45175</v>
    <v>Oost-Vlaanderen</v>
    <v>2</v>
    <v>J</v>
    <v>J</v>
    <v>J</v>
    <v>J</v>
    <v>J</v>
    <v>7</v>
    <v>Gentbrugge</v>
    <v>112</v>
    <v>Werkhuis Gentbrugge</v>
    <v>141</v>
    <v>5919</v>
    <v>5919</v>
    <v>Hybride stad</v>
    <v>12-m bus</v>
    <v>Bus</v>
  </rv>
  <rv s="0">
    <v>0</v>
    <v>5920</v>
    <v>1</v>
    <v>Generic</v>
    <v>220F</v>
    <v>Euro6</v>
    <v>1</v>
    <v>42487</v>
    <v>45175</v>
    <v>Oost-Vlaanderen</v>
    <v>2</v>
    <v>J</v>
    <v>J</v>
    <v>J</v>
    <v>J</v>
    <v>J</v>
    <v>7</v>
    <v>Gentbrugge</v>
    <v>112</v>
    <v>Werkhuis Gentbrugge</v>
    <v>141</v>
    <v>5920</v>
    <v>5920</v>
    <v>Hybride stad</v>
    <v>12-m bus</v>
    <v>Bus</v>
  </rv>
  <rv s="0">
    <v>0</v>
    <v>5921</v>
    <v>1</v>
    <v>Generic</v>
    <v>220F</v>
    <v>Euro6</v>
    <v>1</v>
    <v>42353</v>
    <v>45175</v>
    <v>Oost-Vlaanderen</v>
    <v>2</v>
    <v>J</v>
    <v>J</v>
    <v>J</v>
    <v>J</v>
    <v>J</v>
    <v>8</v>
    <v>Gentbrugge</v>
    <v>112</v>
    <v>Werkhuis Gentbrugge</v>
    <v>141</v>
    <v>5921</v>
    <v>5921</v>
    <v>Hybride stad</v>
    <v>12-m bus</v>
    <v>Bus</v>
  </rv>
  <rv s="0">
    <v>0</v>
    <v>5922</v>
    <v>1</v>
    <v>Generic</v>
    <v>220F</v>
    <v>Euro6</v>
    <v>1</v>
    <v>42479</v>
    <v>45175</v>
    <v>Oost-Vlaanderen</v>
    <v>2</v>
    <v>J</v>
    <v>J</v>
    <v>J</v>
    <v>J</v>
    <v>J</v>
    <v>7</v>
    <v>Gentbrugge</v>
    <v>112</v>
    <v>Werkhuis Gentbrugge</v>
    <v>141</v>
    <v>5922</v>
    <v>5922</v>
    <v>Hybride stad</v>
    <v>12-m bus</v>
    <v>Bus</v>
  </rv>
  <rv s="0">
    <v>0</v>
    <v>5923</v>
    <v>1</v>
    <v>Generic</v>
    <v>220F</v>
    <v>Euro6</v>
    <v>1</v>
    <v>42493</v>
    <v>45175</v>
    <v>Oost-Vlaanderen</v>
    <v>2</v>
    <v>J</v>
    <v>J</v>
    <v>J</v>
    <v>J</v>
    <v>J</v>
    <v>7</v>
    <v>Gentbrugge</v>
    <v>112</v>
    <v>Werkhuis Gentbrugge</v>
    <v>141</v>
    <v>5923</v>
    <v>5923</v>
    <v>Hybride stad</v>
    <v>12-m bus</v>
    <v>Bus</v>
  </rv>
  <rv s="0">
    <v>0</v>
    <v>5924</v>
    <v>1</v>
    <v>Generic</v>
    <v>220F</v>
    <v>Euro6</v>
    <v>1</v>
    <v>42278</v>
    <v>45175</v>
    <v>Oost-Vlaanderen</v>
    <v>2</v>
    <v>J</v>
    <v>J</v>
    <v>J</v>
    <v>J</v>
    <v>J</v>
    <v>8</v>
    <v>Gentbrugge</v>
    <v>112</v>
    <v>Werkhuis Gentbrugge</v>
    <v>141</v>
    <v>5924</v>
    <v>5924</v>
    <v>Hybride stad</v>
    <v>12-m bus</v>
    <v>Bus</v>
  </rv>
  <rv s="0">
    <v>0</v>
    <v>5925</v>
    <v>1</v>
    <v>Generic</v>
    <v>220F</v>
    <v>Euro6</v>
    <v>1</v>
    <v>42278</v>
    <v>45175</v>
    <v>Oost-Vlaanderen</v>
    <v>2</v>
    <v>J</v>
    <v>J</v>
    <v>J</v>
    <v>J</v>
    <v>J</v>
    <v>8</v>
    <v>Gentbrugge</v>
    <v>112</v>
    <v>Werkhuis Gentbrugge</v>
    <v>141</v>
    <v>5925</v>
    <v>5925</v>
    <v>Hybride stad</v>
    <v>12-m bus</v>
    <v>Bus</v>
  </rv>
  <rv s="0">
    <v>0</v>
    <v>5926</v>
    <v>1</v>
    <v>Generic</v>
    <v>220F</v>
    <v>Euro6</v>
    <v>1</v>
    <v>42278</v>
    <v>45175</v>
    <v>Oost-Vlaanderen</v>
    <v>2</v>
    <v>J</v>
    <v>J</v>
    <v>J</v>
    <v>J</v>
    <v>J</v>
    <v>8</v>
    <v>Gentbrugge</v>
    <v>112</v>
    <v>Werkhuis Gentbrugge</v>
    <v>141</v>
    <v>5926</v>
    <v>5926</v>
    <v>Hybride stad</v>
    <v>12-m bus</v>
    <v>Bus</v>
  </rv>
  <rv s="0">
    <v>0</v>
    <v>5927</v>
    <v>1</v>
    <v>Generic</v>
    <v>220F</v>
    <v>Euro6</v>
    <v>1</v>
    <v>42278</v>
    <v>45175</v>
    <v>Oost-Vlaanderen</v>
    <v>2</v>
    <v>J</v>
    <v>J</v>
    <v>J</v>
    <v>J</v>
    <v>J</v>
    <v>8</v>
    <v>Gentbrugge</v>
    <v>112</v>
    <v>Werkhuis Gentbrugge</v>
    <v>141</v>
    <v>5927</v>
    <v>5927</v>
    <v>Hybride stad</v>
    <v>12-m bus</v>
    <v>Bus</v>
  </rv>
  <rv s="0">
    <v>0</v>
    <v>5928</v>
    <v>1</v>
    <v>Generic</v>
    <v>220F</v>
    <v>Euro6</v>
    <v>1</v>
    <v>42278</v>
    <v>45175</v>
    <v>Oost-Vlaanderen</v>
    <v>2</v>
    <v>J</v>
    <v>J</v>
    <v>J</v>
    <v>J</v>
    <v>J</v>
    <v>8</v>
    <v>Gentbrugge</v>
    <v>112</v>
    <v>Werkhuis Gentbrugge</v>
    <v>141</v>
    <v>5928</v>
    <v>5928</v>
    <v>Hybride stad</v>
    <v>12-m bus</v>
    <v>Bus</v>
  </rv>
  <rv s="0">
    <v>0</v>
    <v>5929</v>
    <v>1</v>
    <v>Generic</v>
    <v>220F</v>
    <v>Euro6</v>
    <v>1</v>
    <v>42269</v>
    <v>45175</v>
    <v>Oost-Vlaanderen</v>
    <v>2</v>
    <v>J</v>
    <v>J</v>
    <v>J</v>
    <v>J</v>
    <v>J</v>
    <v>8</v>
    <v>Gentbrugge</v>
    <v>112</v>
    <v>Werkhuis Gentbrugge</v>
    <v>141</v>
    <v>5929</v>
    <v>5929</v>
    <v>Hybride stad</v>
    <v>12-m bus</v>
    <v>Bus</v>
  </rv>
  <rv s="0">
    <v>0</v>
    <v>5930</v>
    <v>1</v>
    <v>Generic</v>
    <v>220F</v>
    <v>Euro6</v>
    <v>1</v>
    <v>42537</v>
    <v>45175</v>
    <v>Oost-Vlaanderen</v>
    <v>2</v>
    <v>J</v>
    <v>J</v>
    <v>J</v>
    <v>J</v>
    <v>J</v>
    <v>7</v>
    <v>Gentbrugge</v>
    <v>112</v>
    <v>Werkhuis Gentbrugge</v>
    <v>141</v>
    <v>5930</v>
    <v>5930</v>
    <v>Hybride stad</v>
    <v>12-m bus</v>
    <v>Bus</v>
  </rv>
  <rv s="0">
    <v>0</v>
    <v>5931</v>
    <v>1</v>
    <v>Generic</v>
    <v>220F</v>
    <v>Euro6</v>
    <v>1</v>
    <v>42247</v>
    <v>45175</v>
    <v>Oost-Vlaanderen</v>
    <v>2</v>
    <v>J</v>
    <v>J</v>
    <v>J</v>
    <v>J</v>
    <v>J</v>
    <v>8</v>
    <v>Gentbrugge</v>
    <v>112</v>
    <v>Werkhuis Gentbrugge</v>
    <v>141</v>
    <v>5931</v>
    <v>5931</v>
    <v>Hybride stad</v>
    <v>12-m bus</v>
    <v>Bus</v>
  </rv>
  <rv s="0">
    <v>0</v>
    <v>5932</v>
    <v>1</v>
    <v>Generic</v>
    <v>220F</v>
    <v>Euro6</v>
    <v>1</v>
    <v>42236</v>
    <v>45175</v>
    <v>Oost-Vlaanderen</v>
    <v>2</v>
    <v>J</v>
    <v>J</v>
    <v>J</v>
    <v>J</v>
    <v>J</v>
    <v>8</v>
    <v>Gentbrugge</v>
    <v>112</v>
    <v>Werkhuis Gentbrugge</v>
    <v>141</v>
    <v>5932</v>
    <v>5932</v>
    <v>Hybride stad</v>
    <v>12-m bus</v>
    <v>Bus</v>
  </rv>
  <rv s="0">
    <v>0</v>
    <v>5933</v>
    <v>1</v>
    <v>Generic</v>
    <v>220F</v>
    <v>Euro6</v>
    <v>1</v>
    <v>42236</v>
    <v>45175</v>
    <v>Oost-Vlaanderen</v>
    <v>2</v>
    <v>J</v>
    <v>J</v>
    <v>J</v>
    <v>J</v>
    <v>J</v>
    <v>8</v>
    <v>Gentbrugge</v>
    <v>112</v>
    <v>Werkhuis Gentbrugge</v>
    <v>141</v>
    <v>5933</v>
    <v>5933</v>
    <v>Hybride stad</v>
    <v>12-m bus</v>
    <v>Bus</v>
  </rv>
  <rv s="0">
    <v>0</v>
    <v>5934</v>
    <v>1</v>
    <v>Generic</v>
    <v>220F</v>
    <v>Euro6</v>
    <v>1</v>
    <v>42236</v>
    <v>45175</v>
    <v>Oost-Vlaanderen</v>
    <v>2</v>
    <v>J</v>
    <v>J</v>
    <v>J</v>
    <v>J</v>
    <v>J</v>
    <v>8</v>
    <v>Gentbrugge</v>
    <v>112</v>
    <v>Werkhuis Gentbrugge</v>
    <v>141</v>
    <v>5934</v>
    <v>5934</v>
    <v>Hybride stad</v>
    <v>12-m bus</v>
    <v>Bus</v>
  </rv>
  <rv s="0">
    <v>0</v>
    <v>5935</v>
    <v>1</v>
    <v>Generic</v>
    <v>220F</v>
    <v>Euro6</v>
    <v>1</v>
    <v>42263</v>
    <v>45175</v>
    <v>Oost-Vlaanderen</v>
    <v>2</v>
    <v>J</v>
    <v>J</v>
    <v>J</v>
    <v>J</v>
    <v>J</v>
    <v>8</v>
    <v>Gentbrugge</v>
    <v>112</v>
    <v>Werkhuis Gentbrugge</v>
    <v>141</v>
    <v>5935</v>
    <v>5935</v>
    <v>Hybride stad</v>
    <v>12-m bus</v>
    <v>Bus</v>
  </rv>
  <rv s="0">
    <v>0</v>
    <v>5936</v>
    <v>1</v>
    <v>Generic</v>
    <v>220F</v>
    <v>Euro6</v>
    <v>1</v>
    <v>42124</v>
    <v>45175</v>
    <v>Oost-Vlaanderen</v>
    <v>2</v>
    <v>J</v>
    <v>J</v>
    <v>J</v>
    <v>J</v>
    <v>J</v>
    <v>8</v>
    <v>Gentbrugge</v>
    <v>112</v>
    <v>Werkhuis Gentbrugge</v>
    <v>141</v>
    <v>5936</v>
    <v>5936</v>
    <v>Hybride stad</v>
    <v>12-m bus</v>
    <v>Bus</v>
  </rv>
  <rv s="0">
    <v>0</v>
    <v>5937</v>
    <v>1</v>
    <v>Generic</v>
    <v>220F</v>
    <v>Euro6</v>
    <v>1</v>
    <v>42130</v>
    <v>45175</v>
    <v>Oost-Vlaanderen</v>
    <v>2</v>
    <v>J</v>
    <v>J</v>
    <v>J</v>
    <v>J</v>
    <v>J</v>
    <v>8</v>
    <v>Gentbrugge</v>
    <v>112</v>
    <v>Werkhuis Gentbrugge</v>
    <v>141</v>
    <v>5937</v>
    <v>5937</v>
    <v>Hybride stad</v>
    <v>12-m bus</v>
    <v>Bus</v>
  </rv>
  <rv s="0">
    <v>0</v>
    <v>5938</v>
    <v>1</v>
    <v>Generic</v>
    <v>220F</v>
    <v>Euro6</v>
    <v>1</v>
    <v>42131</v>
    <v>45175</v>
    <v>Oost-Vlaanderen</v>
    <v>2</v>
    <v>J</v>
    <v>J</v>
    <v>J</v>
    <v>J</v>
    <v>J</v>
    <v>8</v>
    <v>Gentbrugge</v>
    <v>112</v>
    <v>Werkhuis Gentbrugge</v>
    <v>141</v>
    <v>5938</v>
    <v>5938</v>
    <v>Hybride stad</v>
    <v>12-m bus</v>
    <v>Bus</v>
  </rv>
  <rv s="0">
    <v>0</v>
    <v>5939</v>
    <v>1</v>
    <v>Generic</v>
    <v>220F</v>
    <v>Euro6</v>
    <v>1</v>
    <v>42135</v>
    <v>45175</v>
    <v>Antwerpen</v>
    <v>1</v>
    <v>J</v>
    <v>J</v>
    <v>J</v>
    <v>J</v>
    <v>J</v>
    <v>8</v>
    <v>Autobussen Berchem</v>
    <v>126</v>
    <v>OC Berchem</v>
    <v>145</v>
    <v>5939</v>
    <v>5939</v>
    <v>Hybride stad</v>
    <v>12-m bus</v>
    <v>Bus</v>
  </rv>
  <rv s="0">
    <v>0</v>
    <v>5940</v>
    <v>1</v>
    <v>Generic</v>
    <v>220F</v>
    <v>Euro6</v>
    <v>1</v>
    <v>42135</v>
    <v>45175</v>
    <v>Antwerpen</v>
    <v>1</v>
    <v>J</v>
    <v>J</v>
    <v>J</v>
    <v>J</v>
    <v>J</v>
    <v>8</v>
    <v>Autobussen Berchem</v>
    <v>126</v>
    <v>OC Berchem</v>
    <v>145</v>
    <v>5940</v>
    <v>5940</v>
    <v>Hybride stad</v>
    <v>12-m bus</v>
    <v>Bus</v>
  </rv>
  <rv s="0">
    <v>0</v>
    <v>5941</v>
    <v>1</v>
    <v>Generic</v>
    <v>220F</v>
    <v>Euro6</v>
    <v>1</v>
    <v>42135</v>
    <v>45175</v>
    <v>Antwerpen</v>
    <v>1</v>
    <v>J</v>
    <v>J</v>
    <v>J</v>
    <v>J</v>
    <v>J</v>
    <v>8</v>
    <v>Autobussen Berchem</v>
    <v>126</v>
    <v>OC Berchem</v>
    <v>145</v>
    <v>5941</v>
    <v>5941</v>
    <v>Hybride stad</v>
    <v>12-m bus</v>
    <v>Bus</v>
  </rv>
  <rv s="0">
    <v>0</v>
    <v>5942</v>
    <v>1</v>
    <v>Generic</v>
    <v>220F</v>
    <v>Euro6</v>
    <v>1</v>
    <v>42137</v>
    <v>45175</v>
    <v>Antwerpen</v>
    <v>1</v>
    <v>J</v>
    <v>J</v>
    <v>J</v>
    <v>J</v>
    <v>J</v>
    <v>8</v>
    <v>Autobussen Berchem</v>
    <v>126</v>
    <v>OC Berchem</v>
    <v>145</v>
    <v>5942</v>
    <v>5942</v>
    <v>Hybride stad</v>
    <v>12-m bus</v>
    <v>Bus</v>
  </rv>
  <rv s="0">
    <v>0</v>
    <v>5943</v>
    <v>1</v>
    <v>Generic</v>
    <v>220F</v>
    <v>Euro6</v>
    <v>1</v>
    <v>42143</v>
    <v>45175</v>
    <v>Antwerpen</v>
    <v>1</v>
    <v>J</v>
    <v>J</v>
    <v>J</v>
    <v>J</v>
    <v>J</v>
    <v>8</v>
    <v>Autobussen Berchem</v>
    <v>126</v>
    <v>OC Berchem</v>
    <v>145</v>
    <v>5943</v>
    <v>5943</v>
    <v>Hybride stad</v>
    <v>12-m bus</v>
    <v>Bus</v>
  </rv>
  <rv s="0">
    <v>0</v>
    <v>5944</v>
    <v>1</v>
    <v>Generic</v>
    <v>220F</v>
    <v>Euro6</v>
    <v>1</v>
    <v>42158</v>
    <v>45175</v>
    <v>Antwerpen</v>
    <v>1</v>
    <v>J</v>
    <v>J</v>
    <v>J</v>
    <v>J</v>
    <v>J</v>
    <v>8</v>
    <v>Autobussen Berchem</v>
    <v>126</v>
    <v>OC Berchem</v>
    <v>145</v>
    <v>5944</v>
    <v>5944</v>
    <v>Hybride stad</v>
    <v>12-m bus</v>
    <v>Bus</v>
  </rv>
  <rv s="0">
    <v>0</v>
    <v>5945</v>
    <v>1</v>
    <v>Generic</v>
    <v>220F</v>
    <v>Euro6</v>
    <v>1</v>
    <v>42143</v>
    <v>45175</v>
    <v>Antwerpen</v>
    <v>1</v>
    <v>J</v>
    <v>J</v>
    <v>J</v>
    <v>J</v>
    <v>J</v>
    <v>8</v>
    <v>Autobussen Berchem</v>
    <v>126</v>
    <v>OC Berchem</v>
    <v>145</v>
    <v>5945</v>
    <v>5945</v>
    <v>Hybride stad</v>
    <v>12-m bus</v>
    <v>Bus</v>
  </rv>
  <rv s="0">
    <v>0</v>
    <v>5946</v>
    <v>1</v>
    <v>Generic</v>
    <v>220F</v>
    <v>Euro6</v>
    <v>1</v>
    <v>42158</v>
    <v>45175</v>
    <v>Antwerpen</v>
    <v>1</v>
    <v>J</v>
    <v>J</v>
    <v>J</v>
    <v>J</v>
    <v>J</v>
    <v>8</v>
    <v>Autobussen Berchem</v>
    <v>126</v>
    <v>OC Berchem</v>
    <v>145</v>
    <v>5946</v>
    <v>5946</v>
    <v>Hybride stad</v>
    <v>12-m bus</v>
    <v>Bus</v>
  </rv>
  <rv s="0">
    <v>0</v>
    <v>5947</v>
    <v>1</v>
    <v>Generic</v>
    <v>220F</v>
    <v>Euro6</v>
    <v>1</v>
    <v>42160</v>
    <v>45175</v>
    <v>Antwerpen</v>
    <v>1</v>
    <v>J</v>
    <v>J</v>
    <v>J</v>
    <v>J</v>
    <v>J</v>
    <v>8</v>
    <v>Autobussen Berchem</v>
    <v>126</v>
    <v>OC Berchem</v>
    <v>145</v>
    <v>5947</v>
    <v>5947</v>
    <v>Hybride stad</v>
    <v>12-m bus</v>
    <v>Bus</v>
  </rv>
  <rv s="0">
    <v>0</v>
    <v>5948</v>
    <v>1</v>
    <v>Generic</v>
    <v>220F</v>
    <v>Euro6</v>
    <v>1</v>
    <v>42160</v>
    <v>45175</v>
    <v>Antwerpen</v>
    <v>1</v>
    <v>J</v>
    <v>J</v>
    <v>J</v>
    <v>J</v>
    <v>J</v>
    <v>8</v>
    <v>Autobussen Berchem</v>
    <v>126</v>
    <v>OC Berchem</v>
    <v>145</v>
    <v>5948</v>
    <v>5948</v>
    <v>Hybride stad</v>
    <v>12-m bus</v>
    <v>Bus</v>
  </rv>
  <rv s="0">
    <v>0</v>
    <v>5949</v>
    <v>1</v>
    <v>Generic</v>
    <v>220F</v>
    <v>Euro6</v>
    <v>1</v>
    <v>42430</v>
    <v>45175</v>
    <v>Vlaams-Brabant</v>
    <v>3</v>
    <v>J</v>
    <v>J</v>
    <v>J</v>
    <v>J</v>
    <v>J</v>
    <v>8</v>
    <v>Leuven Noord</v>
    <v>124</v>
    <v>Onderhoud Leuven Noord</v>
    <v>152</v>
    <v>5949</v>
    <v>5949</v>
    <v>Hybride stad</v>
    <v>12-m bus</v>
    <v>Bus</v>
  </rv>
  <rv s="0">
    <v>0</v>
    <v>5950</v>
    <v>1</v>
    <v>Generic</v>
    <v>220F</v>
    <v>Euro6</v>
    <v>1</v>
    <v>42347</v>
    <v>45175</v>
    <v>Vlaams-Brabant</v>
    <v>3</v>
    <v>J</v>
    <v>J</v>
    <v>J</v>
    <v>J</v>
    <v>J</v>
    <v>8</v>
    <v>Leuven Noord</v>
    <v>124</v>
    <v>Onderhoud Leuven Noord</v>
    <v>152</v>
    <v>5950</v>
    <v>5950</v>
    <v>Hybride stad</v>
    <v>12-m bus</v>
    <v>Bus</v>
  </rv>
  <rv s="0">
    <v>0</v>
    <v>5951</v>
    <v>1</v>
    <v>Generic</v>
    <v>220F</v>
    <v>Euro6</v>
    <v>1</v>
    <v>42334</v>
    <v>45175</v>
    <v>Vlaams-Brabant</v>
    <v>3</v>
    <v>J</v>
    <v>J</v>
    <v>J</v>
    <v>J</v>
    <v>J</v>
    <v>8</v>
    <v>Leuven Noord</v>
    <v>124</v>
    <v>Onderhoud Leuven Noord</v>
    <v>152</v>
    <v>5951</v>
    <v>5951</v>
    <v>Hybride stad</v>
    <v>12-m bus</v>
    <v>Bus</v>
  </rv>
  <rv s="0">
    <v>0</v>
    <v>5952</v>
    <v>1</v>
    <v>Generic</v>
    <v>220F</v>
    <v>Euro6</v>
    <v>1</v>
    <v>42445</v>
    <v>45175</v>
    <v>Vlaams-Brabant</v>
    <v>3</v>
    <v>J</v>
    <v>J</v>
    <v>J</v>
    <v>J</v>
    <v>J</v>
    <v>8</v>
    <v>Leuven Noord</v>
    <v>124</v>
    <v>Onderhoud Leuven Noord</v>
    <v>152</v>
    <v>5952</v>
    <v>5952</v>
    <v>Hybride stad</v>
    <v>12-m bus</v>
    <v>Bus</v>
  </rv>
  <rv s="0">
    <v>0</v>
    <v>5953</v>
    <v>1</v>
    <v>Generic</v>
    <v>220F</v>
    <v>Euro6</v>
    <v>1</v>
    <v>42479</v>
    <v>45175</v>
    <v>Vlaams-Brabant</v>
    <v>3</v>
    <v>J</v>
    <v>J</v>
    <v>J</v>
    <v>J</v>
    <v>J</v>
    <v>7</v>
    <v>Leuven Noord</v>
    <v>124</v>
    <v>Onderhoud Leuven Noord</v>
    <v>152</v>
    <v>5953</v>
    <v>5953</v>
    <v>Hybride stad</v>
    <v>12-m bus</v>
    <v>Bus</v>
  </rv>
  <rv s="0">
    <v>0</v>
    <v>5954</v>
    <v>1</v>
    <v>Generic</v>
    <v>220F</v>
    <v>Euro6</v>
    <v>1</v>
    <v>42236</v>
    <v>45175</v>
    <v>Vlaams-Brabant</v>
    <v>3</v>
    <v>J</v>
    <v>J</v>
    <v>J</v>
    <v>J</v>
    <v>J</v>
    <v>8</v>
    <v>Leuven Noord</v>
    <v>124</v>
    <v>Onderhoud Leuven Noord</v>
    <v>152</v>
    <v>5954</v>
    <v>5954</v>
    <v>Hybride stad</v>
    <v>12-m bus</v>
    <v>Bus</v>
  </rv>
  <rv s="0">
    <v>0</v>
    <v>5955</v>
    <v>1</v>
    <v>Generic</v>
    <v>220F</v>
    <v>Euro6</v>
    <v>1</v>
    <v>42236</v>
    <v>45175</v>
    <v>Vlaams-Brabant</v>
    <v>3</v>
    <v>J</v>
    <v>J</v>
    <v>J</v>
    <v>J</v>
    <v>J</v>
    <v>8</v>
    <v>Leuven Noord</v>
    <v>124</v>
    <v>Onderhoud Leuven Noord</v>
    <v>152</v>
    <v>5955</v>
    <v>5955</v>
    <v>Hybride stad</v>
    <v>12-m bus</v>
    <v>Bus</v>
  </rv>
  <rv s="0">
    <v>0</v>
    <v>5956</v>
    <v>1</v>
    <v>Generic</v>
    <v>220F</v>
    <v>Euro6</v>
    <v>1</v>
    <v>42445</v>
    <v>45175</v>
    <v>Vlaams-Brabant</v>
    <v>3</v>
    <v>J</v>
    <v>J</v>
    <v>J</v>
    <v>J</v>
    <v>J</v>
    <v>8</v>
    <v>Leuven Noord</v>
    <v>124</v>
    <v>Onderhoud Leuven Noord</v>
    <v>152</v>
    <v>5956</v>
    <v>5956</v>
    <v>Hybride stad</v>
    <v>12-m bus</v>
    <v>Bus</v>
  </rv>
  <rv s="0">
    <v>0</v>
    <v>5957</v>
    <v>1</v>
    <v>Generic</v>
    <v>220F</v>
    <v>Euro6</v>
    <v>1</v>
    <v>42430</v>
    <v>45175</v>
    <v>Vlaams-Brabant</v>
    <v>3</v>
    <v>J</v>
    <v>J</v>
    <v>J</v>
    <v>J</v>
    <v>J</v>
    <v>8</v>
    <v>Leuven Noord</v>
    <v>124</v>
    <v>Onderhoud Leuven Noord</v>
    <v>152</v>
    <v>5957</v>
    <v>5957</v>
    <v>Hybride stad</v>
    <v>12-m bus</v>
    <v>Bus</v>
  </rv>
  <rv s="0">
    <v>0</v>
    <v>5958</v>
    <v>1</v>
    <v>Generic</v>
    <v>220F</v>
    <v>Euro6</v>
    <v>1</v>
    <v>42354</v>
    <v>45175</v>
    <v>Vlaams-Brabant</v>
    <v>3</v>
    <v>J</v>
    <v>J</v>
    <v>J</v>
    <v>J</v>
    <v>J</v>
    <v>8</v>
    <v>Leuven Noord</v>
    <v>124</v>
    <v>Onderhoud Leuven Noord</v>
    <v>152</v>
    <v>5958</v>
    <v>5958</v>
    <v>Hybride stad</v>
    <v>12-m bus</v>
    <v>Bus</v>
  </rv>
  <rv s="0">
    <v>0</v>
    <v>5959</v>
    <v>1</v>
    <v>Generic</v>
    <v>220F</v>
    <v>Euro6</v>
    <v>1</v>
    <v>43066</v>
    <v>45175</v>
    <v>Vlaams-Brabant</v>
    <v>3</v>
    <v>J</v>
    <v>J</v>
    <v>J</v>
    <v>J</v>
    <v>J</v>
    <v>6</v>
    <v>Leuven Noord</v>
    <v>124</v>
    <v>Onderhoud Leuven Noord</v>
    <v>152</v>
    <v>5959</v>
    <v>5959</v>
    <v>Hybride stad</v>
    <v>12-m bus</v>
    <v>Bus</v>
  </rv>
  <rv s="0">
    <v>0</v>
    <v>5960</v>
    <v>1</v>
    <v>Generic</v>
    <v>220F</v>
    <v>Euro6</v>
    <v>1</v>
    <v>42469</v>
    <v>45175</v>
    <v>Vlaams-Brabant</v>
    <v>3</v>
    <v>J</v>
    <v>J</v>
    <v>J</v>
    <v>J</v>
    <v>J</v>
    <v>7</v>
    <v>Leuven Noord</v>
    <v>124</v>
    <v>Onderhoud Leuven Noord</v>
    <v>152</v>
    <v>5960</v>
    <v>5960</v>
    <v>Hybride stad</v>
    <v>12-m bus</v>
    <v>Bus</v>
  </rv>
  <rv s="0">
    <v>0</v>
    <v>5961</v>
    <v>1</v>
    <v>Generic</v>
    <v>220F</v>
    <v>Euro6</v>
    <v>1</v>
    <v>42236</v>
    <v>45175</v>
    <v>Vlaams-Brabant</v>
    <v>3</v>
    <v>J</v>
    <v>J</v>
    <v>J</v>
    <v>J</v>
    <v>J</v>
    <v>8</v>
    <v>Leuven Noord</v>
    <v>124</v>
    <v>Onderhoud Leuven Noord</v>
    <v>152</v>
    <v>5961</v>
    <v>5961</v>
    <v>Hybride stad</v>
    <v>12-m bus</v>
    <v>Bus</v>
  </rv>
  <rv s="0">
    <v>0</v>
    <v>5962</v>
    <v>1</v>
    <v>Generic</v>
    <v>220F</v>
    <v>Euro6</v>
    <v>1</v>
    <v>42265</v>
    <v>45175</v>
    <v>Vlaams-Brabant</v>
    <v>3</v>
    <v>J</v>
    <v>J</v>
    <v>J</v>
    <v>J</v>
    <v>J</v>
    <v>8</v>
    <v>Leuven Noord</v>
    <v>124</v>
    <v>Onderhoud Leuven Noord</v>
    <v>152</v>
    <v>5962</v>
    <v>5962</v>
    <v>Hybride stad</v>
    <v>12-m bus</v>
    <v>Bus</v>
  </rv>
  <rv s="0">
    <v>0</v>
    <v>5963</v>
    <v>1</v>
    <v>Generic</v>
    <v>220F</v>
    <v>Euro6</v>
    <v>1</v>
    <v>42496</v>
    <v>45175</v>
    <v>Vlaams-Brabant</v>
    <v>3</v>
    <v>J</v>
    <v>J</v>
    <v>J</v>
    <v>J</v>
    <v>J</v>
    <v>7</v>
    <v>Leuven Noord</v>
    <v>124</v>
    <v>Onderhoud Leuven Noord</v>
    <v>152</v>
    <v>5963</v>
    <v>5963</v>
    <v>Hybride stad</v>
    <v>12-m bus</v>
    <v>Bus</v>
  </rv>
  <rv s="0">
    <v>0</v>
    <v>5964</v>
    <v>1</v>
    <v>Generic</v>
    <v>220F</v>
    <v>Euro6</v>
    <v>1</v>
    <v>42252</v>
    <v>45175</v>
    <v>Vlaams-Brabant</v>
    <v>3</v>
    <v>J</v>
    <v>J</v>
    <v>J</v>
    <v>J</v>
    <v>J</v>
    <v>8</v>
    <v>Leuven Noord</v>
    <v>124</v>
    <v>Onderhoud Leuven Noord</v>
    <v>152</v>
    <v>5964</v>
    <v>5964</v>
    <v>Hybride stad</v>
    <v>12-m bus</v>
    <v>Bus</v>
  </rv>
  <rv s="0">
    <v>0</v>
    <v>5965</v>
    <v>1</v>
    <v>Generic</v>
    <v>220F</v>
    <v>Euro6</v>
    <v>1</v>
    <v>42543</v>
    <v>45175</v>
    <v>Vlaams-Brabant</v>
    <v>3</v>
    <v>J</v>
    <v>J</v>
    <v>J</v>
    <v>J</v>
    <v>J</v>
    <v>7</v>
    <v>Leuven Noord</v>
    <v>124</v>
    <v>Onderhoud Leuven Noord</v>
    <v>152</v>
    <v>5965</v>
    <v>5965</v>
    <v>Hybride stad</v>
    <v>12-m bus</v>
    <v>Bus</v>
  </rv>
  <rv s="0">
    <v>0</v>
    <v>5966</v>
    <v>1</v>
    <v>Generic</v>
    <v>220F</v>
    <v>Euro6</v>
    <v>1</v>
    <v>42320</v>
    <v>45175</v>
    <v>Vlaams-Brabant</v>
    <v>3</v>
    <v>J</v>
    <v>J</v>
    <v>J</v>
    <v>J</v>
    <v>J</v>
    <v>8</v>
    <v>Leuven Noord</v>
    <v>124</v>
    <v>Onderhoud Leuven Noord</v>
    <v>152</v>
    <v>5966</v>
    <v>5966</v>
    <v>Hybride stad</v>
    <v>12-m bus</v>
    <v>Bus</v>
  </rv>
  <rv s="0">
    <v>0</v>
    <v>5967</v>
    <v>1</v>
    <v>Generic</v>
    <v>220F</v>
    <v>Euro6</v>
    <v>1</v>
    <v>42252</v>
    <v>45175</v>
    <v>Vlaams-Brabant</v>
    <v>3</v>
    <v>J</v>
    <v>J</v>
    <v>J</v>
    <v>J</v>
    <v>J</v>
    <v>8</v>
    <v>Leuven Noord</v>
    <v>124</v>
    <v>Onderhoud Leuven Noord</v>
    <v>152</v>
    <v>5967</v>
    <v>5967</v>
    <v>Hybride stad</v>
    <v>12-m bus</v>
    <v>Bus</v>
  </rv>
  <rv s="0">
    <v>0</v>
    <v>5968</v>
    <v>1</v>
    <v>Generic</v>
    <v>220F</v>
    <v>Euro6</v>
    <v>1</v>
    <v>42354</v>
    <v>45175</v>
    <v>Vlaams-Brabant</v>
    <v>3</v>
    <v>J</v>
    <v>J</v>
    <v>J</v>
    <v>J</v>
    <v>J</v>
    <v>8</v>
    <v>Leuven Noord</v>
    <v>124</v>
    <v>Onderhoud Leuven Noord</v>
    <v>152</v>
    <v>5968</v>
    <v>5968</v>
    <v>Hybride stad</v>
    <v>12-m bus</v>
    <v>Bus</v>
  </rv>
  <rv s="0">
    <v>0</v>
    <v>5969</v>
    <v>1</v>
    <v>Generic</v>
    <v>220F</v>
    <v>Euro6</v>
    <v>1</v>
    <v>42480</v>
    <v>45175</v>
    <v>Vlaams-Brabant</v>
    <v>3</v>
    <v>J</v>
    <v>J</v>
    <v>J</v>
    <v>J</v>
    <v>J</v>
    <v>7</v>
    <v>Leuven Noord</v>
    <v>124</v>
    <v>Onderhoud Leuven Noord</v>
    <v>152</v>
    <v>5969</v>
    <v>5969</v>
    <v>Hybride stad</v>
    <v>12-m bus</v>
    <v>Bus</v>
  </rv>
  <rv s="0">
    <v>0</v>
    <v>5970</v>
    <v>1</v>
    <v>Generic</v>
    <v>220F</v>
    <v>Euro6</v>
    <v>1</v>
    <v>42479</v>
    <v>45175</v>
    <v>Vlaams-Brabant</v>
    <v>3</v>
    <v>J</v>
    <v>J</v>
    <v>J</v>
    <v>J</v>
    <v>J</v>
    <v>7</v>
    <v>Leuven Noord</v>
    <v>124</v>
    <v>Onderhoud Leuven Noord</v>
    <v>152</v>
    <v>5970</v>
    <v>5970</v>
    <v>Hybride stad</v>
    <v>12-m bus</v>
    <v>Bus</v>
  </rv>
  <rv s="0">
    <v>0</v>
    <v>5971</v>
    <v>1</v>
    <v>Generic</v>
    <v>220F</v>
    <v>Euro6</v>
    <v>1</v>
    <v>42317</v>
    <v>45175</v>
    <v>Vlaams-Brabant</v>
    <v>3</v>
    <v>J</v>
    <v>J</v>
    <v>J</v>
    <v>J</v>
    <v>J</v>
    <v>8</v>
    <v>Leuven Noord</v>
    <v>124</v>
    <v>Onderhoud Leuven Noord</v>
    <v>152</v>
    <v>5971</v>
    <v>5971</v>
    <v>Hybride stad</v>
    <v>12-m bus</v>
    <v>Bus</v>
  </rv>
  <rv s="0">
    <v>0</v>
    <v>5972</v>
    <v>1</v>
    <v>Generic</v>
    <v>220F</v>
    <v>Euro6</v>
    <v>1</v>
    <v>42334</v>
    <v>45175</v>
    <v>Vlaams-Brabant</v>
    <v>3</v>
    <v>J</v>
    <v>J</v>
    <v>J</v>
    <v>J</v>
    <v>J</v>
    <v>8</v>
    <v>Leuven Noord</v>
    <v>124</v>
    <v>Onderhoud Leuven Noord</v>
    <v>152</v>
    <v>5972</v>
    <v>5972</v>
    <v>Hybride stad</v>
    <v>12-m bus</v>
    <v>Bus</v>
  </rv>
  <rv s="0">
    <v>0</v>
    <v>5973</v>
    <v>1</v>
    <v>Generic</v>
    <v>220F</v>
    <v>Euro6</v>
    <v>1</v>
    <v>42479</v>
    <v>45175</v>
    <v>Vlaams-Brabant</v>
    <v>3</v>
    <v>J</v>
    <v>J</v>
    <v>J</v>
    <v>J</v>
    <v>J</v>
    <v>7</v>
    <v>Leuven Noord</v>
    <v>124</v>
    <v>Onderhoud Leuven Noord</v>
    <v>152</v>
    <v>5973</v>
    <v>5973</v>
    <v>Hybride stad</v>
    <v>12-m bus</v>
    <v>Bus</v>
  </rv>
  <rv s="0">
    <v>0</v>
    <v>5974</v>
    <v>1</v>
    <v>Generic</v>
    <v>220F</v>
    <v>Euro6</v>
    <v>1</v>
    <v>43098</v>
    <v>45175</v>
    <v>West-Vlaanderen</v>
    <v>5</v>
    <v>J</v>
    <v>J</v>
    <v>J</v>
    <v>J</v>
    <v>J</v>
    <v>6</v>
    <v>Oostende Slijkensestwg</v>
    <v>118</v>
    <v>Onderhoud Oostende - bus</v>
    <v>141</v>
    <v>5974</v>
    <v>5974</v>
    <v>Hybride stad</v>
    <v>12-m bus</v>
    <v>Bus</v>
  </rv>
  <rv s="0">
    <v>0</v>
    <v>5975</v>
    <v>1</v>
    <v>Generic</v>
    <v>220F</v>
    <v>Euro6</v>
    <v>1</v>
    <v>42153</v>
    <v>45175</v>
    <v>West-Vlaanderen</v>
    <v>5</v>
    <v>J</v>
    <v>J</v>
    <v>J</v>
    <v>J</v>
    <v>J</v>
    <v>8</v>
    <v>Oostende Slijkensestwg</v>
    <v>118</v>
    <v>Onderhoud Oostende - bus</v>
    <v>141</v>
    <v>5975</v>
    <v>5975</v>
    <v>Hybride stad</v>
    <v>12-m bus</v>
    <v>Bus</v>
  </rv>
  <rv s="0">
    <v>0</v>
    <v>5976</v>
    <v>1</v>
    <v>Generic</v>
    <v>220F</v>
    <v>Euro6</v>
    <v>1</v>
    <v>42153</v>
    <v>45175</v>
    <v>West-Vlaanderen</v>
    <v>5</v>
    <v>J</v>
    <v>J</v>
    <v>J</v>
    <v>J</v>
    <v>J</v>
    <v>8</v>
    <v>Oostende Slijkensestwg</v>
    <v>118</v>
    <v>Onderhoud Oostende - bus</v>
    <v>141</v>
    <v>5976</v>
    <v>5976</v>
    <v>Hybride stad</v>
    <v>12-m bus</v>
    <v>Bus</v>
  </rv>
  <rv s="0">
    <v>0</v>
    <v>5977</v>
    <v>1</v>
    <v>Generic</v>
    <v>220F</v>
    <v>Euro6</v>
    <v>1</v>
    <v>42202</v>
    <v>45175</v>
    <v>West-Vlaanderen</v>
    <v>5</v>
    <v>J</v>
    <v>J</v>
    <v>J</v>
    <v>J</v>
    <v>J</v>
    <v>8</v>
    <v>Oostende Slijkensestwg</v>
    <v>118</v>
    <v>Onderhoud Oostende - bus</v>
    <v>141</v>
    <v>5977</v>
    <v>5977</v>
    <v>Hybride stad</v>
    <v>12-m bus</v>
    <v>Bus</v>
  </rv>
  <rv s="0">
    <v>0</v>
    <v>5978</v>
    <v>1</v>
    <v>Generic</v>
    <v>220F</v>
    <v>Euro6</v>
    <v>1</v>
    <v>42202</v>
    <v>45175</v>
    <v>West-Vlaanderen</v>
    <v>5</v>
    <v>J</v>
    <v>J</v>
    <v>J</v>
    <v>J</v>
    <v>J</v>
    <v>8</v>
    <v>Oostende Slijkensestwg</v>
    <v>118</v>
    <v>Onderhoud Oostende - bus</v>
    <v>141</v>
    <v>5978</v>
    <v>5978</v>
    <v>Hybride stad</v>
    <v>12-m bus</v>
    <v>Bus</v>
  </rv>
  <rv s="0">
    <v>0</v>
    <v>5979</v>
    <v>1</v>
    <v>Generic</v>
    <v>220F</v>
    <v>Euro6</v>
    <v>1</v>
    <v>42174</v>
    <v>45175</v>
    <v>West-Vlaanderen</v>
    <v>5</v>
    <v>J</v>
    <v>J</v>
    <v>J</v>
    <v>J</v>
    <v>J</v>
    <v>8</v>
    <v>Oostende Slijkensestwg</v>
    <v>118</v>
    <v>Onderhoud Oostende - bus</v>
    <v>141</v>
    <v>5979</v>
    <v>5979</v>
    <v>Hybride stad</v>
    <v>12-m bus</v>
    <v>Bus</v>
  </rv>
  <rv s="0">
    <v>0</v>
    <v>5980</v>
    <v>1</v>
    <v>Generic</v>
    <v>220F</v>
    <v>Euro6</v>
    <v>1</v>
    <v>42444</v>
    <v>45175</v>
    <v>West-Vlaanderen</v>
    <v>5</v>
    <v>J</v>
    <v>J</v>
    <v>J</v>
    <v>J</v>
    <v>J</v>
    <v>8</v>
    <v>Oostende Slijkensestwg</v>
    <v>118</v>
    <v>Onderhoud Oostende - bus</v>
    <v>141</v>
    <v>5980</v>
    <v>5980</v>
    <v>Hybride stad</v>
    <v>12-m bus</v>
    <v>Bus</v>
  </rv>
  <rv s="0">
    <v>0</v>
    <v>5981</v>
    <v>1</v>
    <v>Generic</v>
    <v>220F</v>
    <v>Euro6</v>
    <v>1</v>
    <v>42493</v>
    <v>45175</v>
    <v>West-Vlaanderen</v>
    <v>5</v>
    <v>J</v>
    <v>J</v>
    <v>J</v>
    <v>J</v>
    <v>J</v>
    <v>7</v>
    <v>Oostende Slijkensestwg</v>
    <v>118</v>
    <v>Onderhoud Oostende - bus</v>
    <v>141</v>
    <v>5981</v>
    <v>5981</v>
    <v>Hybride stad</v>
    <v>12-m bus</v>
    <v>Bus</v>
  </rv>
  <rv s="0">
    <v>0</v>
    <v>5982</v>
    <v>1</v>
    <v>Generic</v>
    <v>220F</v>
    <v>Euro6</v>
    <v>1</v>
    <v>42462</v>
    <v>45175</v>
    <v>West-Vlaanderen</v>
    <v>5</v>
    <v>J</v>
    <v>J</v>
    <v>J</v>
    <v>J</v>
    <v>J</v>
    <v>7</v>
    <v>Oostende Slijkensestwg</v>
    <v>118</v>
    <v>Onderhoud Oostende - bus</v>
    <v>141</v>
    <v>5982</v>
    <v>5982</v>
    <v>Hybride stad</v>
    <v>12-m bus</v>
    <v>Bus</v>
  </rv>
  <rv s="0">
    <v>0</v>
    <v>5983</v>
    <v>1</v>
    <v>Generic</v>
    <v>220F</v>
    <v>Euro6</v>
    <v>1</v>
    <v>42493</v>
    <v>45175</v>
    <v>West-Vlaanderen</v>
    <v>5</v>
    <v>J</v>
    <v>J</v>
    <v>J</v>
    <v>J</v>
    <v>J</v>
    <v>7</v>
    <v>Oostende Slijkensestwg</v>
    <v>118</v>
    <v>Onderhoud Oostende - bus</v>
    <v>141</v>
    <v>5983</v>
    <v>5983</v>
    <v>Hybride stad</v>
    <v>12-m bus</v>
    <v>Bus</v>
  </rv>
  <rv s="0">
    <v>0</v>
    <v>5984</v>
    <v>1</v>
    <v>Generic</v>
    <v>220F</v>
    <v>Euro6</v>
    <v>1</v>
    <v>42444</v>
    <v>45175</v>
    <v>West-Vlaanderen</v>
    <v>5</v>
    <v>J</v>
    <v>J</v>
    <v>J</v>
    <v>J</v>
    <v>J</v>
    <v>8</v>
    <v>Oostende Slijkensestwg</v>
    <v>118</v>
    <v>Onderhoud Oostende - bus</v>
    <v>141</v>
    <v>5984</v>
    <v>5984</v>
    <v>Hybride stad</v>
    <v>12-m bus</v>
    <v>Bus</v>
  </rv>
  <rv s="0">
    <v>0</v>
    <v>5985</v>
    <v>1</v>
    <v>Generic</v>
    <v>220F</v>
    <v>Euro6</v>
    <v>1</v>
    <v>42446</v>
    <v>45175</v>
    <v>West-Vlaanderen</v>
    <v>5</v>
    <v>J</v>
    <v>J</v>
    <v>J</v>
    <v>J</v>
    <v>J</v>
    <v>8</v>
    <v>Oostende Slijkensestwg</v>
    <v>118</v>
    <v>Onderhoud Oostende - bus</v>
    <v>141</v>
    <v>5985</v>
    <v>5985</v>
    <v>Hybride stad</v>
    <v>12-m bus</v>
    <v>Bus</v>
  </rv>
  <rv s="0">
    <v>0</v>
    <v>5986</v>
    <v>1</v>
    <v>Generic</v>
    <v>220F</v>
    <v>Euro6</v>
    <v>1</v>
    <v>42446</v>
    <v>45175</v>
    <v>West-Vlaanderen</v>
    <v>5</v>
    <v>J</v>
    <v>J</v>
    <v>J</v>
    <v>J</v>
    <v>J</v>
    <v>8</v>
    <v>Oostende Slijkensestwg</v>
    <v>118</v>
    <v>Onderhoud Oostende - bus</v>
    <v>141</v>
    <v>5986</v>
    <v>5986</v>
    <v>Hybride stad</v>
    <v>12-m bus</v>
    <v>Bus</v>
  </rv>
  <rv s="0">
    <v>0</v>
    <v>5987</v>
    <v>1</v>
    <v>Generic</v>
    <v>220F</v>
    <v>Euro6</v>
    <v>1</v>
    <v>42462</v>
    <v>45175</v>
    <v>West-Vlaanderen</v>
    <v>5</v>
    <v>J</v>
    <v>J</v>
    <v>J</v>
    <v>J</v>
    <v>J</v>
    <v>7</v>
    <v>Oostende Slijkensestwg</v>
    <v>118</v>
    <v>Onderhoud Oostende - bus</v>
    <v>141</v>
    <v>5987</v>
    <v>5987</v>
    <v>Hybride stad</v>
    <v>12-m bus</v>
    <v>Bus</v>
  </rv>
  <rv s="0">
    <v>0</v>
    <v>5988</v>
    <v>1</v>
    <v>Generic</v>
    <v>220F</v>
    <v>Euro6</v>
    <v>1</v>
    <v>42462</v>
    <v>45175</v>
    <v>West-Vlaanderen</v>
    <v>5</v>
    <v>J</v>
    <v>J</v>
    <v>J</v>
    <v>J</v>
    <v>J</v>
    <v>7</v>
    <v>Oostende Slijkensestwg</v>
    <v>118</v>
    <v>Onderhoud Oostende - bus</v>
    <v>141</v>
    <v>5988</v>
    <v>5988</v>
    <v>Hybride stad</v>
    <v>12-m bus</v>
    <v>Bus</v>
  </rv>
  <rv s="0">
    <v>0</v>
    <v>5989</v>
    <v>1</v>
    <v>Generic</v>
    <v>220F</v>
    <v>Euro6</v>
    <v>1</v>
    <v>42542</v>
    <v>45175</v>
    <v>West-Vlaanderen</v>
    <v>5</v>
    <v>J</v>
    <v>J</v>
    <v>J</v>
    <v>J</v>
    <v>J</v>
    <v>7</v>
    <v>Oostende Slijkensestwg</v>
    <v>118</v>
    <v>Onderhoud Oostende - bus</v>
    <v>141</v>
    <v>5989</v>
    <v>5989</v>
    <v>Hybride stad</v>
    <v>12-m bus</v>
    <v>Bus</v>
  </rv>
  <rv s="0">
    <v>0</v>
    <v>5990</v>
    <v>1</v>
    <v>Generic</v>
    <v>220F</v>
    <v>Euro6</v>
    <v>1</v>
    <v>43217</v>
    <v>45175</v>
    <v>West-Vlaanderen</v>
    <v>5</v>
    <v>J</v>
    <v>J</v>
    <v>J</v>
    <v>J</v>
    <v>J</v>
    <v>5</v>
    <v>Kortrijk</v>
    <v>130</v>
    <v>Onderhoud Kortrijk</v>
    <v>145</v>
    <v>5990</v>
    <v>5990</v>
    <v>Hybride stad</v>
    <v>12-m bus</v>
    <v>Bus</v>
  </rv>
  <rv s="0">
    <v>0</v>
    <v>5991</v>
    <v>1</v>
    <v>Generic</v>
    <v>220F</v>
    <v>Euro6</v>
    <v>1</v>
    <v>42432</v>
    <v>45175</v>
    <v>West-Vlaanderen</v>
    <v>5</v>
    <v>J</v>
    <v>J</v>
    <v>J</v>
    <v>J</v>
    <v>J</v>
    <v>8</v>
    <v>Oostende Slijkensestwg</v>
    <v>118</v>
    <v>Onderhoud Oostende - bus</v>
    <v>141</v>
    <v>5991</v>
    <v>5991</v>
    <v>Hybride stad</v>
    <v>12-m bus</v>
    <v>Bus</v>
  </rv>
  <rv s="0">
    <v>0</v>
    <v>5992</v>
    <v>1</v>
    <v>Generic</v>
    <v>220F</v>
    <v>Euro6</v>
    <v>1</v>
    <v>42516</v>
    <v>45175</v>
    <v>West-Vlaanderen</v>
    <v>5</v>
    <v>J</v>
    <v>J</v>
    <v>J</v>
    <v>J</v>
    <v>J</v>
    <v>7</v>
    <v>Kortrijk</v>
    <v>130</v>
    <v>Onderhoud Kortrijk</v>
    <v>145</v>
    <v>5992</v>
    <v>5992</v>
    <v>Hybride stad</v>
    <v>12-m bus</v>
    <v>Bus</v>
  </rv>
  <rv s="0">
    <v>0</v>
    <v>5993</v>
    <v>1</v>
    <v>Generic</v>
    <v>220F</v>
    <v>Euro6</v>
    <v>1</v>
    <v>42542</v>
    <v>45175</v>
    <v>West-Vlaanderen</v>
    <v>5</v>
    <v>J</v>
    <v>J</v>
    <v>J</v>
    <v>J</v>
    <v>J</v>
    <v>7</v>
    <v>Kortrijk</v>
    <v>130</v>
    <v>Onderhoud Kortrijk</v>
    <v>145</v>
    <v>5993</v>
    <v>5993</v>
    <v>Hybride stad</v>
    <v>12-m bus</v>
    <v>Bus</v>
  </rv>
  <rv s="0">
    <v>0</v>
    <v>5994</v>
    <v>1</v>
    <v>Generic</v>
    <v>220F</v>
    <v>Euro6</v>
    <v>1</v>
    <v>42493</v>
    <v>45175</v>
    <v>West-Vlaanderen</v>
    <v>5</v>
    <v>J</v>
    <v>J</v>
    <v>J</v>
    <v>J</v>
    <v>J</v>
    <v>7</v>
    <v>Kortrijk</v>
    <v>130</v>
    <v>Onderhoud Kortrijk</v>
    <v>145</v>
    <v>5994</v>
    <v>5994</v>
    <v>Hybride stad</v>
    <v>12-m bus</v>
    <v>Bus</v>
  </rv>
  <rv s="0">
    <v>0</v>
    <v>5995</v>
    <v>1</v>
    <v>Generic</v>
    <v>220F</v>
    <v>Euro6</v>
    <v>1</v>
    <v>42850</v>
    <v>45175</v>
    <v>West-Vlaanderen</v>
    <v>5</v>
    <v>J</v>
    <v>J</v>
    <v>J</v>
    <v>J</v>
    <v>J</v>
    <v>6</v>
    <v>Kortrijk</v>
    <v>130</v>
    <v>Onderhoud Kortrijk</v>
    <v>145</v>
    <v>5995</v>
    <v>5995</v>
    <v>Hybride stad</v>
    <v>12-m bus</v>
    <v>Bus</v>
  </rv>
  <rv s="0">
    <v>0</v>
    <v>5996</v>
    <v>1</v>
    <v>Generic</v>
    <v>220F</v>
    <v>Euro6</v>
    <v>1</v>
    <v>42507</v>
    <v>45175</v>
    <v>West-Vlaanderen</v>
    <v>5</v>
    <v>J</v>
    <v>J</v>
    <v>J</v>
    <v>J</v>
    <v>J</v>
    <v>7</v>
    <v>Kortrijk</v>
    <v>130</v>
    <v>Onderhoud Kortrijk</v>
    <v>145</v>
    <v>5996</v>
    <v>5996</v>
    <v>Hybride stad</v>
    <v>12-m bus</v>
    <v>Bus</v>
  </rv>
  <rv s="0">
    <v>0</v>
    <v>6002</v>
    <v>1</v>
    <v>Generic</v>
    <v>250</v>
    <v>0</v>
    <v>1</v>
    <v>30201</v>
    <v>45175</v>
    <v>West-Vlaanderen</v>
    <v>5</v>
    <v>J</v>
    <v>J</v>
    <v>J</v>
    <v/>
    <v>J</v>
    <v>41</v>
    <v>TRAM</v>
    <v>116</v>
    <v>Onderhoud Oostende- tram</v>
    <v>143</v>
    <v>6002</v>
    <v>6002</v>
    <v>Kust tussenkast</v>
    <v>Tram</v>
    <v>Tram</v>
  </rv>
  <rv s="0">
    <v>0</v>
    <v>6003</v>
    <v>1</v>
    <v>Generic</v>
    <v>250</v>
    <v>0</v>
    <v>1</v>
    <v>30203</v>
    <v>45175</v>
    <v>West-Vlaanderen</v>
    <v>5</v>
    <v>J</v>
    <v>J</v>
    <v>J</v>
    <v/>
    <v>J</v>
    <v>41</v>
    <v>TRAM</v>
    <v>116</v>
    <v>Onderhoud Oostende- tram</v>
    <v>143</v>
    <v>6003</v>
    <v>6003</v>
    <v>Kust tussenkast</v>
    <v>Tram</v>
    <v>Tram</v>
  </rv>
  <rv s="0">
    <v>0</v>
    <v>6007</v>
    <v>1</v>
    <v>Generic</v>
    <v>250</v>
    <v>0</v>
    <v>1</v>
    <v>30216</v>
    <v>45175</v>
    <v>West-Vlaanderen</v>
    <v>5</v>
    <v>J</v>
    <v>J</v>
    <v>J</v>
    <v/>
    <v>J</v>
    <v>41</v>
    <v>TRAM</v>
    <v>116</v>
    <v>Onderhoud Oostende- tram</v>
    <v>143</v>
    <v>6007</v>
    <v>6007</v>
    <v>Kust tussenkast</v>
    <v>Tram</v>
    <v>Tram</v>
  </rv>
  <rv s="0">
    <v>0</v>
    <v>6008</v>
    <v>1</v>
    <v>Generic</v>
    <v>250</v>
    <v>0</v>
    <v>1</v>
    <v>30222</v>
    <v>45175</v>
    <v>West-Vlaanderen</v>
    <v>5</v>
    <v>J</v>
    <v>J</v>
    <v>J</v>
    <v/>
    <v>J</v>
    <v>41</v>
    <v>TRAM</v>
    <v>116</v>
    <v>Onderhoud Oostende- tram</v>
    <v>143</v>
    <v>6008</v>
    <v>6008</v>
    <v>Kust tussenkast</v>
    <v>Tram</v>
    <v>Tram</v>
  </rv>
  <rv s="0">
    <v>0</v>
    <v>6012</v>
    <v>1</v>
    <v>Generic</v>
    <v>250</v>
    <v>0</v>
    <v>1</v>
    <v>30243</v>
    <v>45175</v>
    <v>West-Vlaanderen</v>
    <v>5</v>
    <v>J</v>
    <v>J</v>
    <v>J</v>
    <v/>
    <v>J</v>
    <v>41</v>
    <v>TRAM</v>
    <v>116</v>
    <v>Onderhoud Oostende- tram</v>
    <v>143</v>
    <v>6012</v>
    <v>6012</v>
    <v>Kust tussenkast</v>
    <v>Tram</v>
    <v>Tram</v>
  </rv>
  <rv s="0">
    <v>0</v>
    <v>6013</v>
    <v>1</v>
    <v>Generic</v>
    <v>250</v>
    <v>0</v>
    <v>1</v>
    <v>30252</v>
    <v>45175</v>
    <v>West-Vlaanderen</v>
    <v>5</v>
    <v>J</v>
    <v>J</v>
    <v>J</v>
    <v/>
    <v>J</v>
    <v>41</v>
    <v>TRAM</v>
    <v>116</v>
    <v>Onderhoud Oostende- tram</v>
    <v>143</v>
    <v>6013</v>
    <v>6013</v>
    <v>Kust tussenkast</v>
    <v>Tram</v>
    <v>Tram</v>
  </rv>
  <rv s="0">
    <v>0</v>
    <v>6016</v>
    <v>1</v>
    <v>Generic</v>
    <v>250</v>
    <v>0</v>
    <v>1</v>
    <v>30277</v>
    <v>45175</v>
    <v>West-Vlaanderen</v>
    <v>5</v>
    <v>J</v>
    <v>J</v>
    <v>J</v>
    <v/>
    <v>J</v>
    <v>41</v>
    <v>TRAM</v>
    <v>116</v>
    <v>Onderhoud Oostende- tram</v>
    <v>143</v>
    <v>6016</v>
    <v>6016</v>
    <v>Kust tussenkast</v>
    <v>Tram</v>
    <v>Tram</v>
  </rv>
  <rv s="0">
    <v>0</v>
    <v>6017</v>
    <v>1</v>
    <v>Generic</v>
    <v>250</v>
    <v>0</v>
    <v>1</v>
    <v>30279</v>
    <v>45175</v>
    <v>West-Vlaanderen</v>
    <v>5</v>
    <v>J</v>
    <v>J</v>
    <v>J</v>
    <v/>
    <v>J</v>
    <v>41</v>
    <v>TRAM</v>
    <v>116</v>
    <v>Onderhoud Oostende- tram</v>
    <v>143</v>
    <v>6017</v>
    <v>6017</v>
    <v>Kust tussenkast</v>
    <v>Tram</v>
    <v>Tram</v>
  </rv>
  <rv s="0">
    <v>0</v>
    <v>6018</v>
    <v>1</v>
    <v>Generic</v>
    <v>250</v>
    <v>0</v>
    <v>1</v>
    <v>30298</v>
    <v>45175</v>
    <v>West-Vlaanderen</v>
    <v>5</v>
    <v>J</v>
    <v>J</v>
    <v>J</v>
    <v/>
    <v>J</v>
    <v>41</v>
    <v>TRAM</v>
    <v>116</v>
    <v>Onderhoud Oostende- tram</v>
    <v>143</v>
    <v>6018</v>
    <v>6018</v>
    <v>Kust tussenkast</v>
    <v>Tram</v>
    <v>Tram</v>
  </rv>
  <rv s="0">
    <v>0</v>
    <v>6019</v>
    <v>1</v>
    <v>Generic</v>
    <v>250</v>
    <v>0</v>
    <v>1</v>
    <v>30300</v>
    <v>45175</v>
    <v>West-Vlaanderen</v>
    <v>5</v>
    <v>J</v>
    <v>J</v>
    <v>J</v>
    <v/>
    <v>J</v>
    <v>41</v>
    <v>TRAM</v>
    <v>116</v>
    <v>Onderhoud Oostende- tram</v>
    <v>143</v>
    <v>6019</v>
    <v>6019</v>
    <v>Kust tussenkast</v>
    <v>Tram</v>
    <v>Tram</v>
  </rv>
  <rv s="0">
    <v>0</v>
    <v>6025</v>
    <v>1</v>
    <v>Generic</v>
    <v>250</v>
    <v>0</v>
    <v>2</v>
    <v>30356</v>
    <v>45175</v>
    <v>Centrale Diensten</v>
    <v>9</v>
    <v>J</v>
    <v>J</v>
    <v>J</v>
    <v/>
    <v>J</v>
    <v>41</v>
    <v>Onbekend</v>
    <v>#</v>
    <v>Onbekend</v>
    <v>#</v>
    <v>6025</v>
    <v>6025</v>
    <v>Kust tussenkast</v>
    <v>Tram</v>
    <v>Tram</v>
  </rv>
  <rv s="0">
    <v>0</v>
    <v>6034</v>
    <v>1</v>
    <v>Generic</v>
    <v>250</v>
    <v>0</v>
    <v>1</v>
    <v>30419</v>
    <v>45175</v>
    <v>West-Vlaanderen</v>
    <v>5</v>
    <v>J</v>
    <v>J</v>
    <v>J</v>
    <v/>
    <v>J</v>
    <v>40</v>
    <v>Onbekend</v>
    <v>#</v>
    <v>Onbekend</v>
    <v>#</v>
    <v>6034</v>
    <v>6034</v>
    <v>Kust tussenkast</v>
    <v>Tram</v>
    <v>Tram</v>
  </rv>
  <rv s="0">
    <v>0</v>
    <v>6039</v>
    <v>1</v>
    <v>Generic</v>
    <v>250</v>
    <v>0</v>
    <v>1</v>
    <v>30474</v>
    <v>45175</v>
    <v>West-Vlaanderen</v>
    <v>5</v>
    <v>J</v>
    <v>J</v>
    <v>J</v>
    <v/>
    <v>J</v>
    <v>40</v>
    <v>TRAM</v>
    <v>116</v>
    <v>Onderhoud Oostende- tram</v>
    <v>143</v>
    <v>6039</v>
    <v>6039</v>
    <v>Kust tussenkast</v>
    <v>Tram</v>
    <v>Tram</v>
  </rv>
  <rv s="0">
    <v>0</v>
    <v>6102</v>
    <v>1</v>
    <v>Generic</v>
    <v>250</v>
    <v>0</v>
    <v>1</v>
    <v>29671</v>
    <v>45175</v>
    <v>West-Vlaanderen</v>
    <v>5</v>
    <v>J</v>
    <v>J</v>
    <v>J</v>
    <v/>
    <v>J</v>
    <v>43</v>
    <v>TRAM</v>
    <v>116</v>
    <v>Onderhoud Oostende- tram</v>
    <v>143</v>
    <v>6102</v>
    <v>6102</v>
    <v>Kust tussenkast</v>
    <v>Tram</v>
    <v>Tram</v>
  </rv>
  <rv s="0">
    <v>0</v>
    <v>6111</v>
    <v>1</v>
    <v>Generic</v>
    <v>263Z1</v>
    <v/>
    <v>1</v>
    <v>44293</v>
    <v>45175</v>
    <v>West-Vlaanderen</v>
    <v>5</v>
    <v>J</v>
    <v>J</v>
    <v>J</v>
    <v/>
    <v>J</v>
    <v>2</v>
    <v>Oostende Slijkensestwg</v>
    <v>118</v>
    <v>Onderhoud Oostende- tram</v>
    <v>143</v>
    <v>6111</v>
    <v>6111</v>
    <v>URBOS 100 MOD 5</v>
    <v>Tram</v>
    <v>Tram</v>
  </rv>
  <rv s="0">
    <v>0</v>
    <v>6112</v>
    <v>1</v>
    <v>Generic</v>
    <v>263Z1</v>
    <v/>
    <v>1</v>
    <v>44109</v>
    <v>45175</v>
    <v>West-Vlaanderen</v>
    <v>5</v>
    <v>J</v>
    <v>J</v>
    <v>J</v>
    <v/>
    <v>J</v>
    <v>3</v>
    <v>Oostende Slijkensestwg</v>
    <v>118</v>
    <v>Onderhoud Oostende- tram</v>
    <v>143</v>
    <v>6112</v>
    <v>6112</v>
    <v>URBOS 100 MOD 5</v>
    <v>Tram</v>
    <v>Tram</v>
  </rv>
  <rv s="0">
    <v>0</v>
    <v>6113</v>
    <v>1</v>
    <v>Generic</v>
    <v>263Z1</v>
    <v/>
    <v>1</v>
    <v>44113</v>
    <v>45175</v>
    <v>West-Vlaanderen</v>
    <v>5</v>
    <v>J</v>
    <v>J</v>
    <v>J</v>
    <v/>
    <v>J</v>
    <v>3</v>
    <v>Oostende Slijkensestwg</v>
    <v>118</v>
    <v>Onderhoud Oostende- tram</v>
    <v>143</v>
    <v>6113</v>
    <v>6113</v>
    <v>URBOS 100 MOD 5</v>
    <v>Tram</v>
    <v>Tram</v>
  </rv>
  <rv s="0">
    <v>0</v>
    <v>6114</v>
    <v>1</v>
    <v>Generic</v>
    <v>263Z1</v>
    <v/>
    <v>1</v>
    <v>44096</v>
    <v>45175</v>
    <v>West-Vlaanderen</v>
    <v>5</v>
    <v>J</v>
    <v>J</v>
    <v>J</v>
    <v/>
    <v>J</v>
    <v>3</v>
    <v>Oostende Slijkensestwg</v>
    <v>118</v>
    <v>Onderhoud Oostende- tram</v>
    <v>143</v>
    <v>6114</v>
    <v>6114</v>
    <v>URBOS 100 MOD 5</v>
    <v>Tram</v>
    <v>Tram</v>
  </rv>
  <rv s="0">
    <v>0</v>
    <v>6115</v>
    <v>1</v>
    <v>Generic</v>
    <v>263Z1</v>
    <v/>
    <v>1</v>
    <v>44123</v>
    <v>45175</v>
    <v>West-Vlaanderen</v>
    <v>5</v>
    <v>J</v>
    <v>J</v>
    <v>J</v>
    <v/>
    <v>J</v>
    <v>3</v>
    <v>Oostende Slijkensestwg</v>
    <v>118</v>
    <v>Onderhoud Oostende- tram</v>
    <v>143</v>
    <v>6115</v>
    <v>6115</v>
    <v>URBOS 100 MOD 5</v>
    <v>Tram</v>
    <v>Tram</v>
  </rv>
  <rv s="0">
    <v>0</v>
    <v>6116</v>
    <v>1</v>
    <v>Generic</v>
    <v>263Z1</v>
    <v/>
    <v>1</v>
    <v>44130</v>
    <v>45175</v>
    <v>West-Vlaanderen</v>
    <v>5</v>
    <v>J</v>
    <v>J</v>
    <v>J</v>
    <v/>
    <v>J</v>
    <v>3</v>
    <v>Oostende Slijkensestwg</v>
    <v>118</v>
    <v>Onderhoud Oostende- tram</v>
    <v>143</v>
    <v>6116</v>
    <v>6116</v>
    <v>URBOS 100 MOD 5</v>
    <v>Tram</v>
    <v>Tram</v>
  </rv>
  <rv s="0">
    <v>0</v>
    <v>6117</v>
    <v>1</v>
    <v>Generic</v>
    <v>263Z1</v>
    <v/>
    <v>1</v>
    <v>44202</v>
    <v>45175</v>
    <v>West-Vlaanderen</v>
    <v>5</v>
    <v>J</v>
    <v>J</v>
    <v>J</v>
    <v/>
    <v>J</v>
    <v>3</v>
    <v>Oostende Slijkensestwg</v>
    <v>118</v>
    <v>Onderhoud Oostende- tram</v>
    <v>143</v>
    <v>6117</v>
    <v>6117</v>
    <v>URBOS 100 MOD 5</v>
    <v>Tram</v>
    <v>Tram</v>
  </rv>
  <rv s="0">
    <v>0</v>
    <v>6118</v>
    <v>1</v>
    <v>Generic</v>
    <v>263Z1</v>
    <v/>
    <v>1</v>
    <v>44134</v>
    <v>45175</v>
    <v>West-Vlaanderen</v>
    <v>5</v>
    <v>J</v>
    <v>J</v>
    <v>J</v>
    <v/>
    <v>J</v>
    <v>3</v>
    <v>Oostende Slijkensestwg</v>
    <v>118</v>
    <v>Onderhoud Oostende- tram</v>
    <v>143</v>
    <v>6118</v>
    <v>6118</v>
    <v>URBOS 100 MOD 5</v>
    <v>Tram</v>
    <v>Tram</v>
  </rv>
  <rv s="0">
    <v>0</v>
    <v>6119</v>
    <v>1</v>
    <v>Generic</v>
    <v>263Z1</v>
    <v/>
    <v>1</v>
    <v>44151</v>
    <v>45175</v>
    <v>West-Vlaanderen</v>
    <v>5</v>
    <v>J</v>
    <v>J</v>
    <v>J</v>
    <v/>
    <v>J</v>
    <v>3</v>
    <v>Oostende Slijkensestwg</v>
    <v>118</v>
    <v>Onderhoud Oostende- tram</v>
    <v>143</v>
    <v>6119</v>
    <v>6119</v>
    <v>URBOS 100 MOD 5</v>
    <v>Tram</v>
    <v>Tram</v>
  </rv>
  <rv s="0">
    <v>0</v>
    <v>6120</v>
    <v>1</v>
    <v>Generic</v>
    <v>263Z1</v>
    <v/>
    <v>1</v>
    <v>44160</v>
    <v>45175</v>
    <v>West-Vlaanderen</v>
    <v>5</v>
    <v>J</v>
    <v>J</v>
    <v>J</v>
    <v/>
    <v>J</v>
    <v>3</v>
    <v>Oostende Slijkensestwg</v>
    <v>118</v>
    <v>Onderhoud Oostende- tram</v>
    <v>143</v>
    <v>6120</v>
    <v>6120</v>
    <v>URBOS 100 MOD 5</v>
    <v>Tram</v>
    <v>Tram</v>
  </rv>
  <rv s="0">
    <v>0</v>
    <v>6121</v>
    <v>1</v>
    <v>Generic</v>
    <v>263Z1</v>
    <v/>
    <v>1</v>
    <v>44172</v>
    <v>45175</v>
    <v>West-Vlaanderen</v>
    <v>5</v>
    <v>J</v>
    <v>J</v>
    <v>J</v>
    <v/>
    <v>J</v>
    <v>3</v>
    <v>Oostende Slijkensestwg</v>
    <v>118</v>
    <v>Onderhoud Oostende- tram</v>
    <v>143</v>
    <v>6121</v>
    <v>6121</v>
    <v>URBOS 100 MOD 5</v>
    <v>Tram</v>
    <v>Tram</v>
  </rv>
  <rv s="0">
    <v>0</v>
    <v>6122</v>
    <v>1</v>
    <v>Generic</v>
    <v>263Z1</v>
    <v/>
    <v>1</v>
    <v>44182</v>
    <v>45175</v>
    <v>West-Vlaanderen</v>
    <v>5</v>
    <v>J</v>
    <v>J</v>
    <v>J</v>
    <v/>
    <v>J</v>
    <v>3</v>
    <v>Oostende Slijkensestwg</v>
    <v>118</v>
    <v>Onderhoud Oostende- tram</v>
    <v>143</v>
    <v>6122</v>
    <v>6122</v>
    <v>URBOS 100 MOD 5</v>
    <v>Tram</v>
    <v>Tram</v>
  </rv>
  <rv s="0">
    <v>0</v>
    <v>6123</v>
    <v>1</v>
    <v>Generic</v>
    <v>263Z1</v>
    <v/>
    <v>1</v>
    <v>44214</v>
    <v>45175</v>
    <v>West-Vlaanderen</v>
    <v>5</v>
    <v>J</v>
    <v>J</v>
    <v>J</v>
    <v/>
    <v>J</v>
    <v>3</v>
    <v>Oostende Slijkensestwg</v>
    <v>118</v>
    <v>Onderhoud Oostende- tram</v>
    <v>143</v>
    <v>6123</v>
    <v>6123</v>
    <v>URBOS 100 MOD 5</v>
    <v>Tram</v>
    <v>Tram</v>
  </rv>
  <rv s="0">
    <v>0</v>
    <v>6124</v>
    <v>1</v>
    <v>Generic</v>
    <v>263Z1</v>
    <v/>
    <v>1</v>
    <v>44230</v>
    <v>45175</v>
    <v>West-Vlaanderen</v>
    <v>5</v>
    <v>J</v>
    <v>J</v>
    <v>J</v>
    <v/>
    <v>J</v>
    <v>3</v>
    <v>Oostende Slijkensestwg</v>
    <v>118</v>
    <v>Onderhoud Oostende- tram</v>
    <v>143</v>
    <v>6124</v>
    <v>6124</v>
    <v>URBOS 100 MOD 5</v>
    <v>Tram</v>
    <v>Tram</v>
  </rv>
  <rv s="0">
    <v>0</v>
    <v>6125</v>
    <v>1</v>
    <v>Generic</v>
    <v>263Z1</v>
    <v/>
    <v>1</v>
    <v>44225</v>
    <v>45175</v>
    <v>West-Vlaanderen</v>
    <v>5</v>
    <v>J</v>
    <v>J</v>
    <v>J</v>
    <v/>
    <v>J</v>
    <v>3</v>
    <v>Oostende Slijkensestwg</v>
    <v>118</v>
    <v>Onderhoud Oostende- tram</v>
    <v>143</v>
    <v>6125</v>
    <v>6125</v>
    <v>URBOS 100 MOD 5</v>
    <v>Tram</v>
    <v>Tram</v>
  </rv>
  <rv s="0">
    <v>0</v>
    <v>6126</v>
    <v>1</v>
    <v>Generic</v>
    <v>263Z1</v>
    <v/>
    <v>1</v>
    <v>44239</v>
    <v>45175</v>
    <v>West-Vlaanderen</v>
    <v>5</v>
    <v>J</v>
    <v>J</v>
    <v>J</v>
    <v/>
    <v>J</v>
    <v>3</v>
    <v>Oostende Slijkensestwg</v>
    <v>118</v>
    <v>Onderhoud Oostende- tram</v>
    <v>143</v>
    <v>6126</v>
    <v>6126</v>
    <v>URBOS 100 MOD 5</v>
    <v>Tram</v>
    <v>Tram</v>
  </rv>
  <rv s="0">
    <v>0</v>
    <v>6127</v>
    <v>1</v>
    <v>Generic</v>
    <v>263Z1</v>
    <v/>
    <v>1</v>
    <v>44249</v>
    <v>45175</v>
    <v>West-Vlaanderen</v>
    <v>5</v>
    <v>J</v>
    <v>J</v>
    <v>J</v>
    <v/>
    <v>J</v>
    <v>3</v>
    <v>Oostende Slijkensestwg</v>
    <v>118</v>
    <v>Onderhoud Oostende- tram</v>
    <v>143</v>
    <v>6127</v>
    <v>6127</v>
    <v>URBOS 100 MOD 5</v>
    <v>Tram</v>
    <v>Tram</v>
  </rv>
  <rv s="0">
    <v>0</v>
    <v>6128</v>
    <v>1</v>
    <v>Generic</v>
    <v>263Z1</v>
    <v/>
    <v>1</v>
    <v>44260</v>
    <v>45175</v>
    <v>West-Vlaanderen</v>
    <v>5</v>
    <v>J</v>
    <v>J</v>
    <v>J</v>
    <v/>
    <v>J</v>
    <v>3</v>
    <v>Oostende Slijkensestwg</v>
    <v>118</v>
    <v>Onderhoud Oostende- tram</v>
    <v>143</v>
    <v>6128</v>
    <v>6128</v>
    <v>URBOS 100 MOD 5</v>
    <v>Tram</v>
    <v>Tram</v>
  </rv>
  <rv s="0">
    <v>0</v>
    <v>6129</v>
    <v>1</v>
    <v>Generic</v>
    <v>263Z1</v>
    <v/>
    <v>1</v>
    <v>44266</v>
    <v>45175</v>
    <v>West-Vlaanderen</v>
    <v>5</v>
    <v>J</v>
    <v>J</v>
    <v>J</v>
    <v/>
    <v>J</v>
    <v>3</v>
    <v>Oostende Slijkensestwg</v>
    <v>118</v>
    <v>Onderhoud Oostende- tram</v>
    <v>143</v>
    <v>6129</v>
    <v>6129</v>
    <v>URBOS 100 MOD 5</v>
    <v>Tram</v>
    <v>Tram</v>
  </rv>
  <rv s="0">
    <v>0</v>
    <v>6130</v>
    <v>1</v>
    <v>Generic</v>
    <v>263Z1</v>
    <v/>
    <v>1</v>
    <v>44284</v>
    <v>45175</v>
    <v>West-Vlaanderen</v>
    <v>5</v>
    <v>J</v>
    <v>J</v>
    <v>J</v>
    <v/>
    <v>J</v>
    <v>2</v>
    <v>Oostende Slijkensestwg</v>
    <v>118</v>
    <v>Onderhoud Oostende- tram</v>
    <v>143</v>
    <v>6130</v>
    <v>6130</v>
    <v>URBOS 100 MOD 5</v>
    <v>Tram</v>
    <v>Tram</v>
  </rv>
  <rv s="0">
    <v>0</v>
    <v>6131</v>
    <v>1</v>
    <v>Generic</v>
    <v>263Z1</v>
    <v/>
    <v>1</v>
    <v>44294</v>
    <v>45175</v>
    <v>West-Vlaanderen</v>
    <v>5</v>
    <v>J</v>
    <v>J</v>
    <v>J</v>
    <v/>
    <v>J</v>
    <v>2</v>
    <v>Oostende Slijkensestwg</v>
    <v>118</v>
    <v>Onderhoud Oostende- tram</v>
    <v>143</v>
    <v>6131</v>
    <v>6131</v>
    <v>URBOS 100 MOD 5</v>
    <v>Tram</v>
    <v>Tram</v>
  </rv>
  <rv s="0">
    <v>0</v>
    <v>6132</v>
    <v>1</v>
    <v>Generic</v>
    <v>263Z1</v>
    <v/>
    <v>1</v>
    <v>44279</v>
    <v>45175</v>
    <v>West-Vlaanderen</v>
    <v>5</v>
    <v>J</v>
    <v>J</v>
    <v>J</v>
    <v/>
    <v>J</v>
    <v>2</v>
    <v>Oostende Slijkensestwg</v>
    <v>118</v>
    <v>Onderhoud Oostende- tram</v>
    <v>143</v>
    <v>6132</v>
    <v>6132</v>
    <v>URBOS 100 MOD 5</v>
    <v>Tram</v>
    <v>Tram</v>
  </rv>
  <rv s="0">
    <v>0</v>
    <v>6133</v>
    <v>1</v>
    <v>Generic</v>
    <v>263Z1</v>
    <v/>
    <v>1</v>
    <v>44326</v>
    <v>45175</v>
    <v>West-Vlaanderen</v>
    <v>5</v>
    <v>J</v>
    <v>J</v>
    <v>J</v>
    <v/>
    <v>J</v>
    <v>2</v>
    <v>Oostende Slijkensestwg</v>
    <v>118</v>
    <v>Onderhoud Oostende- tram</v>
    <v>143</v>
    <v>6133</v>
    <v>6133</v>
    <v>URBOS 100 MOD 5</v>
    <v>Tram</v>
    <v>Tram</v>
  </rv>
  <rv s="0">
    <v>0</v>
    <v>6134</v>
    <v>1</v>
    <v>Generic</v>
    <v>263Z1</v>
    <v/>
    <v>1</v>
    <v>44341</v>
    <v>45175</v>
    <v>West-Vlaanderen</v>
    <v>5</v>
    <v>J</v>
    <v>J</v>
    <v>J</v>
    <v/>
    <v>J</v>
    <v>2</v>
    <v>Oostende Slijkensestwg</v>
    <v>118</v>
    <v>Onderhoud Oostende- tram</v>
    <v>143</v>
    <v>6134</v>
    <v>6134</v>
    <v>URBOS 100 MOD 5</v>
    <v>Tram</v>
    <v>Tram</v>
  </rv>
  <rv s="0">
    <v>0</v>
    <v>6135</v>
    <v>1</v>
    <v>Generic</v>
    <v>263Z1</v>
    <v/>
    <v>1</v>
    <v>44341</v>
    <v>45175</v>
    <v>West-Vlaanderen</v>
    <v>5</v>
    <v>J</v>
    <v>J</v>
    <v>J</v>
    <v/>
    <v>J</v>
    <v>2</v>
    <v>Oostende Slijkensestwg</v>
    <v>118</v>
    <v>Onderhoud Oostende- tram</v>
    <v>143</v>
    <v>6135</v>
    <v>6135</v>
    <v>URBOS 100 MOD 5</v>
    <v>Tram</v>
    <v>Tram</v>
  </rv>
  <rv s="0">
    <v>0</v>
    <v>6136</v>
    <v>1</v>
    <v>Generic</v>
    <v>263Z1</v>
    <v/>
    <v>1</v>
    <v>44351</v>
    <v>45175</v>
    <v>West-Vlaanderen</v>
    <v>5</v>
    <v>J</v>
    <v>J</v>
    <v>J</v>
    <v/>
    <v>J</v>
    <v>2</v>
    <v>Oostende Slijkensestwg</v>
    <v>118</v>
    <v>Onderhoud Oostende- tram</v>
    <v>143</v>
    <v>6136</v>
    <v>6136</v>
    <v>URBOS 100 MOD 5</v>
    <v>Tram</v>
    <v>Tram</v>
  </rv>
  <rv s="0">
    <v>0</v>
    <v>6137</v>
    <v>1</v>
    <v>Generic</v>
    <v>263Z1</v>
    <v/>
    <v>1</v>
    <v>44351</v>
    <v>45175</v>
    <v>West-Vlaanderen</v>
    <v>5</v>
    <v>J</v>
    <v>J</v>
    <v>J</v>
    <v/>
    <v>J</v>
    <v>2</v>
    <v>Oostende Slijkensestwg</v>
    <v>118</v>
    <v>Onderhoud Oostende- tram</v>
    <v>143</v>
    <v>6137</v>
    <v>6137</v>
    <v>URBOS 100 MOD 5</v>
    <v>Tram</v>
    <v>Tram</v>
  </rv>
  <rv s="0">
    <v>0</v>
    <v>6138</v>
    <v>1</v>
    <v>Generic</v>
    <v>263Z1</v>
    <v/>
    <v>1</v>
    <v>44377</v>
    <v>45175</v>
    <v>West-Vlaanderen</v>
    <v>5</v>
    <v>J</v>
    <v>J</v>
    <v>J</v>
    <v/>
    <v>J</v>
    <v>2</v>
    <v>Oostende Slijkensestwg</v>
    <v>118</v>
    <v>Onderhoud Oostende- tram</v>
    <v>143</v>
    <v>6138</v>
    <v>6138</v>
    <v>URBOS 100 MOD 5</v>
    <v>Tram</v>
    <v>Tram</v>
  </rv>
  <rv s="0">
    <v>0</v>
    <v>6139</v>
    <v>1</v>
    <v>Generic</v>
    <v>263Z1</v>
    <v/>
    <v>1</v>
    <v>44377</v>
    <v>45175</v>
    <v>West-Vlaanderen</v>
    <v>5</v>
    <v>J</v>
    <v>J</v>
    <v>J</v>
    <v/>
    <v>J</v>
    <v>2</v>
    <v>Oostende Slijkensestwg</v>
    <v>118</v>
    <v>Onderhoud Oostende- tram</v>
    <v>143</v>
    <v>6139</v>
    <v>6139</v>
    <v>URBOS 100 MOD 5</v>
    <v>Tram</v>
    <v>Tram</v>
  </rv>
  <rv s="0">
    <v>0</v>
    <v>6140</v>
    <v>1</v>
    <v>Generic</v>
    <v>263Z1</v>
    <v/>
    <v>1</v>
    <v>44396</v>
    <v>45175</v>
    <v>West-Vlaanderen</v>
    <v>5</v>
    <v>J</v>
    <v>J</v>
    <v>J</v>
    <v/>
    <v>J</v>
    <v>2</v>
    <v>Oostende Slijkensestwg</v>
    <v>118</v>
    <v>Onderhoud Oostende- tram</v>
    <v>143</v>
    <v>6140</v>
    <v>6140</v>
    <v>URBOS 100 MOD 5</v>
    <v>Tram</v>
    <v>Tram</v>
  </rv>
  <rv s="0">
    <v>0</v>
    <v>6141</v>
    <v>1</v>
    <v>Generic</v>
    <v>263Z1</v>
    <v/>
    <v>1</v>
    <v>44410</v>
    <v>45175</v>
    <v>West-Vlaanderen</v>
    <v>5</v>
    <v>J</v>
    <v>J</v>
    <v>J</v>
    <v/>
    <v>J</v>
    <v>2</v>
    <v>Oostende Slijkensestwg</v>
    <v>118</v>
    <v>Onderhoud Oostende- tram</v>
    <v>143</v>
    <v>6141</v>
    <v>6141</v>
    <v>URBOS 100 MOD 5</v>
    <v>Tram</v>
    <v>Tram</v>
  </rv>
  <rv s="0">
    <v>0</v>
    <v>6142</v>
    <v>1</v>
    <v>Generic</v>
    <v>263Z1</v>
    <v/>
    <v>1</v>
    <v>44407</v>
    <v>45175</v>
    <v>West-Vlaanderen</v>
    <v>5</v>
    <v>J</v>
    <v>J</v>
    <v>J</v>
    <v/>
    <v>J</v>
    <v>2</v>
    <v>Oostende Slijkensestwg</v>
    <v>118</v>
    <v>Onderhoud Oostende- tram</v>
    <v>143</v>
    <v>6142</v>
    <v>6142</v>
    <v>URBOS 100 MOD 5</v>
    <v>Tram</v>
    <v>Tram</v>
  </rv>
  <rv s="0">
    <v>0</v>
    <v>6143</v>
    <v>1</v>
    <v>Generic</v>
    <v>263Z1</v>
    <v/>
    <v>1</v>
    <v>44406</v>
    <v>45175</v>
    <v>West-Vlaanderen</v>
    <v>5</v>
    <v>J</v>
    <v>J</v>
    <v>J</v>
    <v/>
    <v>J</v>
    <v>2</v>
    <v>Oostende Slijkensestwg</v>
    <v>118</v>
    <v>Onderhoud Oostende- tram</v>
    <v>143</v>
    <v>6143</v>
    <v>6143</v>
    <v>URBOS 100 MOD 5</v>
    <v>Tram</v>
    <v>Tram</v>
  </rv>
  <rv s="0">
    <v>0</v>
    <v>6144</v>
    <v>1</v>
    <v>Generic</v>
    <v>263Z1</v>
    <v/>
    <v>1</v>
    <v>44419</v>
    <v>45175</v>
    <v>West-Vlaanderen</v>
    <v>5</v>
    <v>J</v>
    <v>J</v>
    <v>J</v>
    <v/>
    <v>J</v>
    <v>2</v>
    <v>Oostende Slijkensestwg</v>
    <v>118</v>
    <v>Onderhoud Oostende- tram</v>
    <v>143</v>
    <v>6144</v>
    <v>6144</v>
    <v>URBOS 100 MOD 5</v>
    <v>Tram</v>
    <v>Tram</v>
  </rv>
  <rv s="0">
    <v>0</v>
    <v>6145</v>
    <v>1</v>
    <v>Generic</v>
    <v>263Z1</v>
    <v/>
    <v>1</v>
    <v>44446</v>
    <v>45175</v>
    <v>West-Vlaanderen</v>
    <v>5</v>
    <v>J</v>
    <v>J</v>
    <v>J</v>
    <v/>
    <v>J</v>
    <v>2</v>
    <v>Oostende Slijkensestwg</v>
    <v>118</v>
    <v>Onderhoud Oostende- tram</v>
    <v>143</v>
    <v>6145</v>
    <v>6145</v>
    <v>URBOS 100 MOD 5</v>
    <v>Tram</v>
    <v>Tram</v>
  </rv>
  <rv s="0">
    <v>0</v>
    <v>6146</v>
    <v>1</v>
    <v>Generic</v>
    <v>263Z1</v>
    <v/>
    <v>1</v>
    <v>44469</v>
    <v>45175</v>
    <v>West-Vlaanderen</v>
    <v>5</v>
    <v>J</v>
    <v>J</v>
    <v>J</v>
    <v/>
    <v>J</v>
    <v>2</v>
    <v>Oostende Slijkensestwg</v>
    <v>118</v>
    <v>Onderhoud Oostende- tram</v>
    <v>143</v>
    <v>6146</v>
    <v>6146</v>
    <v>URBOS 100 MOD 5</v>
    <v>Tram</v>
    <v>Tram</v>
  </rv>
  <rv s="0">
    <v>0</v>
    <v>6147</v>
    <v>1</v>
    <v>Generic</v>
    <v>263Z1</v>
    <v/>
    <v>1</v>
    <v>44469</v>
    <v>45175</v>
    <v>West-Vlaanderen</v>
    <v>5</v>
    <v>J</v>
    <v>J</v>
    <v>J</v>
    <v/>
    <v>J</v>
    <v>2</v>
    <v>Oostende Slijkensestwg</v>
    <v>118</v>
    <v>Onderhoud Oostende- tram</v>
    <v>143</v>
    <v>6147</v>
    <v>6147</v>
    <v>URBOS 100 MOD 5</v>
    <v>Tram</v>
    <v>Tram</v>
  </rv>
  <rv s="0">
    <v>0</v>
    <v>6148</v>
    <v>1</v>
    <v>Generic</v>
    <v>263Z1</v>
    <v/>
    <v>1</v>
    <v>44469</v>
    <v>45175</v>
    <v>West-Vlaanderen</v>
    <v>5</v>
    <v>J</v>
    <v>J</v>
    <v>J</v>
    <v/>
    <v>J</v>
    <v>2</v>
    <v>Oostende Slijkensestwg</v>
    <v>118</v>
    <v>Onderhoud Oostende- tram</v>
    <v>143</v>
    <v>6148</v>
    <v>6148</v>
    <v>URBOS 100 MOD 5</v>
    <v>Tram</v>
    <v>Tram</v>
  </rv>
  <rv s="0">
    <v>0</v>
    <v>6149</v>
    <v>1</v>
    <v>Generic</v>
    <v>263Z1</v>
    <v/>
    <v>1</v>
    <v>44494</v>
    <v>45175</v>
    <v>West-Vlaanderen</v>
    <v>5</v>
    <v>J</v>
    <v>J</v>
    <v>J</v>
    <v/>
    <v>J</v>
    <v>2</v>
    <v>Oostende Slijkensestwg</v>
    <v>118</v>
    <v>Onderhoud Oostende- tram</v>
    <v>143</v>
    <v>6149</v>
    <v>6149</v>
    <v>URBOS 100 MOD 5</v>
    <v>Tram</v>
    <v>Tram</v>
  </rv>
  <rv s="0">
    <v>0</v>
    <v>6150</v>
    <v>1</v>
    <v>Generic</v>
    <v>263Z1</v>
    <v/>
    <v>1</v>
    <v>44495</v>
    <v>45175</v>
    <v>West-Vlaanderen</v>
    <v>5</v>
    <v>J</v>
    <v>J</v>
    <v>J</v>
    <v/>
    <v>J</v>
    <v>2</v>
    <v>Oostende Slijkensestwg</v>
    <v>118</v>
    <v>Onderhoud Oostende- tram</v>
    <v>143</v>
    <v>6150</v>
    <v>6150</v>
    <v>URBOS 100 MOD 5</v>
    <v>Tram</v>
    <v>Tram</v>
  </rv>
  <rv s="0">
    <v>0</v>
    <v>6151</v>
    <v>1</v>
    <v>Generic</v>
    <v>263Z1</v>
    <v/>
    <v>1</v>
    <v>44497</v>
    <v>45175</v>
    <v>West-Vlaanderen</v>
    <v>5</v>
    <v>J</v>
    <v>J</v>
    <v>J</v>
    <v/>
    <v>J</v>
    <v>2</v>
    <v>Oostende Slijkensestwg</v>
    <v>118</v>
    <v>Onderhoud Oostende- tram</v>
    <v>143</v>
    <v>6151</v>
    <v>6151</v>
    <v>URBOS 100 MOD 5</v>
    <v>Tram</v>
    <v>Tram</v>
  </rv>
  <rv s="0">
    <v>0</v>
    <v>6152</v>
    <v>1</v>
    <v>Generic</v>
    <v>263Z1</v>
    <v/>
    <v>1</v>
    <v>44516</v>
    <v>45175</v>
    <v>West-Vlaanderen</v>
    <v>5</v>
    <v>J</v>
    <v>J</v>
    <v>J</v>
    <v/>
    <v>J</v>
    <v>2</v>
    <v>Oostende Slijkensestwg</v>
    <v>118</v>
    <v>Onderhoud Oostende- tram</v>
    <v>143</v>
    <v>6152</v>
    <v>6152</v>
    <v>URBOS 100 MOD 5</v>
    <v>Tram</v>
    <v>Tram</v>
  </rv>
  <rv s="0">
    <v>0</v>
    <v>6153</v>
    <v>1</v>
    <v>Generic</v>
    <v>263Z1</v>
    <v/>
    <v>1</v>
    <v>44524</v>
    <v>45175</v>
    <v>West-Vlaanderen</v>
    <v>5</v>
    <v>J</v>
    <v>J</v>
    <v>J</v>
    <v/>
    <v>J</v>
    <v>2</v>
    <v>Oostende Slijkensestwg</v>
    <v>118</v>
    <v>Onderhoud Oostende- tram</v>
    <v>143</v>
    <v>6153</v>
    <v>6153</v>
    <v>URBOS 100 MOD 5</v>
    <v>Tram</v>
    <v>Tram</v>
  </rv>
  <rv s="0">
    <v>0</v>
    <v>6154</v>
    <v>1</v>
    <v>Generic</v>
    <v>263Z1</v>
    <v/>
    <v>1</v>
    <v>44550</v>
    <v>45175</v>
    <v>West-Vlaanderen</v>
    <v>5</v>
    <v>J</v>
    <v>J</v>
    <v>J</v>
    <v/>
    <v>J</v>
    <v>2</v>
    <v>Oostende Slijkensestwg</v>
    <v>118</v>
    <v>Onderhoud Oostende- tram</v>
    <v>143</v>
    <v>6154</v>
    <v>6154</v>
    <v>URBOS 100 MOD 5</v>
    <v>Tram</v>
    <v>Tram</v>
  </rv>
  <rv s="0">
    <v>0</v>
    <v>6155</v>
    <v>1</v>
    <v>Generic</v>
    <v>263Z1</v>
    <v/>
    <v>1</v>
    <v>44540</v>
    <v>45175</v>
    <v>West-Vlaanderen</v>
    <v>5</v>
    <v>J</v>
    <v>J</v>
    <v>J</v>
    <v/>
    <v>J</v>
    <v>2</v>
    <v>Oostende Slijkensestwg</v>
    <v>118</v>
    <v>Onderhoud Oostende- tram</v>
    <v>143</v>
    <v>6155</v>
    <v>6155</v>
    <v>URBOS 100 MOD 5</v>
    <v>Tram</v>
    <v>Tram</v>
  </rv>
  <rv s="0">
    <v>0</v>
    <v>6156</v>
    <v>1</v>
    <v>Generic</v>
    <v>263Z1</v>
    <v/>
    <v>1</v>
    <v>44551</v>
    <v>45175</v>
    <v>West-Vlaanderen</v>
    <v>5</v>
    <v>J</v>
    <v>J</v>
    <v>J</v>
    <v/>
    <v>J</v>
    <v>2</v>
    <v>Oostende Slijkensestwg</v>
    <v>118</v>
    <v>Onderhoud Oostende- tram</v>
    <v>143</v>
    <v>6156</v>
    <v>6156</v>
    <v>URBOS 100 MOD 5</v>
    <v>Tram</v>
    <v>Tram</v>
  </rv>
  <rv s="0">
    <v>0</v>
    <v>6157</v>
    <v>1</v>
    <v>Generic</v>
    <v>263Z1</v>
    <v/>
    <v>1</v>
    <v>44613</v>
    <v>45175</v>
    <v>West-Vlaanderen</v>
    <v>5</v>
    <v>J</v>
    <v>J</v>
    <v>J</v>
    <v/>
    <v>J</v>
    <v>2</v>
    <v>Oostende Slijkensestwg</v>
    <v>118</v>
    <v>Onderhoud Oostende- tram</v>
    <v>143</v>
    <v>6157</v>
    <v>6157</v>
    <v>URBOS 100 MOD 5</v>
    <v>Tram</v>
    <v>Tram</v>
  </rv>
  <rv s="0">
    <v>0</v>
    <v>6158</v>
    <v>1</v>
    <v>Generic</v>
    <v>263Z1</v>
    <v/>
    <v>1</v>
    <v>44613</v>
    <v>45175</v>
    <v>West-Vlaanderen</v>
    <v>5</v>
    <v>J</v>
    <v>J</v>
    <v>J</v>
    <v/>
    <v>J</v>
    <v>2</v>
    <v>Oostende Slijkensestwg</v>
    <v>118</v>
    <v>Onderhoud Oostende- tram</v>
    <v>143</v>
    <v>6158</v>
    <v>6158</v>
    <v>URBOS 100 MOD 5</v>
    <v>Tram</v>
    <v>Tram</v>
  </rv>
  <rv s="0">
    <v>0</v>
    <v>6202</v>
    <v>1</v>
    <v>Generic</v>
    <v>MIVG</v>
    <v>0</v>
    <v>1</v>
    <v>26299</v>
    <v>45175</v>
    <v>Antwerpen</v>
    <v>1</v>
    <v>N</v>
    <v>N</v>
    <v>N</v>
    <v/>
    <v>N</v>
    <v>52</v>
    <v>Punt a/d Lijn</v>
    <v>130</v>
    <v>OC Noorderlaan</v>
    <v>154</v>
    <v>6202</v>
    <v>6202</v>
    <v>PCC vernieuwd</v>
    <v>Tram</v>
    <v>Tram</v>
  </rv>
  <rv s="0">
    <v>0</v>
    <v>6203</v>
    <v>1</v>
    <v>Generic</v>
    <v>MIVG</v>
    <v>0</v>
    <v>2</v>
    <v>26299</v>
    <v>45175</v>
    <v>Oost-Vlaanderen</v>
    <v>2</v>
    <v>N</v>
    <v>N</v>
    <v>N</v>
    <v/>
    <v>N</v>
    <v>52</v>
    <v>Gentbrugge</v>
    <v>112</v>
    <v>Werkhuis Gentbrugge</v>
    <v>141</v>
    <v>6203</v>
    <v>6203</v>
    <v>PCC vernieuwd</v>
    <v>Tram</v>
    <v>Tram</v>
  </rv>
  <rv s="0">
    <v>0</v>
    <v>6204</v>
    <v>1</v>
    <v>Generic</v>
    <v>MIVG</v>
    <v>0</v>
    <v>2</v>
    <v>26299</v>
    <v>45175</v>
    <v>Oost-Vlaanderen</v>
    <v>2</v>
    <v>N</v>
    <v>N</v>
    <v>N</v>
    <v/>
    <v>N</v>
    <v>52</v>
    <v>Gentbrugge</v>
    <v>112</v>
    <v>Werkhuis Gentbrugge</v>
    <v>141</v>
    <v>6204</v>
    <v>6204</v>
    <v>PCC vernieuwd</v>
    <v>Tram</v>
    <v>Tram</v>
  </rv>
  <rv s="0">
    <v>0</v>
    <v>6205</v>
    <v>1</v>
    <v>Generic</v>
    <v>MIVG</v>
    <v>0</v>
    <v>1</v>
    <v>26299</v>
    <v>45175</v>
    <v>Antwerpen</v>
    <v>1</v>
    <v>N</v>
    <v>N</v>
    <v>N</v>
    <v/>
    <v>N</v>
    <v>52</v>
    <v>Punt a/d Lijn</v>
    <v>130</v>
    <v>OC Noorderlaan</v>
    <v>154</v>
    <v>6205</v>
    <v>6205</v>
    <v>PCC vernieuwd</v>
    <v>Tram</v>
    <v>Tram</v>
  </rv>
  <rv s="0">
    <v>0</v>
    <v>6206</v>
    <v>1</v>
    <v>Generic</v>
    <v>MIVG</v>
    <v>0</v>
    <v>2</v>
    <v>26299</v>
    <v>45175</v>
    <v>Oost-Vlaanderen</v>
    <v>2</v>
    <v>N</v>
    <v>N</v>
    <v>N</v>
    <v/>
    <v>N</v>
    <v>52</v>
    <v>Gentbrugge</v>
    <v>112</v>
    <v>Werkhuis Gentbrugge</v>
    <v>141</v>
    <v>6206</v>
    <v>6206</v>
    <v>PCC vernieuwd</v>
    <v>Tram</v>
    <v>Tram</v>
  </rv>
  <rv s="0">
    <v>0</v>
    <v>6207</v>
    <v>1</v>
    <v>Generic</v>
    <v>MIVG</v>
    <v>0</v>
    <v>1</v>
    <v>26299</v>
    <v>45175</v>
    <v>Antwerpen</v>
    <v>1</v>
    <v>N</v>
    <v>N</v>
    <v>N</v>
    <v/>
    <v>N</v>
    <v>52</v>
    <v>Punt a/d Lijn</v>
    <v>130</v>
    <v>OC Noorderlaan</v>
    <v>154</v>
    <v>6207</v>
    <v>6207</v>
    <v>PCC vernieuwd</v>
    <v>Tram</v>
    <v>Tram</v>
  </rv>
  <rv s="0">
    <v>0</v>
    <v>6208</v>
    <v>1</v>
    <v>Generic</v>
    <v>MIVG</v>
    <v>0</v>
    <v>1</v>
    <v>26299</v>
    <v>45175</v>
    <v>Oost-Vlaanderen</v>
    <v>2</v>
    <v>N</v>
    <v>N</v>
    <v>N</v>
    <v/>
    <v>N</v>
    <v>52</v>
    <v>Gentbrugge</v>
    <v>112</v>
    <v>Werkhuis Gentbrugge</v>
    <v>141</v>
    <v>6208</v>
    <v>6208</v>
    <v>PCC vernieuwd</v>
    <v>Tram</v>
    <v>Tram</v>
  </rv>
  <rv s="0">
    <v>0</v>
    <v>6209</v>
    <v>1</v>
    <v>Generic</v>
    <v>MIVG</v>
    <v>0</v>
    <v>2</v>
    <v>26299</v>
    <v>45175</v>
    <v>Oost-Vlaanderen</v>
    <v>2</v>
    <v>N</v>
    <v>N</v>
    <v>N</v>
    <v/>
    <v>N</v>
    <v>52</v>
    <v>Gentbrugge</v>
    <v>112</v>
    <v>Werkhuis Gentbrugge</v>
    <v>141</v>
    <v>6209</v>
    <v>6209</v>
    <v>PCC vernieuwd</v>
    <v>Tram</v>
    <v>Tram</v>
  </rv>
  <rv s="0">
    <v>0</v>
    <v>6210</v>
    <v>1</v>
    <v>Generic</v>
    <v>MIVG</v>
    <v>0</v>
    <v>2</v>
    <v>26299</v>
    <v>45175</v>
    <v>Oost-Vlaanderen</v>
    <v>2</v>
    <v>N</v>
    <v>N</v>
    <v>N</v>
    <v/>
    <v>N</v>
    <v>52</v>
    <v>Gentbrugge</v>
    <v>112</v>
    <v>Werkhuis Gentbrugge</v>
    <v>141</v>
    <v>6210</v>
    <v>6210</v>
    <v>PCC vernieuwd</v>
    <v>Tram</v>
    <v>Tram</v>
  </rv>
  <rv s="0">
    <v>0</v>
    <v>6211</v>
    <v>1</v>
    <v>Generic</v>
    <v>MIVG</v>
    <v>0</v>
    <v>1</v>
    <v>26299</v>
    <v>45175</v>
    <v>Antwerpen</v>
    <v>1</v>
    <v>N</v>
    <v>N</v>
    <v>N</v>
    <v/>
    <v>N</v>
    <v>52</v>
    <v>Deurne tramstelplaats</v>
    <v>133</v>
    <v>Noorderlaan - Punt a/d Lijn</v>
    <v>150</v>
    <v>6211</v>
    <v>6211</v>
    <v>PCC vernieuwd</v>
    <v>Tram</v>
    <v>Tram</v>
  </rv>
  <rv s="0">
    <v>0</v>
    <v>6212</v>
    <v>1</v>
    <v>Generic</v>
    <v>MIVG</v>
    <v>0</v>
    <v>2</v>
    <v>26299</v>
    <v>45175</v>
    <v>Oost-Vlaanderen</v>
    <v>2</v>
    <v>N</v>
    <v>N</v>
    <v>N</v>
    <v/>
    <v>N</v>
    <v>52</v>
    <v>Gentbrugge</v>
    <v>112</v>
    <v>Werkhuis Gentbrugge</v>
    <v>141</v>
    <v>6212</v>
    <v>6212</v>
    <v>PCC vernieuwd</v>
    <v>Tram</v>
    <v>Tram</v>
  </rv>
  <rv s="0">
    <v>0</v>
    <v>6213</v>
    <v>1</v>
    <v>Generic</v>
    <v>MIVG</v>
    <v>0</v>
    <v>2</v>
    <v>26299</v>
    <v>45175</v>
    <v>Oost-Vlaanderen</v>
    <v>2</v>
    <v>N</v>
    <v>N</v>
    <v>N</v>
    <v/>
    <v>N</v>
    <v>52</v>
    <v>Gentbrugge</v>
    <v>112</v>
    <v>Werkhuis Gentbrugge</v>
    <v>141</v>
    <v>6213</v>
    <v>6213</v>
    <v>PCC vernieuwd</v>
    <v>Tram</v>
    <v>Tram</v>
  </rv>
  <rv s="0">
    <v>0</v>
    <v>6214</v>
    <v>1</v>
    <v>Generic</v>
    <v>MIVG</v>
    <v>0</v>
    <v>1</v>
    <v>26299</v>
    <v>45175</v>
    <v>Antwerpen</v>
    <v>1</v>
    <v>N</v>
    <v>N</v>
    <v>N</v>
    <v/>
    <v>N</v>
    <v>52</v>
    <v>Punt a/d Lijn</v>
    <v>130</v>
    <v>OC Noorderlaan</v>
    <v>154</v>
    <v>6214</v>
    <v>6214</v>
    <v>PCC vernieuwd</v>
    <v>Tram</v>
    <v>Tram</v>
  </rv>
  <rv s="0">
    <v>0</v>
    <v>6215</v>
    <v>1</v>
    <v>Generic</v>
    <v>MIVG</v>
    <v>0</v>
    <v>2</v>
    <v>26299</v>
    <v>45175</v>
    <v>Oost-Vlaanderen</v>
    <v>2</v>
    <v>N</v>
    <v>N</v>
    <v>N</v>
    <v/>
    <v>N</v>
    <v>52</v>
    <v>Gentbrugge</v>
    <v>112</v>
    <v>Werkhuis Gentbrugge</v>
    <v>141</v>
    <v>6215</v>
    <v>6215</v>
    <v>PCC vernieuwd</v>
    <v>Tram</v>
    <v>Tram</v>
  </rv>
  <rv s="0">
    <v>0</v>
    <v>6216</v>
    <v>1</v>
    <v>Generic</v>
    <v>MIVG</v>
    <v>0</v>
    <v>2</v>
    <v>26299</v>
    <v>45175</v>
    <v>Oost-Vlaanderen</v>
    <v>2</v>
    <v>N</v>
    <v>N</v>
    <v>N</v>
    <v/>
    <v>N</v>
    <v>52</v>
    <v>Gentbrugge</v>
    <v>112</v>
    <v>Werkhuis Gentbrugge</v>
    <v>141</v>
    <v>6216</v>
    <v>6216</v>
    <v>PCC vernieuwd</v>
    <v>Tram</v>
    <v>Tram</v>
  </rv>
  <rv s="0">
    <v>0</v>
    <v>6217</v>
    <v>1</v>
    <v>Generic</v>
    <v>MIVG</v>
    <v>0</v>
    <v>1</v>
    <v>26299</v>
    <v>45175</v>
    <v>Antwerpen</v>
    <v>1</v>
    <v>N</v>
    <v>N</v>
    <v>N</v>
    <v/>
    <v>N</v>
    <v>52</v>
    <v>Punt a/d Lijn</v>
    <v>130</v>
    <v>OC Noorderlaan</v>
    <v>154</v>
    <v>6217</v>
    <v>6217</v>
    <v>PCC vernieuwd</v>
    <v>Tram</v>
    <v>Tram</v>
  </rv>
  <rv s="0">
    <v>0</v>
    <v>6218</v>
    <v>1</v>
    <v>Generic</v>
    <v>MIVG</v>
    <v>0</v>
    <v>2</v>
    <v>26299</v>
    <v>45175</v>
    <v>Oost-Vlaanderen</v>
    <v>2</v>
    <v>N</v>
    <v>N</v>
    <v>N</v>
    <v/>
    <v>N</v>
    <v>52</v>
    <v>Gentbrugge</v>
    <v>112</v>
    <v>Werkhuis Gentbrugge</v>
    <v>141</v>
    <v>6218</v>
    <v>6218</v>
    <v>PCC vernieuwd</v>
    <v>Tram</v>
    <v>Tram</v>
  </rv>
  <rv s="0">
    <v>0</v>
    <v>6219</v>
    <v>1</v>
    <v>Generic</v>
    <v>MIVG</v>
    <v>0</v>
    <v>2</v>
    <v>26299</v>
    <v>45175</v>
    <v>Oost-Vlaanderen</v>
    <v>2</v>
    <v>N</v>
    <v>N</v>
    <v>N</v>
    <v/>
    <v>N</v>
    <v>52</v>
    <v>Gentbrugge</v>
    <v>112</v>
    <v>Werkhuis Gentbrugge</v>
    <v>141</v>
    <v>6219</v>
    <v>6219</v>
    <v>PCC vernieuwd</v>
    <v>Tram</v>
    <v>Tram</v>
  </rv>
  <rv s="0">
    <v>0</v>
    <v>6220</v>
    <v>1</v>
    <v>Generic</v>
    <v>MIVG</v>
    <v>0</v>
    <v>1</v>
    <v>26299</v>
    <v>45175</v>
    <v>Antwerpen</v>
    <v>1</v>
    <v>N</v>
    <v>N</v>
    <v>N</v>
    <v/>
    <v>N</v>
    <v>52</v>
    <v>Punt a/d Lijn</v>
    <v>130</v>
    <v>OC Noorderlaan</v>
    <v>154</v>
    <v>6220</v>
    <v>6220</v>
    <v>PCC vernieuwd</v>
    <v>Tram</v>
    <v>Tram</v>
  </rv>
  <rv s="0">
    <v>0</v>
    <v>6221</v>
    <v>1</v>
    <v>Generic</v>
    <v>MIVG</v>
    <v>0</v>
    <v>2</v>
    <v>26299</v>
    <v>45175</v>
    <v>Oost-Vlaanderen</v>
    <v>2</v>
    <v>N</v>
    <v>N</v>
    <v>N</v>
    <v/>
    <v>N</v>
    <v>52</v>
    <v>Gentbrugge</v>
    <v>112</v>
    <v>Werkhuis Gentbrugge</v>
    <v>141</v>
    <v>6221</v>
    <v>6221</v>
    <v>PCC vernieuwd</v>
    <v>Tram</v>
    <v>Tram</v>
  </rv>
  <rv s="0">
    <v>0</v>
    <v>6222</v>
    <v>1</v>
    <v>Generic</v>
    <v>MIVG</v>
    <v>0</v>
    <v>2</v>
    <v>26299</v>
    <v>45175</v>
    <v>Oost-Vlaanderen</v>
    <v>2</v>
    <v>N</v>
    <v>N</v>
    <v>N</v>
    <v/>
    <v>N</v>
    <v>52</v>
    <v>Gentbrugge</v>
    <v>112</v>
    <v>Werkhuis Gentbrugge</v>
    <v>141</v>
    <v>6222</v>
    <v>6222</v>
    <v>PCC vernieuwd</v>
    <v>Tram</v>
    <v>Tram</v>
  </rv>
  <rv s="0">
    <v>0</v>
    <v>6301</v>
    <v>1</v>
    <v>Generic</v>
    <v>252</v>
    <v>0</v>
    <v>1</v>
    <v>36619</v>
    <v>45175</v>
    <v>Oost-Vlaanderen</v>
    <v>2</v>
    <v>J</v>
    <v>J</v>
    <v>N</v>
    <v/>
    <v>N</v>
    <v>23</v>
    <v>Gentbrugge</v>
    <v>112</v>
    <v>Werkhuis Gentbrugge</v>
    <v>141</v>
    <v>6301</v>
    <v>6301</v>
    <v>DE HermeLIJN</v>
    <v>Tram</v>
    <v>Tram</v>
  </rv>
  <rv s="0">
    <v>0</v>
    <v>6302</v>
    <v>1</v>
    <v>Generic</v>
    <v>252</v>
    <v>0</v>
    <v>1</v>
    <v>36817</v>
    <v>45175</v>
    <v>Oost-Vlaanderen</v>
    <v>2</v>
    <v>J</v>
    <v>J</v>
    <v>N</v>
    <v/>
    <v>N</v>
    <v>23</v>
    <v>Gentbrugge</v>
    <v>112</v>
    <v>Werkhuis Gentbrugge</v>
    <v>141</v>
    <v>6302</v>
    <v>6302</v>
    <v>DE HermeLIJN</v>
    <v>Tram</v>
    <v>Tram</v>
  </rv>
  <rv s="0">
    <v>0</v>
    <v>6303</v>
    <v>1</v>
    <v>Generic</v>
    <v>252</v>
    <v>0</v>
    <v>1</v>
    <v>36836</v>
    <v>45175</v>
    <v>Oost-Vlaanderen</v>
    <v>2</v>
    <v>J</v>
    <v>J</v>
    <v>N</v>
    <v/>
    <v>N</v>
    <v>23</v>
    <v>Gentbrugge</v>
    <v>112</v>
    <v>Werkhuis Gentbrugge</v>
    <v>141</v>
    <v>6303</v>
    <v>6303</v>
    <v>DE HermeLIJN</v>
    <v>Tram</v>
    <v>Tram</v>
  </rv>
  <rv s="0">
    <v>0</v>
    <v>6304</v>
    <v>1</v>
    <v>Generic</v>
    <v>252</v>
    <v>0</v>
    <v>1</v>
    <v>36556</v>
    <v>45175</v>
    <v>Oost-Vlaanderen</v>
    <v>2</v>
    <v>J</v>
    <v>J</v>
    <v>N</v>
    <v/>
    <v>N</v>
    <v>24</v>
    <v>Gentbrugge</v>
    <v>112</v>
    <v>Werkhuis Gentbrugge</v>
    <v>141</v>
    <v>6304</v>
    <v>6304</v>
    <v>DE HermeLIJN</v>
    <v>Tram</v>
    <v>Tram</v>
  </rv>
  <rv s="0">
    <v>0</v>
    <v>6305</v>
    <v>1</v>
    <v>Generic</v>
    <v>252</v>
    <v>0</v>
    <v>1</v>
    <v>36584</v>
    <v>45175</v>
    <v>Oost-Vlaanderen</v>
    <v>2</v>
    <v>J</v>
    <v>J</v>
    <v>N</v>
    <v/>
    <v>N</v>
    <v>24</v>
    <v>Gentbrugge</v>
    <v>112</v>
    <v>Werkhuis Gentbrugge</v>
    <v>141</v>
    <v>6305</v>
    <v>6305</v>
    <v>DE HermeLIJN</v>
    <v>Tram</v>
    <v>Tram</v>
  </rv>
  <rv s="0">
    <v>0</v>
    <v>6306</v>
    <v>1</v>
    <v>Generic</v>
    <v>252</v>
    <v>0</v>
    <v>1</v>
    <v>36573</v>
    <v>45175</v>
    <v>Oost-Vlaanderen</v>
    <v>2</v>
    <v>J</v>
    <v>J</v>
    <v>N</v>
    <v/>
    <v>N</v>
    <v>24</v>
    <v>Gentbrugge</v>
    <v>112</v>
    <v>Werkhuis Gentbrugge</v>
    <v>141</v>
    <v>6306</v>
    <v>6306</v>
    <v>DE HermeLIJN</v>
    <v>Tram</v>
    <v>Tram</v>
  </rv>
  <rv s="0">
    <v>0</v>
    <v>6307</v>
    <v>1</v>
    <v>Generic</v>
    <v>252</v>
    <v>0</v>
    <v>1</v>
    <v>36836</v>
    <v>45175</v>
    <v>Oost-Vlaanderen</v>
    <v>2</v>
    <v>J</v>
    <v>J</v>
    <v>N</v>
    <v/>
    <v>N</v>
    <v>23</v>
    <v>Gentbrugge</v>
    <v>112</v>
    <v>Werkhuis Gentbrugge</v>
    <v>141</v>
    <v>6307</v>
    <v>6307</v>
    <v>DE HermeLIJN</v>
    <v>Tram</v>
    <v>Tram</v>
  </rv>
  <rv s="0">
    <v>0</v>
    <v>6308</v>
    <v>1</v>
    <v>Generic</v>
    <v>252</v>
    <v>0</v>
    <v>1</v>
    <v>36879</v>
    <v>45175</v>
    <v>Oost-Vlaanderen</v>
    <v>2</v>
    <v>J</v>
    <v>J</v>
    <v>N</v>
    <v/>
    <v>N</v>
    <v>23</v>
    <v>Gentbrugge</v>
    <v>112</v>
    <v>Werkhuis Gentbrugge</v>
    <v>141</v>
    <v>6308</v>
    <v>6308</v>
    <v>DE HermeLIJN</v>
    <v>Tram</v>
    <v>Tram</v>
  </rv>
  <rv s="0">
    <v>0</v>
    <v>6309</v>
    <v>1</v>
    <v>Generic</v>
    <v>252</v>
    <v>0</v>
    <v>1</v>
    <v>36858</v>
    <v>45175</v>
    <v>Oost-Vlaanderen</v>
    <v>2</v>
    <v>J</v>
    <v>J</v>
    <v>N</v>
    <v/>
    <v>N</v>
    <v>23</v>
    <v>Gentbrugge</v>
    <v>112</v>
    <v>Werkhuis Gentbrugge</v>
    <v>141</v>
    <v>6309</v>
    <v>6309</v>
    <v>DE HermeLIJN</v>
    <v>Tram</v>
    <v>Tram</v>
  </rv>
  <rv s="0">
    <v>0</v>
    <v>6310</v>
    <v>1</v>
    <v>Generic</v>
    <v>252</v>
    <v>0</v>
    <v>1</v>
    <v>36879</v>
    <v>45175</v>
    <v>Oost-Vlaanderen</v>
    <v>2</v>
    <v>J</v>
    <v>J</v>
    <v>N</v>
    <v/>
    <v>N</v>
    <v>23</v>
    <v>Gentbrugge</v>
    <v>112</v>
    <v>Werkhuis Gentbrugge</v>
    <v>141</v>
    <v>6310</v>
    <v>6310</v>
    <v>DE HermeLIJN</v>
    <v>Tram</v>
    <v>Tram</v>
  </rv>
  <rv s="0">
    <v>0</v>
    <v>6311</v>
    <v>1</v>
    <v>Generic</v>
    <v>252</v>
    <v>0</v>
    <v>1</v>
    <v>36913</v>
    <v>45175</v>
    <v>Oost-Vlaanderen</v>
    <v>2</v>
    <v>J</v>
    <v>J</v>
    <v>N</v>
    <v/>
    <v>N</v>
    <v>23</v>
    <v>Gentbrugge</v>
    <v>112</v>
    <v>Werkhuis Gentbrugge</v>
    <v>141</v>
    <v>6311</v>
    <v>6311</v>
    <v>DE HermeLIJN</v>
    <v>Tram</v>
    <v>Tram</v>
  </rv>
  <rv s="0">
    <v>0</v>
    <v>6312</v>
    <v>1</v>
    <v>Generic</v>
    <v>252</v>
    <v>0</v>
    <v>1</v>
    <v>36938</v>
    <v>45175</v>
    <v>Oost-Vlaanderen</v>
    <v>2</v>
    <v>J</v>
    <v>J</v>
    <v>N</v>
    <v/>
    <v>N</v>
    <v>23</v>
    <v>Gentbrugge</v>
    <v>112</v>
    <v>Werkhuis Gentbrugge</v>
    <v>141</v>
    <v>6312</v>
    <v>6312</v>
    <v>DE HermeLIJN</v>
    <v>Tram</v>
    <v>Tram</v>
  </rv>
  <rv s="0">
    <v>0</v>
    <v>6313</v>
    <v>1</v>
    <v>Generic</v>
    <v>252</v>
    <v>0</v>
    <v>1</v>
    <v>37244</v>
    <v>45175</v>
    <v>Oost-Vlaanderen</v>
    <v>2</v>
    <v>J</v>
    <v>J</v>
    <v>N</v>
    <v/>
    <v>N</v>
    <v>22</v>
    <v>Gentbrugge</v>
    <v>112</v>
    <v>Werkhuis Gentbrugge</v>
    <v>141</v>
    <v>6313</v>
    <v>6313</v>
    <v>DE HermeLIJN</v>
    <v>Tram</v>
    <v>Tram</v>
  </rv>
  <rv s="0">
    <v>0</v>
    <v>6314</v>
    <v>1</v>
    <v>Generic</v>
    <v>252</v>
    <v>0</v>
    <v>1</v>
    <v>37307</v>
    <v>45175</v>
    <v>Oost-Vlaanderen</v>
    <v>2</v>
    <v>J</v>
    <v>J</v>
    <v>N</v>
    <v/>
    <v>N</v>
    <v>22</v>
    <v>Gentbrugge</v>
    <v>112</v>
    <v>Werkhuis Gentbrugge</v>
    <v>141</v>
    <v>6314</v>
    <v>6314</v>
    <v>DE HermeLIJN</v>
    <v>Tram</v>
    <v>Tram</v>
  </rv>
  <rv s="0">
    <v>0</v>
    <v>6315</v>
    <v>1</v>
    <v>Generic</v>
    <v>252</v>
    <v>0</v>
    <v>1</v>
    <v>38407</v>
    <v>45175</v>
    <v>Oost-Vlaanderen</v>
    <v>2</v>
    <v>J</v>
    <v>J</v>
    <v>J</v>
    <v/>
    <v>J</v>
    <v>19</v>
    <v>Gentbrugge</v>
    <v>112</v>
    <v>Werkhuis Gentbrugge</v>
    <v>141</v>
    <v>6315</v>
    <v>6315</v>
    <v>DE HermeLIJN</v>
    <v>Tram</v>
    <v>Tram</v>
  </rv>
  <rv s="0">
    <v>0</v>
    <v>6316</v>
    <v>1</v>
    <v>Generic</v>
    <v>252</v>
    <v>0</v>
    <v>1</v>
    <v>38420</v>
    <v>45175</v>
    <v>Oost-Vlaanderen</v>
    <v>2</v>
    <v>J</v>
    <v>J</v>
    <v>J</v>
    <v/>
    <v>J</v>
    <v>19</v>
    <v>Gentbrugge</v>
    <v>112</v>
    <v>Werkhuis Gentbrugge</v>
    <v>141</v>
    <v>6316</v>
    <v>6316</v>
    <v>DE HermeLIJN</v>
    <v>Tram</v>
    <v>Tram</v>
  </rv>
  <rv s="0">
    <v>0</v>
    <v>6317</v>
    <v>1</v>
    <v>Generic</v>
    <v>252</v>
    <v>0</v>
    <v>1</v>
    <v>38434</v>
    <v>45175</v>
    <v>Oost-Vlaanderen</v>
    <v>2</v>
    <v>J</v>
    <v>J</v>
    <v>J</v>
    <v/>
    <v>J</v>
    <v>18</v>
    <v>Gentbrugge</v>
    <v>112</v>
    <v>Werkhuis Gentbrugge</v>
    <v>141</v>
    <v>6317</v>
    <v>6317</v>
    <v>DE HermeLIJN</v>
    <v>Tram</v>
    <v>Tram</v>
  </rv>
  <rv s="0">
    <v>0</v>
    <v>6318</v>
    <v>1</v>
    <v>Generic</v>
    <v>252</v>
    <v>0</v>
    <v>1</v>
    <v>38454</v>
    <v>45175</v>
    <v>Oost-Vlaanderen</v>
    <v>2</v>
    <v>J</v>
    <v>J</v>
    <v>J</v>
    <v/>
    <v>J</v>
    <v>18</v>
    <v>Gentbrugge</v>
    <v>112</v>
    <v>Werkhuis Gentbrugge</v>
    <v>141</v>
    <v>6318</v>
    <v>6318</v>
    <v>DE HermeLIJN</v>
    <v>Tram</v>
    <v>Tram</v>
  </rv>
  <rv s="0">
    <v>0</v>
    <v>6319</v>
    <v>1</v>
    <v>Generic</v>
    <v>252</v>
    <v>0</v>
    <v>1</v>
    <v>38471</v>
    <v>45175</v>
    <v>Oost-Vlaanderen</v>
    <v>2</v>
    <v>J</v>
    <v>J</v>
    <v>J</v>
    <v/>
    <v>J</v>
    <v>18</v>
    <v>Gentbrugge</v>
    <v>112</v>
    <v>Werkhuis Gentbrugge</v>
    <v>141</v>
    <v>6319</v>
    <v>6319</v>
    <v>DE HermeLIJN</v>
    <v>Tram</v>
    <v>Tram</v>
  </rv>
  <rv s="0">
    <v>0</v>
    <v>6320</v>
    <v>1</v>
    <v>Generic</v>
    <v>252</v>
    <v>0</v>
    <v>1</v>
    <v>38491</v>
    <v>45175</v>
    <v>Oost-Vlaanderen</v>
    <v>2</v>
    <v>J</v>
    <v>J</v>
    <v>J</v>
    <v/>
    <v>J</v>
    <v>18</v>
    <v>Gentbrugge</v>
    <v>112</v>
    <v>Werkhuis Gentbrugge</v>
    <v>141</v>
    <v>6320</v>
    <v>6320</v>
    <v>DE HermeLIJN</v>
    <v>Tram</v>
    <v>Tram</v>
  </rv>
  <rv s="0">
    <v>0</v>
    <v>6321</v>
    <v>1</v>
    <v>Generic</v>
    <v>252</v>
    <v>0</v>
    <v>1</v>
    <v>38512</v>
    <v>45175</v>
    <v>Oost-Vlaanderen</v>
    <v>2</v>
    <v>J</v>
    <v>J</v>
    <v>J</v>
    <v/>
    <v>J</v>
    <v>18</v>
    <v>Gentbrugge</v>
    <v>112</v>
    <v>Werkhuis Gentbrugge</v>
    <v>141</v>
    <v>6321</v>
    <v>6321</v>
    <v>DE HermeLIJN</v>
    <v>Tram</v>
    <v>Tram</v>
  </rv>
  <rv s="0">
    <v>0</v>
    <v>6322</v>
    <v>1</v>
    <v>Generic</v>
    <v>252</v>
    <v>0</v>
    <v>1</v>
    <v>38532</v>
    <v>45175</v>
    <v>Oost-Vlaanderen</v>
    <v>2</v>
    <v>J</v>
    <v>J</v>
    <v>J</v>
    <v/>
    <v>J</v>
    <v>18</v>
    <v>Gentbrugge</v>
    <v>112</v>
    <v>Werkhuis Gentbrugge</v>
    <v>141</v>
    <v>6322</v>
    <v>6322</v>
    <v>DE HermeLIJN</v>
    <v>Tram</v>
    <v>Tram</v>
  </rv>
  <rv s="0">
    <v>0</v>
    <v>6323</v>
    <v>1</v>
    <v>Generic</v>
    <v>252</v>
    <v>0</v>
    <v>1</v>
    <v>38552</v>
    <v>45175</v>
    <v>Oost-Vlaanderen</v>
    <v>2</v>
    <v>J</v>
    <v>J</v>
    <v>J</v>
    <v/>
    <v>J</v>
    <v>18</v>
    <v>Gentbrugge</v>
    <v>112</v>
    <v>Werkhuis Gentbrugge</v>
    <v>141</v>
    <v>6323</v>
    <v>6323</v>
    <v>DE HermeLIJN</v>
    <v>Tram</v>
    <v>Tram</v>
  </rv>
  <rv s="0">
    <v>0</v>
    <v>6324</v>
    <v>1</v>
    <v>Generic</v>
    <v>252</v>
    <v>0</v>
    <v>1</v>
    <v>38580</v>
    <v>45175</v>
    <v>Oost-Vlaanderen</v>
    <v>2</v>
    <v>J</v>
    <v>J</v>
    <v>J</v>
    <v/>
    <v>J</v>
    <v>18</v>
    <v>Gentbrugge</v>
    <v>112</v>
    <v>Werkhuis Gentbrugge</v>
    <v>141</v>
    <v>6324</v>
    <v>6324</v>
    <v>DE HermeLIJN</v>
    <v>Tram</v>
    <v>Tram</v>
  </rv>
  <rv s="0">
    <v>0</v>
    <v>6325</v>
    <v>1</v>
    <v>Generic</v>
    <v>252</v>
    <v>0</v>
    <v>1</v>
    <v>38602</v>
    <v>45175</v>
    <v>Oost-Vlaanderen</v>
    <v>2</v>
    <v>J</v>
    <v>J</v>
    <v>J</v>
    <v/>
    <v>J</v>
    <v>18</v>
    <v>Gentbrugge</v>
    <v>112</v>
    <v>Werkhuis Gentbrugge</v>
    <v>141</v>
    <v>6325</v>
    <v>6325</v>
    <v>DE HermeLIJN</v>
    <v>Tram</v>
    <v>Tram</v>
  </rv>
  <rv s="0">
    <v>0</v>
    <v>6326</v>
    <v>1</v>
    <v>Generic</v>
    <v>252</v>
    <v>0</v>
    <v>1</v>
    <v>38621</v>
    <v>45175</v>
    <v>Oost-Vlaanderen</v>
    <v>2</v>
    <v>J</v>
    <v>J</v>
    <v>J</v>
    <v/>
    <v>J</v>
    <v>18</v>
    <v>Gentbrugge</v>
    <v>112</v>
    <v>Werkhuis Gentbrugge</v>
    <v>141</v>
    <v>6326</v>
    <v>6326</v>
    <v>DE HermeLIJN</v>
    <v>Tram</v>
    <v>Tram</v>
  </rv>
  <rv s="0">
    <v>0</v>
    <v>6327</v>
    <v>1</v>
    <v>Generic</v>
    <v>252</v>
    <v>0</v>
    <v>1</v>
    <v>38631</v>
    <v>45175</v>
    <v>Oost-Vlaanderen</v>
    <v>2</v>
    <v>J</v>
    <v>J</v>
    <v>J</v>
    <v/>
    <v>J</v>
    <v>18</v>
    <v>Gentbrugge</v>
    <v>112</v>
    <v>Werkhuis Gentbrugge</v>
    <v>141</v>
    <v>6327</v>
    <v>6327</v>
    <v>DE HermeLIJN</v>
    <v>Tram</v>
    <v>Tram</v>
  </rv>
  <rv s="0">
    <v>0</v>
    <v>6328</v>
    <v>1</v>
    <v>Generic</v>
    <v>252</v>
    <v>0</v>
    <v>1</v>
    <v>38644</v>
    <v>45175</v>
    <v>Oost-Vlaanderen</v>
    <v>2</v>
    <v>J</v>
    <v>J</v>
    <v>J</v>
    <v/>
    <v>J</v>
    <v>18</v>
    <v>Gentbrugge</v>
    <v>112</v>
    <v>Werkhuis Gentbrugge</v>
    <v>141</v>
    <v>6328</v>
    <v>6328</v>
    <v>DE HermeLIJN</v>
    <v>Tram</v>
    <v>Tram</v>
  </rv>
  <rv s="0">
    <v>0</v>
    <v>6329</v>
    <v>1</v>
    <v>Generic</v>
    <v>252</v>
    <v>0</v>
    <v>1</v>
    <v>38660</v>
    <v>45175</v>
    <v>Oost-Vlaanderen</v>
    <v>2</v>
    <v>J</v>
    <v>J</v>
    <v>J</v>
    <v/>
    <v>J</v>
    <v>18</v>
    <v>Gentbrugge</v>
    <v>112</v>
    <v>Werkhuis Gentbrugge</v>
    <v>141</v>
    <v>6329</v>
    <v>6329</v>
    <v>DE HermeLIJN</v>
    <v>Tram</v>
    <v>Tram</v>
  </rv>
  <rv s="0">
    <v>0</v>
    <v>6330</v>
    <v>1</v>
    <v>Generic</v>
    <v>252</v>
    <v>0</v>
    <v>1</v>
    <v>38681</v>
    <v>45175</v>
    <v>Oost-Vlaanderen</v>
    <v>2</v>
    <v>J</v>
    <v>J</v>
    <v>J</v>
    <v/>
    <v>J</v>
    <v>18</v>
    <v>Gentbrugge</v>
    <v>112</v>
    <v>Werkhuis Gentbrugge</v>
    <v>141</v>
    <v>6330</v>
    <v>6330</v>
    <v>DE HermeLIJN</v>
    <v>Tram</v>
    <v>Tram</v>
  </rv>
  <rv s="0">
    <v>0</v>
    <v>6331</v>
    <v>1</v>
    <v>Generic</v>
    <v>252</v>
    <v>0</v>
    <v>1</v>
    <v>38699</v>
    <v>45175</v>
    <v>Oost-Vlaanderen</v>
    <v>2</v>
    <v>J</v>
    <v>J</v>
    <v>J</v>
    <v/>
    <v>J</v>
    <v>18</v>
    <v>Gentbrugge</v>
    <v>112</v>
    <v>Werkhuis Gentbrugge</v>
    <v>141</v>
    <v>6331</v>
    <v>6331</v>
    <v>DE HermeLIJN</v>
    <v>Tram</v>
    <v>Tram</v>
  </rv>
  <rv s="0">
    <v>0</v>
    <v>6332</v>
    <v>1</v>
    <v>Generic</v>
    <v>252</v>
    <v>0</v>
    <v>1</v>
    <v>39210</v>
    <v>45175</v>
    <v>Oost-Vlaanderen</v>
    <v>2</v>
    <v>J</v>
    <v>J</v>
    <v>J</v>
    <v/>
    <v>J</v>
    <v>16</v>
    <v>Gentbrugge</v>
    <v>112</v>
    <v>Werkhuis Gentbrugge</v>
    <v>141</v>
    <v>6332</v>
    <v>6332</v>
    <v>DE HermeLIJN</v>
    <v>Tram</v>
    <v>Tram</v>
  </rv>
  <rv s="0">
    <v>0</v>
    <v>6333</v>
    <v>1</v>
    <v>Generic</v>
    <v>252</v>
    <v>0</v>
    <v>1</v>
    <v>39234</v>
    <v>45175</v>
    <v>Oost-Vlaanderen</v>
    <v>2</v>
    <v>J</v>
    <v>J</v>
    <v>J</v>
    <v/>
    <v>J</v>
    <v>16</v>
    <v>Gentbrugge</v>
    <v>112</v>
    <v>Werkhuis Gentbrugge</v>
    <v>141</v>
    <v>6333</v>
    <v>6333</v>
    <v>DE HermeLIJN</v>
    <v>Tram</v>
    <v>Tram</v>
  </rv>
  <rv s="0">
    <v>0</v>
    <v>6334</v>
    <v>1</v>
    <v>Generic</v>
    <v>252</v>
    <v>0</v>
    <v>1</v>
    <v>39260</v>
    <v>45175</v>
    <v>Oost-Vlaanderen</v>
    <v>2</v>
    <v>J</v>
    <v>J</v>
    <v>J</v>
    <v/>
    <v>J</v>
    <v>16</v>
    <v>Onbekend</v>
    <v>#</v>
    <v>Onbekend</v>
    <v>#</v>
    <v>6334</v>
    <v>6334</v>
    <v>DE HermeLIJN</v>
    <v>Tram</v>
    <v>Tram</v>
  </rv>
  <rv s="0">
    <v>0</v>
    <v>6335</v>
    <v>1</v>
    <v>Generic</v>
    <v>252</v>
    <v>0</v>
    <v>1</v>
    <v>39288</v>
    <v>45175</v>
    <v>Oost-Vlaanderen</v>
    <v>2</v>
    <v>J</v>
    <v>J</v>
    <v>J</v>
    <v/>
    <v>J</v>
    <v>16</v>
    <v>Onbekend</v>
    <v>#</v>
    <v>Onbekend</v>
    <v>#</v>
    <v>6335</v>
    <v>6335</v>
    <v>DE HermeLIJN</v>
    <v>Tram</v>
    <v>Tram</v>
  </rv>
  <rv s="0">
    <v>0</v>
    <v>6336</v>
    <v>1</v>
    <v>Generic</v>
    <v>252</v>
    <v>0</v>
    <v>1</v>
    <v>39311</v>
    <v>45175</v>
    <v>Oost-Vlaanderen</v>
    <v>2</v>
    <v>J</v>
    <v>J</v>
    <v>J</v>
    <v/>
    <v>J</v>
    <v>16</v>
    <v>Onbekend</v>
    <v>#</v>
    <v>Onbekend</v>
    <v>#</v>
    <v>6336</v>
    <v>6336</v>
    <v>DE HermeLIJN</v>
    <v>Tram</v>
    <v>Tram</v>
  </rv>
  <rv s="0">
    <v>0</v>
    <v>6337</v>
    <v>1</v>
    <v>Generic</v>
    <v>252</v>
    <v>0</v>
    <v>1</v>
    <v>39344</v>
    <v>45175</v>
    <v>Oost-Vlaanderen</v>
    <v>2</v>
    <v>J</v>
    <v>J</v>
    <v>J</v>
    <v/>
    <v>J</v>
    <v>16</v>
    <v>Onbekend</v>
    <v>#</v>
    <v>Onbekend</v>
    <v>#</v>
    <v>6337</v>
    <v>6337</v>
    <v>DE HermeLIJN</v>
    <v>Tram</v>
    <v>Tram</v>
  </rv>
  <rv s="0">
    <v>0</v>
    <v>6338</v>
    <v>1</v>
    <v>Generic</v>
    <v>252</v>
    <v>0</v>
    <v>1</v>
    <v>39364</v>
    <v>45175</v>
    <v>Oost-Vlaanderen</v>
    <v>2</v>
    <v>J</v>
    <v>J</v>
    <v>J</v>
    <v/>
    <v>J</v>
    <v>16</v>
    <v>Onbekend</v>
    <v>#</v>
    <v>Onbekend</v>
    <v>#</v>
    <v>6338</v>
    <v>6338</v>
    <v>DE HermeLIJN</v>
    <v>Tram</v>
    <v>Tram</v>
  </rv>
  <rv s="0">
    <v>0</v>
    <v>6339</v>
    <v>1</v>
    <v>Generic</v>
    <v>252</v>
    <v>0</v>
    <v>1</v>
    <v>39384</v>
    <v>45175</v>
    <v>Oost-Vlaanderen</v>
    <v>2</v>
    <v>J</v>
    <v>J</v>
    <v>J</v>
    <v/>
    <v>J</v>
    <v>16</v>
    <v>Onbekend</v>
    <v>#</v>
    <v>Onbekend</v>
    <v>#</v>
    <v>6339</v>
    <v>6339</v>
    <v>DE HermeLIJN</v>
    <v>Tram</v>
    <v>Tram</v>
  </rv>
  <rv s="0">
    <v>0</v>
    <v>6340</v>
    <v>1</v>
    <v>Generic</v>
    <v>252</v>
    <v>0</v>
    <v>1</v>
    <v>39407</v>
    <v>45175</v>
    <v>Oost-Vlaanderen</v>
    <v>2</v>
    <v>J</v>
    <v>J</v>
    <v>J</v>
    <v/>
    <v>J</v>
    <v>16</v>
    <v>Onbekend</v>
    <v>#</v>
    <v>Onbekend</v>
    <v>#</v>
    <v>6340</v>
    <v>6340</v>
    <v>DE HermeLIJN</v>
    <v>Tram</v>
    <v>Tram</v>
  </rv>
  <rv s="0">
    <v>0</v>
    <v>6341</v>
    <v>1</v>
    <v>Generic</v>
    <v>252</v>
    <v>0</v>
    <v>1</v>
    <v>39422</v>
    <v>45175</v>
    <v>Oost-Vlaanderen</v>
    <v>2</v>
    <v>J</v>
    <v>J</v>
    <v>J</v>
    <v/>
    <v>J</v>
    <v>16</v>
    <v>Onbekend</v>
    <v>#</v>
    <v>Onbekend</v>
    <v>#</v>
    <v>6341</v>
    <v>6341</v>
    <v>DE HermeLIJN</v>
    <v>Tram</v>
    <v>Tram</v>
  </rv>
  <rv s="0">
    <v>0</v>
    <v>6351</v>
    <v>1</v>
    <v>Generic</v>
    <v>261</v>
    <v/>
    <v>1</v>
    <v>42153</v>
    <v>45175</v>
    <v>Oost-Vlaanderen</v>
    <v>2</v>
    <v>J</v>
    <v>J</v>
    <v>J</v>
    <v/>
    <v>J</v>
    <v>8</v>
    <v>Gentbrugge</v>
    <v>112</v>
    <v>Werkhuis Gentbrugge</v>
    <v>141</v>
    <v>6351</v>
    <v>6351</v>
    <v>Flexity 2 - 7 mod</v>
    <v>Tram</v>
    <v>Tram</v>
  </rv>
  <rv s="0">
    <v>0</v>
    <v>6352</v>
    <v>1</v>
    <v>Generic</v>
    <v>261</v>
    <v/>
    <v>1</v>
    <v>42079</v>
    <v>45175</v>
    <v>Oost-Vlaanderen</v>
    <v>2</v>
    <v>J</v>
    <v>J</v>
    <v>J</v>
    <v/>
    <v>J</v>
    <v>9</v>
    <v>Gentbrugge</v>
    <v>112</v>
    <v>Werkhuis Gentbrugge</v>
    <v>141</v>
    <v>6352</v>
    <v>6352</v>
    <v>Flexity 2 - 7 mod</v>
    <v>Tram</v>
    <v>Tram</v>
  </rv>
  <rv s="0">
    <v>0</v>
    <v>6353</v>
    <v>1</v>
    <v>Generic</v>
    <v>261</v>
    <v/>
    <v>1</v>
    <v>42067</v>
    <v>45175</v>
    <v>Oost-Vlaanderen</v>
    <v>2</v>
    <v>J</v>
    <v>J</v>
    <v>J</v>
    <v/>
    <v>J</v>
    <v>9</v>
    <v>Gentbrugge</v>
    <v>112</v>
    <v>Werkhuis Gentbrugge</v>
    <v>141</v>
    <v>6353</v>
    <v>6353</v>
    <v>Flexity 2 - 7 mod</v>
    <v>Tram</v>
    <v>Tram</v>
  </rv>
  <rv s="0">
    <v>0</v>
    <v>6354</v>
    <v>1</v>
    <v>Generic</v>
    <v>261</v>
    <v/>
    <v>1</v>
    <v>42067</v>
    <v>45175</v>
    <v>Oost-Vlaanderen</v>
    <v>2</v>
    <v>J</v>
    <v>J</v>
    <v>J</v>
    <v/>
    <v>J</v>
    <v>9</v>
    <v>Gentbrugge</v>
    <v>112</v>
    <v>Werkhuis Gentbrugge</v>
    <v>141</v>
    <v>6354</v>
    <v>6354</v>
    <v>Flexity 2 - 7 mod</v>
    <v>Tram</v>
    <v>Tram</v>
  </rv>
  <rv s="0">
    <v>0</v>
    <v>6355</v>
    <v>1</v>
    <v>Generic</v>
    <v>261</v>
    <v/>
    <v>1</v>
    <v>42095</v>
    <v>45175</v>
    <v>Oost-Vlaanderen</v>
    <v>2</v>
    <v>J</v>
    <v>J</v>
    <v>J</v>
    <v/>
    <v>J</v>
    <v>8</v>
    <v>Gentbrugge</v>
    <v>112</v>
    <v>Werkhuis Gentbrugge</v>
    <v>141</v>
    <v>6355</v>
    <v>6355</v>
    <v>Flexity 2 - 7 mod</v>
    <v>Tram</v>
    <v>Tram</v>
  </rv>
  <rv s="0">
    <v>0</v>
    <v>6356</v>
    <v>1</v>
    <v>Generic</v>
    <v>261</v>
    <v/>
    <v>1</v>
    <v>42086</v>
    <v>45175</v>
    <v>Oost-Vlaanderen</v>
    <v>2</v>
    <v>J</v>
    <v>J</v>
    <v>J</v>
    <v/>
    <v>J</v>
    <v>8</v>
    <v>Gentbrugge</v>
    <v>112</v>
    <v>Werkhuis Gentbrugge</v>
    <v>141</v>
    <v>6356</v>
    <v>6356</v>
    <v>Flexity 2 - 7 mod</v>
    <v>Tram</v>
    <v>Tram</v>
  </rv>
  <rv s="0">
    <v>0</v>
    <v>6357</v>
    <v>1</v>
    <v>Generic</v>
    <v>261</v>
    <v/>
    <v>1</v>
    <v>42116</v>
    <v>45175</v>
    <v>Oost-Vlaanderen</v>
    <v>2</v>
    <v>J</v>
    <v>J</v>
    <v>J</v>
    <v/>
    <v>J</v>
    <v>8</v>
    <v>Gentbrugge</v>
    <v>112</v>
    <v>Werkhuis Gentbrugge</v>
    <v>141</v>
    <v>6357</v>
    <v>6357</v>
    <v>Flexity 2 - 7 mod</v>
    <v>Tram</v>
    <v>Tram</v>
  </rv>
  <rv s="0">
    <v>0</v>
    <v>6358</v>
    <v>1</v>
    <v>Generic</v>
    <v>261</v>
    <v/>
    <v>1</v>
    <v>42116</v>
    <v>45175</v>
    <v>Oost-Vlaanderen</v>
    <v>2</v>
    <v>J</v>
    <v>J</v>
    <v>J</v>
    <v/>
    <v>J</v>
    <v>8</v>
    <v>Gentbrugge</v>
    <v>112</v>
    <v>Werkhuis Gentbrugge</v>
    <v>141</v>
    <v>6358</v>
    <v>6358</v>
    <v>Flexity 2 - 7 mod</v>
    <v>Tram</v>
    <v>Tram</v>
  </rv>
  <rv s="0">
    <v>0</v>
    <v>6359</v>
    <v>1</v>
    <v>Generic</v>
    <v>261</v>
    <v/>
    <v>1</v>
    <v>42129</v>
    <v>45175</v>
    <v>Oost-Vlaanderen</v>
    <v>2</v>
    <v>J</v>
    <v>J</v>
    <v>J</v>
    <v/>
    <v>J</v>
    <v>8</v>
    <v>Gentbrugge</v>
    <v>112</v>
    <v>Werkhuis Gentbrugge</v>
    <v>141</v>
    <v>6359</v>
    <v>6359</v>
    <v>Flexity 2 - 7 mod</v>
    <v>Tram</v>
    <v>Tram</v>
  </rv>
  <rv s="0">
    <v>0</v>
    <v>6360</v>
    <v>1</v>
    <v>Generic</v>
    <v>261</v>
    <v/>
    <v>1</v>
    <v>42136</v>
    <v>45175</v>
    <v>Oost-Vlaanderen</v>
    <v>2</v>
    <v>J</v>
    <v>J</v>
    <v>J</v>
    <v/>
    <v>J</v>
    <v>8</v>
    <v>Gentbrugge</v>
    <v>112</v>
    <v>Werkhuis Gentbrugge</v>
    <v>141</v>
    <v>6360</v>
    <v>6360</v>
    <v>Flexity 2 - 7 mod</v>
    <v>Tram</v>
    <v>Tram</v>
  </rv>
  <rv s="0">
    <v>0</v>
    <v>6361</v>
    <v>1</v>
    <v>Generic</v>
    <v>261</v>
    <v/>
    <v>1</v>
    <v>42789</v>
    <v>45175</v>
    <v>Oost-Vlaanderen</v>
    <v>2</v>
    <v>J</v>
    <v>J</v>
    <v>J</v>
    <v/>
    <v>J</v>
    <v>7</v>
    <v>Gentbrugge</v>
    <v>112</v>
    <v>Werkhuis Gentbrugge</v>
    <v>141</v>
    <v>6361</v>
    <v>6361</v>
    <v>Flexity 2 - 7 mod</v>
    <v>Tram</v>
    <v>Tram</v>
  </rv>
  <rv s="0">
    <v>0</v>
    <v>6362</v>
    <v>1</v>
    <v>Generic</v>
    <v>261</v>
    <v/>
    <v>1</v>
    <v>42811</v>
    <v>45175</v>
    <v>Oost-Vlaanderen</v>
    <v>2</v>
    <v>J</v>
    <v>J</v>
    <v>J</v>
    <v/>
    <v>J</v>
    <v>7</v>
    <v>Gentbrugge</v>
    <v>112</v>
    <v>Werkhuis Gentbrugge</v>
    <v>141</v>
    <v>6362</v>
    <v>6362</v>
    <v>Flexity 2 - 7 mod</v>
    <v>Tram</v>
    <v>Tram</v>
  </rv>
  <rv s="0">
    <v>0</v>
    <v>6363</v>
    <v>1</v>
    <v>Generic</v>
    <v>261</v>
    <v/>
    <v>1</v>
    <v>42818</v>
    <v>45175</v>
    <v>Oost-Vlaanderen</v>
    <v>2</v>
    <v>J</v>
    <v>J</v>
    <v>J</v>
    <v/>
    <v>J</v>
    <v>6</v>
    <v>Gentbrugge</v>
    <v>112</v>
    <v>Werkhuis Gentbrugge</v>
    <v>141</v>
    <v>6363</v>
    <v>6363</v>
    <v>Flexity 2 - 7 mod</v>
    <v>Tram</v>
    <v>Tram</v>
  </rv>
  <rv s="0">
    <v>0</v>
    <v>6364</v>
    <v>1</v>
    <v>Generic</v>
    <v>261</v>
    <v/>
    <v>1</v>
    <v>42833</v>
    <v>45175</v>
    <v>Oost-Vlaanderen</v>
    <v>2</v>
    <v>J</v>
    <v>J</v>
    <v>J</v>
    <v/>
    <v>J</v>
    <v>6</v>
    <v>Gentbrugge</v>
    <v>112</v>
    <v>Werkhuis Gentbrugge</v>
    <v>141</v>
    <v>6364</v>
    <v>6364</v>
    <v>Flexity 2 - 7 mod</v>
    <v>Tram</v>
    <v>Tram</v>
  </rv>
  <rv s="0">
    <v>0</v>
    <v>6365</v>
    <v>1</v>
    <v>Generic</v>
    <v>261</v>
    <v/>
    <v>1</v>
    <v>42846</v>
    <v>45175</v>
    <v>Oost-Vlaanderen</v>
    <v>2</v>
    <v>J</v>
    <v>J</v>
    <v>J</v>
    <v/>
    <v>J</v>
    <v>6</v>
    <v>Gentbrugge</v>
    <v>112</v>
    <v>Werkhuis Gentbrugge</v>
    <v>141</v>
    <v>6365</v>
    <v>6365</v>
    <v>Flexity 2 - 7 mod</v>
    <v>Tram</v>
    <v>Tram</v>
  </rv>
  <rv s="0">
    <v>0</v>
    <v>6366</v>
    <v>1</v>
    <v>Generic</v>
    <v>261</v>
    <v/>
    <v>1</v>
    <v>42852</v>
    <v>45175</v>
    <v>Oost-Vlaanderen</v>
    <v>2</v>
    <v>J</v>
    <v>J</v>
    <v>J</v>
    <v/>
    <v>J</v>
    <v>6</v>
    <v>Gentbrugge</v>
    <v>112</v>
    <v>Werkhuis Gentbrugge</v>
    <v>141</v>
    <v>6366</v>
    <v>6366</v>
    <v>Flexity 2 - 7 mod</v>
    <v>Tram</v>
    <v>Tram</v>
  </rv>
  <rv s="0">
    <v>0</v>
    <v>6367</v>
    <v>1</v>
    <v>Generic</v>
    <v>261</v>
    <v/>
    <v>1</v>
    <v>42872</v>
    <v>45175</v>
    <v>Oost-Vlaanderen</v>
    <v>2</v>
    <v>J</v>
    <v>J</v>
    <v>J</v>
    <v/>
    <v>J</v>
    <v>6</v>
    <v>Gentbrugge</v>
    <v>112</v>
    <v>Werkhuis Gentbrugge</v>
    <v>141</v>
    <v>6367</v>
    <v>6367</v>
    <v>Flexity 2 - 7 mod</v>
    <v>Tram</v>
    <v>Tram</v>
  </rv>
  <rv s="0">
    <v>0</v>
    <v>6368</v>
    <v>1</v>
    <v>Generic</v>
    <v>261</v>
    <v/>
    <v>1</v>
    <v>42877</v>
    <v>45175</v>
    <v>Oost-Vlaanderen</v>
    <v>2</v>
    <v>J</v>
    <v>J</v>
    <v>J</v>
    <v/>
    <v>J</v>
    <v>6</v>
    <v>Gentbrugge</v>
    <v>112</v>
    <v>Werkhuis Gentbrugge</v>
    <v>141</v>
    <v>6368</v>
    <v>6368</v>
    <v>Flexity 2 - 7 mod</v>
    <v>Tram</v>
    <v>Tram</v>
  </rv>
  <rv s="0">
    <v>0</v>
    <v>6369</v>
    <v>1</v>
    <v>Generic</v>
    <v>261</v>
    <v/>
    <v>1</v>
    <v>42888</v>
    <v>45175</v>
    <v>Oost-Vlaanderen</v>
    <v>2</v>
    <v>J</v>
    <v>J</v>
    <v>J</v>
    <v/>
    <v>J</v>
    <v>6</v>
    <v>Gentbrugge</v>
    <v>112</v>
    <v>Werkhuis Gentbrugge</v>
    <v>141</v>
    <v>6369</v>
    <v>6369</v>
    <v>Flexity 2 - 7 mod</v>
    <v>Tram</v>
    <v>Tram</v>
  </rv>
  <rv s="0">
    <v>0</v>
    <v>6370</v>
    <v>1</v>
    <v>Generic</v>
    <v>261</v>
    <v/>
    <v>1</v>
    <v>42926</v>
    <v>45175</v>
    <v>Oost-Vlaanderen</v>
    <v>2</v>
    <v>J</v>
    <v>J</v>
    <v>J</v>
    <v/>
    <v>J</v>
    <v>6</v>
    <v>Gentbrugge</v>
    <v>112</v>
    <v>Werkhuis Gentbrugge</v>
    <v>141</v>
    <v>6370</v>
    <v>6370</v>
    <v>Flexity 2 - 7 mod</v>
    <v>Tram</v>
    <v>Tram</v>
  </rv>
  <rv s="0">
    <v>0</v>
    <v>6371</v>
    <v>1</v>
    <v>Generic</v>
    <v>261</v>
    <v/>
    <v>1</v>
    <v>42930</v>
    <v>45175</v>
    <v>Oost-Vlaanderen</v>
    <v>2</v>
    <v>J</v>
    <v>J</v>
    <v>J</v>
    <v/>
    <v>J</v>
    <v>6</v>
    <v>Gentbrugge</v>
    <v>112</v>
    <v>Werkhuis Gentbrugge</v>
    <v>141</v>
    <v>6371</v>
    <v>6371</v>
    <v>Flexity 2 - 7 mod</v>
    <v>Tram</v>
    <v>Tram</v>
  </rv>
  <rv s="0">
    <v>0</v>
    <v>6372</v>
    <v>1</v>
    <v>Generic</v>
    <v>261</v>
    <v/>
    <v>1</v>
    <v>42934</v>
    <v>45175</v>
    <v>Oost-Vlaanderen</v>
    <v>2</v>
    <v>J</v>
    <v>J</v>
    <v>J</v>
    <v/>
    <v>J</v>
    <v>6</v>
    <v>Gentbrugge</v>
    <v>112</v>
    <v>Werkhuis Gentbrugge</v>
    <v>141</v>
    <v>6372</v>
    <v>6372</v>
    <v>Flexity 2 - 7 mod</v>
    <v>Tram</v>
    <v>Tram</v>
  </rv>
  <rv s="0">
    <v>0</v>
    <v>6373</v>
    <v>1</v>
    <v>Generic</v>
    <v>261</v>
    <v/>
    <v>1</v>
    <v>42948</v>
    <v>45175</v>
    <v>Oost-Vlaanderen</v>
    <v>2</v>
    <v>J</v>
    <v>J</v>
    <v>J</v>
    <v/>
    <v>J</v>
    <v>6</v>
    <v>Gentbrugge</v>
    <v>112</v>
    <v>Werkhuis Gentbrugge</v>
    <v>141</v>
    <v>6373</v>
    <v>6373</v>
    <v>Flexity 2 - 7 mod</v>
    <v>Tram</v>
    <v>Tram</v>
  </rv>
  <rv s="0">
    <v>0</v>
    <v>6374</v>
    <v>1</v>
    <v>Generic</v>
    <v>261</v>
    <v/>
    <v>1</v>
    <v>43011</v>
    <v>45175</v>
    <v>Oost-Vlaanderen</v>
    <v>2</v>
    <v>J</v>
    <v>J</v>
    <v>J</v>
    <v/>
    <v>J</v>
    <v>6</v>
    <v>Gentbrugge</v>
    <v>112</v>
    <v>Werkhuis Gentbrugge</v>
    <v>141</v>
    <v>6374</v>
    <v>6374</v>
    <v>Flexity 2 - 7 mod</v>
    <v>Tram</v>
    <v>Tram</v>
  </rv>
  <rv s="0">
    <v>0</v>
    <v>6375</v>
    <v>1</v>
    <v>Generic</v>
    <v>261</v>
    <v/>
    <v>1</v>
    <v>43012</v>
    <v>45175</v>
    <v>Oost-Vlaanderen</v>
    <v>2</v>
    <v>J</v>
    <v>J</v>
    <v>J</v>
    <v/>
    <v>J</v>
    <v>6</v>
    <v>Gentbrugge</v>
    <v>112</v>
    <v>Werkhuis Gentbrugge</v>
    <v>141</v>
    <v>6375</v>
    <v>6375</v>
    <v>Flexity 2 - 7 mod</v>
    <v>Tram</v>
    <v>Tram</v>
  </rv>
  <rv s="0">
    <v>0</v>
    <v>6376</v>
    <v>1</v>
    <v>Generic</v>
    <v>261</v>
    <v/>
    <v>1</v>
    <v>43021</v>
    <v>45175</v>
    <v>Oost-Vlaanderen</v>
    <v>2</v>
    <v>J</v>
    <v>J</v>
    <v>J</v>
    <v/>
    <v>J</v>
    <v>6</v>
    <v>Gentbrugge</v>
    <v>112</v>
    <v>Werkhuis Gentbrugge</v>
    <v>141</v>
    <v>6376</v>
    <v>6376</v>
    <v>Flexity 2 - 7 mod</v>
    <v>Tram</v>
    <v>Tram</v>
  </rv>
  <rv s="0">
    <v>0</v>
    <v>7001</v>
    <v>1</v>
    <v>Generic</v>
    <v>MIVA</v>
    <v>0</v>
    <v>1</v>
    <v>22228</v>
    <v>45175</v>
    <v>Antwerpen</v>
    <v>1</v>
    <v>N</v>
    <v>N</v>
    <v>N</v>
    <v/>
    <v>N</v>
    <v>63</v>
    <v>Hoboken</v>
    <v>128</v>
    <v>OC Hoboken loods</v>
    <v>152</v>
    <v>7001</v>
    <v>7001</v>
    <v>PCC vernieuwd</v>
    <v>Tram</v>
    <v>Tram</v>
  </rv>
  <rv s="0">
    <v>0</v>
    <v>7002</v>
    <v>1</v>
    <v>Generic</v>
    <v>MIVA</v>
    <v>0</v>
    <v>1</v>
    <v>22238</v>
    <v>45175</v>
    <v>Antwerpen</v>
    <v>1</v>
    <v>N</v>
    <v>N</v>
    <v>N</v>
    <v/>
    <v>N</v>
    <v>63</v>
    <v>Hoboken</v>
    <v>128</v>
    <v>OC Hoboken loods</v>
    <v>152</v>
    <v>7002</v>
    <v>7002</v>
    <v>PCC vernieuwd</v>
    <v>Tram</v>
    <v>Tram</v>
  </rv>
  <rv s="0">
    <v>0</v>
    <v>7007</v>
    <v>1</v>
    <v>Generic</v>
    <v>MIVA</v>
    <v>0</v>
    <v>1</v>
    <v>22255</v>
    <v>45175</v>
    <v>Antwerpen</v>
    <v>1</v>
    <v>N</v>
    <v>N</v>
    <v>N</v>
    <v/>
    <v>N</v>
    <v>63</v>
    <v>Hoboken</v>
    <v>128</v>
    <v>OC Hoboken loods</v>
    <v>152</v>
    <v>7007</v>
    <v>7007</v>
    <v>PCC vernieuwd</v>
    <v>Tram</v>
    <v>Tram</v>
  </rv>
  <rv s="0">
    <v>0</v>
    <v>7008</v>
    <v>1</v>
    <v>Generic</v>
    <v>MIVA</v>
    <v>0</v>
    <v>1</v>
    <v>22255</v>
    <v>45175</v>
    <v>Antwerpen</v>
    <v>1</v>
    <v>N</v>
    <v>N</v>
    <v>N</v>
    <v/>
    <v>N</v>
    <v>63</v>
    <v>Hoboken</v>
    <v>128</v>
    <v>OC Hoboken loods</v>
    <v>152</v>
    <v>7008</v>
    <v>7008</v>
    <v>PCC vernieuwd</v>
    <v>Tram</v>
    <v>Tram</v>
  </rv>
  <rv s="0">
    <v>0</v>
    <v>7009</v>
    <v>1</v>
    <v>Generic</v>
    <v>MIVA</v>
    <v>0</v>
    <v>2</v>
    <v>22255</v>
    <v>45175</v>
    <v>Centrale Diensten</v>
    <v>9</v>
    <v>N</v>
    <v>N</v>
    <v>N</v>
    <v/>
    <v>N</v>
    <v>63</v>
    <v>Hoboken</v>
    <v>128</v>
    <v>OC Hoboken loods</v>
    <v>152</v>
    <v>7009</v>
    <v>7009</v>
    <v>PCC vernieuwd</v>
    <v>Tram</v>
    <v>Tram</v>
  </rv>
  <rv s="0">
    <v>0</v>
    <v>7017</v>
    <v>1</v>
    <v>Generic</v>
    <v>MIVA</v>
    <v>0</v>
    <v>2</v>
    <v>22283</v>
    <v>45175</v>
    <v>Centrale Diensten</v>
    <v>9</v>
    <v>N</v>
    <v>N</v>
    <v>N</v>
    <v/>
    <v>N</v>
    <v>63</v>
    <v>Hoboken</v>
    <v>128</v>
    <v>OC Hoboken loods</v>
    <v>152</v>
    <v>7017</v>
    <v>7017</v>
    <v>PCC vernieuwd</v>
    <v>Tram</v>
    <v>Tram</v>
  </rv>
  <rv s="0">
    <v>0</v>
    <v>7022</v>
    <v>1</v>
    <v>Generic</v>
    <v>MIVA</v>
    <v>0</v>
    <v>1</v>
    <v>22283</v>
    <v>45175</v>
    <v>Antwerpen</v>
    <v>1</v>
    <v>N</v>
    <v>N</v>
    <v>N</v>
    <v/>
    <v>N</v>
    <v>63</v>
    <v>Hoboken</v>
    <v>128</v>
    <v>OC Hoboken loods</v>
    <v>152</v>
    <v>7022</v>
    <v>7022</v>
    <v>PCC vernieuwd</v>
    <v>Tram</v>
    <v>Tram</v>
  </rv>
  <rv s="0">
    <v>0</v>
    <v>7045</v>
    <v>1</v>
    <v>Generic</v>
    <v>MIVA</v>
    <v>0</v>
    <v>1</v>
    <v>22731</v>
    <v>45175</v>
    <v>Antwerpen</v>
    <v>1</v>
    <v>N</v>
    <v>N</v>
    <v>N</v>
    <v/>
    <v>N</v>
    <v>62</v>
    <v>Hoboken</v>
    <v>128</v>
    <v>OC Hoboken loods</v>
    <v>152</v>
    <v>7045</v>
    <v>7045</v>
    <v>PCC vernieuwd</v>
    <v>Tram</v>
    <v>Tram</v>
  </rv>
  <rv s="0">
    <v>0</v>
    <v>7052</v>
    <v>1</v>
    <v>Generic</v>
    <v>MIVA</v>
    <v>0</v>
    <v>1</v>
    <v>22752</v>
    <v>45175</v>
    <v>Antwerpen</v>
    <v>1</v>
    <v>N</v>
    <v>N</v>
    <v>N</v>
    <v/>
    <v>N</v>
    <v>61</v>
    <v>Hoboken</v>
    <v>128</v>
    <v>OC Hoboken loods</v>
    <v>152</v>
    <v>7052</v>
    <v>7052</v>
    <v>PCC vernieuwd</v>
    <v>Tram</v>
    <v>Tram</v>
  </rv>
  <rv s="0">
    <v>0</v>
    <v>7054</v>
    <v>1</v>
    <v>Generic</v>
    <v>MIVA</v>
    <v>0</v>
    <v>2</v>
    <v>22760</v>
    <v>45175</v>
    <v>Centrale Diensten</v>
    <v>9</v>
    <v>N</v>
    <v>N</v>
    <v>N</v>
    <v/>
    <v>N</v>
    <v>61</v>
    <v>Hoboken</v>
    <v>128</v>
    <v>OC Hoboken loods</v>
    <v>152</v>
    <v>7054</v>
    <v>7054</v>
    <v>PCC vernieuwd</v>
    <v>Tram</v>
    <v>Tram</v>
  </rv>
  <rv s="0">
    <v>0</v>
    <v>7055</v>
    <v>1</v>
    <v>Generic</v>
    <v>MIVA</v>
    <v>0</v>
    <v>1</v>
    <v>22766</v>
    <v>45175</v>
    <v>Antwerpen</v>
    <v>1</v>
    <v>N</v>
    <v>N</v>
    <v>N</v>
    <v/>
    <v>N</v>
    <v>61</v>
    <v>Hoboken</v>
    <v>128</v>
    <v>OC Hoboken loods</v>
    <v>152</v>
    <v>7055</v>
    <v>7055</v>
    <v>PCC vernieuwd</v>
    <v>Tram</v>
    <v>Tram</v>
  </rv>
  <rv s="0">
    <v>0</v>
    <v>7056</v>
    <v>1</v>
    <v>Generic</v>
    <v>MIVA</v>
    <v>0</v>
    <v>1</v>
    <v>22766</v>
    <v>45175</v>
    <v>Antwerpen</v>
    <v>1</v>
    <v>N</v>
    <v>N</v>
    <v>N</v>
    <v/>
    <v>N</v>
    <v>61</v>
    <v>Hoboken</v>
    <v>128</v>
    <v>OC Hoboken loods</v>
    <v>152</v>
    <v>7056</v>
    <v>7056</v>
    <v>PCC vernieuwd</v>
    <v>Tram</v>
    <v>Tram</v>
  </rv>
  <rv s="0">
    <v>0</v>
    <v>7059</v>
    <v>1</v>
    <v>Generic</v>
    <v>MIVA</v>
    <v>0</v>
    <v>1</v>
    <v>22787</v>
    <v>45175</v>
    <v>Antwerpen</v>
    <v>1</v>
    <v>N</v>
    <v>N</v>
    <v>N</v>
    <v/>
    <v>N</v>
    <v>61</v>
    <v>Hoboken</v>
    <v>128</v>
    <v>OC Hoboken loods</v>
    <v>152</v>
    <v>7059</v>
    <v>7059</v>
    <v>PCC vernieuwd</v>
    <v>Tram</v>
    <v>Tram</v>
  </rv>
  <rv s="0">
    <v>0</v>
    <v>7061</v>
    <v>1</v>
    <v>Generic</v>
    <v>MIVA</v>
    <v>0</v>
    <v>1</v>
    <v>24120</v>
    <v>45175</v>
    <v>Antwerpen</v>
    <v>1</v>
    <v>N</v>
    <v>N</v>
    <v>N</v>
    <v/>
    <v>N</v>
    <v>58</v>
    <v>Hoboken</v>
    <v>128</v>
    <v>OC Hoboken loods</v>
    <v>152</v>
    <v>7061</v>
    <v>7061</v>
    <v>PCC vernieuwd</v>
    <v>Tram</v>
    <v>Tram</v>
  </rv>
  <rv s="0">
    <v>0</v>
    <v>7062</v>
    <v>1</v>
    <v>Generic</v>
    <v>MIVA</v>
    <v>0</v>
    <v>1</v>
    <v>24126</v>
    <v>45175</v>
    <v>Antwerpen</v>
    <v>1</v>
    <v>N</v>
    <v>N</v>
    <v>N</v>
    <v/>
    <v>N</v>
    <v>58</v>
    <v>Hoboken</v>
    <v>128</v>
    <v>OC Hoboken loods</v>
    <v>152</v>
    <v>7062</v>
    <v>7062</v>
    <v>PCC vernieuwd</v>
    <v>Tram</v>
    <v>Tram</v>
  </rv>
  <rv s="0">
    <v>0</v>
    <v>7063</v>
    <v>1</v>
    <v>Generic</v>
    <v>MIVA</v>
    <v>0</v>
    <v>1</v>
    <v>24128</v>
    <v>45175</v>
    <v>Antwerpen</v>
    <v>1</v>
    <v>N</v>
    <v>N</v>
    <v>N</v>
    <v/>
    <v>N</v>
    <v>58</v>
    <v>Hoboken</v>
    <v>128</v>
    <v>OC Hoboken loods</v>
    <v>152</v>
    <v>7063</v>
    <v>7063</v>
    <v>PCC vernieuwd</v>
    <v>Tram</v>
    <v>Tram</v>
  </rv>
  <rv s="0">
    <v>0</v>
    <v>7064</v>
    <v>1</v>
    <v>Generic</v>
    <v>MIVA</v>
    <v>0</v>
    <v>2</v>
    <v>24135</v>
    <v>45175</v>
    <v>Antwerpen</v>
    <v>1</v>
    <v>N</v>
    <v>N</v>
    <v>N</v>
    <v/>
    <v>N</v>
    <v>58</v>
    <v>Onbekend</v>
    <v>#</v>
    <v>Onbekend</v>
    <v>#</v>
    <v>7064</v>
    <v>7064</v>
    <v>PCC vernieuwd</v>
    <v>Tram</v>
    <v>Tram</v>
  </rv>
  <rv s="0">
    <v>0</v>
    <v>7065</v>
    <v>1</v>
    <v>Generic</v>
    <v>MIVA</v>
    <v>0</v>
    <v>1</v>
    <v>24135</v>
    <v>45175</v>
    <v>Antwerpen</v>
    <v>1</v>
    <v>N</v>
    <v>N</v>
    <v>N</v>
    <v/>
    <v>N</v>
    <v>58</v>
    <v>Hoboken</v>
    <v>128</v>
    <v>OC Hoboken loods</v>
    <v>152</v>
    <v>7065</v>
    <v>7065</v>
    <v>PCC vernieuwd</v>
    <v>Tram</v>
    <v>Tram</v>
  </rv>
  <rv s="0">
    <v>0</v>
    <v>7066</v>
    <v>1</v>
    <v>Generic</v>
    <v>MIVA</v>
    <v>0</v>
    <v>1</v>
    <v>24142</v>
    <v>45175</v>
    <v>Antwerpen</v>
    <v>1</v>
    <v>N</v>
    <v>N</v>
    <v>N</v>
    <v/>
    <v>N</v>
    <v>58</v>
    <v>Hoboken</v>
    <v>128</v>
    <v>OC Hoboken loods</v>
    <v>152</v>
    <v>7066</v>
    <v>7066</v>
    <v>PCC vernieuwd</v>
    <v>Tram</v>
    <v>Tram</v>
  </rv>
  <rv s="0">
    <v>0</v>
    <v>7067</v>
    <v>1</v>
    <v>Generic</v>
    <v>MIVA</v>
    <v>0</v>
    <v>1</v>
    <v>24142</v>
    <v>45175</v>
    <v>Antwerpen</v>
    <v>1</v>
    <v>N</v>
    <v>N</v>
    <v>N</v>
    <v/>
    <v>N</v>
    <v>58</v>
    <v>Hoboken</v>
    <v>128</v>
    <v>OC Hoboken loods</v>
    <v>152</v>
    <v>7067</v>
    <v>7067</v>
    <v>PCC vernieuwd</v>
    <v>Tram</v>
    <v>Tram</v>
  </rv>
  <rv s="0">
    <v>0</v>
    <v>7068</v>
    <v>1</v>
    <v>Generic</v>
    <v>MIVA</v>
    <v>0</v>
    <v>2</v>
    <v>24149</v>
    <v>45175</v>
    <v>Antwerpen</v>
    <v>1</v>
    <v>N</v>
    <v>N</v>
    <v>N</v>
    <v/>
    <v>N</v>
    <v>58</v>
    <v>Hoboken</v>
    <v>128</v>
    <v>OC Hoboken loods</v>
    <v>152</v>
    <v>7068</v>
    <v>7068</v>
    <v>PCC vernieuwd</v>
    <v>Tram</v>
    <v>Tram</v>
  </rv>
  <rv s="0">
    <v>0</v>
    <v>7069</v>
    <v>1</v>
    <v>Generic</v>
    <v>MIVA</v>
    <v>0</v>
    <v>1</v>
    <v>24149</v>
    <v>45175</v>
    <v>Antwerpen</v>
    <v>1</v>
    <v>N</v>
    <v>N</v>
    <v>N</v>
    <v/>
    <v>N</v>
    <v>58</v>
    <v>Onbekend</v>
    <v>#</v>
    <v>Onbekend</v>
    <v>#</v>
    <v>7069</v>
    <v>7069</v>
    <v>PCC vernieuwd</v>
    <v>Tram</v>
    <v>Tram</v>
  </rv>
  <rv s="0">
    <v>0</v>
    <v>7070</v>
    <v>1</v>
    <v>Generic</v>
    <v>MIVA</v>
    <v>0</v>
    <v>1</v>
    <v>24159</v>
    <v>45175</v>
    <v>Antwerpen</v>
    <v>1</v>
    <v>N</v>
    <v>N</v>
    <v>N</v>
    <v/>
    <v>N</v>
    <v>58</v>
    <v>Hoboken</v>
    <v>128</v>
    <v>OC Hoboken loods</v>
    <v>152</v>
    <v>7070</v>
    <v>7070</v>
    <v>PCC vernieuwd</v>
    <v>Tram</v>
    <v>Tram</v>
  </rv>
  <rv s="0">
    <v>0</v>
    <v>7071</v>
    <v>1</v>
    <v>Generic</v>
    <v>MIVA</v>
    <v>0</v>
    <v>1</v>
    <v>24156</v>
    <v>45175</v>
    <v>Antwerpen</v>
    <v>1</v>
    <v>N</v>
    <v>N</v>
    <v>N</v>
    <v/>
    <v>N</v>
    <v>58</v>
    <v>Hoboken</v>
    <v>128</v>
    <v>OC Hoboken loods</v>
    <v>152</v>
    <v>7071</v>
    <v>7071</v>
    <v>PCC vernieuwd</v>
    <v>Tram</v>
    <v>Tram</v>
  </rv>
  <rv s="0">
    <v>0</v>
    <v>7072</v>
    <v>1</v>
    <v>Generic</v>
    <v>MIVA</v>
    <v>0</v>
    <v>1</v>
    <v>24162</v>
    <v>45175</v>
    <v>Antwerpen</v>
    <v>1</v>
    <v>N</v>
    <v>N</v>
    <v>N</v>
    <v/>
    <v>N</v>
    <v>58</v>
    <v>Hoboken</v>
    <v>128</v>
    <v>OC Hoboken loods</v>
    <v>152</v>
    <v>7072</v>
    <v>7072</v>
    <v>PCC vernieuwd</v>
    <v>Tram</v>
    <v>Tram</v>
  </rv>
  <rv s="0">
    <v>0</v>
    <v>7073</v>
    <v>1</v>
    <v>Generic</v>
    <v>MIVA</v>
    <v>0</v>
    <v>1</v>
    <v>24162</v>
    <v>45175</v>
    <v>Antwerpen</v>
    <v>1</v>
    <v>N</v>
    <v>N</v>
    <v>N</v>
    <v/>
    <v>N</v>
    <v>58</v>
    <v>Hoboken</v>
    <v>128</v>
    <v>OC Hoboken loods</v>
    <v>152</v>
    <v>7073</v>
    <v>7073</v>
    <v>PCC vernieuwd</v>
    <v>Tram</v>
    <v>Tram</v>
  </rv>
  <rv s="0">
    <v>0</v>
    <v>7074</v>
    <v>1</v>
    <v>Generic</v>
    <v>MIVA</v>
    <v>0</v>
    <v>1</v>
    <v>24170</v>
    <v>45175</v>
    <v>Antwerpen</v>
    <v>1</v>
    <v>N</v>
    <v>N</v>
    <v>N</v>
    <v/>
    <v>N</v>
    <v>58</v>
    <v>Hoboken</v>
    <v>128</v>
    <v>OC Hoboken loods</v>
    <v>152</v>
    <v>7074</v>
    <v>7074</v>
    <v>PCC vernieuwd</v>
    <v>Tram</v>
    <v>Tram</v>
  </rv>
  <rv s="0">
    <v>0</v>
    <v>7075</v>
    <v>1</v>
    <v>Generic</v>
    <v>MIVA</v>
    <v>0</v>
    <v>1</v>
    <v>24170</v>
    <v>45175</v>
    <v>Antwerpen</v>
    <v>1</v>
    <v>N</v>
    <v>N</v>
    <v>N</v>
    <v/>
    <v>N</v>
    <v>58</v>
    <v>Hoboken</v>
    <v>128</v>
    <v>OC Hoboken loods</v>
    <v>152</v>
    <v>7075</v>
    <v>7075</v>
    <v>PCC vernieuwd</v>
    <v>Tram</v>
    <v>Tram</v>
  </rv>
  <rv s="0">
    <v>0</v>
    <v>7077</v>
    <v>1</v>
    <v>Generic</v>
    <v>MIVA</v>
    <v>0</v>
    <v>1</v>
    <v>24177</v>
    <v>45175</v>
    <v>Antwerpen</v>
    <v>1</v>
    <v>N</v>
    <v>N</v>
    <v>N</v>
    <v/>
    <v>N</v>
    <v>58</v>
    <v>Hoboken</v>
    <v>128</v>
    <v>OC Hoboken loods</v>
    <v>152</v>
    <v>7077</v>
    <v>7077</v>
    <v>PCC vernieuwd</v>
    <v>Tram</v>
    <v>Tram</v>
  </rv>
  <rv s="0">
    <v>0</v>
    <v>7078</v>
    <v>1</v>
    <v>Generic</v>
    <v>MIVA</v>
    <v>0</v>
    <v>1</v>
    <v>24177</v>
    <v>45175</v>
    <v>Antwerpen</v>
    <v>1</v>
    <v>N</v>
    <v>N</v>
    <v>N</v>
    <v/>
    <v>N</v>
    <v>58</v>
    <v>Hoboken</v>
    <v>128</v>
    <v>OC Hoboken loods</v>
    <v>152</v>
    <v>7078</v>
    <v>7078</v>
    <v>PCC vernieuwd</v>
    <v>Tram</v>
    <v>Tram</v>
  </rv>
  <rv s="0">
    <v>0</v>
    <v>7079</v>
    <v>1</v>
    <v>Generic</v>
    <v>MIVA</v>
    <v>0</v>
    <v>1</v>
    <v>24177</v>
    <v>45175</v>
    <v>Antwerpen</v>
    <v>1</v>
    <v>N</v>
    <v>N</v>
    <v>N</v>
    <v/>
    <v>N</v>
    <v>58</v>
    <v>Hoboken</v>
    <v>128</v>
    <v>OC Hoboken loods</v>
    <v>152</v>
    <v>7079</v>
    <v>7079</v>
    <v>PCC vernieuwd</v>
    <v>Tram</v>
    <v>Tram</v>
  </rv>
  <rv s="0">
    <v>0</v>
    <v>7080</v>
    <v>1</v>
    <v>Generic</v>
    <v>MIVA</v>
    <v>0</v>
    <v>1</v>
    <v>24177</v>
    <v>45175</v>
    <v>Antwerpen</v>
    <v>1</v>
    <v>N</v>
    <v>N</v>
    <v>N</v>
    <v/>
    <v>N</v>
    <v>58</v>
    <v>Hoboken</v>
    <v>128</v>
    <v>OC Hoboken loods</v>
    <v>152</v>
    <v>7080</v>
    <v>7080</v>
    <v>PCC vernieuwd</v>
    <v>Tram</v>
    <v>Tram</v>
  </rv>
  <rv s="0">
    <v>0</v>
    <v>7081</v>
    <v>1</v>
    <v>Generic</v>
    <v>MIVA</v>
    <v>0</v>
    <v>1</v>
    <v>24184</v>
    <v>45175</v>
    <v>Antwerpen</v>
    <v>1</v>
    <v>N</v>
    <v>N</v>
    <v>N</v>
    <v/>
    <v>N</v>
    <v>58</v>
    <v>Hoboken</v>
    <v>128</v>
    <v>OC Hoboken loods</v>
    <v>152</v>
    <v>7081</v>
    <v>7081</v>
    <v>PCC vernieuwd</v>
    <v>Tram</v>
    <v>Tram</v>
  </rv>
  <rv s="0">
    <v>0</v>
    <v>7082</v>
    <v>1</v>
    <v>Generic</v>
    <v>MIVA</v>
    <v>0</v>
    <v>2</v>
    <v>24184</v>
    <v>45175</v>
    <v>Antwerpen</v>
    <v>1</v>
    <v>N</v>
    <v>N</v>
    <v>N</v>
    <v/>
    <v>N</v>
    <v>58</v>
    <v>Onbekend</v>
    <v>#</v>
    <v>Onbekend</v>
    <v>#</v>
    <v>7082</v>
    <v>7082</v>
    <v>PCC vernieuwd</v>
    <v>Tram</v>
    <v>Tram</v>
  </rv>
  <rv s="0">
    <v>0</v>
    <v>7083</v>
    <v>1</v>
    <v>Generic</v>
    <v>MIVA</v>
    <v>0</v>
    <v>1</v>
    <v>24184</v>
    <v>45175</v>
    <v>Antwerpen</v>
    <v>1</v>
    <v>N</v>
    <v>N</v>
    <v>N</v>
    <v/>
    <v>N</v>
    <v>58</v>
    <v>Hoboken</v>
    <v>128</v>
    <v>OC Hoboken loods</v>
    <v>152</v>
    <v>7083</v>
    <v>7083</v>
    <v>PCC vernieuwd</v>
    <v>Tram</v>
    <v>Tram</v>
  </rv>
  <rv s="0">
    <v>0</v>
    <v>7084</v>
    <v>1</v>
    <v>Generic</v>
    <v>MIVA</v>
    <v>0</v>
    <v>1</v>
    <v>24191</v>
    <v>45175</v>
    <v>Antwerpen</v>
    <v>1</v>
    <v>N</v>
    <v>N</v>
    <v>N</v>
    <v/>
    <v>N</v>
    <v>58</v>
    <v>Hoboken</v>
    <v>128</v>
    <v>OC Hoboken loods</v>
    <v>152</v>
    <v>7084</v>
    <v>7084</v>
    <v>PCC vernieuwd</v>
    <v>Tram</v>
    <v>Tram</v>
  </rv>
  <rv s="0">
    <v>0</v>
    <v>7085</v>
    <v>1</v>
    <v>Generic</v>
    <v>MIVA</v>
    <v>0</v>
    <v>1</v>
    <v>24191</v>
    <v>45175</v>
    <v>Antwerpen</v>
    <v>1</v>
    <v>N</v>
    <v>N</v>
    <v>N</v>
    <v/>
    <v>N</v>
    <v>58</v>
    <v>Hoboken</v>
    <v>128</v>
    <v>OC Hoboken loods</v>
    <v>152</v>
    <v>7085</v>
    <v>7085</v>
    <v>PCC vernieuwd</v>
    <v>Tram</v>
    <v>Tram</v>
  </rv>
  <rv s="0">
    <v>0</v>
    <v>7086</v>
    <v>1</v>
    <v>Generic</v>
    <v>MIVA</v>
    <v>0</v>
    <v>1</v>
    <v>24191</v>
    <v>45175</v>
    <v>Antwerpen</v>
    <v>1</v>
    <v>N</v>
    <v>N</v>
    <v>N</v>
    <v/>
    <v>N</v>
    <v>58</v>
    <v>Hoboken</v>
    <v>128</v>
    <v>OC Hoboken loods</v>
    <v>152</v>
    <v>7086</v>
    <v>7086</v>
    <v>PCC vernieuwd</v>
    <v>Tram</v>
    <v>Tram</v>
  </rv>
  <rv s="0">
    <v>0</v>
    <v>7087</v>
    <v>1</v>
    <v>Generic</v>
    <v>MIVA</v>
    <v>0</v>
    <v>2</v>
    <v>24198</v>
    <v>45175</v>
    <v>Antwerpen</v>
    <v>1</v>
    <v>N</v>
    <v>N</v>
    <v>N</v>
    <v/>
    <v>N</v>
    <v>57</v>
    <v>Onbekend</v>
    <v>#</v>
    <v>Onbekend</v>
    <v>#</v>
    <v>7087</v>
    <v>7087</v>
    <v>PCC vernieuwd</v>
    <v>Tram</v>
    <v>Tram</v>
  </rv>
  <rv s="0">
    <v>0</v>
    <v>7088</v>
    <v>1</v>
    <v>Generic</v>
    <v>MIVA</v>
    <v>0</v>
    <v>1</v>
    <v>24198</v>
    <v>45175</v>
    <v>Antwerpen</v>
    <v>1</v>
    <v>N</v>
    <v>N</v>
    <v>N</v>
    <v/>
    <v>N</v>
    <v>57</v>
    <v>Hoboken</v>
    <v>128</v>
    <v>OC Hoboken loods</v>
    <v>152</v>
    <v>7088</v>
    <v>7088</v>
    <v>PCC vernieuwd</v>
    <v>Tram</v>
    <v>Tram</v>
  </rv>
  <rv s="0">
    <v>0</v>
    <v>7089</v>
    <v>1</v>
    <v>Generic</v>
    <v>MIVA</v>
    <v>0</v>
    <v>1</v>
    <v>24198</v>
    <v>45175</v>
    <v>Antwerpen</v>
    <v>1</v>
    <v>N</v>
    <v>N</v>
    <v>N</v>
    <v/>
    <v>N</v>
    <v>57</v>
    <v>Hoboken</v>
    <v>128</v>
    <v>OC Hoboken loods</v>
    <v>152</v>
    <v>7089</v>
    <v>7089</v>
    <v>PCC vernieuwd</v>
    <v>Tram</v>
    <v>Tram</v>
  </rv>
  <rv s="0">
    <v>0</v>
    <v>7090</v>
    <v>1</v>
    <v>Generic</v>
    <v>MIVA</v>
    <v>0</v>
    <v>1</v>
    <v>24198</v>
    <v>45175</v>
    <v>Antwerpen</v>
    <v>1</v>
    <v>N</v>
    <v>N</v>
    <v>N</v>
    <v/>
    <v>N</v>
    <v>57</v>
    <v>Hoboken</v>
    <v>128</v>
    <v>OC Hoboken loods</v>
    <v>152</v>
    <v>7090</v>
    <v>7090</v>
    <v>PCC vernieuwd</v>
    <v>Tram</v>
    <v>Tram</v>
  </rv>
  <rv s="0">
    <v>0</v>
    <v>7091</v>
    <v>1</v>
    <v>Generic</v>
    <v>MIVA</v>
    <v>0</v>
    <v>1</v>
    <v>24205</v>
    <v>45175</v>
    <v>Antwerpen</v>
    <v>1</v>
    <v>N</v>
    <v>N</v>
    <v>N</v>
    <v/>
    <v>N</v>
    <v>57</v>
    <v>Hoboken</v>
    <v>128</v>
    <v>OC Hoboken loods</v>
    <v>152</v>
    <v>7091</v>
    <v>7091</v>
    <v>PCC vernieuwd</v>
    <v>Tram</v>
    <v>Tram</v>
  </rv>
  <rv s="0">
    <v>0</v>
    <v>7092</v>
    <v>1</v>
    <v>Generic</v>
    <v>MIVA</v>
    <v>0</v>
    <v>2</v>
    <v>24205</v>
    <v>45175</v>
    <v>Antwerpen</v>
    <v>1</v>
    <v>N</v>
    <v>N</v>
    <v>N</v>
    <v/>
    <v>N</v>
    <v>57</v>
    <v>Onbekend</v>
    <v>#</v>
    <v>Onbekend</v>
    <v>#</v>
    <v>7092</v>
    <v>7092</v>
    <v>PCC vernieuwd</v>
    <v>Tram</v>
    <v>Tram</v>
  </rv>
  <rv s="0">
    <v>0</v>
    <v>7093</v>
    <v>1</v>
    <v>Generic</v>
    <v>MIVA</v>
    <v>0</v>
    <v>1</v>
    <v>24205</v>
    <v>45175</v>
    <v>Antwerpen</v>
    <v>1</v>
    <v>N</v>
    <v>N</v>
    <v>N</v>
    <v/>
    <v>N</v>
    <v>57</v>
    <v>Hoboken</v>
    <v>128</v>
    <v>OC Hoboken loods</v>
    <v>152</v>
    <v>7093</v>
    <v>7093</v>
    <v>PCC vernieuwd</v>
    <v>Tram</v>
    <v>Tram</v>
  </rv>
  <rv s="0">
    <v>0</v>
    <v>7094</v>
    <v>1</v>
    <v>Generic</v>
    <v>MIVA</v>
    <v>0</v>
    <v>1</v>
    <v>24205</v>
    <v>45175</v>
    <v>Antwerpen</v>
    <v>1</v>
    <v>N</v>
    <v>N</v>
    <v>N</v>
    <v/>
    <v>N</v>
    <v>57</v>
    <v>Hoboken</v>
    <v>128</v>
    <v>OC Hoboken loods</v>
    <v>152</v>
    <v>7094</v>
    <v>7094</v>
    <v>PCC vernieuwd</v>
    <v>Tram</v>
    <v>Tram</v>
  </rv>
  <rv s="0">
    <v>0</v>
    <v>7095</v>
    <v>1</v>
    <v>Generic</v>
    <v>MIVA</v>
    <v>0</v>
    <v>1</v>
    <v>24219</v>
    <v>45175</v>
    <v>Antwerpen</v>
    <v>1</v>
    <v>N</v>
    <v>N</v>
    <v>N</v>
    <v/>
    <v>N</v>
    <v>57</v>
    <v>Hoboken</v>
    <v>128</v>
    <v>OC Hoboken loods</v>
    <v>152</v>
    <v>7095</v>
    <v>7095</v>
    <v>PCC vernieuwd</v>
    <v>Tram</v>
    <v>Tram</v>
  </rv>
  <rv s="0">
    <v>0</v>
    <v>7096</v>
    <v>1</v>
    <v>Generic</v>
    <v>MIVA</v>
    <v>0</v>
    <v>2</v>
    <v>24212</v>
    <v>45175</v>
    <v>Centrale Diensten</v>
    <v>9</v>
    <v>N</v>
    <v>N</v>
    <v>N</v>
    <v/>
    <v>N</v>
    <v>57</v>
    <v>Hoboken</v>
    <v>128</v>
    <v>OC Hoboken loods</v>
    <v>152</v>
    <v>7096</v>
    <v>7096</v>
    <v>PCC vernieuwd</v>
    <v>Tram</v>
    <v>Tram</v>
  </rv>
  <rv s="0">
    <v>0</v>
    <v>7097</v>
    <v>1</v>
    <v>Generic</v>
    <v>MIVA</v>
    <v>0</v>
    <v>1</v>
    <v>24199</v>
    <v>45175</v>
    <v>Antwerpen</v>
    <v>1</v>
    <v>N</v>
    <v>N</v>
    <v>N</v>
    <v/>
    <v>N</v>
    <v>57</v>
    <v>Hoboken</v>
    <v>128</v>
    <v>OC Hoboken loods</v>
    <v>152</v>
    <v>7097</v>
    <v>7097</v>
    <v>PCC vernieuwd</v>
    <v>Tram</v>
    <v>Tram</v>
  </rv>
  <rv s="0">
    <v>0</v>
    <v>7098</v>
    <v>1</v>
    <v>Generic</v>
    <v>MIVA</v>
    <v>0</v>
    <v>1</v>
    <v>24212</v>
    <v>45175</v>
    <v>Antwerpen</v>
    <v>1</v>
    <v>N</v>
    <v>N</v>
    <v>N</v>
    <v/>
    <v>N</v>
    <v>57</v>
    <v>Hoboken</v>
    <v>128</v>
    <v>OC Hoboken loods</v>
    <v>152</v>
    <v>7098</v>
    <v>7098</v>
    <v>PCC vernieuwd</v>
    <v>Tram</v>
    <v>Tram</v>
  </rv>
  <rv s="0">
    <v>0</v>
    <v>7099</v>
    <v>1</v>
    <v>Generic</v>
    <v>MIVA</v>
    <v>0</v>
    <v>1</v>
    <v>24222</v>
    <v>45175</v>
    <v>Antwerpen</v>
    <v>1</v>
    <v>N</v>
    <v>N</v>
    <v>N</v>
    <v/>
    <v>N</v>
    <v>57</v>
    <v>Hoboken</v>
    <v>128</v>
    <v>OC Hoboken loods</v>
    <v>152</v>
    <v>7099</v>
    <v>7099</v>
    <v>PCC vernieuwd</v>
    <v>Tram</v>
    <v>Tram</v>
  </rv>
  <rv s="0">
    <v>0</v>
    <v>7100</v>
    <v>1</v>
    <v>Generic</v>
    <v>MIVA</v>
    <v>0</v>
    <v>1</v>
    <v>24222</v>
    <v>45175</v>
    <v>Antwerpen</v>
    <v>1</v>
    <v>N</v>
    <v>N</v>
    <v>N</v>
    <v/>
    <v>N</v>
    <v>57</v>
    <v>Hoboken</v>
    <v>128</v>
    <v>OC Hoboken loods</v>
    <v>152</v>
    <v>7100</v>
    <v>7100</v>
    <v>PCC vernieuwd</v>
    <v>Tram</v>
    <v>Tram</v>
  </rv>
  <rv s="0">
    <v>0</v>
    <v>7101</v>
    <v>1</v>
    <v>Generic</v>
    <v>MIVA</v>
    <v>0</v>
    <v>1</v>
    <v>25528</v>
    <v>45175</v>
    <v>Antwerpen</v>
    <v>1</v>
    <v>N</v>
    <v>N</v>
    <v>N</v>
    <v/>
    <v>N</v>
    <v>54</v>
    <v>Hoboken</v>
    <v>128</v>
    <v>OC Hoboken loods</v>
    <v>152</v>
    <v>7101</v>
    <v>7101</v>
    <v>PCC vernieuwd</v>
    <v>Tram</v>
    <v>Tram</v>
  </rv>
  <rv s="0">
    <v>0</v>
    <v>7102</v>
    <v>1</v>
    <v>Generic</v>
    <v>MIVA</v>
    <v>0</v>
    <v>1</v>
    <v>25532</v>
    <v>45175</v>
    <v>Antwerpen</v>
    <v>1</v>
    <v>N</v>
    <v>N</v>
    <v>N</v>
    <v/>
    <v>N</v>
    <v>54</v>
    <v>Hoboken</v>
    <v>128</v>
    <v>OC Hoboken loods</v>
    <v>152</v>
    <v>7102</v>
    <v>7102</v>
    <v>PCC vernieuwd</v>
    <v>Tram</v>
    <v>Tram</v>
  </rv>
  <rv s="0">
    <v>0</v>
    <v>7104</v>
    <v>1</v>
    <v>Generic</v>
    <v>MIVA</v>
    <v>0</v>
    <v>1</v>
    <v>25542</v>
    <v>45175</v>
    <v>Antwerpen</v>
    <v>1</v>
    <v>N</v>
    <v>N</v>
    <v>N</v>
    <v/>
    <v>N</v>
    <v>54</v>
    <v>Hoboken</v>
    <v>128</v>
    <v>OC Hoboken loods</v>
    <v>152</v>
    <v>7104</v>
    <v>7104</v>
    <v>PCC vernieuwd</v>
    <v>Tram</v>
    <v>Tram</v>
  </rv>
  <rv s="0">
    <v>0</v>
    <v>7105</v>
    <v>1</v>
    <v>Generic</v>
    <v>MIVA</v>
    <v>0</v>
    <v>1</v>
    <v>25549</v>
    <v>45175</v>
    <v>Antwerpen</v>
    <v>1</v>
    <v>N</v>
    <v>N</v>
    <v>N</v>
    <v/>
    <v>N</v>
    <v>54</v>
    <v>Hoboken</v>
    <v>128</v>
    <v>OC Hoboken loods</v>
    <v>152</v>
    <v>7105</v>
    <v>7105</v>
    <v>PCC vernieuwd</v>
    <v>Tram</v>
    <v>Tram</v>
  </rv>
  <rv s="0">
    <v>0</v>
    <v>7106</v>
    <v>1</v>
    <v>Generic</v>
    <v>MIVA</v>
    <v>0</v>
    <v>1</v>
    <v>25553</v>
    <v>45175</v>
    <v>Antwerpen</v>
    <v>1</v>
    <v>N</v>
    <v>N</v>
    <v>N</v>
    <v/>
    <v>N</v>
    <v>54</v>
    <v>Hoboken</v>
    <v>128</v>
    <v>OC Hoboken loods</v>
    <v>152</v>
    <v>7106</v>
    <v>7106</v>
    <v>PCC vernieuwd</v>
    <v>Tram</v>
    <v>Tram</v>
  </rv>
  <rv s="0">
    <v>0</v>
    <v>7108</v>
    <v>1</v>
    <v>Generic</v>
    <v>MIVA</v>
    <v>0</v>
    <v>1</v>
    <v>25559</v>
    <v>45175</v>
    <v>Antwerpen</v>
    <v>1</v>
    <v>N</v>
    <v>N</v>
    <v>N</v>
    <v/>
    <v>N</v>
    <v>54</v>
    <v>Hoboken</v>
    <v>128</v>
    <v>OC Hoboken loods</v>
    <v>152</v>
    <v>7108</v>
    <v>7108</v>
    <v>PCC vernieuwd</v>
    <v>Tram</v>
    <v>Tram</v>
  </rv>
  <rv s="0">
    <v>0</v>
    <v>7109</v>
    <v>1</v>
    <v>Generic</v>
    <v>MIVA</v>
    <v>0</v>
    <v>1</v>
    <v>25583</v>
    <v>45175</v>
    <v>Antwerpen</v>
    <v>1</v>
    <v>N</v>
    <v>N</v>
    <v>N</v>
    <v/>
    <v>N</v>
    <v>54</v>
    <v>Hoboken</v>
    <v>128</v>
    <v>OC Hoboken loods</v>
    <v>152</v>
    <v>7109</v>
    <v>7109</v>
    <v>PCC vernieuwd</v>
    <v>Tram</v>
    <v>Tram</v>
  </rv>
  <rv s="0">
    <v>0</v>
    <v>7110</v>
    <v>1</v>
    <v>Generic</v>
    <v>MIVA</v>
    <v>0</v>
    <v>1</v>
    <v>25584</v>
    <v>45175</v>
    <v>Antwerpen</v>
    <v>1</v>
    <v>N</v>
    <v>N</v>
    <v>N</v>
    <v/>
    <v>N</v>
    <v>54</v>
    <v>Hoboken</v>
    <v>128</v>
    <v>OC Hoboken loods</v>
    <v>152</v>
    <v>7110</v>
    <v>7110</v>
    <v>PCC vernieuwd</v>
    <v>Tram</v>
    <v>Tram</v>
  </rv>
  <rv s="0">
    <v>0</v>
    <v>7111</v>
    <v>1</v>
    <v>Generic</v>
    <v>MIVA</v>
    <v>0</v>
    <v>2</v>
    <v>25588</v>
    <v>45175</v>
    <v>Antwerpen</v>
    <v>1</v>
    <v>N</v>
    <v>N</v>
    <v>N</v>
    <v/>
    <v>N</v>
    <v>54</v>
    <v>Onbekend</v>
    <v>#</v>
    <v>Onbekend</v>
    <v>#</v>
    <v>7111</v>
    <v>7111</v>
    <v>PCC vernieuwd</v>
    <v>Tram</v>
    <v>Tram</v>
  </rv>
  <rv s="0">
    <v>0</v>
    <v>7113</v>
    <v>1</v>
    <v>Generic</v>
    <v>MIVA</v>
    <v>0</v>
    <v>1</v>
    <v>25591</v>
    <v>45175</v>
    <v>Antwerpen</v>
    <v>1</v>
    <v>N</v>
    <v>N</v>
    <v>N</v>
    <v/>
    <v>N</v>
    <v>54</v>
    <v>Hoboken</v>
    <v>128</v>
    <v>OC Hoboken loods</v>
    <v>152</v>
    <v>7113</v>
    <v>7113</v>
    <v>PCC vernieuwd</v>
    <v>Tram</v>
    <v>Tram</v>
  </rv>
  <rv s="0">
    <v>0</v>
    <v>7114</v>
    <v>1</v>
    <v>Generic</v>
    <v>MIVA</v>
    <v>0</v>
    <v>1</v>
    <v>25594</v>
    <v>45175</v>
    <v>Antwerpen</v>
    <v>1</v>
    <v>N</v>
    <v>N</v>
    <v>N</v>
    <v/>
    <v>N</v>
    <v>54</v>
    <v>Hoboken</v>
    <v>128</v>
    <v>OC Hoboken loods</v>
    <v>152</v>
    <v>7114</v>
    <v>7114</v>
    <v>PCC vernieuwd</v>
    <v>Tram</v>
    <v>Tram</v>
  </rv>
  <rv s="0">
    <v>0</v>
    <v>7115</v>
    <v>1</v>
    <v>Generic</v>
    <v>MIVA</v>
    <v>0</v>
    <v>1</v>
    <v>25595</v>
    <v>45175</v>
    <v>Antwerpen</v>
    <v>1</v>
    <v>N</v>
    <v>N</v>
    <v>N</v>
    <v/>
    <v>N</v>
    <v>54</v>
    <v>Hoboken</v>
    <v>128</v>
    <v>OC Hoboken loods</v>
    <v>152</v>
    <v>7115</v>
    <v>7115</v>
    <v>PCC vernieuwd</v>
    <v>Tram</v>
    <v>Tram</v>
  </rv>
  <rv s="0">
    <v>0</v>
    <v>7116</v>
    <v>1</v>
    <v>Generic</v>
    <v>MIVA</v>
    <v>0</v>
    <v>1</v>
    <v>25603</v>
    <v>45175</v>
    <v>Antwerpen</v>
    <v>1</v>
    <v>N</v>
    <v>N</v>
    <v>N</v>
    <v/>
    <v>N</v>
    <v>54</v>
    <v>Hoboken</v>
    <v>128</v>
    <v>OC Hoboken loods</v>
    <v>152</v>
    <v>7116</v>
    <v>7116</v>
    <v>PCC vernieuwd</v>
    <v>Tram</v>
    <v>Tram</v>
  </rv>
  <rv s="0">
    <v>0</v>
    <v>7117</v>
    <v>1</v>
    <v>Generic</v>
    <v>MIVA</v>
    <v>0</v>
    <v>1</v>
    <v>25602</v>
    <v>45175</v>
    <v>Antwerpen</v>
    <v>1</v>
    <v>N</v>
    <v>N</v>
    <v>N</v>
    <v/>
    <v>N</v>
    <v>54</v>
    <v>Hoboken</v>
    <v>128</v>
    <v>OC Hoboken loods</v>
    <v>152</v>
    <v>7117</v>
    <v>7117</v>
    <v>PCC vernieuwd</v>
    <v>Tram</v>
    <v>Tram</v>
  </rv>
  <rv s="0">
    <v>0</v>
    <v>7118</v>
    <v>1</v>
    <v>Generic</v>
    <v>MIVA</v>
    <v>0</v>
    <v>1</v>
    <v>25609</v>
    <v>45175</v>
    <v>Antwerpen</v>
    <v>1</v>
    <v>N</v>
    <v>N</v>
    <v>N</v>
    <v/>
    <v>N</v>
    <v>54</v>
    <v>Hoboken</v>
    <v>128</v>
    <v>OC Hoboken loods</v>
    <v>152</v>
    <v>7118</v>
    <v>7118</v>
    <v>PCC vernieuwd</v>
    <v>Tram</v>
    <v>Tram</v>
  </rv>
  <rv s="0">
    <v>0</v>
    <v>7119</v>
    <v>1</v>
    <v>Generic</v>
    <v>MIVA</v>
    <v>0</v>
    <v>1</v>
    <v>25605</v>
    <v>45175</v>
    <v>Antwerpen</v>
    <v>1</v>
    <v>N</v>
    <v>N</v>
    <v>N</v>
    <v/>
    <v>N</v>
    <v>54</v>
    <v>Hoboken</v>
    <v>128</v>
    <v>OC Hoboken loods</v>
    <v>152</v>
    <v>7119</v>
    <v>7119</v>
    <v>PCC vernieuwd</v>
    <v>Tram</v>
    <v>Tram</v>
  </rv>
  <rv s="0">
    <v>0</v>
    <v>7120</v>
    <v>1</v>
    <v>Generic</v>
    <v>MIVA</v>
    <v>0</v>
    <v>1</v>
    <v>25623</v>
    <v>45175</v>
    <v>Antwerpen</v>
    <v>1</v>
    <v>N</v>
    <v>N</v>
    <v>N</v>
    <v/>
    <v>N</v>
    <v>54</v>
    <v>Hoboken</v>
    <v>128</v>
    <v>OC Hoboken loods</v>
    <v>152</v>
    <v>7120</v>
    <v>7120</v>
    <v>PCC vernieuwd</v>
    <v>Tram</v>
    <v>Tram</v>
  </rv>
  <rv s="0">
    <v>0</v>
    <v>7121</v>
    <v>1</v>
    <v>Generic</v>
    <v>MIVA</v>
    <v>0</v>
    <v>1</v>
    <v>25629</v>
    <v>45175</v>
    <v>Antwerpen</v>
    <v>1</v>
    <v>N</v>
    <v>N</v>
    <v>N</v>
    <v/>
    <v>N</v>
    <v>54</v>
    <v>Hoboken</v>
    <v>128</v>
    <v>OC Hoboken loods</v>
    <v>152</v>
    <v>7121</v>
    <v>7121</v>
    <v>PCC vernieuwd</v>
    <v>Tram</v>
    <v>Tram</v>
  </rv>
  <rv s="0">
    <v>0</v>
    <v>7122</v>
    <v>1</v>
    <v>Generic</v>
    <v>MIVA</v>
    <v>0</v>
    <v>1</v>
    <v>25637</v>
    <v>45175</v>
    <v>Antwerpen</v>
    <v>1</v>
    <v>N</v>
    <v>N</v>
    <v>N</v>
    <v/>
    <v>N</v>
    <v>54</v>
    <v>Hoboken</v>
    <v>128</v>
    <v>OC Hoboken loods</v>
    <v>152</v>
    <v>7122</v>
    <v>7122</v>
    <v>PCC vernieuwd</v>
    <v>Tram</v>
    <v>Tram</v>
  </rv>
  <rv s="0">
    <v>0</v>
    <v>7123</v>
    <v>1</v>
    <v>Generic</v>
    <v>MIVA</v>
    <v>0</v>
    <v>1</v>
    <v>25644</v>
    <v>45175</v>
    <v>Antwerpen</v>
    <v>1</v>
    <v>N</v>
    <v>N</v>
    <v>N</v>
    <v/>
    <v>N</v>
    <v>54</v>
    <v>Hoboken</v>
    <v>128</v>
    <v>OC Hoboken loods</v>
    <v>152</v>
    <v>7123</v>
    <v>7123</v>
    <v>PCC vernieuwd</v>
    <v>Tram</v>
    <v>Tram</v>
  </rv>
  <rv s="0">
    <v>0</v>
    <v>7124</v>
    <v>1</v>
    <v>Generic</v>
    <v>MIVA</v>
    <v>0</v>
    <v>1</v>
    <v>25645</v>
    <v>45175</v>
    <v>Antwerpen</v>
    <v>1</v>
    <v>N</v>
    <v>N</v>
    <v>N</v>
    <v/>
    <v>N</v>
    <v>54</v>
    <v>Hoboken</v>
    <v>128</v>
    <v>OC Hoboken loods</v>
    <v>152</v>
    <v>7124</v>
    <v>7124</v>
    <v>PCC vernieuwd</v>
    <v>Tram</v>
    <v>Tram</v>
  </rv>
  <rv s="0">
    <v>0</v>
    <v>7125</v>
    <v>1</v>
    <v>Generic</v>
    <v>MIVA</v>
    <v>0</v>
    <v>1</v>
    <v>25653</v>
    <v>45175</v>
    <v>Antwerpen</v>
    <v>1</v>
    <v>N</v>
    <v>N</v>
    <v>N</v>
    <v/>
    <v>N</v>
    <v>54</v>
    <v>Hoboken</v>
    <v>128</v>
    <v>OC Hoboken loods</v>
    <v>152</v>
    <v>7125</v>
    <v>7125</v>
    <v>PCC vernieuwd</v>
    <v>Tram</v>
    <v>Tram</v>
  </rv>
  <rv s="0">
    <v>0</v>
    <v>7126</v>
    <v>1</v>
    <v>Generic</v>
    <v>MIVA</v>
    <v>0</v>
    <v>2</v>
    <v>27331</v>
    <v>45175</v>
    <v>Antwerpen</v>
    <v>1</v>
    <v>N</v>
    <v>N</v>
    <v>N</v>
    <v/>
    <v>N</v>
    <v>49</v>
    <v>Onbekend</v>
    <v>#</v>
    <v>Onbekend</v>
    <v>#</v>
    <v>7126</v>
    <v>7126</v>
    <v>PCC vernieuwd</v>
    <v>Tram</v>
    <v>Tram</v>
  </rv>
  <rv s="0">
    <v>0</v>
    <v>7127</v>
    <v>1</v>
    <v>Generic</v>
    <v>MIVA</v>
    <v>0</v>
    <v>2</v>
    <v>27332</v>
    <v>45175</v>
    <v>Centrale Diensten</v>
    <v>9</v>
    <v>N</v>
    <v>N</v>
    <v>N</v>
    <v/>
    <v>N</v>
    <v>49</v>
    <v>Hoboken</v>
    <v>128</v>
    <v>OC Hoboken loods</v>
    <v>152</v>
    <v>7127</v>
    <v>7127</v>
    <v>PCC vernieuwd</v>
    <v>Tram</v>
    <v>Tram</v>
  </rv>
  <rv s="0">
    <v>0</v>
    <v>7128</v>
    <v>1</v>
    <v>Generic</v>
    <v>MIVA</v>
    <v>0</v>
    <v>1</v>
    <v>27339</v>
    <v>45175</v>
    <v>Antwerpen</v>
    <v>1</v>
    <v>N</v>
    <v>N</v>
    <v>N</v>
    <v/>
    <v>N</v>
    <v>49</v>
    <v>Hoboken</v>
    <v>128</v>
    <v>OC Hoboken loods</v>
    <v>152</v>
    <v>7128</v>
    <v>7128</v>
    <v>PCC vernieuwd</v>
    <v>Tram</v>
    <v>Tram</v>
  </rv>
  <rv s="0">
    <v>0</v>
    <v>7129</v>
    <v>1</v>
    <v>Generic</v>
    <v>MIVA</v>
    <v>0</v>
    <v>1</v>
    <v>27341</v>
    <v>45175</v>
    <v>Antwerpen</v>
    <v>1</v>
    <v>N</v>
    <v>N</v>
    <v>N</v>
    <v/>
    <v>N</v>
    <v>49</v>
    <v>Hoboken</v>
    <v>128</v>
    <v>OC Hoboken loods</v>
    <v>152</v>
    <v>7129</v>
    <v>7129</v>
    <v>PCC vernieuwd</v>
    <v>Tram</v>
    <v>Tram</v>
  </rv>
  <rv s="0">
    <v>0</v>
    <v>7130</v>
    <v>1</v>
    <v>Generic</v>
    <v>MIVA</v>
    <v>0</v>
    <v>1</v>
    <v>27347</v>
    <v>45175</v>
    <v>Antwerpen</v>
    <v>1</v>
    <v>N</v>
    <v>N</v>
    <v>N</v>
    <v/>
    <v>N</v>
    <v>49</v>
    <v>Hoboken</v>
    <v>128</v>
    <v>OC Hoboken loods</v>
    <v>152</v>
    <v>7130</v>
    <v>7130</v>
    <v>PCC vernieuwd</v>
    <v>Tram</v>
    <v>Tram</v>
  </rv>
  <rv s="0">
    <v>0</v>
    <v>7131</v>
    <v>1</v>
    <v>Generic</v>
    <v>MIVA</v>
    <v>0</v>
    <v>2</v>
    <v>27355</v>
    <v>45175</v>
    <v>Antwerpen</v>
    <v>1</v>
    <v>N</v>
    <v>N</v>
    <v>N</v>
    <v/>
    <v>N</v>
    <v>49</v>
    <v>Onbekend</v>
    <v>#</v>
    <v>Onbekend</v>
    <v>#</v>
    <v>7131</v>
    <v>7131</v>
    <v>PCC vernieuwd</v>
    <v>Tram</v>
    <v>Tram</v>
  </rv>
  <rv s="0">
    <v>0</v>
    <v>7132</v>
    <v>1</v>
    <v>Generic</v>
    <v>MIVA</v>
    <v>0</v>
    <v>1</v>
    <v>27359</v>
    <v>45175</v>
    <v>Antwerpen</v>
    <v>1</v>
    <v>N</v>
    <v>N</v>
    <v>N</v>
    <v/>
    <v>N</v>
    <v>49</v>
    <v>Hoboken</v>
    <v>128</v>
    <v>OC Hoboken loods</v>
    <v>152</v>
    <v>7132</v>
    <v>7132</v>
    <v>PCC vernieuwd</v>
    <v>Tram</v>
    <v>Tram</v>
  </rv>
  <rv s="0">
    <v>0</v>
    <v>7133</v>
    <v>1</v>
    <v>Generic</v>
    <v>MIVA</v>
    <v>0</v>
    <v>1</v>
    <v>27360</v>
    <v>45175</v>
    <v>Antwerpen</v>
    <v>1</v>
    <v>N</v>
    <v>N</v>
    <v>N</v>
    <v/>
    <v>N</v>
    <v>49</v>
    <v>Hoboken</v>
    <v>128</v>
    <v>OC Hoboken loods</v>
    <v>152</v>
    <v>7133</v>
    <v>7133</v>
    <v>PCC vernieuwd</v>
    <v>Tram</v>
    <v>Tram</v>
  </rv>
  <rv s="0">
    <v>0</v>
    <v>7134</v>
    <v>1</v>
    <v>Generic</v>
    <v>MIVA</v>
    <v>0</v>
    <v>1</v>
    <v>27366</v>
    <v>45175</v>
    <v>Antwerpen</v>
    <v>1</v>
    <v>N</v>
    <v>N</v>
    <v>N</v>
    <v/>
    <v>N</v>
    <v>49</v>
    <v>Hoboken</v>
    <v>128</v>
    <v>OC Hoboken loods</v>
    <v>152</v>
    <v>7134</v>
    <v>7134</v>
    <v>PCC vernieuwd</v>
    <v>Tram</v>
    <v>Tram</v>
  </rv>
  <rv s="0">
    <v>0</v>
    <v>7135</v>
    <v>1</v>
    <v>Generic</v>
    <v>MIVA</v>
    <v>0</v>
    <v>1</v>
    <v>27367</v>
    <v>45175</v>
    <v>Antwerpen</v>
    <v>1</v>
    <v>N</v>
    <v>N</v>
    <v>N</v>
    <v/>
    <v>N</v>
    <v>49</v>
    <v>Hoboken</v>
    <v>128</v>
    <v>OC Hoboken loods</v>
    <v>152</v>
    <v>7135</v>
    <v>7135</v>
    <v>PCC vernieuwd</v>
    <v>Tram</v>
    <v>Tram</v>
  </rv>
  <rv s="0">
    <v>0</v>
    <v>7136</v>
    <v>1</v>
    <v>Generic</v>
    <v>MIVA</v>
    <v>0</v>
    <v>1</v>
    <v>27373</v>
    <v>45175</v>
    <v>Antwerpen</v>
    <v>1</v>
    <v>N</v>
    <v>N</v>
    <v>N</v>
    <v/>
    <v>N</v>
    <v>49</v>
    <v>Hoboken</v>
    <v>128</v>
    <v>OC Hoboken loods</v>
    <v>152</v>
    <v>7136</v>
    <v>7136</v>
    <v>PCC vernieuwd</v>
    <v>Tram</v>
    <v>Tram</v>
  </rv>
  <rv s="0">
    <v>0</v>
    <v>7137</v>
    <v>1</v>
    <v>Generic</v>
    <v>MIVA</v>
    <v>0</v>
    <v>2</v>
    <v>36130</v>
    <v>45175</v>
    <v>Antwerpen</v>
    <v>1</v>
    <v>N</v>
    <v>N</v>
    <v>N</v>
    <v/>
    <v>N</v>
    <v>25</v>
    <v>Onbekend</v>
    <v>#</v>
    <v>Onbekend</v>
    <v>#</v>
    <v>7137</v>
    <v>7137</v>
    <v>PCC vernieuwd</v>
    <v>Tram</v>
    <v>Tram</v>
  </rv>
  <rv s="0">
    <v>0</v>
    <v>7138</v>
    <v>1</v>
    <v>Generic</v>
    <v>MIVA</v>
    <v>0</v>
    <v>1</v>
    <v>27390</v>
    <v>45175</v>
    <v>Antwerpen</v>
    <v>1</v>
    <v>N</v>
    <v>N</v>
    <v>N</v>
    <v/>
    <v>N</v>
    <v>49</v>
    <v>Hoboken</v>
    <v>128</v>
    <v>OC Hoboken loods</v>
    <v>152</v>
    <v>7138</v>
    <v>7138</v>
    <v>PCC vernieuwd</v>
    <v>Tram</v>
    <v>Tram</v>
  </rv>
  <rv s="0">
    <v>0</v>
    <v>7139</v>
    <v>1</v>
    <v>Generic</v>
    <v>MIVA</v>
    <v>0</v>
    <v>1</v>
    <v>27386</v>
    <v>45175</v>
    <v>Antwerpen</v>
    <v>1</v>
    <v>N</v>
    <v>N</v>
    <v>N</v>
    <v/>
    <v>N</v>
    <v>49</v>
    <v>Hoboken</v>
    <v>128</v>
    <v>OC Hoboken loods</v>
    <v>152</v>
    <v>7139</v>
    <v>7139</v>
    <v>PCC vernieuwd</v>
    <v>Tram</v>
    <v>Tram</v>
  </rv>
  <rv s="0">
    <v>0</v>
    <v>7140</v>
    <v>1</v>
    <v>Generic</v>
    <v>MIVA</v>
    <v>0</v>
    <v>1</v>
    <v>27373</v>
    <v>45175</v>
    <v>Antwerpen</v>
    <v>1</v>
    <v>N</v>
    <v>N</v>
    <v>N</v>
    <v/>
    <v>N</v>
    <v>49</v>
    <v>Hoboken</v>
    <v>128</v>
    <v>OC Hoboken loods</v>
    <v>152</v>
    <v>7140</v>
    <v>7140</v>
    <v>PCC vernieuwd</v>
    <v>Tram</v>
    <v>Tram</v>
  </rv>
  <rv s="0">
    <v>0</v>
    <v>7141</v>
    <v>1</v>
    <v>Generic</v>
    <v>MIVA</v>
    <v>0</v>
    <v>1</v>
    <v>27402</v>
    <v>45175</v>
    <v>Antwerpen</v>
    <v>1</v>
    <v>N</v>
    <v>N</v>
    <v>N</v>
    <v/>
    <v>N</v>
    <v>49</v>
    <v>Hoboken</v>
    <v>128</v>
    <v>OC Hoboken loods</v>
    <v>152</v>
    <v>7141</v>
    <v>7141</v>
    <v>PCC vernieuwd</v>
    <v>Tram</v>
    <v>Tram</v>
  </rv>
  <rv s="0">
    <v>0</v>
    <v>7142</v>
    <v>1</v>
    <v>Generic</v>
    <v>MIVA</v>
    <v>0</v>
    <v>1</v>
    <v>27396</v>
    <v>45175</v>
    <v>Antwerpen</v>
    <v>1</v>
    <v>N</v>
    <v>N</v>
    <v>N</v>
    <v/>
    <v>N</v>
    <v>49</v>
    <v>Hoboken</v>
    <v>128</v>
    <v>OC Hoboken loods</v>
    <v>152</v>
    <v>7142</v>
    <v>7142</v>
    <v>PCC vernieuwd</v>
    <v>Tram</v>
    <v>Tram</v>
  </rv>
  <rv s="0">
    <v>0</v>
    <v>7143</v>
    <v>1</v>
    <v>Generic</v>
    <v>MIVA</v>
    <v>0</v>
    <v>1</v>
    <v>27408</v>
    <v>45175</v>
    <v>Antwerpen</v>
    <v>1</v>
    <v>N</v>
    <v>N</v>
    <v>N</v>
    <v/>
    <v>N</v>
    <v>49</v>
    <v>Hoboken</v>
    <v>128</v>
    <v>OC Hoboken loods</v>
    <v>152</v>
    <v>7143</v>
    <v>7143</v>
    <v>PCC vernieuwd</v>
    <v>Tram</v>
    <v>Tram</v>
  </rv>
  <rv s="0">
    <v>0</v>
    <v>7144</v>
    <v>1</v>
    <v>Generic</v>
    <v>MIVA</v>
    <v>0</v>
    <v>2</v>
    <v>27410</v>
    <v>45175</v>
    <v>Antwerpen</v>
    <v>1</v>
    <v>N</v>
    <v>N</v>
    <v>N</v>
    <v/>
    <v>N</v>
    <v>49</v>
    <v>Onbekend</v>
    <v>#</v>
    <v>Onbekend</v>
    <v>#</v>
    <v>7144</v>
    <v>7144</v>
    <v>PCC vernieuwd</v>
    <v>Tram</v>
    <v>Tram</v>
  </rv>
  <rv s="0">
    <v>0</v>
    <v>7145</v>
    <v>1</v>
    <v>Generic</v>
    <v>MIVA</v>
    <v>0</v>
    <v>1</v>
    <v>27416</v>
    <v>45175</v>
    <v>Antwerpen</v>
    <v>1</v>
    <v>N</v>
    <v>N</v>
    <v>N</v>
    <v/>
    <v>N</v>
    <v>49</v>
    <v>Hoboken</v>
    <v>128</v>
    <v>OC Hoboken loods</v>
    <v>152</v>
    <v>7145</v>
    <v>7145</v>
    <v>PCC vernieuwd</v>
    <v>Tram</v>
    <v>Tram</v>
  </rv>
  <rv s="0">
    <v>0</v>
    <v>7146</v>
    <v>1</v>
    <v>Generic</v>
    <v>MIVA</v>
    <v>0</v>
    <v>1</v>
    <v>27417</v>
    <v>45175</v>
    <v>Antwerpen</v>
    <v>1</v>
    <v>N</v>
    <v>N</v>
    <v>N</v>
    <v/>
    <v>N</v>
    <v>49</v>
    <v>Hoboken</v>
    <v>128</v>
    <v>OC Hoboken loods</v>
    <v>152</v>
    <v>7146</v>
    <v>7146</v>
    <v>PCC vernieuwd</v>
    <v>Tram</v>
    <v>Tram</v>
  </rv>
  <rv s="0">
    <v>0</v>
    <v>7147</v>
    <v>1</v>
    <v>Generic</v>
    <v>MIVA</v>
    <v>0</v>
    <v>1</v>
    <v>27422</v>
    <v>45175</v>
    <v>Antwerpen</v>
    <v>1</v>
    <v>N</v>
    <v>N</v>
    <v>N</v>
    <v/>
    <v>N</v>
    <v>49</v>
    <v>Hoboken</v>
    <v>128</v>
    <v>OC Hoboken loods</v>
    <v>152</v>
    <v>7147</v>
    <v>7147</v>
    <v>PCC vernieuwd</v>
    <v>Tram</v>
    <v>Tram</v>
  </rv>
  <rv s="0">
    <v>0</v>
    <v>7148</v>
    <v>1</v>
    <v>Generic</v>
    <v>MIVA</v>
    <v>0</v>
    <v>1</v>
    <v>27423</v>
    <v>45175</v>
    <v>Antwerpen</v>
    <v>1</v>
    <v>N</v>
    <v>N</v>
    <v>N</v>
    <v/>
    <v>N</v>
    <v>49</v>
    <v>Hoboken</v>
    <v>128</v>
    <v>OC Hoboken loods</v>
    <v>152</v>
    <v>7148</v>
    <v>7148</v>
    <v>PCC vernieuwd</v>
    <v>Tram</v>
    <v>Tram</v>
  </rv>
  <rv s="0">
    <v>0</v>
    <v>7149</v>
    <v>1</v>
    <v>Generic</v>
    <v>MIVA</v>
    <v>0</v>
    <v>1</v>
    <v>27424</v>
    <v>45175</v>
    <v>Antwerpen</v>
    <v>1</v>
    <v>N</v>
    <v>N</v>
    <v>N</v>
    <v/>
    <v>N</v>
    <v>49</v>
    <v>Hoboken</v>
    <v>128</v>
    <v>OC Hoboken loods</v>
    <v>152</v>
    <v>7149</v>
    <v>7149</v>
    <v>PCC vernieuwd</v>
    <v>Tram</v>
    <v>Tram</v>
  </rv>
  <rv s="0">
    <v>0</v>
    <v>7150</v>
    <v>1</v>
    <v>Generic</v>
    <v>MIVA</v>
    <v>0</v>
    <v>1</v>
    <v>27429</v>
    <v>45175</v>
    <v>Antwerpen</v>
    <v>1</v>
    <v>N</v>
    <v>N</v>
    <v>N</v>
    <v/>
    <v>N</v>
    <v>49</v>
    <v>Hoboken</v>
    <v>128</v>
    <v>OC Hoboken loods</v>
    <v>152</v>
    <v>7150</v>
    <v>7150</v>
    <v>PCC vernieuwd</v>
    <v>Tram</v>
    <v>Tram</v>
  </rv>
  <rv s="0">
    <v>0</v>
    <v>7151</v>
    <v>1</v>
    <v>Generic</v>
    <v>MIVA</v>
    <v>0</v>
    <v>1</v>
    <v>27432</v>
    <v>45175</v>
    <v>Antwerpen</v>
    <v>1</v>
    <v>N</v>
    <v>N</v>
    <v>N</v>
    <v/>
    <v>N</v>
    <v>49</v>
    <v>Hoboken</v>
    <v>128</v>
    <v>OC Hoboken loods</v>
    <v>152</v>
    <v>7151</v>
    <v>7151</v>
    <v>PCC vernieuwd</v>
    <v>Tram</v>
    <v>Tram</v>
  </rv>
  <rv s="0">
    <v>0</v>
    <v>7152</v>
    <v>1</v>
    <v>Generic</v>
    <v>MIVA</v>
    <v>0</v>
    <v>1</v>
    <v>27438</v>
    <v>45175</v>
    <v>Antwerpen</v>
    <v>1</v>
    <v>N</v>
    <v>N</v>
    <v>N</v>
    <v/>
    <v>N</v>
    <v>49</v>
    <v>Hoboken</v>
    <v>128</v>
    <v>OC Hoboken loods</v>
    <v>152</v>
    <v>7152</v>
    <v>7152</v>
    <v>PCC vernieuwd</v>
    <v>Tram</v>
    <v>Tram</v>
  </rv>
  <rv s="0">
    <v>0</v>
    <v>7153</v>
    <v>1</v>
    <v>Generic</v>
    <v>MIVA</v>
    <v>0</v>
    <v>1</v>
    <v>27439</v>
    <v>45175</v>
    <v>Antwerpen</v>
    <v>1</v>
    <v>N</v>
    <v>N</v>
    <v>N</v>
    <v/>
    <v>N</v>
    <v>49</v>
    <v>Hoboken</v>
    <v>128</v>
    <v>OC Hoboken loods</v>
    <v>152</v>
    <v>7153</v>
    <v>7153</v>
    <v>PCC vernieuwd</v>
    <v>Tram</v>
    <v>Tram</v>
  </rv>
  <rv s="0">
    <v>0</v>
    <v>7154</v>
    <v>1</v>
    <v>Generic</v>
    <v>MIVA</v>
    <v>0</v>
    <v>1</v>
    <v>27444</v>
    <v>45175</v>
    <v>Antwerpen</v>
    <v>1</v>
    <v>N</v>
    <v>N</v>
    <v>N</v>
    <v/>
    <v>N</v>
    <v>49</v>
    <v>Hoboken</v>
    <v>128</v>
    <v>OC Hoboken loods</v>
    <v>152</v>
    <v>7154</v>
    <v>7154</v>
    <v>PCC vernieuwd</v>
    <v>Tram</v>
    <v>Tram</v>
  </rv>
  <rv s="0">
    <v>0</v>
    <v>7155</v>
    <v>1</v>
    <v>Generic</v>
    <v>MIVA</v>
    <v>0</v>
    <v>1</v>
    <v>27445</v>
    <v>45175</v>
    <v>Antwerpen</v>
    <v>1</v>
    <v>N</v>
    <v>N</v>
    <v>N</v>
    <v/>
    <v>N</v>
    <v>49</v>
    <v>Hoboken</v>
    <v>128</v>
    <v>OC Hoboken loods</v>
    <v>152</v>
    <v>7155</v>
    <v>7155</v>
    <v>PCC vernieuwd</v>
    <v>Tram</v>
    <v>Tram</v>
  </rv>
  <rv s="0">
    <v>0</v>
    <v>7156</v>
    <v>1</v>
    <v>Generic</v>
    <v>MIVA</v>
    <v>0</v>
    <v>1</v>
    <v>27451</v>
    <v>45175</v>
    <v>Antwerpen</v>
    <v>1</v>
    <v>N</v>
    <v>N</v>
    <v>N</v>
    <v/>
    <v>N</v>
    <v>49</v>
    <v>Hoboken</v>
    <v>128</v>
    <v>OC Hoboken loods</v>
    <v>152</v>
    <v>7156</v>
    <v>7156</v>
    <v>PCC vernieuwd</v>
    <v>Tram</v>
    <v>Tram</v>
  </rv>
  <rv s="0">
    <v>0</v>
    <v>7157</v>
    <v>1</v>
    <v>Generic</v>
    <v>MIVA</v>
    <v>0</v>
    <v>1</v>
    <v>27452</v>
    <v>45175</v>
    <v>Antwerpen</v>
    <v>1</v>
    <v>N</v>
    <v>N</v>
    <v>N</v>
    <v/>
    <v>N</v>
    <v>49</v>
    <v>Hoboken</v>
    <v>128</v>
    <v>OC Hoboken loods</v>
    <v>152</v>
    <v>7157</v>
    <v>7157</v>
    <v>PCC vernieuwd</v>
    <v>Tram</v>
    <v>Tram</v>
  </rv>
  <rv s="0">
    <v>0</v>
    <v>7158</v>
    <v>1</v>
    <v>Generic</v>
    <v>MIVA</v>
    <v>0</v>
    <v>1</v>
    <v>27457</v>
    <v>45175</v>
    <v>Antwerpen</v>
    <v>1</v>
    <v>N</v>
    <v>N</v>
    <v>N</v>
    <v/>
    <v>N</v>
    <v>49</v>
    <v>Hoboken</v>
    <v>128</v>
    <v>OC Hoboken loods</v>
    <v>152</v>
    <v>7158</v>
    <v>7158</v>
    <v>PCC vernieuwd</v>
    <v>Tram</v>
    <v>Tram</v>
  </rv>
  <rv s="0">
    <v>0</v>
    <v>7159</v>
    <v>1</v>
    <v>Generic</v>
    <v>MIVA</v>
    <v>0</v>
    <v>1</v>
    <v>27458</v>
    <v>45175</v>
    <v>Antwerpen</v>
    <v>1</v>
    <v>N</v>
    <v>N</v>
    <v>N</v>
    <v/>
    <v>N</v>
    <v>49</v>
    <v>Hoboken</v>
    <v>128</v>
    <v>OC Hoboken loods</v>
    <v>152</v>
    <v>7159</v>
    <v>7159</v>
    <v>PCC vernieuwd</v>
    <v>Tram</v>
    <v>Tram</v>
  </rv>
  <rv s="0">
    <v>0</v>
    <v>7160</v>
    <v>1</v>
    <v>Generic</v>
    <v>MIVA</v>
    <v>0</v>
    <v>1</v>
    <v>27467</v>
    <v>45175</v>
    <v>Antwerpen</v>
    <v>1</v>
    <v>N</v>
    <v>N</v>
    <v>N</v>
    <v/>
    <v>N</v>
    <v>49</v>
    <v>Hoboken</v>
    <v>128</v>
    <v>OC Hoboken loods</v>
    <v>152</v>
    <v>7160</v>
    <v>7160</v>
    <v>PCC vernieuwd</v>
    <v>Tram</v>
    <v>Tram</v>
  </rv>
  <rv s="0">
    <v>0</v>
    <v>7161</v>
    <v>1</v>
    <v>Generic</v>
    <v>MIVA</v>
    <v>0</v>
    <v>1</v>
    <v>27486</v>
    <v>45175</v>
    <v>Antwerpen</v>
    <v>1</v>
    <v>N</v>
    <v>N</v>
    <v>N</v>
    <v/>
    <v>N</v>
    <v>48</v>
    <v>Hoboken</v>
    <v>128</v>
    <v>OC Hoboken loods</v>
    <v>152</v>
    <v>7161</v>
    <v>7161</v>
    <v>PCC vernieuwd</v>
    <v>Tram</v>
    <v>Tram</v>
  </rv>
  <rv s="0">
    <v>0</v>
    <v>7164</v>
    <v>1</v>
    <v>Generic</v>
    <v>MIVA</v>
    <v>0</v>
    <v>1</v>
    <v>27499</v>
    <v>45175</v>
    <v>Antwerpen</v>
    <v>1</v>
    <v>N</v>
    <v>N</v>
    <v>N</v>
    <v/>
    <v>N</v>
    <v>48</v>
    <v>Hoboken</v>
    <v>128</v>
    <v>OC Hoboken loods</v>
    <v>152</v>
    <v>7164</v>
    <v>7164</v>
    <v>PCC vernieuwd</v>
    <v>Tram</v>
    <v>Tram</v>
  </rv>
  <rv s="0">
    <v>0</v>
    <v>7165</v>
    <v>1</v>
    <v>Generic</v>
    <v>MIVA</v>
    <v>0</v>
    <v>1</v>
    <v>27487</v>
    <v>45175</v>
    <v>Antwerpen</v>
    <v>1</v>
    <v>N</v>
    <v>N</v>
    <v>N</v>
    <v/>
    <v>N</v>
    <v>48</v>
    <v>Hoboken</v>
    <v>128</v>
    <v>OC Hoboken loods</v>
    <v>152</v>
    <v>7165</v>
    <v>7165</v>
    <v>PCC vernieuwd</v>
    <v>Tram</v>
    <v>Tram</v>
  </rv>
  <rv s="0">
    <v>0</v>
    <v>7201</v>
    <v>1</v>
    <v>Generic</v>
    <v>252</v>
    <v>0</v>
    <v>1</v>
    <v>36622</v>
    <v>45175</v>
    <v>Antwerpen</v>
    <v>1</v>
    <v>J</v>
    <v>J</v>
    <v>N</v>
    <v/>
    <v>N</v>
    <v>23</v>
    <v>Punt a/d Lijn</v>
    <v>130</v>
    <v>Noorderlaan - Punt a/d Lijn</v>
    <v>150</v>
    <v>7201</v>
    <v>7201</v>
    <v>DE HermeLIJN</v>
    <v>Tram</v>
    <v>Tram</v>
  </rv>
  <rv s="0">
    <v>0</v>
    <v>7202</v>
    <v>1</v>
    <v>Generic</v>
    <v>252</v>
    <v>0</v>
    <v>1</v>
    <v>36515</v>
    <v>45175</v>
    <v>Antwerpen</v>
    <v>1</v>
    <v>J</v>
    <v>J</v>
    <v>N</v>
    <v/>
    <v>N</v>
    <v>24</v>
    <v>Punt a/d Lijn</v>
    <v>130</v>
    <v>Noorderlaan - Punt a/d Lijn</v>
    <v>150</v>
    <v>7202</v>
    <v>7202</v>
    <v>DE HermeLIJN</v>
    <v>Tram</v>
    <v>Tram</v>
  </rv>
  <rv s="0">
    <v>0</v>
    <v>7203</v>
    <v>1</v>
    <v>Generic</v>
    <v>252</v>
    <v>0</v>
    <v>1</v>
    <v>36446</v>
    <v>45175</v>
    <v>Antwerpen</v>
    <v>1</v>
    <v>J</v>
    <v>J</v>
    <v>N</v>
    <v/>
    <v>N</v>
    <v>24</v>
    <v>Punt a/d Lijn</v>
    <v>130</v>
    <v>Noorderlaan - Punt a/d Lijn</v>
    <v>150</v>
    <v>7203</v>
    <v>7203</v>
    <v>DE HermeLIJN</v>
    <v>Tram</v>
    <v>Tram</v>
  </rv>
  <rv s="0">
    <v>0</v>
    <v>7204</v>
    <v>1</v>
    <v>Generic</v>
    <v>252</v>
    <v>0</v>
    <v>1</v>
    <v>36469</v>
    <v>45175</v>
    <v>Antwerpen</v>
    <v>1</v>
    <v>J</v>
    <v>J</v>
    <v>N</v>
    <v/>
    <v>N</v>
    <v>24</v>
    <v>Punt a/d Lijn</v>
    <v>130</v>
    <v>Noorderlaan - Punt a/d Lijn</v>
    <v>150</v>
    <v>7204</v>
    <v>7204</v>
    <v>DE HermeLIJN</v>
    <v>Tram</v>
    <v>Tram</v>
  </rv>
  <rv s="0">
    <v>0</v>
    <v>7205</v>
    <v>1</v>
    <v>Generic</v>
    <v>252</v>
    <v>0</v>
    <v>1</v>
    <v>36486</v>
    <v>45175</v>
    <v>Antwerpen</v>
    <v>1</v>
    <v>J</v>
    <v>J</v>
    <v>N</v>
    <v/>
    <v>N</v>
    <v>24</v>
    <v>Punt a/d Lijn</v>
    <v>130</v>
    <v>Noorderlaan - Punt a/d Lijn</v>
    <v>150</v>
    <v>7205</v>
    <v>7205</v>
    <v>DE HermeLIJN</v>
    <v>Tram</v>
    <v>Tram</v>
  </rv>
  <rv s="0">
    <v>0</v>
    <v>7206</v>
    <v>1</v>
    <v>Generic</v>
    <v>252</v>
    <v>0</v>
    <v>1</v>
    <v>36515</v>
    <v>45175</v>
    <v>Antwerpen</v>
    <v>1</v>
    <v>J</v>
    <v>J</v>
    <v>N</v>
    <v/>
    <v>N</v>
    <v>24</v>
    <v>Punt a/d Lijn</v>
    <v>130</v>
    <v>Noorderlaan - Punt a/d Lijn</v>
    <v>150</v>
    <v>7206</v>
    <v>7206</v>
    <v>DE HermeLIJN</v>
    <v>Tram</v>
    <v>Tram</v>
  </rv>
  <rv s="0">
    <v>0</v>
    <v>7207</v>
    <v>1</v>
    <v>Generic</v>
    <v>252</v>
    <v>0</v>
    <v>1</v>
    <v>36581</v>
    <v>45175</v>
    <v>Antwerpen</v>
    <v>1</v>
    <v>J</v>
    <v>J</v>
    <v>N</v>
    <v/>
    <v>N</v>
    <v>24</v>
    <v>Punt a/d Lijn</v>
    <v>130</v>
    <v>Noorderlaan - Punt a/d Lijn</v>
    <v>150</v>
    <v>7207</v>
    <v>7207</v>
    <v>DE HermeLIJN</v>
    <v>Tram</v>
    <v>Tram</v>
  </rv>
  <rv s="0">
    <v>0</v>
    <v>7208</v>
    <v>1</v>
    <v>Generic</v>
    <v>252</v>
    <v>0</v>
    <v>1</v>
    <v>36594</v>
    <v>45175</v>
    <v>Antwerpen</v>
    <v>1</v>
    <v>J</v>
    <v>J</v>
    <v>N</v>
    <v/>
    <v>N</v>
    <v>24</v>
    <v>Punt a/d Lijn</v>
    <v>130</v>
    <v>Noorderlaan - Punt a/d Lijn</v>
    <v>150</v>
    <v>7208</v>
    <v>7208</v>
    <v>DE HermeLIJN</v>
    <v>Tram</v>
    <v>Tram</v>
  </rv>
  <rv s="0">
    <v>0</v>
    <v>7209</v>
    <v>1</v>
    <v>Generic</v>
    <v>252</v>
    <v>0</v>
    <v>1</v>
    <v>36622</v>
    <v>45175</v>
    <v>Antwerpen</v>
    <v>1</v>
    <v>J</v>
    <v>J</v>
    <v>N</v>
    <v/>
    <v>N</v>
    <v>23</v>
    <v>Punt a/d Lijn</v>
    <v>130</v>
    <v>Noorderlaan - Punt a/d Lijn</v>
    <v>150</v>
    <v>7209</v>
    <v>7209</v>
    <v>DE HermeLIJN</v>
    <v>Tram</v>
    <v>Tram</v>
  </rv>
  <rv s="0">
    <v>0</v>
    <v>7210</v>
    <v>1</v>
    <v>Generic</v>
    <v>252</v>
    <v>0</v>
    <v>1</v>
    <v>36615</v>
    <v>45175</v>
    <v>Antwerpen</v>
    <v>1</v>
    <v>J</v>
    <v>J</v>
    <v>N</v>
    <v/>
    <v>N</v>
    <v>23</v>
    <v>Punt a/d Lijn</v>
    <v>130</v>
    <v>Noorderlaan - Punt a/d Lijn</v>
    <v>150</v>
    <v>7210</v>
    <v>7210</v>
    <v>DE HermeLIJN</v>
    <v>Tram</v>
    <v>Tram</v>
  </rv>
  <rv s="0">
    <v>0</v>
    <v>7211</v>
    <v>1</v>
    <v>Generic</v>
    <v>252</v>
    <v>0</v>
    <v>1</v>
    <v>36643</v>
    <v>45175</v>
    <v>Antwerpen</v>
    <v>1</v>
    <v>J</v>
    <v>J</v>
    <v>N</v>
    <v/>
    <v>N</v>
    <v>23</v>
    <v>Punt a/d Lijn</v>
    <v>130</v>
    <v>Noorderlaan - Punt a/d Lijn</v>
    <v>150</v>
    <v>7211</v>
    <v>7211</v>
    <v>DE HermeLIJN</v>
    <v>Tram</v>
    <v>Tram</v>
  </rv>
  <rv s="0">
    <v>0</v>
    <v>7212</v>
    <v>1</v>
    <v>Generic</v>
    <v>252</v>
    <v>0</v>
    <v>1</v>
    <v>36661</v>
    <v>45175</v>
    <v>Antwerpen</v>
    <v>1</v>
    <v>J</v>
    <v>J</v>
    <v>N</v>
    <v/>
    <v>N</v>
    <v>23</v>
    <v>Punt a/d Lijn</v>
    <v>130</v>
    <v>Noorderlaan - Punt a/d Lijn</v>
    <v>150</v>
    <v>7212</v>
    <v>7212</v>
    <v>DE HermeLIJN</v>
    <v>Tram</v>
    <v>Tram</v>
  </rv>
  <rv s="0">
    <v>0</v>
    <v>7213</v>
    <v>1</v>
    <v>Generic</v>
    <v>252</v>
    <v>0</v>
    <v>1</v>
    <v>36683</v>
    <v>45175</v>
    <v>Antwerpen</v>
    <v>1</v>
    <v>J</v>
    <v>J</v>
    <v>N</v>
    <v/>
    <v>N</v>
    <v>23</v>
    <v>Punt a/d Lijn</v>
    <v>130</v>
    <v>Noorderlaan - Punt a/d Lijn</v>
    <v>150</v>
    <v>7213</v>
    <v>7213</v>
    <v>DE HermeLIJN</v>
    <v>Tram</v>
    <v>Tram</v>
  </rv>
  <rv s="0">
    <v>0</v>
    <v>7214</v>
    <v>1</v>
    <v>Generic</v>
    <v>252</v>
    <v>0</v>
    <v>1</v>
    <v>36697</v>
    <v>45175</v>
    <v>Antwerpen</v>
    <v>1</v>
    <v>J</v>
    <v>J</v>
    <v>N</v>
    <v/>
    <v>N</v>
    <v>23</v>
    <v>Punt a/d Lijn</v>
    <v>130</v>
    <v>Noorderlaan - Punt a/d Lijn</v>
    <v>150</v>
    <v>7214</v>
    <v>7214</v>
    <v>DE HermeLIJN</v>
    <v>Tram</v>
    <v>Tram</v>
  </rv>
  <rv s="0">
    <v>0</v>
    <v>7215</v>
    <v>1</v>
    <v>Generic</v>
    <v>252</v>
    <v>0</v>
    <v>1</v>
    <v>36720</v>
    <v>45175</v>
    <v>Antwerpen</v>
    <v>1</v>
    <v>J</v>
    <v>J</v>
    <v>N</v>
    <v/>
    <v>N</v>
    <v>23</v>
    <v>Punt a/d Lijn</v>
    <v>130</v>
    <v>Noorderlaan - Punt a/d Lijn</v>
    <v>150</v>
    <v>7215</v>
    <v>7215</v>
    <v>DE HermeLIJN</v>
    <v>Tram</v>
    <v>Tram</v>
  </rv>
  <rv s="0">
    <v>0</v>
    <v>7216</v>
    <v>1</v>
    <v>Generic</v>
    <v>252</v>
    <v>0</v>
    <v>1</v>
    <v>36733</v>
    <v>45175</v>
    <v>Antwerpen</v>
    <v>1</v>
    <v>J</v>
    <v>J</v>
    <v>N</v>
    <v/>
    <v>N</v>
    <v>23</v>
    <v>Punt a/d Lijn</v>
    <v>130</v>
    <v>Noorderlaan - Punt a/d Lijn</v>
    <v>150</v>
    <v>7216</v>
    <v>7216</v>
    <v>DE HermeLIJN</v>
    <v>Tram</v>
    <v>Tram</v>
  </rv>
  <rv s="0">
    <v>0</v>
    <v>7217</v>
    <v>1</v>
    <v>Generic</v>
    <v>252</v>
    <v>0</v>
    <v>1</v>
    <v>36761</v>
    <v>45175</v>
    <v>Antwerpen</v>
    <v>1</v>
    <v>J</v>
    <v>J</v>
    <v>N</v>
    <v/>
    <v>N</v>
    <v>23</v>
    <v>Punt a/d Lijn</v>
    <v>130</v>
    <v>Noorderlaan - Punt a/d Lijn</v>
    <v>150</v>
    <v>7217</v>
    <v>7217</v>
    <v>DE HermeLIJN</v>
    <v>Tram</v>
    <v>Tram</v>
  </rv>
  <rv s="0">
    <v>0</v>
    <v>7218</v>
    <v>1</v>
    <v>Generic</v>
    <v>252</v>
    <v>0</v>
    <v>1</v>
    <v>36902</v>
    <v>45175</v>
    <v>Antwerpen</v>
    <v>1</v>
    <v>J</v>
    <v>J</v>
    <v>N</v>
    <v/>
    <v>N</v>
    <v>23</v>
    <v>Punt a/d Lijn</v>
    <v>130</v>
    <v>Noorderlaan - Punt a/d Lijn</v>
    <v>150</v>
    <v>7218</v>
    <v>7218</v>
    <v>DE HermeLIJN</v>
    <v>Tram</v>
    <v>Tram</v>
  </rv>
  <rv s="0">
    <v>0</v>
    <v>7219</v>
    <v>1</v>
    <v>Generic</v>
    <v>252</v>
    <v>0</v>
    <v>1</v>
    <v>36920</v>
    <v>45175</v>
    <v>Antwerpen</v>
    <v>1</v>
    <v>J</v>
    <v>J</v>
    <v>N</v>
    <v/>
    <v>N</v>
    <v>23</v>
    <v>Punt a/d Lijn</v>
    <v>130</v>
    <v>Noorderlaan - Punt a/d Lijn</v>
    <v>150</v>
    <v>7219</v>
    <v>7219</v>
    <v>DE HermeLIJN</v>
    <v>Tram</v>
    <v>Tram</v>
  </rv>
  <rv s="0">
    <v>0</v>
    <v>7220</v>
    <v>1</v>
    <v>Generic</v>
    <v>252</v>
    <v>0</v>
    <v>1</v>
    <v>36938</v>
    <v>45175</v>
    <v>Antwerpen</v>
    <v>1</v>
    <v>J</v>
    <v>J</v>
    <v>N</v>
    <v/>
    <v>N</v>
    <v>23</v>
    <v>Punt a/d Lijn</v>
    <v>130</v>
    <v>Noorderlaan - Punt a/d Lijn</v>
    <v>150</v>
    <v>7220</v>
    <v>7220</v>
    <v>DE HermeLIJN</v>
    <v>Tram</v>
    <v>Tram</v>
  </rv>
  <rv s="0">
    <v>0</v>
    <v>7221</v>
    <v>1</v>
    <v>Generic</v>
    <v>252</v>
    <v>0</v>
    <v>1</v>
    <v>36959</v>
    <v>45175</v>
    <v>Antwerpen</v>
    <v>1</v>
    <v>J</v>
    <v>J</v>
    <v>N</v>
    <v/>
    <v>N</v>
    <v>23</v>
    <v>Punt a/d Lijn</v>
    <v>130</v>
    <v>Noorderlaan - Punt a/d Lijn</v>
    <v>150</v>
    <v>7221</v>
    <v>7221</v>
    <v>DE HermeLIJN</v>
    <v>Tram</v>
    <v>Tram</v>
  </rv>
  <rv s="0">
    <v>0</v>
    <v>7222</v>
    <v>1</v>
    <v>Generic</v>
    <v>252</v>
    <v>0</v>
    <v>1</v>
    <v>36986</v>
    <v>45175</v>
    <v>Antwerpen</v>
    <v>1</v>
    <v>J</v>
    <v>J</v>
    <v>N</v>
    <v/>
    <v>N</v>
    <v>22</v>
    <v>Punt a/d Lijn</v>
    <v>130</v>
    <v>Noorderlaan - Punt a/d Lijn</v>
    <v>150</v>
    <v>7222</v>
    <v>7222</v>
    <v>DE HermeLIJN</v>
    <v>Tram</v>
    <v>Tram</v>
  </rv>
  <rv s="0">
    <v>0</v>
    <v>7223</v>
    <v>1</v>
    <v>Generic</v>
    <v>252</v>
    <v>0</v>
    <v>1</v>
    <v>37034</v>
    <v>45175</v>
    <v>Antwerpen</v>
    <v>1</v>
    <v>J</v>
    <v>J</v>
    <v>N</v>
    <v/>
    <v>N</v>
    <v>22</v>
    <v>Punt a/d Lijn</v>
    <v>130</v>
    <v>Noorderlaan - Punt a/d Lijn</v>
    <v>150</v>
    <v>7223</v>
    <v>7223</v>
    <v>DE HermeLIJN</v>
    <v>Tram</v>
    <v>Tram</v>
  </rv>
  <rv s="0">
    <v>0</v>
    <v>7224</v>
    <v>1</v>
    <v>Generic</v>
    <v>252</v>
    <v>0</v>
    <v>1</v>
    <v>37053</v>
    <v>45175</v>
    <v>Antwerpen</v>
    <v>1</v>
    <v>J</v>
    <v>J</v>
    <v>N</v>
    <v/>
    <v>N</v>
    <v>22</v>
    <v>Punt a/d Lijn</v>
    <v>130</v>
    <v>Noorderlaan - Punt a/d Lijn</v>
    <v>150</v>
    <v>7224</v>
    <v>7224</v>
    <v>DE HermeLIJN</v>
    <v>Tram</v>
    <v>Tram</v>
  </rv>
  <rv s="0">
    <v>0</v>
    <v>7225</v>
    <v>1</v>
    <v>Generic</v>
    <v>252</v>
    <v>0</v>
    <v>1</v>
    <v>37085</v>
    <v>45175</v>
    <v>Antwerpen</v>
    <v>1</v>
    <v>J</v>
    <v>J</v>
    <v>N</v>
    <v/>
    <v>N</v>
    <v>22</v>
    <v>Onbekend</v>
    <v>#</v>
    <v>Onbekend</v>
    <v>#</v>
    <v>7225</v>
    <v>7225</v>
    <v>DE HermeLIJN</v>
    <v>Tram</v>
    <v>Tram</v>
  </rv>
  <rv s="0">
    <v>0</v>
    <v>7226</v>
    <v>1</v>
    <v>Generic</v>
    <v>252</v>
    <v>0</v>
    <v>1</v>
    <v>37113</v>
    <v>45175</v>
    <v>Antwerpen</v>
    <v>1</v>
    <v>J</v>
    <v>J</v>
    <v>N</v>
    <v/>
    <v>N</v>
    <v>22</v>
    <v>Punt a/d Lijn</v>
    <v>130</v>
    <v>Noorderlaan - Punt a/d Lijn</v>
    <v>150</v>
    <v>7226</v>
    <v>7226</v>
    <v>DE HermeLIJN</v>
    <v>Tram</v>
    <v>Tram</v>
  </rv>
  <rv s="0">
    <v>0</v>
    <v>7227</v>
    <v>1</v>
    <v>Generic</v>
    <v>252</v>
    <v>0</v>
    <v>1</v>
    <v>37145</v>
    <v>45175</v>
    <v>Antwerpen</v>
    <v>1</v>
    <v>J</v>
    <v>J</v>
    <v>N</v>
    <v/>
    <v>N</v>
    <v>22</v>
    <v>Punt a/d Lijn</v>
    <v>130</v>
    <v>Noorderlaan - Punt a/d Lijn</v>
    <v>150</v>
    <v>7227</v>
    <v>7227</v>
    <v>DE HermeLIJN</v>
    <v>Tram</v>
    <v>Tram</v>
  </rv>
  <rv s="0">
    <v>0</v>
    <v>7228</v>
    <v>1</v>
    <v>Generic</v>
    <v>252</v>
    <v>0</v>
    <v>1</v>
    <v>37161</v>
    <v>45175</v>
    <v>Antwerpen</v>
    <v>1</v>
    <v>J</v>
    <v>J</v>
    <v>N</v>
    <v/>
    <v>N</v>
    <v>22</v>
    <v>Punt a/d Lijn</v>
    <v>130</v>
    <v>Noorderlaan - Punt a/d Lijn</v>
    <v>150</v>
    <v>7228</v>
    <v>7228</v>
    <v>DE HermeLIJN</v>
    <v>Tram</v>
    <v>Tram</v>
  </rv>
  <rv s="0">
    <v>0</v>
    <v>7229</v>
    <v>1</v>
    <v>Generic</v>
    <v>252</v>
    <v>0</v>
    <v>1</v>
    <v>37173</v>
    <v>45175</v>
    <v>Antwerpen</v>
    <v>1</v>
    <v>J</v>
    <v>J</v>
    <v>N</v>
    <v/>
    <v>N</v>
    <v>22</v>
    <v>Onbekend</v>
    <v>#</v>
    <v>Onbekend</v>
    <v>#</v>
    <v>7229</v>
    <v>7229</v>
    <v>DE HermeLIJN</v>
    <v>Tram</v>
    <v>Tram</v>
  </rv>
  <rv s="0">
    <v>0</v>
    <v>7230</v>
    <v>1</v>
    <v>Generic</v>
    <v>252</v>
    <v>0</v>
    <v>1</v>
    <v>37204</v>
    <v>45175</v>
    <v>Antwerpen</v>
    <v>1</v>
    <v>J</v>
    <v>J</v>
    <v>N</v>
    <v/>
    <v>N</v>
    <v>22</v>
    <v>Punt a/d Lijn</v>
    <v>130</v>
    <v>Noorderlaan - Punt a/d Lijn</v>
    <v>150</v>
    <v>7230</v>
    <v>7230</v>
    <v>DE HermeLIJN</v>
    <v>Tram</v>
    <v>Tram</v>
  </rv>
  <rv s="0">
    <v>0</v>
    <v>7231</v>
    <v>1</v>
    <v>Generic</v>
    <v>252</v>
    <v>0</v>
    <v>1</v>
    <v>37225</v>
    <v>45175</v>
    <v>Antwerpen</v>
    <v>1</v>
    <v>J</v>
    <v>J</v>
    <v>N</v>
    <v/>
    <v>N</v>
    <v>22</v>
    <v>Punt a/d Lijn</v>
    <v>130</v>
    <v>Noorderlaan - Punt a/d Lijn</v>
    <v>150</v>
    <v>7231</v>
    <v>7231</v>
    <v>DE HermeLIJN</v>
    <v>Tram</v>
    <v>Tram</v>
  </rv>
  <rv s="0">
    <v>0</v>
    <v>7232</v>
    <v>1</v>
    <v>Generic</v>
    <v>255</v>
    <v>0</v>
    <v>1</v>
    <v>38054</v>
    <v>45175</v>
    <v>Antwerpen</v>
    <v>1</v>
    <v>J</v>
    <v>J</v>
    <v>J</v>
    <v/>
    <v>J</v>
    <v>20</v>
    <v>Punt a/d Lijn</v>
    <v>130</v>
    <v>Noorderlaan - Punt a/d Lijn</v>
    <v>150</v>
    <v>7232</v>
    <v>7232</v>
    <v>DE HermeLIJN</v>
    <v>Tram</v>
    <v>Tram</v>
  </rv>
  <rv s="0">
    <v>0</v>
    <v>7233</v>
    <v>1</v>
    <v>Generic</v>
    <v>255</v>
    <v>0</v>
    <v>1</v>
    <v>38075</v>
    <v>45175</v>
    <v>Antwerpen</v>
    <v>1</v>
    <v>J</v>
    <v>J</v>
    <v>J</v>
    <v/>
    <v>J</v>
    <v>19</v>
    <v>Punt a/d Lijn</v>
    <v>130</v>
    <v>Noorderlaan - Punt a/d Lijn</v>
    <v>150</v>
    <v>7233</v>
    <v>7233</v>
    <v>DE HermeLIJN</v>
    <v>Tram</v>
    <v>Tram</v>
  </rv>
  <rv s="0">
    <v>0</v>
    <v>7234</v>
    <v>1</v>
    <v>Generic</v>
    <v>255</v>
    <v>0</v>
    <v>1</v>
    <v>38098</v>
    <v>45175</v>
    <v>Antwerpen</v>
    <v>1</v>
    <v>J</v>
    <v>J</v>
    <v>J</v>
    <v/>
    <v>J</v>
    <v>19</v>
    <v>Punt a/d Lijn</v>
    <v>130</v>
    <v>Noorderlaan - Punt a/d Lijn</v>
    <v>150</v>
    <v>7234</v>
    <v>7234</v>
    <v>DE HermeLIJN</v>
    <v>Tram</v>
    <v>Tram</v>
  </rv>
  <rv s="0">
    <v>0</v>
    <v>7235</v>
    <v>1</v>
    <v>Generic</v>
    <v>255</v>
    <v>0</v>
    <v>1</v>
    <v>38113</v>
    <v>45175</v>
    <v>Antwerpen</v>
    <v>1</v>
    <v>J</v>
    <v>J</v>
    <v>J</v>
    <v/>
    <v>J</v>
    <v>19</v>
    <v>Punt a/d Lijn</v>
    <v>130</v>
    <v>Noorderlaan - Punt a/d Lijn</v>
    <v>150</v>
    <v>7235</v>
    <v>7235</v>
    <v>DE HermeLIJN</v>
    <v>Tram</v>
    <v>Tram</v>
  </rv>
  <rv s="0">
    <v>0</v>
    <v>7236</v>
    <v>1</v>
    <v>Generic</v>
    <v>255</v>
    <v>0</v>
    <v>1</v>
    <v>38119</v>
    <v>45175</v>
    <v>Antwerpen</v>
    <v>1</v>
    <v>J</v>
    <v>J</v>
    <v>J</v>
    <v/>
    <v>J</v>
    <v>19</v>
    <v>Onbekend</v>
    <v>#</v>
    <v>Onbekend</v>
    <v>#</v>
    <v>7236</v>
    <v>7236</v>
    <v>DE HermeLIJN</v>
    <v>Tram</v>
    <v>Tram</v>
  </rv>
  <rv s="0">
    <v>0</v>
    <v>7237</v>
    <v>1</v>
    <v>Generic</v>
    <v>255</v>
    <v>0</v>
    <v>1</v>
    <v>38132</v>
    <v>45175</v>
    <v>Antwerpen</v>
    <v>1</v>
    <v>J</v>
    <v>J</v>
    <v>J</v>
    <v/>
    <v>J</v>
    <v>19</v>
    <v>Punt a/d Lijn</v>
    <v>130</v>
    <v>Noorderlaan - Punt a/d Lijn</v>
    <v>150</v>
    <v>7237</v>
    <v>7237</v>
    <v>DE HermeLIJN</v>
    <v>Tram</v>
    <v>Tram</v>
  </rv>
  <rv s="0">
    <v>0</v>
    <v>7238</v>
    <v>1</v>
    <v>Generic</v>
    <v>255</v>
    <v>0</v>
    <v>1</v>
    <v>38146</v>
    <v>45175</v>
    <v>Antwerpen</v>
    <v>1</v>
    <v>J</v>
    <v>J</v>
    <v>J</v>
    <v/>
    <v>J</v>
    <v>19</v>
    <v>Punt a/d Lijn</v>
    <v>130</v>
    <v>Noorderlaan - Punt a/d Lijn</v>
    <v>150</v>
    <v>7238</v>
    <v>7238</v>
    <v>DE HermeLIJN</v>
    <v>Tram</v>
    <v>Tram</v>
  </rv>
  <rv s="0">
    <v>0</v>
    <v>7239</v>
    <v>1</v>
    <v>Generic</v>
    <v>255</v>
    <v>0</v>
    <v>1</v>
    <v>38162</v>
    <v>45175</v>
    <v>Antwerpen</v>
    <v>1</v>
    <v>J</v>
    <v>J</v>
    <v>J</v>
    <v/>
    <v>J</v>
    <v>19</v>
    <v>Punt a/d Lijn</v>
    <v>130</v>
    <v>Noorderlaan - Punt a/d Lijn</v>
    <v>150</v>
    <v>7239</v>
    <v>7239</v>
    <v>DE HermeLIJN</v>
    <v>Tram</v>
    <v>Tram</v>
  </rv>
  <rv s="0">
    <v>0</v>
    <v>7240</v>
    <v>1</v>
    <v>Generic</v>
    <v>255</v>
    <v>0</v>
    <v>1</v>
    <v>38175</v>
    <v>45175</v>
    <v>Antwerpen</v>
    <v>1</v>
    <v>J</v>
    <v>J</v>
    <v>J</v>
    <v/>
    <v>J</v>
    <v>19</v>
    <v>Punt a/d Lijn</v>
    <v>130</v>
    <v>Noorderlaan - Punt a/d Lijn</v>
    <v>150</v>
    <v>7240</v>
    <v>7240</v>
    <v>DE HermeLIJN</v>
    <v>Tram</v>
    <v>Tram</v>
  </rv>
  <rv s="0">
    <v>0</v>
    <v>7241</v>
    <v>1</v>
    <v>Generic</v>
    <v>255</v>
    <v>0</v>
    <v>1</v>
    <v>38187</v>
    <v>45175</v>
    <v>Antwerpen</v>
    <v>1</v>
    <v>J</v>
    <v>J</v>
    <v>J</v>
    <v/>
    <v>J</v>
    <v>19</v>
    <v>Punt a/d Lijn</v>
    <v>130</v>
    <v>Noorderlaan - Punt a/d Lijn</v>
    <v>150</v>
    <v>7241</v>
    <v>7241</v>
    <v>DE HermeLIJN</v>
    <v>Tram</v>
    <v>Tram</v>
  </rv>
  <rv s="0">
    <v>0</v>
    <v>7242</v>
    <v>1</v>
    <v>Generic</v>
    <v>255</v>
    <v>0</v>
    <v>1</v>
    <v>38217</v>
    <v>45175</v>
    <v>Antwerpen</v>
    <v>1</v>
    <v>J</v>
    <v>J</v>
    <v>J</v>
    <v/>
    <v>J</v>
    <v>19</v>
    <v>Punt a/d Lijn</v>
    <v>130</v>
    <v>Noorderlaan - Punt a/d Lijn</v>
    <v>150</v>
    <v>7242</v>
    <v>7242</v>
    <v>DE HermeLIJN</v>
    <v>Tram</v>
    <v>Tram</v>
  </rv>
  <rv s="0">
    <v>0</v>
    <v>7243</v>
    <v>1</v>
    <v>Generic</v>
    <v>255</v>
    <v>0</v>
    <v>1</v>
    <v>38231</v>
    <v>45175</v>
    <v>Antwerpen</v>
    <v>1</v>
    <v>J</v>
    <v>J</v>
    <v>J</v>
    <v/>
    <v>J</v>
    <v>19</v>
    <v>Punt a/d Lijn</v>
    <v>130</v>
    <v>Noorderlaan - Punt a/d Lijn</v>
    <v>150</v>
    <v>7243</v>
    <v>7243</v>
    <v>DE HermeLIJN</v>
    <v>Tram</v>
    <v>Tram</v>
  </rv>
  <rv s="0">
    <v>0</v>
    <v>7244</v>
    <v>1</v>
    <v>Generic</v>
    <v>255</v>
    <v>0</v>
    <v>1</v>
    <v>38243</v>
    <v>45175</v>
    <v>Antwerpen</v>
    <v>1</v>
    <v>J</v>
    <v>J</v>
    <v>J</v>
    <v/>
    <v>J</v>
    <v>19</v>
    <v>Punt a/d Lijn</v>
    <v>130</v>
    <v>Noorderlaan - Punt a/d Lijn</v>
    <v>150</v>
    <v>7244</v>
    <v>7244</v>
    <v>DE HermeLIJN</v>
    <v>Tram</v>
    <v>Tram</v>
  </rv>
  <rv s="0">
    <v>0</v>
    <v>7245</v>
    <v>1</v>
    <v>Generic</v>
    <v>255</v>
    <v>0</v>
    <v>1</v>
    <v>38259</v>
    <v>45175</v>
    <v>Antwerpen</v>
    <v>1</v>
    <v>J</v>
    <v>J</v>
    <v>J</v>
    <v/>
    <v>J</v>
    <v>19</v>
    <v>Punt a/d Lijn</v>
    <v>130</v>
    <v>Noorderlaan - Punt a/d Lijn</v>
    <v>150</v>
    <v>7245</v>
    <v>7245</v>
    <v>DE HermeLIJN</v>
    <v>Tram</v>
    <v>Tram</v>
  </rv>
  <rv s="0">
    <v>0</v>
    <v>7246</v>
    <v>1</v>
    <v>Generic</v>
    <v>255</v>
    <v>0</v>
    <v>1</v>
    <v>38265</v>
    <v>45175</v>
    <v>West-Vlaanderen</v>
    <v>5</v>
    <v>J</v>
    <v>J</v>
    <v>J</v>
    <v/>
    <v>J</v>
    <v>19</v>
    <v>TRAM</v>
    <v>116</v>
    <v>Onderhoud Oostende- tram</v>
    <v>143</v>
    <v>7246</v>
    <v>7246</v>
    <v>DE HermeLIJN</v>
    <v>Tram</v>
    <v>Tram</v>
  </rv>
  <rv s="0">
    <v>0</v>
    <v>7247</v>
    <v>1</v>
    <v>Generic</v>
    <v>255</v>
    <v>0</v>
    <v>1</v>
    <v>38271</v>
    <v>45175</v>
    <v>Antwerpen</v>
    <v>1</v>
    <v>J</v>
    <v>J</v>
    <v>J</v>
    <v/>
    <v>J</v>
    <v>19</v>
    <v>Punt a/d Lijn</v>
    <v>130</v>
    <v>Noorderlaan - Punt a/d Lijn</v>
    <v>150</v>
    <v>7247</v>
    <v>7247</v>
    <v>DE HermeLIJN</v>
    <v>Tram</v>
    <v>Tram</v>
  </rv>
  <rv s="0">
    <v>0</v>
    <v>7248</v>
    <v>1</v>
    <v>Generic</v>
    <v>255</v>
    <v>0</v>
    <v>1</v>
    <v>38280</v>
    <v>45175</v>
    <v>Antwerpen</v>
    <v>1</v>
    <v>J</v>
    <v>J</v>
    <v>J</v>
    <v/>
    <v>J</v>
    <v>19</v>
    <v>Punt a/d Lijn</v>
    <v>130</v>
    <v>Noorderlaan - Punt a/d Lijn</v>
    <v>150</v>
    <v>7248</v>
    <v>7248</v>
    <v>DE HermeLIJN</v>
    <v>Tram</v>
    <v>Tram</v>
  </rv>
  <rv s="0">
    <v>0</v>
    <v>7249</v>
    <v>1</v>
    <v>Generic</v>
    <v>255</v>
    <v>0</v>
    <v>1</v>
    <v>38294</v>
    <v>45175</v>
    <v>Antwerpen</v>
    <v>1</v>
    <v>J</v>
    <v>J</v>
    <v>J</v>
    <v/>
    <v>J</v>
    <v>19</v>
    <v>Punt a/d Lijn</v>
    <v>130</v>
    <v>Noorderlaan - Punt a/d Lijn</v>
    <v>150</v>
    <v>7249</v>
    <v>7249</v>
    <v>DE HermeLIJN</v>
    <v>Tram</v>
    <v>Tram</v>
  </rv>
  <rv s="0">
    <v>0</v>
    <v>7250</v>
    <v>1</v>
    <v>Generic</v>
    <v>255</v>
    <v>0</v>
    <v>1</v>
    <v>38301</v>
    <v>45175</v>
    <v>Antwerpen</v>
    <v>1</v>
    <v>J</v>
    <v>J</v>
    <v>J</v>
    <v/>
    <v>J</v>
    <v>19</v>
    <v>Punt a/d Lijn</v>
    <v>130</v>
    <v>Noorderlaan - Punt a/d Lijn</v>
    <v>150</v>
    <v>7250</v>
    <v>7250</v>
    <v>DE HermeLIJN</v>
    <v>Tram</v>
    <v>Tram</v>
  </rv>
  <rv s="0">
    <v>0</v>
    <v>7251</v>
    <v>1</v>
    <v>Generic</v>
    <v>255</v>
    <v>0</v>
    <v>1</v>
    <v>38315</v>
    <v>45175</v>
    <v>Antwerpen</v>
    <v>1</v>
    <v>J</v>
    <v>J</v>
    <v>J</v>
    <v/>
    <v>J</v>
    <v>19</v>
    <v>Punt a/d Lijn</v>
    <v>130</v>
    <v>Noorderlaan - Punt a/d Lijn</v>
    <v>150</v>
    <v>7251</v>
    <v>7251</v>
    <v>DE HermeLIJN</v>
    <v>Tram</v>
    <v>Tram</v>
  </rv>
  <rv s="0">
    <v>0</v>
    <v>7252</v>
    <v>1</v>
    <v>Generic</v>
    <v>255</v>
    <v>0</v>
    <v>1</v>
    <v>38330</v>
    <v>45175</v>
    <v>Antwerpen</v>
    <v>1</v>
    <v>J</v>
    <v>J</v>
    <v>J</v>
    <v/>
    <v>J</v>
    <v>19</v>
    <v>Punt a/d Lijn</v>
    <v>130</v>
    <v>Noorderlaan - Punt a/d Lijn</v>
    <v>150</v>
    <v>7252</v>
    <v>7252</v>
    <v>DE HermeLIJN</v>
    <v>Tram</v>
    <v>Tram</v>
  </rv>
  <rv s="0">
    <v>0</v>
    <v>7253</v>
    <v>1</v>
    <v>Generic</v>
    <v>255</v>
    <v>0</v>
    <v>1</v>
    <v>38336</v>
    <v>45175</v>
    <v>Antwerpen</v>
    <v>1</v>
    <v>J</v>
    <v>J</v>
    <v>J</v>
    <v/>
    <v>J</v>
    <v>19</v>
    <v>Punt a/d Lijn</v>
    <v>130</v>
    <v>Noorderlaan - Punt a/d Lijn</v>
    <v>150</v>
    <v>7253</v>
    <v>7253</v>
    <v>DE HermeLIJN</v>
    <v>Tram</v>
    <v>Tram</v>
  </rv>
  <rv s="0">
    <v>0</v>
    <v>7254</v>
    <v>1</v>
    <v>Generic</v>
    <v>255</v>
    <v>0</v>
    <v>1</v>
    <v>38343</v>
    <v>45175</v>
    <v>Antwerpen</v>
    <v>1</v>
    <v>J</v>
    <v>J</v>
    <v>J</v>
    <v/>
    <v>J</v>
    <v>19</v>
    <v>Punt a/d Lijn</v>
    <v>130</v>
    <v>Noorderlaan - Punt a/d Lijn</v>
    <v>150</v>
    <v>7254</v>
    <v>7254</v>
    <v>DE HermeLIJN</v>
    <v>Tram</v>
    <v>Tram</v>
  </rv>
  <rv s="0">
    <v>0</v>
    <v>7255</v>
    <v>1</v>
    <v>Generic</v>
    <v>255</v>
    <v>0</v>
    <v>1</v>
    <v>38365</v>
    <v>45175</v>
    <v>Antwerpen</v>
    <v>1</v>
    <v>J</v>
    <v>J</v>
    <v>J</v>
    <v/>
    <v>J</v>
    <v>19</v>
    <v>Punt a/d Lijn</v>
    <v>130</v>
    <v>Noorderlaan - Punt a/d Lijn</v>
    <v>150</v>
    <v>7255</v>
    <v>7255</v>
    <v>DE HermeLIJN</v>
    <v>Tram</v>
    <v>Tram</v>
  </rv>
  <rv s="0">
    <v>0</v>
    <v>7256</v>
    <v>1</v>
    <v>Generic</v>
    <v>255</v>
    <v>0</v>
    <v>1</v>
    <v>38379</v>
    <v>45175</v>
    <v>Antwerpen</v>
    <v>1</v>
    <v>J</v>
    <v>J</v>
    <v>J</v>
    <v/>
    <v>J</v>
    <v>19</v>
    <v>Punt a/d Lijn</v>
    <v>130</v>
    <v>Noorderlaan - Punt a/d Lijn</v>
    <v>150</v>
    <v>7256</v>
    <v>7256</v>
    <v>DE HermeLIJN</v>
    <v>Tram</v>
    <v>Tram</v>
  </rv>
  <rv s="0">
    <v>0</v>
    <v>7257</v>
    <v>1</v>
    <v>Generic</v>
    <v>255</v>
    <v>0</v>
    <v>1</v>
    <v>38392</v>
    <v>45175</v>
    <v>Antwerpen</v>
    <v>1</v>
    <v>J</v>
    <v>J</v>
    <v>J</v>
    <v/>
    <v>J</v>
    <v>19</v>
    <v>Punt a/d Lijn</v>
    <v>130</v>
    <v>Noorderlaan - Punt a/d Lijn</v>
    <v>150</v>
    <v>7257</v>
    <v>7257</v>
    <v>DE HermeLIJN</v>
    <v>Tram</v>
    <v>Tram</v>
  </rv>
  <rv s="0">
    <v>0</v>
    <v>7258</v>
    <v>1</v>
    <v>Generic</v>
    <v>255</v>
    <v>0</v>
    <v>1</v>
    <v>38729</v>
    <v>45175</v>
    <v>Antwerpen</v>
    <v>1</v>
    <v>J</v>
    <v>J</v>
    <v>J</v>
    <v/>
    <v>J</v>
    <v>18</v>
    <v>Punt a/d Lijn</v>
    <v>130</v>
    <v>Noorderlaan - Punt a/d Lijn</v>
    <v>150</v>
    <v>7258</v>
    <v>7258</v>
    <v>DE HermeLIJN</v>
    <v>Tram</v>
    <v>Tram</v>
  </rv>
  <rv s="0">
    <v>0</v>
    <v>7259</v>
    <v>1</v>
    <v>Generic</v>
    <v>255</v>
    <v>0</v>
    <v>1</v>
    <v>38734</v>
    <v>45175</v>
    <v>Antwerpen</v>
    <v>1</v>
    <v>J</v>
    <v>J</v>
    <v>J</v>
    <v/>
    <v>J</v>
    <v>18</v>
    <v>Punt a/d Lijn</v>
    <v>130</v>
    <v>Noorderlaan - Punt a/d Lijn</v>
    <v>150</v>
    <v>7259</v>
    <v>7259</v>
    <v>DE HermeLIJN</v>
    <v>Tram</v>
    <v>Tram</v>
  </rv>
  <rv s="0">
    <v>0</v>
    <v>7260</v>
    <v>1</v>
    <v>Generic</v>
    <v>255</v>
    <v>0</v>
    <v>1</v>
    <v>38748</v>
    <v>45175</v>
    <v>Antwerpen</v>
    <v>1</v>
    <v>J</v>
    <v>J</v>
    <v>J</v>
    <v/>
    <v>J</v>
    <v>18</v>
    <v>Punt a/d Lijn</v>
    <v>130</v>
    <v>Noorderlaan - Punt a/d Lijn</v>
    <v>150</v>
    <v>7260</v>
    <v>7260</v>
    <v>DE HermeLIJN</v>
    <v>Tram</v>
    <v>Tram</v>
  </rv>
  <rv s="0">
    <v>0</v>
    <v>7261</v>
    <v>1</v>
    <v>Generic</v>
    <v>255</v>
    <v>0</v>
    <v>1</v>
    <v>38758</v>
    <v>45175</v>
    <v>Antwerpen</v>
    <v>1</v>
    <v>J</v>
    <v>J</v>
    <v>J</v>
    <v/>
    <v>J</v>
    <v>18</v>
    <v>Punt a/d Lijn</v>
    <v>130</v>
    <v>Noorderlaan - Punt a/d Lijn</v>
    <v>150</v>
    <v>7261</v>
    <v>7261</v>
    <v>DE HermeLIJN</v>
    <v>Tram</v>
    <v>Tram</v>
  </rv>
  <rv s="0">
    <v>0</v>
    <v>7262</v>
    <v>1</v>
    <v>Generic</v>
    <v>255</v>
    <v>0</v>
    <v>1</v>
    <v>38772</v>
    <v>45175</v>
    <v>Antwerpen</v>
    <v>1</v>
    <v>J</v>
    <v>J</v>
    <v>J</v>
    <v/>
    <v>J</v>
    <v>18</v>
    <v>Punt a/d Lijn</v>
    <v>130</v>
    <v>Noorderlaan - Punt a/d Lijn</v>
    <v>150</v>
    <v>7262</v>
    <v>7262</v>
    <v>DE HermeLIJN</v>
    <v>Tram</v>
    <v>Tram</v>
  </rv>
  <rv s="0">
    <v>0</v>
    <v>7263</v>
    <v>1</v>
    <v>Generic</v>
    <v>255</v>
    <v>0</v>
    <v>1</v>
    <v>38793</v>
    <v>45175</v>
    <v>Antwerpen</v>
    <v>1</v>
    <v>J</v>
    <v>J</v>
    <v>J</v>
    <v/>
    <v>J</v>
    <v>18</v>
    <v>Punt a/d Lijn</v>
    <v>130</v>
    <v>Noorderlaan - Punt a/d Lijn</v>
    <v>150</v>
    <v>7263</v>
    <v>7263</v>
    <v>DE HermeLIJN</v>
    <v>Tram</v>
    <v>Tram</v>
  </rv>
  <rv s="0">
    <v>0</v>
    <v>7264</v>
    <v>1</v>
    <v>Generic</v>
    <v>255</v>
    <v>0</v>
    <v>1</v>
    <v>38804</v>
    <v>45175</v>
    <v>Antwerpen</v>
    <v>1</v>
    <v>J</v>
    <v>J</v>
    <v>J</v>
    <v/>
    <v>J</v>
    <v>17</v>
    <v>Punt a/d Lijn</v>
    <v>130</v>
    <v>Noorderlaan - Punt a/d Lijn</v>
    <v>150</v>
    <v>7264</v>
    <v>7264</v>
    <v>DE HermeLIJN</v>
    <v>Tram</v>
    <v>Tram</v>
  </rv>
  <rv s="0">
    <v>0</v>
    <v>7265</v>
    <v>1</v>
    <v>Generic</v>
    <v>255</v>
    <v>0</v>
    <v>1</v>
    <v>38814</v>
    <v>45175</v>
    <v>Antwerpen</v>
    <v>1</v>
    <v>J</v>
    <v>J</v>
    <v>J</v>
    <v/>
    <v>J</v>
    <v>17</v>
    <v>Punt a/d Lijn</v>
    <v>130</v>
    <v>Noorderlaan - Punt a/d Lijn</v>
    <v>150</v>
    <v>7265</v>
    <v>7265</v>
    <v>DE HermeLIJN</v>
    <v>Tram</v>
    <v>Tram</v>
  </rv>
  <rv s="0">
    <v>0</v>
    <v>7266</v>
    <v>1</v>
    <v>Generic</v>
    <v>255</v>
    <v>0</v>
    <v>1</v>
    <v>38854</v>
    <v>45175</v>
    <v>Antwerpen</v>
    <v>1</v>
    <v>J</v>
    <v>J</v>
    <v>J</v>
    <v/>
    <v>J</v>
    <v>17</v>
    <v>Punt a/d Lijn</v>
    <v>130</v>
    <v>Noorderlaan - Punt a/d Lijn</v>
    <v>150</v>
    <v>7266</v>
    <v>7266</v>
    <v>DE HermeLIJN</v>
    <v>Tram</v>
    <v>Tram</v>
  </rv>
  <rv s="0">
    <v>0</v>
    <v>7267</v>
    <v>1</v>
    <v>Generic</v>
    <v>255</v>
    <v>0</v>
    <v>1</v>
    <v>38867</v>
    <v>45175</v>
    <v>Antwerpen</v>
    <v>1</v>
    <v>J</v>
    <v>J</v>
    <v>J</v>
    <v/>
    <v>J</v>
    <v>17</v>
    <v>Punt a/d Lijn</v>
    <v>130</v>
    <v>Noorderlaan - Punt a/d Lijn</v>
    <v>150</v>
    <v>7267</v>
    <v>7267</v>
    <v>DE HermeLIJN</v>
    <v>Tram</v>
    <v>Tram</v>
  </rv>
  <rv s="0">
    <v>0</v>
    <v>7268</v>
    <v>1</v>
    <v>Generic</v>
    <v>255</v>
    <v>0</v>
    <v>1</v>
    <v>38887</v>
    <v>45175</v>
    <v>Antwerpen</v>
    <v>1</v>
    <v>J</v>
    <v>J</v>
    <v>J</v>
    <v/>
    <v>J</v>
    <v>17</v>
    <v>Punt a/d Lijn</v>
    <v>130</v>
    <v>Noorderlaan - Punt a/d Lijn</v>
    <v>150</v>
    <v>7268</v>
    <v>7268</v>
    <v>DE HermeLIJN</v>
    <v>Tram</v>
    <v>Tram</v>
  </rv>
  <rv s="0">
    <v>0</v>
    <v>7269</v>
    <v>1</v>
    <v>Generic</v>
    <v>255</v>
    <v>0</v>
    <v>1</v>
    <v>38898</v>
    <v>45175</v>
    <v>Antwerpen</v>
    <v>1</v>
    <v>J</v>
    <v>J</v>
    <v>J</v>
    <v/>
    <v>J</v>
    <v>17</v>
    <v>Punt a/d Lijn</v>
    <v>130</v>
    <v>Noorderlaan - Punt a/d Lijn</v>
    <v>150</v>
    <v>7269</v>
    <v>7269</v>
    <v>DE HermeLIJN</v>
    <v>Tram</v>
    <v>Tram</v>
  </rv>
  <rv s="0">
    <v>0</v>
    <v>7270</v>
    <v>1</v>
    <v>Generic</v>
    <v>255</v>
    <v>0</v>
    <v>1</v>
    <v>38915</v>
    <v>45175</v>
    <v>Antwerpen</v>
    <v>1</v>
    <v>J</v>
    <v>J</v>
    <v>J</v>
    <v/>
    <v>J</v>
    <v>17</v>
    <v>Punt a/d Lijn</v>
    <v>130</v>
    <v>Noorderlaan - Punt a/d Lijn</v>
    <v>150</v>
    <v>7270</v>
    <v>7270</v>
    <v>DE HermeLIJN</v>
    <v>Tram</v>
    <v>Tram</v>
  </rv>
  <rv s="0">
    <v>0</v>
    <v>7271</v>
    <v>1</v>
    <v>Generic</v>
    <v>255</v>
    <v>0</v>
    <v>1</v>
    <v>39051</v>
    <v>45175</v>
    <v>Antwerpen</v>
    <v>1</v>
    <v>J</v>
    <v>J</v>
    <v>J</v>
    <v/>
    <v>J</v>
    <v>17</v>
    <v>Punt a/d Lijn</v>
    <v>130</v>
    <v>Noorderlaan - Punt a/d Lijn</v>
    <v>150</v>
    <v>7271</v>
    <v>7271</v>
    <v>DE HermeLIJN</v>
    <v>Tram</v>
    <v>Tram</v>
  </rv>
  <rv s="0">
    <v>0</v>
    <v>7272</v>
    <v>1</v>
    <v>Generic</v>
    <v>255</v>
    <v>0</v>
    <v>1</v>
    <v>41255</v>
    <v>45175</v>
    <v>Antwerpen</v>
    <v>1</v>
    <v>J</v>
    <v>J</v>
    <v>J</v>
    <v/>
    <v>J</v>
    <v>11</v>
    <v>Punt a/d Lijn</v>
    <v>130</v>
    <v>OC Noorderlaan</v>
    <v>154</v>
    <v>7272</v>
    <v>7272</v>
    <v>DE HermeLIJN</v>
    <v>Tram</v>
    <v>Tram</v>
  </rv>
  <rv s="0">
    <v>0</v>
    <v>7273</v>
    <v>1</v>
    <v>Generic</v>
    <v>255</v>
    <v>0</v>
    <v>1</v>
    <v>41011</v>
    <v>45175</v>
    <v>Antwerpen</v>
    <v>1</v>
    <v>J</v>
    <v>J</v>
    <v>J</v>
    <v/>
    <v>J</v>
    <v>11</v>
    <v>Punt a/d Lijn</v>
    <v>130</v>
    <v>OC Noorderlaan</v>
    <v>154</v>
    <v>7273</v>
    <v>7273</v>
    <v>DE HermeLIJN</v>
    <v>Tram</v>
    <v>Tram</v>
  </rv>
  <rv s="0">
    <v>0</v>
    <v>7274</v>
    <v>1</v>
    <v>Generic</v>
    <v>255</v>
    <v>0</v>
    <v>1</v>
    <v>41060</v>
    <v>45175</v>
    <v>Antwerpen</v>
    <v>1</v>
    <v>J</v>
    <v>J</v>
    <v>J</v>
    <v/>
    <v>J</v>
    <v>11</v>
    <v>Punt a/d Lijn</v>
    <v>130</v>
    <v>OC Noorderlaan</v>
    <v>154</v>
    <v>7274</v>
    <v>7274</v>
    <v>DE HermeLIJN</v>
    <v>Tram</v>
    <v>Tram</v>
  </rv>
  <rv s="0">
    <v>0</v>
    <v>7275</v>
    <v>1</v>
    <v>Generic</v>
    <v>255</v>
    <v>0</v>
    <v>1</v>
    <v>41264</v>
    <v>45175</v>
    <v>Antwerpen</v>
    <v>1</v>
    <v>J</v>
    <v>J</v>
    <v>J</v>
    <v/>
    <v>J</v>
    <v>11</v>
    <v>Punt a/d Lijn</v>
    <v>130</v>
    <v>OC Noorderlaan</v>
    <v>154</v>
    <v>7275</v>
    <v>7275</v>
    <v>DE HermeLIJN</v>
    <v>Tram</v>
    <v>Tram</v>
  </rv>
  <rv s="0">
    <v>0</v>
    <v>7276</v>
    <v>1</v>
    <v>Generic</v>
    <v>255</v>
    <v>0</v>
    <v>1</v>
    <v>41107</v>
    <v>45175</v>
    <v>Antwerpen</v>
    <v>1</v>
    <v>J</v>
    <v>J</v>
    <v>J</v>
    <v/>
    <v>J</v>
    <v>11</v>
    <v>Punt a/d Lijn</v>
    <v>130</v>
    <v>OC Noorderlaan</v>
    <v>154</v>
    <v>7276</v>
    <v>7276</v>
    <v>DE HermeLIJN</v>
    <v>Tram</v>
    <v>Tram</v>
  </rv>
  <rv s="0">
    <v>0</v>
    <v>7277</v>
    <v>1</v>
    <v>Generic</v>
    <v>255</v>
    <v>0</v>
    <v>1</v>
    <v>41243</v>
    <v>45175</v>
    <v>Antwerpen</v>
    <v>1</v>
    <v>J</v>
    <v>J</v>
    <v>J</v>
    <v/>
    <v>J</v>
    <v>11</v>
    <v>Punt a/d Lijn</v>
    <v>130</v>
    <v>OC Noorderlaan</v>
    <v>154</v>
    <v>7277</v>
    <v>7277</v>
    <v>DE HermeLIJN</v>
    <v>Tram</v>
    <v>Tram</v>
  </rv>
  <rv s="0">
    <v>0</v>
    <v>7278</v>
    <v>1</v>
    <v>Generic</v>
    <v>255</v>
    <v>0</v>
    <v>1</v>
    <v>41158</v>
    <v>45175</v>
    <v>Antwerpen</v>
    <v>1</v>
    <v>J</v>
    <v>J</v>
    <v>J</v>
    <v/>
    <v>J</v>
    <v>11</v>
    <v>Punt a/d Lijn</v>
    <v>130</v>
    <v>OC Noorderlaan</v>
    <v>154</v>
    <v>7278</v>
    <v>7278</v>
    <v>DE HermeLIJN</v>
    <v>Tram</v>
    <v>Tram</v>
  </rv>
  <rv s="0">
    <v>0</v>
    <v>7279</v>
    <v>1</v>
    <v>Generic</v>
    <v>255</v>
    <v>0</v>
    <v>1</v>
    <v>41171</v>
    <v>45175</v>
    <v>Antwerpen</v>
    <v>1</v>
    <v>J</v>
    <v>J</v>
    <v>J</v>
    <v/>
    <v>J</v>
    <v>11</v>
    <v>Punt a/d Lijn</v>
    <v>130</v>
    <v>OC Noorderlaan</v>
    <v>154</v>
    <v>7279</v>
    <v>7279</v>
    <v>DE HermeLIJN</v>
    <v>Tram</v>
    <v>Tram</v>
  </rv>
  <rv s="0">
    <v>0</v>
    <v>7280</v>
    <v>1</v>
    <v>Generic</v>
    <v>255</v>
    <v>0</v>
    <v>1</v>
    <v>41187</v>
    <v>45175</v>
    <v>Antwerpen</v>
    <v>1</v>
    <v>J</v>
    <v>J</v>
    <v>J</v>
    <v/>
    <v>J</v>
    <v>11</v>
    <v>Punt a/d Lijn</v>
    <v>130</v>
    <v>OC Noorderlaan</v>
    <v>154</v>
    <v>7280</v>
    <v>7280</v>
    <v>DE HermeLIJN</v>
    <v>Tram</v>
    <v>Tram</v>
  </rv>
  <rv s="0">
    <v>0</v>
    <v>7281</v>
    <v>1</v>
    <v>Generic</v>
    <v>255</v>
    <v>0</v>
    <v>1</v>
    <v>41220</v>
    <v>45175</v>
    <v>Antwerpen</v>
    <v>1</v>
    <v>J</v>
    <v>J</v>
    <v>J</v>
    <v/>
    <v>J</v>
    <v>11</v>
    <v>Punt a/d Lijn</v>
    <v>130</v>
    <v>OC Noorderlaan</v>
    <v>154</v>
    <v>7281</v>
    <v>7281</v>
    <v>DE HermeLIJN</v>
    <v>Tram</v>
    <v>Tram</v>
  </rv>
  <rv s="0">
    <v>0</v>
    <v>7282</v>
    <v>1</v>
    <v>Generic</v>
    <v>255</v>
    <v>0</v>
    <v>1</v>
    <v>41220</v>
    <v>45175</v>
    <v>Antwerpen</v>
    <v>1</v>
    <v>J</v>
    <v>J</v>
    <v>J</v>
    <v/>
    <v>J</v>
    <v>11</v>
    <v>Punt a/d Lijn</v>
    <v>130</v>
    <v>OC Noorderlaan</v>
    <v>154</v>
    <v>7282</v>
    <v>7282</v>
    <v>DE HermeLIJN</v>
    <v>Tram</v>
    <v>Tram</v>
  </rv>
  <rv s="0">
    <v>0</v>
    <v>7283</v>
    <v>1</v>
    <v>Generic</v>
    <v>255</v>
    <v>0</v>
    <v>1</v>
    <v>41222</v>
    <v>45175</v>
    <v>Antwerpen</v>
    <v>1</v>
    <v>J</v>
    <v>J</v>
    <v>J</v>
    <v/>
    <v>J</v>
    <v>11</v>
    <v>Punt a/d Lijn</v>
    <v>130</v>
    <v>OC Noorderlaan</v>
    <v>154</v>
    <v>7283</v>
    <v>7283</v>
    <v>DE HermeLIJN</v>
    <v>Tram</v>
    <v>Tram</v>
  </rv>
  <rv s="0">
    <v>0</v>
    <v>7284</v>
    <v>1</v>
    <v>Generic</v>
    <v>255</v>
    <v>0</v>
    <v>1</v>
    <v>41234</v>
    <v>45175</v>
    <v>Antwerpen</v>
    <v>1</v>
    <v>J</v>
    <v>J</v>
    <v>J</v>
    <v/>
    <v>J</v>
    <v>11</v>
    <v>Punt a/d Lijn</v>
    <v>130</v>
    <v>OC Noorderlaan</v>
    <v>154</v>
    <v>7284</v>
    <v>7284</v>
    <v>DE HermeLIJN</v>
    <v>Tram</v>
    <v>Tram</v>
  </rv>
  <rv s="0">
    <v>0</v>
    <v>7301</v>
    <v>1</v>
    <v>Generic</v>
    <v>261</v>
    <v/>
    <v>1</v>
    <v>42181</v>
    <v>45175</v>
    <v>Antwerpen</v>
    <v>1</v>
    <v>J</v>
    <v>J</v>
    <v>J</v>
    <v/>
    <v>J</v>
    <v>8</v>
    <v>Punt a/d Lijn</v>
    <v>130</v>
    <v>OC Noorderlaan</v>
    <v>154</v>
    <v>7301</v>
    <v>7301</v>
    <v>Flexity 2 - 7 mod</v>
    <v>Tram</v>
    <v>Tram</v>
  </rv>
  <rv s="0">
    <v>0</v>
    <v>7302</v>
    <v>1</v>
    <v>Generic</v>
    <v>261</v>
    <v/>
    <v>1</v>
    <v>42158</v>
    <v>45175</v>
    <v>Antwerpen</v>
    <v>1</v>
    <v>J</v>
    <v>J</v>
    <v>J</v>
    <v/>
    <v>J</v>
    <v>8</v>
    <v>Punt a/d Lijn</v>
    <v>130</v>
    <v>OC Noorderlaan</v>
    <v>154</v>
    <v>7302</v>
    <v>7302</v>
    <v>Flexity 2 - 7 mod</v>
    <v>Tram</v>
    <v>Tram</v>
  </rv>
  <rv s="0">
    <v>0</v>
    <v>7303</v>
    <v>1</v>
    <v>Generic</v>
    <v>261</v>
    <v/>
    <v>1</v>
    <v>42173</v>
    <v>45175</v>
    <v>Antwerpen</v>
    <v>1</v>
    <v>J</v>
    <v>J</v>
    <v>J</v>
    <v/>
    <v>J</v>
    <v>8</v>
    <v>Punt a/d Lijn</v>
    <v>130</v>
    <v>OC Noorderlaan</v>
    <v>154</v>
    <v>7303</v>
    <v>7303</v>
    <v>Flexity 2 - 7 mod</v>
    <v>Tram</v>
    <v>Tram</v>
  </rv>
  <rv s="0">
    <v>0</v>
    <v>7304</v>
    <v>1</v>
    <v>Generic</v>
    <v>261</v>
    <v/>
    <v>1</v>
    <v>42181</v>
    <v>45175</v>
    <v>Antwerpen</v>
    <v>1</v>
    <v>J</v>
    <v>J</v>
    <v>J</v>
    <v/>
    <v>J</v>
    <v>8</v>
    <v>Punt a/d Lijn</v>
    <v>130</v>
    <v>OC Noorderlaan</v>
    <v>154</v>
    <v>7304</v>
    <v>7304</v>
    <v>Flexity 2 - 7 mod</v>
    <v>Tram</v>
    <v>Tram</v>
  </rv>
  <rv s="0">
    <v>0</v>
    <v>7305</v>
    <v>1</v>
    <v>Generic</v>
    <v>261</v>
    <v/>
    <v>1</v>
    <v>42200</v>
    <v>45175</v>
    <v>Antwerpen</v>
    <v>1</v>
    <v>J</v>
    <v>J</v>
    <v>J</v>
    <v/>
    <v>J</v>
    <v>8</v>
    <v>Punt a/d Lijn</v>
    <v>130</v>
    <v>OC Noorderlaan</v>
    <v>154</v>
    <v>7305</v>
    <v>7305</v>
    <v>Flexity 2 - 7 mod</v>
    <v>Tram</v>
    <v>Tram</v>
  </rv>
  <rv s="0">
    <v>0</v>
    <v>7306</v>
    <v>1</v>
    <v>Generic</v>
    <v>261</v>
    <v/>
    <v>1</v>
    <v>42219</v>
    <v>45175</v>
    <v>Antwerpen</v>
    <v>1</v>
    <v>J</v>
    <v>J</v>
    <v>J</v>
    <v/>
    <v>J</v>
    <v>8</v>
    <v>Punt a/d Lijn</v>
    <v>130</v>
    <v>OC Noorderlaan</v>
    <v>154</v>
    <v>7306</v>
    <v>7306</v>
    <v>Flexity 2 - 7 mod</v>
    <v>Tram</v>
    <v>Tram</v>
  </rv>
  <rv s="0">
    <v>0</v>
    <v>7307</v>
    <v>1</v>
    <v>Generic</v>
    <v>261</v>
    <v/>
    <v>1</v>
    <v>42249</v>
    <v>45175</v>
    <v>Antwerpen</v>
    <v>1</v>
    <v>J</v>
    <v>J</v>
    <v>J</v>
    <v/>
    <v>J</v>
    <v>8</v>
    <v>Punt a/d Lijn</v>
    <v>130</v>
    <v>OC Noorderlaan</v>
    <v>154</v>
    <v>7307</v>
    <v>7307</v>
    <v>Flexity 2 - 7 mod</v>
    <v>Tram</v>
    <v>Tram</v>
  </rv>
  <rv s="0">
    <v>0</v>
    <v>7308</v>
    <v>1</v>
    <v>Generic</v>
    <v>261</v>
    <v/>
    <v>1</v>
    <v>42265</v>
    <v>45175</v>
    <v>Antwerpen</v>
    <v>1</v>
    <v>J</v>
    <v>J</v>
    <v>J</v>
    <v/>
    <v>J</v>
    <v>8</v>
    <v>Punt a/d Lijn</v>
    <v>130</v>
    <v>OC Noorderlaan</v>
    <v>154</v>
    <v>7308</v>
    <v>7308</v>
    <v>Flexity 2 - 7 mod</v>
    <v>Tram</v>
    <v>Tram</v>
  </rv>
  <rv s="0">
    <v>0</v>
    <v>7309</v>
    <v>1</v>
    <v>Generic</v>
    <v>261</v>
    <v/>
    <v>1</v>
    <v>42277</v>
    <v>45175</v>
    <v>Antwerpen</v>
    <v>1</v>
    <v>J</v>
    <v>J</v>
    <v>J</v>
    <v/>
    <v>J</v>
    <v>8</v>
    <v>Punt a/d Lijn</v>
    <v>130</v>
    <v>OC Noorderlaan</v>
    <v>154</v>
    <v>7309</v>
    <v>7309</v>
    <v>Flexity 2 - 7 mod</v>
    <v>Tram</v>
    <v>Tram</v>
  </rv>
  <rv s="0">
    <v>0</v>
    <v>7310</v>
    <v>1</v>
    <v>Generic</v>
    <v>261</v>
    <v/>
    <v>1</v>
    <v>42284</v>
    <v>45175</v>
    <v>Antwerpen</v>
    <v>1</v>
    <v>J</v>
    <v>J</v>
    <v>J</v>
    <v/>
    <v>J</v>
    <v>8</v>
    <v>Punt a/d Lijn</v>
    <v>130</v>
    <v>OC Noorderlaan</v>
    <v>154</v>
    <v>7310</v>
    <v>7310</v>
    <v>Flexity 2 - 7 mod</v>
    <v>Tram</v>
    <v>Tram</v>
  </rv>
  <rv s="0">
    <v>0</v>
    <v>7311</v>
    <v>1</v>
    <v>Generic</v>
    <v>261</v>
    <v/>
    <v>1</v>
    <v>42314</v>
    <v>45175</v>
    <v>Antwerpen</v>
    <v>1</v>
    <v>J</v>
    <v>J</v>
    <v>J</v>
    <v/>
    <v>J</v>
    <v>8</v>
    <v>Deurne tramstelplaats</v>
    <v>133</v>
    <v>OC Deurne</v>
    <v>155</v>
    <v>7311</v>
    <v>7311</v>
    <v>Flexity 2 - 5 mod</v>
    <v>Tram</v>
    <v>Tram</v>
  </rv>
  <rv s="0">
    <v>0</v>
    <v>7312</v>
    <v>1</v>
    <v>Generic</v>
    <v>261</v>
    <v/>
    <v>1</v>
    <v>42290</v>
    <v>45175</v>
    <v>Antwerpen</v>
    <v>1</v>
    <v>J</v>
    <v>J</v>
    <v>J</v>
    <v/>
    <v>J</v>
    <v>8</v>
    <v>Deurne tramstelplaats</v>
    <v>133</v>
    <v>OC Deurne</v>
    <v>155</v>
    <v>7312</v>
    <v>7312</v>
    <v>Flexity 2 - 5 mod</v>
    <v>Tram</v>
    <v>Tram</v>
  </rv>
  <rv s="0">
    <v>0</v>
    <v>7313</v>
    <v>1</v>
    <v>Generic</v>
    <v>261</v>
    <v/>
    <v>1</v>
    <v>42314</v>
    <v>45175</v>
    <v>Antwerpen</v>
    <v>1</v>
    <v>J</v>
    <v>J</v>
    <v>J</v>
    <v/>
    <v>J</v>
    <v>8</v>
    <v>Deurne tramstelplaats</v>
    <v>133</v>
    <v>OC Deurne</v>
    <v>155</v>
    <v>7313</v>
    <v>7313</v>
    <v>Flexity 2 - 5 mod</v>
    <v>Tram</v>
    <v>Tram</v>
  </rv>
  <rv s="0">
    <v>0</v>
    <v>7314</v>
    <v>1</v>
    <v>Generic</v>
    <v>261</v>
    <v/>
    <v>1</v>
    <v>42314</v>
    <v>45175</v>
    <v>Antwerpen</v>
    <v>1</v>
    <v>J</v>
    <v>J</v>
    <v>J</v>
    <v/>
    <v>J</v>
    <v>8</v>
    <v>Deurne tramstelplaats</v>
    <v>133</v>
    <v>OC Deurne</v>
    <v>155</v>
    <v>7314</v>
    <v>7314</v>
    <v>Flexity 2 - 5 mod</v>
    <v>Tram</v>
    <v>Tram</v>
  </rv>
  <rv s="0">
    <v>0</v>
    <v>7315</v>
    <v>1</v>
    <v>Generic</v>
    <v>261</v>
    <v/>
    <v>1</v>
    <v>42326</v>
    <v>45175</v>
    <v>Antwerpen</v>
    <v>1</v>
    <v>J</v>
    <v>J</v>
    <v>J</v>
    <v/>
    <v>J</v>
    <v>8</v>
    <v>Deurne tramstelplaats</v>
    <v>133</v>
    <v>OC Deurne</v>
    <v>155</v>
    <v>7315</v>
    <v>7315</v>
    <v>Flexity 2 - 5 mod</v>
    <v>Tram</v>
    <v>Tram</v>
  </rv>
  <rv s="0">
    <v>0</v>
    <v>7316</v>
    <v>1</v>
    <v>Generic</v>
    <v>261</v>
    <v/>
    <v>1</v>
    <v>42339</v>
    <v>45175</v>
    <v>Antwerpen</v>
    <v>1</v>
    <v>J</v>
    <v>J</v>
    <v>J</v>
    <v/>
    <v>J</v>
    <v>8</v>
    <v>Deurne tramstelplaats</v>
    <v>133</v>
    <v>OC Deurne</v>
    <v>155</v>
    <v>7316</v>
    <v>7316</v>
    <v>Flexity 2 - 5 mod</v>
    <v>Tram</v>
    <v>Tram</v>
  </rv>
  <rv s="0">
    <v>0</v>
    <v>7317</v>
    <v>1</v>
    <v>Generic</v>
    <v>261</v>
    <v/>
    <v>1</v>
    <v>42377</v>
    <v>45175</v>
    <v>Antwerpen</v>
    <v>1</v>
    <v>J</v>
    <v>J</v>
    <v>J</v>
    <v/>
    <v>J</v>
    <v>8</v>
    <v>Deurne tramstelplaats</v>
    <v>133</v>
    <v>OC Deurne</v>
    <v>155</v>
    <v>7317</v>
    <v>7317</v>
    <v>Flexity 2 - 5 mod</v>
    <v>Tram</v>
    <v>Tram</v>
  </rv>
  <rv s="0">
    <v>0</v>
    <v>7318</v>
    <v>1</v>
    <v>Generic</v>
    <v>261</v>
    <v/>
    <v>1</v>
    <v>42353</v>
    <v>45175</v>
    <v>Antwerpen</v>
    <v>1</v>
    <v>J</v>
    <v>J</v>
    <v>J</v>
    <v/>
    <v>J</v>
    <v>8</v>
    <v>Deurne tramstelplaats</v>
    <v>133</v>
    <v>OC Deurne</v>
    <v>155</v>
    <v>7318</v>
    <v>7318</v>
    <v>Flexity 2 - 5 mod</v>
    <v>Tram</v>
    <v>Tram</v>
  </rv>
  <rv s="0">
    <v>0</v>
    <v>7319</v>
    <v>1</v>
    <v>Generic</v>
    <v>261</v>
    <v/>
    <v>1</v>
    <v>42339</v>
    <v>45175</v>
    <v>Antwerpen</v>
    <v>1</v>
    <v>J</v>
    <v>J</v>
    <v>J</v>
    <v/>
    <v>J</v>
    <v>8</v>
    <v>Deurne tramstelplaats</v>
    <v>133</v>
    <v>OC Deurne</v>
    <v>155</v>
    <v>7319</v>
    <v>7319</v>
    <v>Flexity 2 - 5 mod</v>
    <v>Tram</v>
    <v>Tram</v>
  </rv>
  <rv s="0">
    <v>0</v>
    <v>7320</v>
    <v>1</v>
    <v>Generic</v>
    <v>261</v>
    <v/>
    <v>1</v>
    <v>42353</v>
    <v>45175</v>
    <v>Antwerpen</v>
    <v>1</v>
    <v>J</v>
    <v>J</v>
    <v>J</v>
    <v/>
    <v>J</v>
    <v>8</v>
    <v>Deurne tramstelplaats</v>
    <v>133</v>
    <v>OC Deurne</v>
    <v>155</v>
    <v>7320</v>
    <v>7320</v>
    <v>Flexity 2 - 5 mod</v>
    <v>Tram</v>
    <v>Tram</v>
  </rv>
  <rv s="0">
    <v>0</v>
    <v>7321</v>
    <v>1</v>
    <v>Generic</v>
    <v>261</v>
    <v/>
    <v>1</v>
    <v>42377</v>
    <v>45175</v>
    <v>Antwerpen</v>
    <v>1</v>
    <v>J</v>
    <v>J</v>
    <v>J</v>
    <v/>
    <v>J</v>
    <v>8</v>
    <v>Deurne tramstelplaats</v>
    <v>133</v>
    <v>OC Deurne</v>
    <v>155</v>
    <v>7321</v>
    <v>7321</v>
    <v>Flexity 2 - 5 mod</v>
    <v>Tram</v>
    <v>Tram</v>
  </rv>
  <rv s="0">
    <v>0</v>
    <v>7322</v>
    <v>1</v>
    <v>Generic</v>
    <v>261</v>
    <v/>
    <v>1</v>
    <v>42396</v>
    <v>45175</v>
    <v>Antwerpen</v>
    <v>1</v>
    <v>J</v>
    <v>J</v>
    <v>J</v>
    <v/>
    <v>J</v>
    <v>8</v>
    <v>Deurne tramstelplaats</v>
    <v>133</v>
    <v>OC Deurne</v>
    <v>155</v>
    <v>7322</v>
    <v>7322</v>
    <v>Flexity 2 - 5 mod</v>
    <v>Tram</v>
    <v>Tram</v>
  </rv>
  <rv s="0">
    <v>0</v>
    <v>7323</v>
    <v>1</v>
    <v>Generic</v>
    <v>261</v>
    <v/>
    <v>1</v>
    <v>42403</v>
    <v>45175</v>
    <v>Antwerpen</v>
    <v>1</v>
    <v>J</v>
    <v>J</v>
    <v>J</v>
    <v/>
    <v>J</v>
    <v>8</v>
    <v>Deurne tramstelplaats</v>
    <v>133</v>
    <v>OC Deurne</v>
    <v>155</v>
    <v>7323</v>
    <v>7323</v>
    <v>Flexity 2 - 5 mod</v>
    <v>Tram</v>
    <v>Tram</v>
  </rv>
  <rv s="0">
    <v>0</v>
    <v>7324</v>
    <v>1</v>
    <v>Generic</v>
    <v>261</v>
    <v/>
    <v>1</v>
    <v>42405</v>
    <v>45175</v>
    <v>Antwerpen</v>
    <v>1</v>
    <v>J</v>
    <v>J</v>
    <v>J</v>
    <v/>
    <v>J</v>
    <v>8</v>
    <v>Deurne tramstelplaats</v>
    <v>133</v>
    <v>OC Deurne</v>
    <v>155</v>
    <v>7324</v>
    <v>7324</v>
    <v>Flexity 2 - 5 mod</v>
    <v>Tram</v>
    <v>Tram</v>
  </rv>
  <rv s="0">
    <v>0</v>
    <v>7325</v>
    <v>1</v>
    <v>Generic</v>
    <v>261</v>
    <v/>
    <v>1</v>
    <v>42507</v>
    <v>45175</v>
    <v>Antwerpen</v>
    <v>1</v>
    <v>J</v>
    <v>J</v>
    <v>J</v>
    <v/>
    <v>J</v>
    <v>7</v>
    <v>Deurne tramstelplaats</v>
    <v>133</v>
    <v>OC Deurne</v>
    <v>155</v>
    <v>7325</v>
    <v>7325</v>
    <v>Flexity 2 - 5 mod</v>
    <v>Tram</v>
    <v>Tram</v>
  </rv>
  <rv s="0">
    <v>0</v>
    <v>7326</v>
    <v>1</v>
    <v>Generic</v>
    <v>261</v>
    <v/>
    <v>1</v>
    <v>42555</v>
    <v>45175</v>
    <v>Antwerpen</v>
    <v>1</v>
    <v>J</v>
    <v>J</v>
    <v>J</v>
    <v/>
    <v>J</v>
    <v>7</v>
    <v>Deurne tramstelplaats</v>
    <v>133</v>
    <v>OC Noorderlaan</v>
    <v>154</v>
    <v>7326</v>
    <v>7326</v>
    <v>Flexity 2 - 5 mod</v>
    <v>Tram</v>
    <v>Tram</v>
  </rv>
  <rv s="0">
    <v>0</v>
    <v>7327</v>
    <v>1</v>
    <v>Generic</v>
    <v>261</v>
    <v/>
    <v>1</v>
    <v>42423</v>
    <v>45175</v>
    <v>Antwerpen</v>
    <v>1</v>
    <v>J</v>
    <v>J</v>
    <v>J</v>
    <v/>
    <v>J</v>
    <v>8</v>
    <v>Deurne tramstelplaats</v>
    <v>133</v>
    <v>OC Deurne</v>
    <v>155</v>
    <v>7327</v>
    <v>7327</v>
    <v>Flexity 2 - 5 mod</v>
    <v>Tram</v>
    <v>Tram</v>
  </rv>
  <rv s="0">
    <v>0</v>
    <v>7328</v>
    <v>1</v>
    <v>Generic</v>
    <v>261</v>
    <v/>
    <v>1</v>
    <v>42429</v>
    <v>45175</v>
    <v>Antwerpen</v>
    <v>1</v>
    <v>J</v>
    <v>J</v>
    <v>J</v>
    <v/>
    <v>J</v>
    <v>8</v>
    <v>Deurne tramstelplaats</v>
    <v>133</v>
    <v>OC Deurne</v>
    <v>155</v>
    <v>7328</v>
    <v>7328</v>
    <v>Flexity 2 - 5 mod</v>
    <v>Tram</v>
    <v>Tram</v>
  </rv>
  <rv s="0">
    <v>0</v>
    <v>7329</v>
    <v>1</v>
    <v>Generic</v>
    <v>261</v>
    <v/>
    <v>1</v>
    <v>42439</v>
    <v>45175</v>
    <v>Antwerpen</v>
    <v>1</v>
    <v>J</v>
    <v>J</v>
    <v>J</v>
    <v/>
    <v>J</v>
    <v>8</v>
    <v>Deurne tramstelplaats</v>
    <v>133</v>
    <v>OC Deurne</v>
    <v>155</v>
    <v>7329</v>
    <v>7329</v>
    <v>Flexity 2 - 5 mod</v>
    <v>Tram</v>
    <v>Tram</v>
  </rv>
  <rv s="0">
    <v>0</v>
    <v>7330</v>
    <v>1</v>
    <v>Generic</v>
    <v>261</v>
    <v/>
    <v>1</v>
    <v>42452</v>
    <v>45175</v>
    <v>Antwerpen</v>
    <v>1</v>
    <v>J</v>
    <v>J</v>
    <v>J</v>
    <v/>
    <v>J</v>
    <v>7</v>
    <v>Deurne tramstelplaats</v>
    <v>133</v>
    <v>OC Deurne</v>
    <v>155</v>
    <v>7330</v>
    <v>7330</v>
    <v>Flexity 2 - 5 mod</v>
    <v>Tram</v>
    <v>Tram</v>
  </rv>
  <rv s="0">
    <v>0</v>
    <v>7331</v>
    <v>1</v>
    <v>Generic</v>
    <v>261</v>
    <v/>
    <v>1</v>
    <v>42461</v>
    <v>45175</v>
    <v>Antwerpen</v>
    <v>1</v>
    <v>J</v>
    <v>J</v>
    <v>J</v>
    <v/>
    <v>J</v>
    <v>7</v>
    <v>Deurne tramstelplaats</v>
    <v>133</v>
    <v>OC Deurne</v>
    <v>155</v>
    <v>7331</v>
    <v>7331</v>
    <v>Flexity 2 - 5 mod</v>
    <v>Tram</v>
    <v>Tram</v>
  </rv>
  <rv s="0">
    <v>0</v>
    <v>7332</v>
    <v>1</v>
    <v>Generic</v>
    <v>261</v>
    <v/>
    <v>1</v>
    <v>42474</v>
    <v>45175</v>
    <v>Antwerpen</v>
    <v>1</v>
    <v>J</v>
    <v>J</v>
    <v>J</v>
    <v/>
    <v>J</v>
    <v>7</v>
    <v>Deurne tramstelplaats</v>
    <v>133</v>
    <v>OC Deurne</v>
    <v>155</v>
    <v>7332</v>
    <v>7332</v>
    <v>Flexity 2 - 5 mod</v>
    <v>Tram</v>
    <v>Tram</v>
  </rv>
  <rv s="0">
    <v>0</v>
    <v>7333</v>
    <v>1</v>
    <v>Generic</v>
    <v>261</v>
    <v/>
    <v>1</v>
    <v>42482</v>
    <v>45175</v>
    <v>Antwerpen</v>
    <v>1</v>
    <v>J</v>
    <v>J</v>
    <v>J</v>
    <v/>
    <v>J</v>
    <v>7</v>
    <v>Deurne tramstelplaats</v>
    <v>133</v>
    <v>OC Deurne</v>
    <v>155</v>
    <v>7333</v>
    <v>7333</v>
    <v>Flexity 2 - 5 mod</v>
    <v>Tram</v>
    <v>Tram</v>
  </rv>
  <rv s="0">
    <v>0</v>
    <v>7334</v>
    <v>1</v>
    <v>Generic</v>
    <v>261</v>
    <v/>
    <v>1</v>
    <v>42494</v>
    <v>45175</v>
    <v>Antwerpen</v>
    <v>1</v>
    <v>J</v>
    <v>J</v>
    <v>J</v>
    <v/>
    <v>J</v>
    <v>7</v>
    <v>Deurne tramstelplaats</v>
    <v>133</v>
    <v>OC Deurne</v>
    <v>155</v>
    <v>7334</v>
    <v>7334</v>
    <v>Flexity 2 - 5 mod</v>
    <v>Tram</v>
    <v>Tram</v>
  </rv>
  <rv s="0">
    <v>0</v>
    <v>7335</v>
    <v>1</v>
    <v>Generic</v>
    <v>261</v>
    <v/>
    <v>1</v>
    <v>42523</v>
    <v>45175</v>
    <v>Antwerpen</v>
    <v>1</v>
    <v>J</v>
    <v>J</v>
    <v>J</v>
    <v/>
    <v>J</v>
    <v>7</v>
    <v>Deurne tramstelplaats</v>
    <v>133</v>
    <v>OC Deurne</v>
    <v>155</v>
    <v>7335</v>
    <v>7335</v>
    <v>Flexity 2 - 5 mod</v>
    <v>Tram</v>
    <v>Tram</v>
  </rv>
  <rv s="0">
    <v>0</v>
    <v>7336</v>
    <v>1</v>
    <v>Generic</v>
    <v>261</v>
    <v/>
    <v>1</v>
    <v>42534</v>
    <v>45175</v>
    <v>Antwerpen</v>
    <v>1</v>
    <v>J</v>
    <v>J</v>
    <v>J</v>
    <v/>
    <v>J</v>
    <v>7</v>
    <v>Deurne tramstelplaats</v>
    <v>133</v>
    <v>OC Deurne</v>
    <v>155</v>
    <v>7336</v>
    <v>7336</v>
    <v>Flexity 2 - 5 mod</v>
    <v>Tram</v>
    <v>Tram</v>
  </rv>
  <rv s="0">
    <v>0</v>
    <v>7337</v>
    <v>1</v>
    <v>Generic</v>
    <v>261</v>
    <v/>
    <v>1</v>
    <v>42544</v>
    <v>45175</v>
    <v>Antwerpen</v>
    <v>1</v>
    <v>J</v>
    <v>J</v>
    <v>J</v>
    <v/>
    <v>J</v>
    <v>7</v>
    <v>Deurne tramstelplaats</v>
    <v>133</v>
    <v>OC Deurne</v>
    <v>155</v>
    <v>7337</v>
    <v>7337</v>
    <v>Flexity 2 - 5 mod</v>
    <v>Tram</v>
    <v>Tram</v>
  </rv>
  <rv s="0">
    <v>0</v>
    <v>7338</v>
    <v>1</v>
    <v>Generic</v>
    <v>261</v>
    <v/>
    <v>1</v>
    <v>42571</v>
    <v>45175</v>
    <v>Antwerpen</v>
    <v>1</v>
    <v>J</v>
    <v>J</v>
    <v>J</v>
    <v/>
    <v>J</v>
    <v>7</v>
    <v>Deurne tramstelplaats</v>
    <v>133</v>
    <v>OC Deurne</v>
    <v>155</v>
    <v>7338</v>
    <v>7338</v>
    <v>Flexity 2 - 5 mod</v>
    <v>Tram</v>
    <v>Tram</v>
  </rv>
  <rv s="0">
    <v>0</v>
    <v>7339</v>
    <v>1</v>
    <v>Generic</v>
    <v>261</v>
    <v/>
    <v>1</v>
    <v>42647</v>
    <v>45175</v>
    <v>Antwerpen</v>
    <v>1</v>
    <v>J</v>
    <v>J</v>
    <v>J</v>
    <v/>
    <v>J</v>
    <v>7</v>
    <v>Deurne tramstelplaats</v>
    <v>133</v>
    <v>OC Deurne</v>
    <v>155</v>
    <v>7339</v>
    <v>7339</v>
    <v>Flexity 2 - 5 mod</v>
    <v>Tram</v>
    <v>Tram</v>
  </rv>
  <rv s="0">
    <v>0</v>
    <v>7340</v>
    <v>1</v>
    <v>Generic</v>
    <v>261</v>
    <v/>
    <v>1</v>
    <v>42650</v>
    <v>45175</v>
    <v>Antwerpen</v>
    <v>1</v>
    <v>J</v>
    <v>J</v>
    <v>J</v>
    <v/>
    <v>J</v>
    <v>7</v>
    <v>Deurne tramstelplaats</v>
    <v>133</v>
    <v>OC Deurne</v>
    <v>155</v>
    <v>7340</v>
    <v>7340</v>
    <v>Flexity 2 - 5 mod</v>
    <v>Tram</v>
    <v>Tram</v>
  </rv>
  <rv s="0">
    <v>0</v>
    <v>7341</v>
    <v>1</v>
    <v>Generic</v>
    <v>261</v>
    <v/>
    <v>1</v>
    <v>42657</v>
    <v>45175</v>
    <v>Antwerpen</v>
    <v>1</v>
    <v>J</v>
    <v>J</v>
    <v>J</v>
    <v/>
    <v>J</v>
    <v>7</v>
    <v>Deurne tramstelplaats</v>
    <v>133</v>
    <v>OC Deurne</v>
    <v>155</v>
    <v>7341</v>
    <v>7341</v>
    <v>Flexity 2 - 5 mod</v>
    <v>Tram</v>
    <v>Tram</v>
  </rv>
  <rv s="0">
    <v>0</v>
    <v>7342</v>
    <v>1</v>
    <v>Generic</v>
    <v>261</v>
    <v/>
    <v>1</v>
    <v>42664</v>
    <v>45175</v>
    <v>Antwerpen</v>
    <v>1</v>
    <v>J</v>
    <v>J</v>
    <v>J</v>
    <v/>
    <v>J</v>
    <v>7</v>
    <v>Deurne tramstelplaats</v>
    <v>133</v>
    <v>OC Deurne</v>
    <v>155</v>
    <v>7342</v>
    <v>7342</v>
    <v>Flexity 2 - 5 mod</v>
    <v>Tram</v>
    <v>Tram</v>
  </rv>
  <rv s="0">
    <v>0</v>
    <v>7343</v>
    <v>1</v>
    <v>Generic</v>
    <v>261</v>
    <v/>
    <v>1</v>
    <v>42692</v>
    <v>45175</v>
    <v>Antwerpen</v>
    <v>1</v>
    <v>J</v>
    <v>J</v>
    <v>J</v>
    <v/>
    <v>J</v>
    <v>7</v>
    <v>Deurne tramstelplaats</v>
    <v>133</v>
    <v>OC Deurne</v>
    <v>155</v>
    <v>7343</v>
    <v>7343</v>
    <v>Flexity 2 - 5 mod</v>
    <v>Tram</v>
    <v>Tram</v>
  </rv>
  <rv s="0">
    <v>0</v>
    <v>7344</v>
    <v>1</v>
    <v>Generic</v>
    <v>261</v>
    <v/>
    <v>1</v>
    <v>42731</v>
    <v>45175</v>
    <v>Antwerpen</v>
    <v>1</v>
    <v>J</v>
    <v>J</v>
    <v>J</v>
    <v/>
    <v>J</v>
    <v>7</v>
    <v>Deurne tramstelplaats</v>
    <v>133</v>
    <v>OC Deurne</v>
    <v>155</v>
    <v>7344</v>
    <v>7344</v>
    <v>Flexity 2 - 5 mod</v>
    <v>Tram</v>
    <v>Tram</v>
  </rv>
  <rv s="0">
    <v>0</v>
    <v>7345</v>
    <v>1</v>
    <v>Generic</v>
    <v>261</v>
    <v/>
    <v>1</v>
    <v>42740</v>
    <v>45175</v>
    <v>Antwerpen</v>
    <v>1</v>
    <v>J</v>
    <v>J</v>
    <v>J</v>
    <v/>
    <v>J</v>
    <v>7</v>
    <v>Deurne tramstelplaats</v>
    <v>133</v>
    <v>OC Deurne</v>
    <v>155</v>
    <v>7345</v>
    <v>7345</v>
    <v>Flexity 2 - 5 mod</v>
    <v>Tram</v>
    <v>Tram</v>
  </rv>
  <rv s="0">
    <v>0</v>
    <v>7346</v>
    <v>1</v>
    <v>Generic</v>
    <v>261</v>
    <v/>
    <v>1</v>
    <v>42741</v>
    <v>45175</v>
    <v>Antwerpen</v>
    <v>1</v>
    <v>J</v>
    <v>J</v>
    <v>J</v>
    <v/>
    <v>J</v>
    <v>7</v>
    <v>Deurne tramstelplaats</v>
    <v>133</v>
    <v>OC Deurne</v>
    <v>155</v>
    <v>7346</v>
    <v>7346</v>
    <v>Flexity 2 - 5 mod</v>
    <v>Tram</v>
    <v>Tram</v>
  </rv>
  <rv s="0">
    <v>0</v>
    <v>7347</v>
    <v>1</v>
    <v>Generic</v>
    <v>261</v>
    <v/>
    <v>1</v>
    <v>42744</v>
    <v>45175</v>
    <v>Antwerpen</v>
    <v>1</v>
    <v>J</v>
    <v>J</v>
    <v>J</v>
    <v/>
    <v>J</v>
    <v>7</v>
    <v>Deurne tramstelplaats</v>
    <v>133</v>
    <v>OC Deurne</v>
    <v>155</v>
    <v>7347</v>
    <v>7347</v>
    <v>Flexity 2 - 5 mod</v>
    <v>Tram</v>
    <v>Tram</v>
  </rv>
  <rv s="0">
    <v>0</v>
    <v>7348</v>
    <v>1</v>
    <v>Generic</v>
    <v>261</v>
    <v/>
    <v>1</v>
    <v>42768</v>
    <v>45175</v>
    <v>Antwerpen</v>
    <v>1</v>
    <v>J</v>
    <v>J</v>
    <v>J</v>
    <v/>
    <v>J</v>
    <v>7</v>
    <v>Deurne tramstelplaats</v>
    <v>133</v>
    <v>OC Deurne</v>
    <v>155</v>
    <v>7348</v>
    <v>7348</v>
    <v>Flexity 2 - 5 mod</v>
    <v>Tram</v>
    <v>Tram</v>
  </rv>
  <rv s="0">
    <v>0</v>
    <v>7349</v>
    <v>1</v>
    <v>Generic</v>
    <v>261</v>
    <v/>
    <v>1</v>
    <v>43048</v>
    <v>45175</v>
    <v>Antwerpen</v>
    <v>1</v>
    <v>J</v>
    <v>J</v>
    <v>J</v>
    <v/>
    <v>J</v>
    <v>6</v>
    <v>Punt a/d Lijn</v>
    <v>130</v>
    <v>OC Noorderlaan</v>
    <v>154</v>
    <v>7349</v>
    <v>7349</v>
    <v>Flexity 2 - 7 mod</v>
    <v>Tram</v>
    <v>Tram</v>
  </rv>
  <rv s="0">
    <v>0</v>
    <v>7350</v>
    <v>1</v>
    <v>Generic</v>
    <v>261</v>
    <v/>
    <v>1</v>
    <v>43053</v>
    <v>45175</v>
    <v>Antwerpen</v>
    <v>1</v>
    <v>J</v>
    <v>J</v>
    <v>J</v>
    <v/>
    <v>J</v>
    <v>6</v>
    <v>Punt a/d Lijn</v>
    <v>130</v>
    <v>OC Noorderlaan</v>
    <v>154</v>
    <v>7350</v>
    <v>7350</v>
    <v>Flexity 2 - 7 mod</v>
    <v>Tram</v>
    <v>Tram</v>
  </rv>
  <rv s="0">
    <v>0</v>
    <v>7351</v>
    <v>1</v>
    <v>Generic</v>
    <v>261</v>
    <v/>
    <v>1</v>
    <v>43062</v>
    <v>45175</v>
    <v>Antwerpen</v>
    <v>1</v>
    <v>J</v>
    <v>J</v>
    <v>J</v>
    <v/>
    <v>J</v>
    <v>6</v>
    <v>Punt a/d Lijn</v>
    <v>130</v>
    <v>OC Noorderlaan</v>
    <v>154</v>
    <v>7351</v>
    <v>7351</v>
    <v>Flexity 2 - 7 mod</v>
    <v>Tram</v>
    <v>Tram</v>
  </rv>
  <rv s="0">
    <v>0</v>
    <v>7352</v>
    <v>1</v>
    <v>Generic</v>
    <v>261</v>
    <v/>
    <v>1</v>
    <v>43069</v>
    <v>45175</v>
    <v>Antwerpen</v>
    <v>1</v>
    <v>J</v>
    <v>J</v>
    <v>J</v>
    <v/>
    <v>J</v>
    <v>6</v>
    <v>Punt a/d Lijn</v>
    <v>130</v>
    <v>OC Noorderlaan</v>
    <v>154</v>
    <v>7352</v>
    <v>7352</v>
    <v>Flexity 2 - 7 mod</v>
    <v>Tram</v>
    <v>Tram</v>
  </rv>
  <rv s="0">
    <v>0</v>
    <v>7353</v>
    <v>1</v>
    <v>Generic</v>
    <v>261</v>
    <v/>
    <v>1</v>
    <v>43083</v>
    <v>45175</v>
    <v>Antwerpen</v>
    <v>1</v>
    <v>J</v>
    <v>J</v>
    <v>J</v>
    <v/>
    <v>J</v>
    <v>6</v>
    <v>Punt a/d Lijn</v>
    <v>130</v>
    <v>OC Noorderlaan</v>
    <v>154</v>
    <v>7353</v>
    <v>7353</v>
    <v>Flexity 2 - 7 mod</v>
    <v>Tram</v>
    <v>Tram</v>
  </rv>
  <rv s="0">
    <v>0</v>
    <v>7354</v>
    <v>1</v>
    <v>Generic</v>
    <v>261</v>
    <v/>
    <v>1</v>
    <v>43097</v>
    <v>45175</v>
    <v>Antwerpen</v>
    <v>1</v>
    <v>J</v>
    <v>J</v>
    <v>J</v>
    <v/>
    <v>J</v>
    <v>6</v>
    <v>Punt a/d Lijn</v>
    <v>130</v>
    <v>OC Noorderlaan</v>
    <v>154</v>
    <v>7354</v>
    <v>7354</v>
    <v>Flexity 2 - 7 mod</v>
    <v>Tram</v>
    <v>Tram</v>
  </rv>
  <rv s="0">
    <v>0</v>
    <v>7355</v>
    <v>1</v>
    <v>Generic</v>
    <v>261</v>
    <v/>
    <v>1</v>
    <v>43116</v>
    <v>45175</v>
    <v>Antwerpen</v>
    <v>1</v>
    <v>J</v>
    <v>J</v>
    <v>J</v>
    <v/>
    <v>J</v>
    <v>6</v>
    <v>Punt a/d Lijn</v>
    <v>130</v>
    <v>OC Noorderlaan</v>
    <v>154</v>
    <v>7355</v>
    <v>7355</v>
    <v>Flexity 2 - 7 mod</v>
    <v>Tram</v>
    <v>Tram</v>
  </rv>
  <rv s="0">
    <v>0</v>
    <v>7356</v>
    <v>1</v>
    <v>Generic</v>
    <v>261</v>
    <v/>
    <v>1</v>
    <v>43126</v>
    <v>45175</v>
    <v>Antwerpen</v>
    <v>1</v>
    <v>J</v>
    <v>J</v>
    <v>J</v>
    <v/>
    <v>J</v>
    <v>6</v>
    <v>Punt a/d Lijn</v>
    <v>130</v>
    <v>OC Noorderlaan</v>
    <v>154</v>
    <v>7356</v>
    <v>7356</v>
    <v>Flexity 2 - 7 mod</v>
    <v>Tram</v>
    <v>Tram</v>
  </rv>
  <rv s="0">
    <v>0</v>
    <v>7357</v>
    <v>1</v>
    <v>Generic</v>
    <v>261</v>
    <v/>
    <v>1</v>
    <v>43138</v>
    <v>45175</v>
    <v>Antwerpen</v>
    <v>1</v>
    <v>J</v>
    <v>J</v>
    <v>J</v>
    <v/>
    <v>J</v>
    <v>6</v>
    <v>Punt a/d Lijn</v>
    <v>130</v>
    <v>OC Noorderlaan</v>
    <v>154</v>
    <v>7357</v>
    <v>7357</v>
    <v>Flexity 2 - 7 mod</v>
    <v>Tram</v>
    <v>Tram</v>
  </rv>
  <rv s="0">
    <v>0</v>
    <v>7358</v>
    <v>1</v>
    <v>Generic</v>
    <v>261</v>
    <v/>
    <v>1</v>
    <v>43157</v>
    <v>45175</v>
    <v>Antwerpen</v>
    <v>1</v>
    <v>J</v>
    <v>J</v>
    <v>J</v>
    <v/>
    <v>J</v>
    <v>6</v>
    <v>Punt a/d Lijn</v>
    <v>130</v>
    <v>OC Noorderlaan</v>
    <v>154</v>
    <v>7358</v>
    <v>7358</v>
    <v>Flexity 2 - 7 mod</v>
    <v>Tram</v>
    <v>Tram</v>
  </rv>
  <rv s="0">
    <v>0</v>
    <v>7359</v>
    <v>1</v>
    <v>Generic</v>
    <v>261</v>
    <v/>
    <v>1</v>
    <v>43167</v>
    <v>45175</v>
    <v>Antwerpen</v>
    <v>1</v>
    <v>J</v>
    <v>J</v>
    <v>J</v>
    <v/>
    <v>J</v>
    <v>6</v>
    <v>Punt a/d Lijn</v>
    <v>130</v>
    <v>OC Noorderlaan</v>
    <v>154</v>
    <v>7359</v>
    <v>7359</v>
    <v>Flexity 2 - 7 mod</v>
    <v>Tram</v>
    <v>Tram</v>
  </rv>
  <rv s="0">
    <v>0</v>
    <v>7360</v>
    <v>1</v>
    <v>Generic</v>
    <v>261</v>
    <v/>
    <v>1</v>
    <v>43182</v>
    <v>45175</v>
    <v>Antwerpen</v>
    <v>1</v>
    <v>J</v>
    <v>J</v>
    <v>J</v>
    <v/>
    <v>J</v>
    <v>5</v>
    <v>Punt a/d Lijn</v>
    <v>130</v>
    <v>OC Noorderlaan</v>
    <v>154</v>
    <v>7360</v>
    <v>7360</v>
    <v>Flexity 2 - 7 mod</v>
    <v>Tram</v>
    <v>Tram</v>
  </rv>
  <rv s="0">
    <v>0</v>
    <v>7361</v>
    <v>1</v>
    <v>Generic</v>
    <v>261</v>
    <v/>
    <v>1</v>
    <v>43196</v>
    <v>45175</v>
    <v>Antwerpen</v>
    <v>1</v>
    <v>J</v>
    <v>J</v>
    <v>J</v>
    <v/>
    <v>J</v>
    <v>5</v>
    <v>Punt a/d Lijn</v>
    <v>130</v>
    <v>OC Noorderlaan</v>
    <v>154</v>
    <v>7361</v>
    <v>7361</v>
    <v>Flexity 2 - 7 mod</v>
    <v>Tram</v>
    <v>Tram</v>
  </rv>
  <rv s="0">
    <v>0</v>
    <v>7362</v>
    <v>1</v>
    <v>Generic</v>
    <v>261</v>
    <v/>
    <v>1</v>
    <v>43231</v>
    <v>45175</v>
    <v>Antwerpen</v>
    <v>1</v>
    <v>J</v>
    <v>J</v>
    <v>J</v>
    <v/>
    <v>J</v>
    <v>5</v>
    <v>Punt a/d Lijn</v>
    <v>130</v>
    <v>OC Noorderlaan</v>
    <v>154</v>
    <v>7362</v>
    <v>7362</v>
    <v>Flexity 2 - 7 mod</v>
    <v>Tram</v>
    <v>Tram</v>
  </rv>
  <rv s="0">
    <v>0</v>
    <v>7401</v>
    <v>1</v>
    <v>Generic</v>
    <v>263S1</v>
    <v/>
    <v>1</v>
    <v>44645</v>
    <v>45175</v>
    <v>Antwerpen</v>
    <v>1</v>
    <v>J</v>
    <v>J</v>
    <v>J</v>
    <v/>
    <v>J</v>
    <v>1</v>
    <v>Punt a/d Lijn</v>
    <v>130</v>
    <v>OC Noorderlaan</v>
    <v>154</v>
    <v>7401</v>
    <v>7401</v>
    <v>URBOS 100 MOD 5</v>
    <v>Tram</v>
    <v>Tram</v>
  </rv>
  <rv s="0">
    <v>0</v>
    <v>7402</v>
    <v>1</v>
    <v>Generic</v>
    <v>263S1</v>
    <v/>
    <v>1</v>
    <v>44645</v>
    <v>45175</v>
    <v>Antwerpen</v>
    <v>1</v>
    <v>J</v>
    <v>J</v>
    <v>J</v>
    <v/>
    <v>J</v>
    <v>1</v>
    <v>Punt a/d Lijn</v>
    <v>130</v>
    <v>OC Noorderlaan</v>
    <v>154</v>
    <v>7402</v>
    <v>7402</v>
    <v>URBOS 100 MOD 5</v>
    <v>Tram</v>
    <v>Tram</v>
  </rv>
  <rv s="0">
    <v>0</v>
    <v>7403</v>
    <v>1</v>
    <v>Generic</v>
    <v>263S1</v>
    <v/>
    <v>1</v>
    <v>44651</v>
    <v>45175</v>
    <v>Antwerpen</v>
    <v>1</v>
    <v>J</v>
    <v>J</v>
    <v>J</v>
    <v/>
    <v>J</v>
    <v>1</v>
    <v>Punt a/d Lijn</v>
    <v>130</v>
    <v>OC Noorderlaan</v>
    <v>154</v>
    <v>7403</v>
    <v>7403</v>
    <v>URBOS 100 MOD 5</v>
    <v>Tram</v>
    <v>Tram</v>
  </rv>
  <rv s="0">
    <v>0</v>
    <v>7404</v>
    <v>1</v>
    <v>Generic</v>
    <v>263S1</v>
    <v/>
    <v>1</v>
    <v>44671</v>
    <v>45175</v>
    <v>Antwerpen</v>
    <v>1</v>
    <v>J</v>
    <v>J</v>
    <v>J</v>
    <v/>
    <v>J</v>
    <v>1</v>
    <v>Punt a/d Lijn</v>
    <v>130</v>
    <v>Noorderlaan - Punt a/d Lijn</v>
    <v>150</v>
    <v>7404</v>
    <v>7404</v>
    <v>URBOS 100 MOD 5</v>
    <v>Tram</v>
    <v>Tram</v>
  </rv>
  <rv s="0">
    <v>0</v>
    <v>7405</v>
    <v>1</v>
    <v>Generic</v>
    <v>263S1</v>
    <v/>
    <v>1</v>
    <v>44697</v>
    <v>45175</v>
    <v>Antwerpen</v>
    <v>1</v>
    <v>J</v>
    <v>J</v>
    <v>J</v>
    <v/>
    <v>J</v>
    <v>1</v>
    <v>Punt a/d Lijn</v>
    <v>130</v>
    <v>Noorderlaan - Punt a/d Lijn</v>
    <v>150</v>
    <v>7405</v>
    <v>7405</v>
    <v>URBOS 100 MOD 5</v>
    <v>Tram</v>
    <v>Tram</v>
  </rv>
  <rv s="0">
    <v>0</v>
    <v>7406</v>
    <v>1</v>
    <v>Generic</v>
    <v>263S1</v>
    <v/>
    <v>1</v>
    <v>44896</v>
    <v>45175</v>
    <v>Antwerpen</v>
    <v>1</v>
    <v>J</v>
    <v>J</v>
    <v>J</v>
    <v/>
    <v>J</v>
    <v>1</v>
    <v>Punt a/d Lijn</v>
    <v>130</v>
    <v>OC Noorderlaan</v>
    <v>154</v>
    <v>7406</v>
    <v>7406</v>
    <v>URBOS 100 MOD 5</v>
    <v>Tram</v>
    <v>Tram</v>
  </rv>
  <rv s="0">
    <v>0</v>
    <v>7407</v>
    <v>1</v>
    <v>Generic</v>
    <v>263S1</v>
    <v/>
    <v>1</v>
    <v>45093</v>
    <v>45175</v>
    <v>Antwerpen</v>
    <v>1</v>
    <v>J</v>
    <v>J</v>
    <v>J</v>
    <v/>
    <v>J</v>
    <v>0</v>
    <v>Punt a/d Lijn</v>
    <v>130</v>
    <v>OC Noorderlaan</v>
    <v>154</v>
    <v>7407</v>
    <v>7407</v>
    <v>URBOS 100 MOD 5</v>
    <v>Tram</v>
    <v>Tram</v>
  </rv>
  <rv s="0">
    <v>0</v>
    <v>7408</v>
    <v>1</v>
    <v>Generic</v>
    <v>263S1</v>
    <v/>
    <v>1</v>
    <v>44697</v>
    <v>45175</v>
    <v>Antwerpen</v>
    <v>1</v>
    <v>J</v>
    <v>J</v>
    <v>J</v>
    <v/>
    <v>J</v>
    <v>1</v>
    <v>Punt a/d Lijn</v>
    <v>130</v>
    <v>Noorderlaan - Punt a/d Lijn</v>
    <v>150</v>
    <v>7408</v>
    <v>7408</v>
    <v>URBOS 100 MOD 5</v>
    <v>Tram</v>
    <v>Tram</v>
  </rv>
  <rv s="0">
    <v>0</v>
    <v>7409</v>
    <v>1</v>
    <v>Generic</v>
    <v>263S1</v>
    <v/>
    <v>1</v>
    <v>44719</v>
    <v>45175</v>
    <v>Antwerpen</v>
    <v>1</v>
    <v>J</v>
    <v>J</v>
    <v>J</v>
    <v/>
    <v>J</v>
    <v>1</v>
    <v>Punt a/d Lijn</v>
    <v>130</v>
    <v>OC Noorderlaan</v>
    <v>154</v>
    <v>7409</v>
    <v>7409</v>
    <v>URBOS 100 MOD 5</v>
    <v>Tram</v>
    <v>Tram</v>
  </rv>
  <rv s="0">
    <v>0</v>
    <v>7410</v>
    <v>1</v>
    <v>Generic</v>
    <v>263S1</v>
    <v/>
    <v>1</v>
    <v>44701</v>
    <v>45175</v>
    <v>Antwerpen</v>
    <v>1</v>
    <v>J</v>
    <v>J</v>
    <v>J</v>
    <v/>
    <v>J</v>
    <v>1</v>
    <v>Punt a/d Lijn</v>
    <v>130</v>
    <v>Noorderlaan - Punt a/d Lijn</v>
    <v>150</v>
    <v>7410</v>
    <v>7410</v>
    <v>URBOS 100 MOD 5</v>
    <v>Tram</v>
    <v>Tram</v>
  </rv>
  <rv s="0">
    <v>0</v>
    <v>7411</v>
    <v>1</v>
    <v>Generic</v>
    <v>263S1</v>
    <v/>
    <v>1</v>
    <v>44889</v>
    <v>45175</v>
    <v>Antwerpen</v>
    <v>1</v>
    <v>J</v>
    <v>J</v>
    <v>J</v>
    <v/>
    <v>J</v>
    <v>1</v>
    <v>Punt a/d Lijn</v>
    <v>130</v>
    <v>OC Noorderlaan</v>
    <v>154</v>
    <v>7411</v>
    <v>7411</v>
    <v>URBOS 100 MOD 5</v>
    <v>Tram</v>
    <v>Tram</v>
  </rv>
  <rv s="0">
    <v>0</v>
    <v>7412</v>
    <v>1</v>
    <v>Generic</v>
    <v>263S1</v>
    <v/>
    <v>1</v>
    <v>44746</v>
    <v>45175</v>
    <v>Antwerpen</v>
    <v>1</v>
    <v>J</v>
    <v>J</v>
    <v>J</v>
    <v/>
    <v>J</v>
    <v>1</v>
    <v>Punt a/d Lijn</v>
    <v>130</v>
    <v>OC Noorderlaan</v>
    <v>154</v>
    <v>7412</v>
    <v>7412</v>
    <v>URBOS 100 MOD 5</v>
    <v>Tram</v>
    <v>Tram</v>
  </rv>
  <rv s="0">
    <v>0</v>
    <v>7413</v>
    <v>1</v>
    <v>Generic</v>
    <v>263S1</v>
    <v/>
    <v>1</v>
    <v>44749</v>
    <v>45175</v>
    <v>Antwerpen</v>
    <v>1</v>
    <v>J</v>
    <v>J</v>
    <v>J</v>
    <v/>
    <v>J</v>
    <v>1</v>
    <v>Punt a/d Lijn</v>
    <v>130</v>
    <v>OC Noorderlaan</v>
    <v>154</v>
    <v>7413</v>
    <v>7413</v>
    <v>URBOS 100 MOD 5</v>
    <v>Tram</v>
    <v>Tram</v>
  </rv>
  <rv s="0">
    <v>0</v>
    <v>7414</v>
    <v>1</v>
    <v>Generic</v>
    <v>263S1</v>
    <v/>
    <v>1</v>
    <v>44767</v>
    <v>45175</v>
    <v>Antwerpen</v>
    <v>1</v>
    <v>J</v>
    <v>J</v>
    <v>J</v>
    <v/>
    <v>J</v>
    <v>1</v>
    <v>Punt a/d Lijn</v>
    <v>130</v>
    <v>OC Noorderlaan</v>
    <v>154</v>
    <v>7414</v>
    <v>7414</v>
    <v>URBOS 100 MOD 5</v>
    <v>Tram</v>
    <v>Tram</v>
  </rv>
  <rv s="0">
    <v>0</v>
    <v>7415</v>
    <v>1</v>
    <v>Generic</v>
    <v>263S1</v>
    <v/>
    <v>1</v>
    <v>44791</v>
    <v>45175</v>
    <v>Antwerpen</v>
    <v>1</v>
    <v>J</v>
    <v>J</v>
    <v>J</v>
    <v/>
    <v>J</v>
    <v>1</v>
    <v>Punt a/d Lijn</v>
    <v>130</v>
    <v>OC Noorderlaan</v>
    <v>154</v>
    <v>7415</v>
    <v>7415</v>
    <v>URBOS 100 MOD 5</v>
    <v>Tram</v>
    <v>Tram</v>
  </rv>
  <rv s="0">
    <v>0</v>
    <v>7416</v>
    <v>1</v>
    <v>Generic</v>
    <v>263S1</v>
    <v/>
    <v>1</v>
    <v>44803</v>
    <v>45175</v>
    <v>Antwerpen</v>
    <v>1</v>
    <v>J</v>
    <v>J</v>
    <v>J</v>
    <v/>
    <v>J</v>
    <v>1</v>
    <v>Punt a/d Lijn</v>
    <v>130</v>
    <v>OC Noorderlaan</v>
    <v>154</v>
    <v>7416</v>
    <v>7416</v>
    <v>URBOS 100 MOD 5</v>
    <v>Tram</v>
    <v>Tram</v>
  </rv>
  <rv s="0">
    <v>0</v>
    <v>7417</v>
    <v>1</v>
    <v>Generic</v>
    <v>263S1</v>
    <v/>
    <v>1</v>
    <v>44803</v>
    <v>45175</v>
    <v>Antwerpen</v>
    <v>1</v>
    <v>J</v>
    <v>J</v>
    <v>J</v>
    <v/>
    <v>J</v>
    <v>1</v>
    <v>Punt a/d Lijn</v>
    <v>130</v>
    <v>OC Noorderlaan</v>
    <v>154</v>
    <v>7417</v>
    <v>7417</v>
    <v>URBOS 100 MOD 5</v>
    <v>Tram</v>
    <v>Tram</v>
  </rv>
  <rv s="0">
    <v>0</v>
    <v>7418</v>
    <v>1</v>
    <v>Generic</v>
    <v>263S1</v>
    <v/>
    <v>1</v>
    <v>44839</v>
    <v>45175</v>
    <v>Antwerpen</v>
    <v>1</v>
    <v>J</v>
    <v>J</v>
    <v>J</v>
    <v/>
    <v>J</v>
    <v>1</v>
    <v>Punt a/d Lijn</v>
    <v>130</v>
    <v>OC Noorderlaan</v>
    <v>154</v>
    <v>7418</v>
    <v>7418</v>
    <v>URBOS 100 MOD 5</v>
    <v>Tram</v>
    <v>Tram</v>
  </rv>
  <rv s="0">
    <v>0</v>
    <v>7419</v>
    <v>1</v>
    <v>Generic</v>
    <v>263S1</v>
    <v/>
    <v>1</v>
    <v>44846</v>
    <v>45175</v>
    <v>Antwerpen</v>
    <v>1</v>
    <v>J</v>
    <v>J</v>
    <v>J</v>
    <v/>
    <v>J</v>
    <v>1</v>
    <v>Punt a/d Lijn</v>
    <v>130</v>
    <v>OC Noorderlaan</v>
    <v>154</v>
    <v>7419</v>
    <v>7419</v>
    <v>URBOS 100 MOD 5</v>
    <v>Tram</v>
    <v>Tram</v>
  </rv>
  <rv s="0">
    <v>0</v>
    <v>7420</v>
    <v>1</v>
    <v>Generic</v>
    <v>263S1</v>
    <v/>
    <v>1</v>
    <v>44860</v>
    <v>45175</v>
    <v>Antwerpen</v>
    <v>1</v>
    <v>J</v>
    <v>J</v>
    <v>J</v>
    <v/>
    <v>J</v>
    <v>1</v>
    <v>Punt a/d Lijn</v>
    <v>130</v>
    <v>OC Noorderlaan</v>
    <v>154</v>
    <v>7420</v>
    <v>7420</v>
    <v>URBOS 100 MOD 5</v>
    <v>Tram</v>
    <v>Tram</v>
  </rv>
  <rv s="0">
    <v>0</v>
    <v>7421</v>
    <v>1</v>
    <v>Generic</v>
    <v>263S1</v>
    <v/>
    <v>1</v>
    <v>44890</v>
    <v>45175</v>
    <v>Antwerpen</v>
    <v>1</v>
    <v>J</v>
    <v>J</v>
    <v>J</v>
    <v/>
    <v>J</v>
    <v>1</v>
    <v>Punt a/d Lijn</v>
    <v>130</v>
    <v>OC Noorderlaan</v>
    <v>154</v>
    <v>7421</v>
    <v>7421</v>
    <v>URBOS 100 MOD 5</v>
    <v>Tram</v>
    <v>Tram</v>
  </rv>
  <rv s="3">
    <v>0</v>
    <v>7422</v>
    <v>1</v>
    <v>Generic</v>
    <v>263S1</v>
    <v/>
    <v>1</v>
    <v>401768</v>
    <v>45175</v>
    <v>Niet Beschikbaar</v>
    <v>?</v>
    <v>J</v>
    <v>J</v>
    <v>J</v>
    <v/>
    <v>J</v>
    <v/>
    <v>Onbekend</v>
    <v>#</v>
    <v>Onbekend</v>
    <v>#</v>
    <v>7422</v>
    <v>7422</v>
    <v>URBOS 100 MOD 5</v>
    <v>Tram</v>
    <v>Tram</v>
  </rv>
  <rv s="0">
    <v>0</v>
    <v>7423</v>
    <v>1</v>
    <v>Generic</v>
    <v>263S1</v>
    <v/>
    <v>1</v>
    <v>44908</v>
    <v>45175</v>
    <v>Antwerpen</v>
    <v>1</v>
    <v>J</v>
    <v>J</v>
    <v>J</v>
    <v/>
    <v>J</v>
    <v>1</v>
    <v>Punt a/d Lijn</v>
    <v>130</v>
    <v>OC Noorderlaan</v>
    <v>154</v>
    <v>7423</v>
    <v>7423</v>
    <v>URBOS 100 MOD 5</v>
    <v>Tram</v>
    <v>Tram</v>
  </rv>
  <rv s="0">
    <v>0</v>
    <v>7424</v>
    <v>1</v>
    <v>Generic</v>
    <v>263S1</v>
    <v/>
    <v>1</v>
    <v>44908</v>
    <v>45175</v>
    <v>Antwerpen</v>
    <v>1</v>
    <v>J</v>
    <v>J</v>
    <v>J</v>
    <v/>
    <v>J</v>
    <v>1</v>
    <v>Onbekend</v>
    <v>#</v>
    <v>Onbekend</v>
    <v>#</v>
    <v>7424</v>
    <v>7424</v>
    <v>URBOS 100 MOD 5</v>
    <v>Tram</v>
    <v>Tram</v>
  </rv>
  <rv s="0">
    <v>0</v>
    <v>7425</v>
    <v>1</v>
    <v>Generic</v>
    <v>263S1</v>
    <v/>
    <v>1</v>
    <v>44956</v>
    <v>45175</v>
    <v>Antwerpen</v>
    <v>1</v>
    <v>J</v>
    <v>J</v>
    <v>J</v>
    <v/>
    <v>J</v>
    <v>1</v>
    <v>Punt a/d Lijn</v>
    <v>130</v>
    <v>OC Noorderlaan</v>
    <v>154</v>
    <v>7425</v>
    <v>7425</v>
    <v>URBOS 100 MOD 5</v>
    <v>Tram</v>
    <v>Tram</v>
  </rv>
  <rv s="0">
    <v>0</v>
    <v>7426</v>
    <v>1</v>
    <v>Generic</v>
    <v>263S1</v>
    <v/>
    <v>1</v>
    <v>44960</v>
    <v>45175</v>
    <v>Antwerpen</v>
    <v>1</v>
    <v>J</v>
    <v>J</v>
    <v>J</v>
    <v/>
    <v>J</v>
    <v>1</v>
    <v>Punt a/d Lijn</v>
    <v>130</v>
    <v>OC Noorderlaan</v>
    <v>154</v>
    <v>7426</v>
    <v>7426</v>
    <v>URBOS 100 MOD 5</v>
    <v>Tram</v>
    <v>Tram</v>
  </rv>
  <rv s="0">
    <v>0</v>
    <v>7427</v>
    <v>1</v>
    <v>Generic</v>
    <v>263S1</v>
    <v/>
    <v>1</v>
    <v>44984</v>
    <v>45175</v>
    <v>Antwerpen</v>
    <v>1</v>
    <v>J</v>
    <v>J</v>
    <v>J</v>
    <v/>
    <v>J</v>
    <v>1</v>
    <v>Punt a/d Lijn</v>
    <v>130</v>
    <v>OC Noorderlaan</v>
    <v>154</v>
    <v>7427</v>
    <v>7427</v>
    <v>URBOS 100 MOD 5</v>
    <v>Tram</v>
    <v>Tram</v>
  </rv>
  <rv s="0">
    <v>0</v>
    <v>7428</v>
    <v>1</v>
    <v>Generic</v>
    <v>263S1</v>
    <v/>
    <v>1</v>
    <v>44985</v>
    <v>45175</v>
    <v>Antwerpen</v>
    <v>1</v>
    <v>J</v>
    <v>J</v>
    <v>J</v>
    <v/>
    <v>J</v>
    <v>1</v>
    <v>Punt a/d Lijn</v>
    <v>130</v>
    <v>OC Noorderlaan</v>
    <v>154</v>
    <v>7428</v>
    <v>7428</v>
    <v>URBOS 100 MOD 5</v>
    <v>Tram</v>
    <v>Tram</v>
  </rv>
  <rv s="0">
    <v>0</v>
    <v>7429</v>
    <v>1</v>
    <v>Generic</v>
    <v>263S1</v>
    <v/>
    <v>1</v>
    <v>45049</v>
    <v>45175</v>
    <v>Antwerpen</v>
    <v>1</v>
    <v>J</v>
    <v>J</v>
    <v>J</v>
    <v/>
    <v>J</v>
    <v>0</v>
    <v>Punt a/d Lijn</v>
    <v>130</v>
    <v>OC Noorderlaan</v>
    <v>154</v>
    <v>7429</v>
    <v>7429</v>
    <v>URBOS 100 MOD 5</v>
    <v>Tram</v>
    <v>Tram</v>
  </rv>
  <rv s="3">
    <v>0</v>
    <v>7430</v>
    <v>1</v>
    <v>Generic</v>
    <v>263S1</v>
    <v/>
    <v>1</v>
    <v>401768</v>
    <v>45175</v>
    <v>Niet Beschikbaar</v>
    <v>?</v>
    <v>J</v>
    <v>J</v>
    <v>J</v>
    <v/>
    <v>J</v>
    <v/>
    <v>Onbekend</v>
    <v>#</v>
    <v>Onbekend</v>
    <v>#</v>
    <v>7430</v>
    <v>7430</v>
    <v>URBOS 100 MOD 5</v>
    <v>Tram</v>
    <v>Tram</v>
  </rv>
  <rv s="3">
    <v>0</v>
    <v>7431</v>
    <v>1</v>
    <v>Generic</v>
    <v>263S1</v>
    <v/>
    <v>1</v>
    <v>401768</v>
    <v>45175</v>
    <v>Niet Beschikbaar</v>
    <v>?</v>
    <v>J</v>
    <v>J</v>
    <v>J</v>
    <v/>
    <v>J</v>
    <v/>
    <v>Onbekend</v>
    <v>#</v>
    <v>Onbekend</v>
    <v>#</v>
    <v>7431</v>
    <v>7431</v>
    <v>URBOS 100 MOD 5</v>
    <v>Tram</v>
    <v>Tram</v>
  </rv>
  <rv s="0">
    <v>0</v>
    <v>7432</v>
    <v>1</v>
    <v>Generic</v>
    <v>263S1</v>
    <v/>
    <v>1</v>
    <v>45142</v>
    <v>45175</v>
    <v>Antwerpen</v>
    <v>1</v>
    <v>J</v>
    <v>J</v>
    <v>J</v>
    <v/>
    <v>J</v>
    <v>0</v>
    <v>Onbekend</v>
    <v>#</v>
    <v>Onbekend</v>
    <v>#</v>
    <v>7432</v>
    <v>7432</v>
    <v>URBOS 100 MOD 5</v>
    <v>Tram</v>
    <v>Tram</v>
  </rv>
  <rv s="0">
    <v>0</v>
    <v>7433</v>
    <v>1</v>
    <v>Generic</v>
    <v>263S1</v>
    <v/>
    <v>1</v>
    <v>45049</v>
    <v>45175</v>
    <v>Antwerpen</v>
    <v>1</v>
    <v>J</v>
    <v>J</v>
    <v>J</v>
    <v/>
    <v>J</v>
    <v>0</v>
    <v>Punt a/d Lijn</v>
    <v>130</v>
    <v>OC Noorderlaan</v>
    <v>154</v>
    <v>7433</v>
    <v>7433</v>
    <v>URBOS 100 MOD 5</v>
    <v>Tram</v>
    <v>Tram</v>
  </rv>
  <rv s="0">
    <v>0</v>
    <v>7434</v>
    <v>1</v>
    <v>Generic</v>
    <v>263S1</v>
    <v/>
    <v>1</v>
    <v>45056</v>
    <v>45175</v>
    <v>Antwerpen</v>
    <v>1</v>
    <v>J</v>
    <v>J</v>
    <v>J</v>
    <v/>
    <v>J</v>
    <v>0</v>
    <v>Punt a/d Lijn</v>
    <v>130</v>
    <v>OC Noorderlaan</v>
    <v>154</v>
    <v>7434</v>
    <v>7434</v>
    <v>URBOS 100 MOD 5</v>
    <v>Tram</v>
    <v>Tram</v>
  </rv>
  <rv s="0">
    <v>0</v>
    <v>7435</v>
    <v>1</v>
    <v>Generic</v>
    <v>263S1</v>
    <v/>
    <v>1</v>
    <v>45078</v>
    <v>45175</v>
    <v>Antwerpen</v>
    <v>1</v>
    <v>J</v>
    <v>J</v>
    <v>J</v>
    <v/>
    <v>J</v>
    <v>0</v>
    <v>Punt a/d Lijn</v>
    <v>130</v>
    <v>OC Noorderlaan</v>
    <v>154</v>
    <v>7435</v>
    <v>7435</v>
    <v>URBOS 100 MOD 5</v>
    <v>Tram</v>
    <v>Tram</v>
  </rv>
  <rv s="3">
    <v>0</v>
    <v>7436</v>
    <v>1</v>
    <v>Generic</v>
    <v>263S1</v>
    <v/>
    <v>1</v>
    <v>401768</v>
    <v>45175</v>
    <v>Niet Beschikbaar</v>
    <v>?</v>
    <v>J</v>
    <v>J</v>
    <v>J</v>
    <v/>
    <v>J</v>
    <v/>
    <v>Onbekend</v>
    <v>#</v>
    <v>Onbekend</v>
    <v>#</v>
    <v>7436</v>
    <v>7436</v>
    <v>URBOS 100 MOD 5</v>
    <v>Tram</v>
    <v>Tram</v>
  </rv>
  <rv s="0">
    <v>0</v>
    <v>7437</v>
    <v>1</v>
    <v>Generic</v>
    <v>263S1</v>
    <v/>
    <v>1</v>
    <v>45114</v>
    <v>45175</v>
    <v>Antwerpen</v>
    <v>1</v>
    <v>J</v>
    <v>J</v>
    <v>J</v>
    <v/>
    <v>J</v>
    <v>0</v>
    <v>Onbekend</v>
    <v>#</v>
    <v>Onbekend</v>
    <v>#</v>
    <v>7437</v>
    <v>7437</v>
    <v>URBOS 100 MOD 5</v>
    <v>Tram</v>
    <v>Tram</v>
  </rv>
  <rv s="0">
    <v>0</v>
    <v>7438</v>
    <v>1</v>
    <v>Generic</v>
    <v>263S1</v>
    <v/>
    <v>1</v>
    <v>45142</v>
    <v>45175</v>
    <v>Antwerpen</v>
    <v>1</v>
    <v>J</v>
    <v>J</v>
    <v>J</v>
    <v/>
    <v>J</v>
    <v>0</v>
    <v>Onbekend</v>
    <v>#</v>
    <v>Onbekend</v>
    <v>#</v>
    <v>7438</v>
    <v>7438</v>
    <v>URBOS 100 MOD 5</v>
    <v>Tram</v>
    <v>Tram</v>
  </rv>
  <rv s="0">
    <v>0</v>
    <v>7439</v>
    <v>1</v>
    <v>Generic</v>
    <v>263S1</v>
    <v/>
    <v>1</v>
    <v>45114</v>
    <v>45175</v>
    <v>Antwerpen</v>
    <v>1</v>
    <v>J</v>
    <v>J</v>
    <v>J</v>
    <v/>
    <v>J</v>
    <v>0</v>
    <v>Onbekend</v>
    <v>#</v>
    <v>Onbekend</v>
    <v>#</v>
    <v>7439</v>
    <v>7439</v>
    <v>URBOS 100 MOD 5</v>
    <v>Tram</v>
    <v>Tram</v>
  </rv>
  <rv s="3">
    <v>0</v>
    <v>7440</v>
    <v>1</v>
    <v>Generic</v>
    <v>263S1</v>
    <v/>
    <v>1</v>
    <v>401768</v>
    <v>45175</v>
    <v>Niet Beschikbaar</v>
    <v>?</v>
    <v>J</v>
    <v>J</v>
    <v>J</v>
    <v/>
    <v>J</v>
    <v/>
    <v>Onbekend</v>
    <v>#</v>
    <v>Onbekend</v>
    <v>#</v>
    <v>7440</v>
    <v>7440</v>
    <v>URBOS 100 MOD 5</v>
    <v>Tram</v>
    <v>Tram</v>
  </rv>
  <rv s="3">
    <v>0</v>
    <v>7441</v>
    <v>1</v>
    <v>Generic</v>
    <v>263S2</v>
    <v/>
    <v>1</v>
    <v>401768</v>
    <v>45175</v>
    <v>Niet Beschikbaar</v>
    <v>?</v>
    <v>J</v>
    <v>J</v>
    <v>J</v>
    <v/>
    <v>J</v>
    <v/>
    <v>Onbekend</v>
    <v>#</v>
    <v>Onbekend</v>
    <v>#</v>
    <v>7441</v>
    <v>7441</v>
    <v>URBOS 100 MOD 5</v>
    <v>Tram</v>
    <v>Tram</v>
  </rv>
  <rv s="3">
    <v>0</v>
    <v>7442</v>
    <v>1</v>
    <v>Generic</v>
    <v>263S2</v>
    <v/>
    <v>1</v>
    <v>401768</v>
    <v>45175</v>
    <v>Niet Beschikbaar</v>
    <v>?</v>
    <v>J</v>
    <v>J</v>
    <v>J</v>
    <v/>
    <v>J</v>
    <v/>
    <v>Onbekend</v>
    <v>#</v>
    <v>Onbekend</v>
    <v>#</v>
    <v>7442</v>
    <v>7442</v>
    <v>URBOS 100 MOD 5</v>
    <v>Tram</v>
    <v>Tram</v>
  </rv>
  <rv s="3">
    <v>0</v>
    <v>7443</v>
    <v>1</v>
    <v>Generic</v>
    <v>263S2</v>
    <v/>
    <v>1</v>
    <v>401768</v>
    <v>45175</v>
    <v>Niet Beschikbaar</v>
    <v>?</v>
    <v>J</v>
    <v>J</v>
    <v>J</v>
    <v/>
    <v>J</v>
    <v/>
    <v>Onbekend</v>
    <v>#</v>
    <v>Onbekend</v>
    <v>#</v>
    <v>7443</v>
    <v>7443</v>
    <v>URBOS 100 MOD 5</v>
    <v>Tram</v>
    <v>Tram</v>
  </rv>
  <rv s="3">
    <v>0</v>
    <v>7444</v>
    <v>1</v>
    <v>Generic</v>
    <v>263S2</v>
    <v/>
    <v>1</v>
    <v>401768</v>
    <v>45175</v>
    <v>Niet Beschikbaar</v>
    <v>?</v>
    <v>J</v>
    <v>J</v>
    <v>J</v>
    <v/>
    <v>J</v>
    <v/>
    <v>Onbekend</v>
    <v>#</v>
    <v>Onbekend</v>
    <v>#</v>
    <v>7444</v>
    <v>7444</v>
    <v>URBOS 100 MOD 5</v>
    <v>Tram</v>
    <v>Tram</v>
  </rv>
  <rv s="3">
    <v>0</v>
    <v>7445</v>
    <v>1</v>
    <v>Generic</v>
    <v>263S2</v>
    <v/>
    <v>1</v>
    <v>401768</v>
    <v>45175</v>
    <v>Niet Beschikbaar</v>
    <v>?</v>
    <v>J</v>
    <v>J</v>
    <v>J</v>
    <v/>
    <v>J</v>
    <v/>
    <v>Onbekend</v>
    <v>#</v>
    <v>Onbekend</v>
    <v>#</v>
    <v>7445</v>
    <v>7445</v>
    <v>URBOS 100 MOD 5</v>
    <v>Tram</v>
    <v>Tram</v>
  </rv>
  <rv s="3">
    <v>0</v>
    <v>7446</v>
    <v>1</v>
    <v>Generic</v>
    <v>263S2</v>
    <v/>
    <v>1</v>
    <v>401768</v>
    <v>45175</v>
    <v>Niet Beschikbaar</v>
    <v>?</v>
    <v>J</v>
    <v>J</v>
    <v>J</v>
    <v/>
    <v>J</v>
    <v/>
    <v>Onbekend</v>
    <v>#</v>
    <v>Onbekend</v>
    <v>#</v>
    <v>7446</v>
    <v>7446</v>
    <v>URBOS 100 MOD 5</v>
    <v>Tram</v>
    <v>Tram</v>
  </rv>
  <rv s="3">
    <v>0</v>
    <v>7447</v>
    <v>1</v>
    <v>Generic</v>
    <v>263S2</v>
    <v/>
    <v>1</v>
    <v>401768</v>
    <v>45175</v>
    <v>Niet Beschikbaar</v>
    <v>?</v>
    <v>J</v>
    <v>J</v>
    <v>J</v>
    <v/>
    <v>J</v>
    <v/>
    <v>Onbekend</v>
    <v>#</v>
    <v>Onbekend</v>
    <v>#</v>
    <v>7447</v>
    <v>7447</v>
    <v>URBOS 100 MOD 5</v>
    <v>Tram</v>
    <v>Tram</v>
  </rv>
  <rv s="3">
    <v>0</v>
    <v>7448</v>
    <v>1</v>
    <v>Generic</v>
    <v>263S2</v>
    <v/>
    <v>1</v>
    <v>401768</v>
    <v>45175</v>
    <v>Niet Beschikbaar</v>
    <v>?</v>
    <v>J</v>
    <v>J</v>
    <v>J</v>
    <v/>
    <v>J</v>
    <v/>
    <v>Onbekend</v>
    <v>#</v>
    <v>Onbekend</v>
    <v>#</v>
    <v>7448</v>
    <v>7448</v>
    <v>URBOS 100 MOD 5</v>
    <v>Tram</v>
    <v>Tram</v>
  </rv>
  <rv s="3">
    <v>0</v>
    <v>7449</v>
    <v>1</v>
    <v>Generic</v>
    <v>263S2</v>
    <v/>
    <v>1</v>
    <v>401768</v>
    <v>45175</v>
    <v>Niet Beschikbaar</v>
    <v>?</v>
    <v>J</v>
    <v>J</v>
    <v>J</v>
    <v/>
    <v>J</v>
    <v/>
    <v>Onbekend</v>
    <v>#</v>
    <v>Onbekend</v>
    <v>#</v>
    <v>7449</v>
    <v>7449</v>
    <v>URBOS 100 MOD 5</v>
    <v>Tram</v>
    <v>Tram</v>
  </rv>
  <rv s="3">
    <v>0</v>
    <v>7450</v>
    <v>1</v>
    <v>Generic</v>
    <v>263S2</v>
    <v/>
    <v>1</v>
    <v>401768</v>
    <v>45175</v>
    <v>Niet Beschikbaar</v>
    <v>?</v>
    <v>J</v>
    <v>J</v>
    <v>J</v>
    <v/>
    <v>J</v>
    <v/>
    <v>Onbekend</v>
    <v>#</v>
    <v>Onbekend</v>
    <v>#</v>
    <v>7450</v>
    <v>7450</v>
    <v>URBOS 100 MOD 5</v>
    <v>Tram</v>
    <v>Tram</v>
  </rv>
  <rv s="3">
    <v>0</v>
    <v>7451</v>
    <v>1</v>
    <v>Generic</v>
    <v>263S2</v>
    <v/>
    <v>1</v>
    <v>401768</v>
    <v>45175</v>
    <v>Niet Beschikbaar</v>
    <v>?</v>
    <v>J</v>
    <v>J</v>
    <v>J</v>
    <v/>
    <v>J</v>
    <v/>
    <v>Onbekend</v>
    <v>#</v>
    <v>Onbekend</v>
    <v>#</v>
    <v>7451</v>
    <v>7451</v>
    <v>URBOS 100 MOD 5</v>
    <v>Tram</v>
    <v>Tram</v>
  </rv>
  <rv s="3">
    <v>0</v>
    <v>7452</v>
    <v>1</v>
    <v>Generic</v>
    <v>263S2</v>
    <v/>
    <v>1</v>
    <v>401768</v>
    <v>45175</v>
    <v>Niet Beschikbaar</v>
    <v>?</v>
    <v>J</v>
    <v>J</v>
    <v>J</v>
    <v/>
    <v>J</v>
    <v/>
    <v>Onbekend</v>
    <v>#</v>
    <v>Onbekend</v>
    <v>#</v>
    <v>7452</v>
    <v>7452</v>
    <v>URBOS 100 MOD 5</v>
    <v>Tram</v>
    <v>Tram</v>
  </rv>
  <rv s="3">
    <v>0</v>
    <v>7453</v>
    <v>1</v>
    <v>Generic</v>
    <v>263S2</v>
    <v/>
    <v>1</v>
    <v>401768</v>
    <v>45175</v>
    <v>Niet Beschikbaar</v>
    <v>?</v>
    <v>J</v>
    <v>J</v>
    <v>J</v>
    <v/>
    <v>J</v>
    <v/>
    <v>Onbekend</v>
    <v>#</v>
    <v>Onbekend</v>
    <v>#</v>
    <v>7453</v>
    <v>7453</v>
    <v>URBOS 100 MOD 5</v>
    <v>Tram</v>
    <v>Tram</v>
  </rv>
  <rv s="3">
    <v>0</v>
    <v>7454</v>
    <v>1</v>
    <v>Generic</v>
    <v>263S2</v>
    <v/>
    <v>1</v>
    <v>401768</v>
    <v>45175</v>
    <v>Niet Beschikbaar</v>
    <v>?</v>
    <v>J</v>
    <v>J</v>
    <v>J</v>
    <v/>
    <v>J</v>
    <v/>
    <v>Onbekend</v>
    <v>#</v>
    <v>Onbekend</v>
    <v>#</v>
    <v>7454</v>
    <v>7454</v>
    <v>URBOS 100 MOD 5</v>
    <v>Tram</v>
    <v>Tram</v>
  </rv>
  <rv s="3">
    <v>0</v>
    <v>7455</v>
    <v>1</v>
    <v>Generic</v>
    <v>263S2</v>
    <v/>
    <v>1</v>
    <v>401768</v>
    <v>45175</v>
    <v>Niet Beschikbaar</v>
    <v>?</v>
    <v>J</v>
    <v>J</v>
    <v>J</v>
    <v/>
    <v>J</v>
    <v/>
    <v>Onbekend</v>
    <v>#</v>
    <v>Onbekend</v>
    <v>#</v>
    <v>7455</v>
    <v>7455</v>
    <v>URBOS 100 MOD 5</v>
    <v>Tram</v>
    <v>Tram</v>
  </rv>
  <rv s="3">
    <v>0</v>
    <v>7456</v>
    <v>1</v>
    <v>Generic</v>
    <v>263S2</v>
    <v/>
    <v>1</v>
    <v>401768</v>
    <v>45175</v>
    <v>Niet Beschikbaar</v>
    <v>?</v>
    <v>J</v>
    <v>J</v>
    <v>J</v>
    <v/>
    <v>J</v>
    <v/>
    <v>Onbekend</v>
    <v>#</v>
    <v>Onbekend</v>
    <v>#</v>
    <v>7456</v>
    <v>7456</v>
    <v>URBOS 100 MOD 5</v>
    <v>Tram</v>
    <v>Tram</v>
  </rv>
  <rv s="3">
    <v>0</v>
    <v>7457</v>
    <v>1</v>
    <v>Generic</v>
    <v>263S2</v>
    <v/>
    <v>1</v>
    <v>401768</v>
    <v>45175</v>
    <v>Niet Beschikbaar</v>
    <v>?</v>
    <v>J</v>
    <v>J</v>
    <v>J</v>
    <v/>
    <v>J</v>
    <v/>
    <v>Onbekend</v>
    <v>#</v>
    <v>Onbekend</v>
    <v>#</v>
    <v>7457</v>
    <v>7457</v>
    <v>URBOS 100 MOD 5</v>
    <v>Tram</v>
    <v>Tram</v>
  </rv>
  <rv s="3">
    <v>0</v>
    <v>7458</v>
    <v>1</v>
    <v>Generic</v>
    <v>263S2</v>
    <v/>
    <v>1</v>
    <v>401768</v>
    <v>45175</v>
    <v>Niet Beschikbaar</v>
    <v>?</v>
    <v>J</v>
    <v>J</v>
    <v>J</v>
    <v/>
    <v>J</v>
    <v/>
    <v>Onbekend</v>
    <v>#</v>
    <v>Onbekend</v>
    <v>#</v>
    <v>7458</v>
    <v>7458</v>
    <v>URBOS 100 MOD 5</v>
    <v>Tram</v>
    <v>Tram</v>
  </rv>
</rvData>
</file>

<file path=xl/richData/rdrichvaluestructure.xml><?xml version="1.0" encoding="utf-8"?>
<rvStructures xmlns="http://schemas.microsoft.com/office/spreadsheetml/2017/richdata" count="4">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k n="Stelplaats" t="s"/>
    <k n="Stelplaats Code" t="s"/>
    <k n="Stelplaats OC" t="s"/>
    <k n="Stelplaats OC Code" t="s"/>
    <k n="Title" t="s"/>
    <k n="Vt Nummer"/>
    <k n="Vt Omschrijving" t="s"/>
    <k n="Vt Sub Type" t="s"/>
    <k n="Vt Type" t="s"/>
  </s>
  <s t="_error">
    <k n="errorType" t="i"/>
    <k n="subType" t="i"/>
  </s>
  <s t="_error">
    <k n="errorType" t="i"/>
    <k n="propagated" t="b"/>
  </s>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t="s"/>
    <k n="Stelplaats" t="s"/>
    <k n="Stelplaats Code" t="s"/>
    <k n="Stelplaats OC" t="s"/>
    <k n="Stelplaats OC Code" t="s"/>
    <k n="Title" t="s"/>
    <k n="Vt Nummer"/>
    <k n="Vt Omschrijving" t="s"/>
    <k n="Vt Sub Type" t="s"/>
    <k n="Vt Type" t="s"/>
  </s>
</rvStructures>
</file>

<file path=xl/richData/rdsupportingpropertybag.xml><?xml version="1.0" encoding="utf-8"?>
<supportingPropertyBags xmlns="http://schemas.microsoft.com/office/spreadsheetml/2017/richdata2">
  <spbArrays count="1">
    <a count="26">
      <v t="s">_Icon</v>
      <v t="s">_DisplayString</v>
      <v t="s">_Display</v>
      <v t="s">Title</v>
      <v t="s">_Format</v>
      <v t="s">Vt Nummer</v>
      <v t="s">Entiteit</v>
      <v t="s">Stelplaats</v>
      <v t="s">Stelplaats OC</v>
      <v t="s">Stelplaats OC Code</v>
      <v t="s">Stelplaats Code</v>
      <v t="s">Vt Type</v>
      <v t="s">Vt Sub Type</v>
      <v t="s">Vt Omschrijving</v>
      <v t="s">Code motor euroklasse</v>
      <v t="s">Datum eerste gebruik</v>
      <v t="s">Leeftijd</v>
      <v t="s">Entiteitsnummer</v>
      <v t="s">Bestelnummer</v>
      <v t="s">Flag lage vloer</v>
      <v t="s">Flag roetfilter</v>
      <v t="s">Flag halte aankondiging systeem</v>
      <v t="s">Flag rolstoel verankering</v>
      <v t="s">Flag oprijplaat aanwezig</v>
      <v t="s">Datum Rapport</v>
      <v t="s">Code voertuig status</v>
    </a>
  </spbArrays>
  <spbData count="2">
    <spb s="0">
      <v>0</v>
      <v>Title</v>
    </spb>
    <spb s="1">
      <v>1</v>
      <v>2</v>
      <v>2</v>
    </spb>
  </spbData>
</supportingPropertyBags>
</file>

<file path=xl/richData/rdsupportingpropertybagstructure.xml><?xml version="1.0" encoding="utf-8"?>
<spbStructures xmlns="http://schemas.microsoft.com/office/spreadsheetml/2017/richdata2" count="2">
  <s>
    <k n="^Order" t="spba"/>
    <k n="TitleProperty" t="s"/>
  </s>
  <s>
    <k n="Title" t="i"/>
    <k n="Datum Rapport" t="i"/>
    <k n="Datum eerste gebruik"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19" formatCode="dd/mm/yyyy"/>
    </x:dxf>
  </dxfs>
  <richProperties>
    <rPr n="IsTitleField" t="b"/>
  </richProperties>
  <richStyles>
    <rSty>
      <rpv i="0">1</rpv>
    </rSty>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norm" xr10:uid="{58A7A8E7-CB1D-4181-A97C-D56B82508CA2}" sourceName="Euronorm">
  <extLst>
    <x:ext xmlns:x15="http://schemas.microsoft.com/office/spreadsheetml/2010/11/main" uri="{2F2917AC-EB37-4324-AD4E-5DD8C200BD13}">
      <x15:tableSlicerCache tableId="5"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FC56B1C2-A12B-4F97-93B9-EEB40A9E7FF3}" sourceName="Status">
  <extLst>
    <x:ext xmlns:x15="http://schemas.microsoft.com/office/spreadsheetml/2010/11/main" uri="{2F2917AC-EB37-4324-AD4E-5DD8C200BD13}">
      <x15:tableSlicerCache tableId="5" column="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 xr10:uid="{0BFA583E-FFD5-4159-BD04-80F5C780E2FC}" sourceName="Leeftijd">
  <extLst>
    <x:ext xmlns:x15="http://schemas.microsoft.com/office/spreadsheetml/2010/11/main" uri="{2F2917AC-EB37-4324-AD4E-5DD8C200BD13}">
      <x15:tableSlicerCache tableId="5"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ertuigtype" xr10:uid="{22CF20D8-0C40-4CB9-9454-A8F7CC7E8EE7}" sourceName="Voertuigtype">
  <extLst>
    <x:ext xmlns:x15="http://schemas.microsoft.com/office/spreadsheetml/2010/11/main" uri="{2F2917AC-EB37-4324-AD4E-5DD8C200BD13}">
      <x15:tableSlicerCache tableId="5"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de_motor_euroklasse" xr10:uid="{C086489C-D953-4E47-AD18-5869A378D7F5}" sourceName="Code motor euroklasse">
  <extLst>
    <x:ext xmlns:x15="http://schemas.microsoft.com/office/spreadsheetml/2010/11/main" uri="{2F2917AC-EB37-4324-AD4E-5DD8C200BD13}">
      <x15:tableSlicerCache tableId="4" column="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t_Type" xr10:uid="{ECD6F985-0929-4AE1-A2CF-2980EF39C8FC}" sourceName="Vt Type">
  <extLst>
    <x:ext xmlns:x15="http://schemas.microsoft.com/office/spreadsheetml/2010/11/main" uri="{2F2917AC-EB37-4324-AD4E-5DD8C200BD13}">
      <x15:tableSlicerCache tableId="4" column="2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1" xr10:uid="{CC40B244-F80D-4437-98B6-92A756631A7F}" sourceName="Leeftijd">
  <extLst>
    <x:ext xmlns:x15="http://schemas.microsoft.com/office/spreadsheetml/2010/11/main" uri="{2F2917AC-EB37-4324-AD4E-5DD8C200BD13}">
      <x15:tableSlicerCache tableId="4" column="3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 xr10:uid="{43B367E2-D931-4718-972F-25EEDAEB5E3D}" sourceName="Entiteit">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AF00140F-DC7E-4D42-8A59-DEDE607C14F7}" sourceName="Status">
  <extLst>
    <x:ext xmlns:x15="http://schemas.microsoft.com/office/spreadsheetml/2010/11/main" uri="{2F2917AC-EB37-4324-AD4E-5DD8C200BD13}">
      <x15:tableSlicerCache tableId="6"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D5F35717-D03D-465A-9B7C-B7DD53551B52}" sourceName="Project">
  <extLst>
    <x:ext xmlns:x15="http://schemas.microsoft.com/office/spreadsheetml/2010/11/main" uri="{2F2917AC-EB37-4324-AD4E-5DD8C200BD13}">
      <x15:tableSlicerCache tableId="6"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anvrager" xr10:uid="{260BEC41-7886-4F5D-8DEC-84833390EAA5}" sourceName="Aanvrager">
  <extLst>
    <x:ext xmlns:x15="http://schemas.microsoft.com/office/spreadsheetml/2010/11/main" uri="{2F2917AC-EB37-4324-AD4E-5DD8C200BD13}">
      <x15:tableSlicerCache tableId="6"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1" xr10:uid="{4E9EB674-4297-4E51-B36D-4709AC584C32}" sourceName="Entiteit">
  <extLst>
    <x:ext xmlns:x15="http://schemas.microsoft.com/office/spreadsheetml/2010/11/main" uri="{2F2917AC-EB37-4324-AD4E-5DD8C200BD13}">
      <x15:tableSlicerCache tableId="6" column="1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F1C1C54B-E69A-43B8-84DE-FAD6DCD5FA46}" cache="Slicer_Status1" caption="Status" rowHeight="144000"/>
  <slicer name="Project" xr10:uid="{869F5C70-5DAC-4879-8654-5D54F2180231}" cache="Slicer_Project" caption="Project" rowHeight="144000"/>
  <slicer name="Aanvrager" xr10:uid="{A1986176-7139-4815-9BD2-583ADC078C5D}" cache="Slicer_Aanvrager" caption="Aanvrager" rowHeight="144000"/>
  <slicer name="Entiteit 1" xr10:uid="{62C75ADB-1372-4F23-BAF9-D3496D85795D}" cache="Slicer_Entiteit1" caption="Entiteit"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uronorm" xr10:uid="{9A2E3598-74B7-4DE1-82B9-B4A8D9A481D7}" cache="Slicer_Euronorm" caption="Euronorm" columnCount="4" rowHeight="144000"/>
  <slicer name="Status" xr10:uid="{F7C6BDA1-D06C-4C6F-AA81-F7C79D13126E}" cache="Slicer_Status" caption="Status" rowHeight="144000"/>
  <slicer name="Leeftijd" xr10:uid="{6C26BBA6-F0AF-4EE6-A743-78BCE4CD11B5}" cache="Slicer_Leeftijd" caption="Leeftijd" columnCount="6" rowHeight="144000"/>
  <slicer name="Voertuigtype" xr10:uid="{937544AC-FA11-4997-B2AC-562A74D084AB}" cache="Slicer_Voertuigtype" caption="Voertuigtype" rowHeight="144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de motor euroklasse" xr10:uid="{60EEB9B1-E5BE-4D23-B786-27BE1EA222D0}" cache="Slicer_Code_motor_euroklasse" caption="Code motor euroklasse" columnCount="4" rowHeight="144000"/>
  <slicer name="Vt Type" xr10:uid="{4C1EEEEB-A015-4AEC-A4B5-85665643E981}" cache="Slicer_Vt_Type" caption="Vt Type" rowHeight="144000"/>
  <slicer name="Leeftijd 1" xr10:uid="{65222217-B95B-4DE3-A291-06BF8D62C50D}" cache="Slicer_Leeftijd1" caption="Leeftijd" columnCount="7" rowHeight="241300"/>
  <slicer name="Entiteit" xr10:uid="{B2F9E03D-DA05-41A9-AFB8-8EFC0671C3B0}" cache="Slicer_Entiteit" caption="Entiteit" rowHeight="144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4662E8-6E8C-4C0B-993D-F4AB2A35B443}" name="Tabel_VT_Reservaties" displayName="Tabel_VT_Reservaties" ref="E14:AG26" totalsRowShown="0" headerRowDxfId="61">
  <autoFilter ref="E14:AG26" xr:uid="{AF4662E8-6E8C-4C0B-993D-F4AB2A35B443}"/>
  <tableColumns count="29">
    <tableColumn id="27" xr3:uid="{66610EE5-90E3-48BC-9E74-22B25F077148}" name="Aanvraag #" dataDxfId="60"/>
    <tableColumn id="1" xr3:uid="{92805420-6388-4B3E-B57E-1A5AEC0ACFB3}" name="Status" dataDxfId="59"/>
    <tableColumn id="2" xr3:uid="{629168CB-3236-4731-8E96-2C3FB325DF58}" name="SP0"/>
    <tableColumn id="3" xr3:uid="{9418652E-4CEE-42A1-A5A2-10D9DADE2B33}" name="Project" dataDxfId="58"/>
    <tableColumn id="4" xr3:uid="{FFF4B385-6F06-439F-8B70-EAD1BF6D7F29}" name="Aanvrager" dataDxfId="57"/>
    <tableColumn id="5" xr3:uid="{2424D66A-5C75-4F10-A2B5-A87E383E9157}" name="Datum aanvraag" dataDxfId="56"/>
    <tableColumn id="6" xr3:uid="{07EDDF5F-8CDA-423E-B450-D1739932CE20}" name="SP1"/>
    <tableColumn id="7" xr3:uid="{8E5A1B2A-A22C-4A9F-9911-9657A053E23C}" name="Datum Start" dataDxfId="55"/>
    <tableColumn id="28" xr3:uid="{9CDF30C4-3417-4BEB-885F-A0016F25F2C9}" name="Tijd Start" dataDxfId="54"/>
    <tableColumn id="25" xr3:uid="{74649E5B-3454-4E9C-9021-9F97C2F63EE4}" name="Duurtijd" dataDxfId="53">
      <calculatedColumnFormula>3.48</calculatedColumnFormula>
    </tableColumn>
    <tableColumn id="29" xr3:uid="{5517EAC5-DA3D-4290-ABAC-061EC08B9FF2}" name="Datum/Tijd Start" dataDxfId="52">
      <calculatedColumnFormula>IF(  Tabel_VT_Reservaties[[#This Row],[Datum Start]] &gt; 0,Tabel_VT_Reservaties[[#This Row],[Datum Start]]+TIME(HOUR(Tabel_VT_Reservaties[[#This Row],[Tijd Start]]),MINUTE(Tabel_VT_Reservaties[[#This Row],[Tijd Start]]),0),"")</calculatedColumnFormula>
    </tableColumn>
    <tableColumn id="8" xr3:uid="{B5DF0637-C599-444F-971D-8893AB7DD05C}" name="Datum/Tijd Einde" dataDxfId="51">
      <calculatedColumnFormula>IF(  Tabel_VT_Reservaties[[#This Row],[Datum/Tijd Start]] &lt;&gt;"",Tabel_VT_Reservaties[[#This Row],[Datum/Tijd Start]]+TIME(HOUR(Tabel_VT_Reservaties[[#This Row],[Duurtijd]]),MINUTE(Tabel_VT_Reservaties[[#This Row],[Duurtijd]]),0),"")</calculatedColumnFormula>
    </tableColumn>
    <tableColumn id="9" xr3:uid="{828D06C0-BB6B-41A5-93A0-CEDDB45A1329}" name="SP2"/>
    <tableColumn id="10" xr3:uid="{22A87488-B38E-4C15-946D-6C2F6464C151}" name="Entiteit" dataDxfId="50"/>
    <tableColumn id="11" xr3:uid="{0A35B499-4633-4A52-BA3E-6BB94C42B44A}" name="Stelplaats" dataDxfId="49"/>
    <tableColumn id="12" xr3:uid="{7D13626B-0B84-443B-BAED-9026D7D5608D}" name="Vt Nummer" dataDxfId="48"/>
    <tableColumn id="14" xr3:uid="{2898CA3D-AA97-4639-A943-98CB660C5504}" name="Vt Info" dataDxfId="47">
      <calculatedColumnFormula>_xlfn.XLOOKUP(Tabel_VT_Reservaties[[#This Row],[Vt Nummer]],INPUT_VTS_REGIE_DT[Vt Nummer],INPUT_VTS_REGIE_DT[Vt Info],"")</calculatedColumnFormula>
    </tableColumn>
    <tableColumn id="13" xr3:uid="{5DB17495-A140-460C-96FE-A14E4423C4B7}" name="SP3"/>
    <tableColumn id="22" xr3:uid="{813893AF-559B-410E-8B04-C9360B0AB501}" name="Stelplaats Contact" dataDxfId="46">
      <calculatedColumnFormula>_xlfn.XLOOKUP(Tabel_VT_Reservaties[[#This Row],[Entiteit]]&amp;"#"&amp;Tabel_VT_Reservaties[[#This Row],[Stelplaats]],Tabel_Stelplaats_Contacten[Key],Tabel_Stelplaats_Contacten[Naam],"")</calculatedColumnFormula>
    </tableColumn>
    <tableColumn id="23" xr3:uid="{72A9B35D-1869-42EA-98F9-033779430BC5}" name="Stelplaats Contact Email" dataDxfId="45">
      <calculatedColumnFormula>_xlfn.XLOOKUP(Tabel_VT_Reservaties[[#This Row],[Entiteit]]&amp;"#"&amp;Tabel_VT_Reservaties[[#This Row],[Stelplaats]],Tabel_Stelplaats_Contacten[Key],Tabel_Stelplaats_Contacten[Email],"")</calculatedColumnFormula>
    </tableColumn>
    <tableColumn id="24" xr3:uid="{9F8E87A8-953C-42B0-9EBD-CF2D00A9FBE7}" name="Stelplaats Contact Tel" dataDxfId="44">
      <calculatedColumnFormula>_xlfn.XLOOKUP(Tabel_VT_Reservaties[[#This Row],[Entiteit]]&amp;"#"&amp;Tabel_VT_Reservaties[[#This Row],[Stelplaats]],Tabel_Stelplaats_Contacten[Key],Tabel_Stelplaats_Contacten[GSM],"")</calculatedColumnFormula>
    </tableColumn>
    <tableColumn id="21" xr3:uid="{BAB28F3E-0EE2-426E-AD95-77AD5EE8C706}" name="SP5"/>
    <tableColumn id="15" xr3:uid="{01699092-6F30-4A74-8981-0758664F13DA}" name="Vt Type" dataDxfId="43">
      <calculatedColumnFormula array="1">IFERROR(_FV(Tabel_VT_Reservaties[[#This Row],[Vt Info]],"Vt Type",TRUE),"")</calculatedColumnFormula>
    </tableColumn>
    <tableColumn id="16" xr3:uid="{1052FE93-111D-4B4D-88FD-F78CD4C9FA58}" name="Vt Leeftijd" dataDxfId="42">
      <calculatedColumnFormula array="1">IFERROR(_FV(Tabel_VT_Reservaties[[#This Row],[Vt Info]],"Leeftijd"),"")</calculatedColumnFormula>
    </tableColumn>
    <tableColumn id="17" xr3:uid="{033A3F21-B190-48B7-817C-EA01142DE9FE}" name="Vt EuroKlasse" dataDxfId="41">
      <calculatedColumnFormula array="1">IFERROR(_FV(Tabel_VT_Reservaties[[#This Row],[Vt Info]],"Code motor euroklasse",TRUE),"")</calculatedColumnFormula>
    </tableColumn>
    <tableColumn id="18" xr3:uid="{B43E859C-DE22-46A8-82F5-1D9091BE93C7}" name="Vt Sub Type" dataDxfId="40">
      <calculatedColumnFormula array="1">IFERROR(_FV(Tabel_VT_Reservaties[[#This Row],[Vt Info]],"Vt Sub Type",TRUE),"")</calculatedColumnFormula>
    </tableColumn>
    <tableColumn id="19" xr3:uid="{D5A6070F-654E-4436-A802-057DFB98B97F}" name="Vt Omschrijving" dataDxfId="39">
      <calculatedColumnFormula array="1">IFERROR(_FV(Tabel_VT_Reservaties[[#This Row],[Vt Info]],"Vt Omschrijving",TRUE),"")</calculatedColumnFormula>
    </tableColumn>
    <tableColumn id="20" xr3:uid="{F958B94F-F6F9-457D-AFCB-46D3460A5A4B}" name="Vt Bestelnummer" dataDxfId="38">
      <calculatedColumnFormula array="1">IFERROR(_FV(Tabel_VT_Reservaties[[#This Row],[Vt Info]],"Bestelnummer"),"")</calculatedColumnFormula>
    </tableColumn>
    <tableColumn id="26" xr3:uid="{4C04BE92-8F07-48BF-9FF6-A2B043EF68E2}" name="Counter" dataDxfId="37">
      <calculatedColumnFormula>1</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F5C888-8585-44F4-B9CB-670B05925395}" name="INPUT_VTS_EXPL" displayName="INPUT_VTS_EXPL" ref="D10:P1631" tableType="queryTable" totalsRowShown="0">
  <autoFilter ref="D10:P1631" xr:uid="{E5F5C888-8585-44F4-B9CB-670B05925395}">
    <filterColumn colId="4">
      <filters>
        <filter val="Euro6"/>
      </filters>
    </filterColumn>
    <filterColumn colId="8">
      <filters>
        <filter val="Geregistreerd"/>
        <filter val="Goedgekeurd"/>
        <filter val="Uitgerust"/>
      </filters>
    </filterColumn>
  </autoFilter>
  <tableColumns count="13">
    <tableColumn id="1" xr3:uid="{11CF6AED-BE68-45D5-A1C7-F1A723B7572B}" uniqueName="1" name="Voertuignummer" queryTableFieldId="1" dataDxfId="35"/>
    <tableColumn id="2" xr3:uid="{AB7282D3-55A9-4963-A3C6-D5EE4F44780F}" uniqueName="2" name="Voertuigtype" queryTableFieldId="2" dataDxfId="34"/>
    <tableColumn id="3" xr3:uid="{9B87C78B-6427-4B7B-B77B-DF2272CF2799}" uniqueName="3" name="Leverancier" queryTableFieldId="3" dataDxfId="33"/>
    <tableColumn id="4" xr3:uid="{40F60DCD-5829-46CC-A05F-8D2EF3525B36}" uniqueName="4" name="Model" queryTableFieldId="4" dataDxfId="32"/>
    <tableColumn id="5" xr3:uid="{B4A30106-CCE5-45A5-9D8F-990B95B26FEA}" uniqueName="5" name="Euronorm" queryTableFieldId="5" dataDxfId="31"/>
    <tableColumn id="6" xr3:uid="{784D6F24-B760-4CD2-8DDE-55D28CB079B5}" uniqueName="6" name="Datum eerste inschrijving" queryTableFieldId="6" dataDxfId="30"/>
    <tableColumn id="7" xr3:uid="{7D073AE9-1E04-4B76-AA10-818B4CF26C4A}" uniqueName="7" name="Leeftijd" queryTableFieldId="7"/>
    <tableColumn id="8" xr3:uid="{FF26B546-B2D5-44C1-A8A8-CF495B9EB480}" uniqueName="8" name="Type gebruik" queryTableFieldId="8" dataDxfId="29"/>
    <tableColumn id="9" xr3:uid="{B0ADE2BD-48CA-4E81-9B80-FFC7F415E7A1}" uniqueName="9" name="Status" queryTableFieldId="9" dataDxfId="28"/>
    <tableColumn id="10" xr3:uid="{52F74CA4-54B5-40DE-A96A-3C33124DFD3C}" uniqueName="10" name="Eigenaar" queryTableFieldId="10" dataDxfId="27"/>
    <tableColumn id="11" xr3:uid="{2E8DA0ED-334C-4165-BEEC-6C36542E5930}" uniqueName="11" name="Nummerplaat" queryTableFieldId="11" dataDxfId="26"/>
    <tableColumn id="12" xr3:uid="{67C8C19C-F1DD-4249-974D-6B765AF0DBC6}" uniqueName="12" name="Counter" queryTableFieldId="12"/>
    <tableColumn id="13" xr3:uid="{17630041-35E1-4BE1-9440-E5B148AB2A74}" uniqueName="13" name="Leeftijd1" queryTableField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BD4DF23-FB83-427E-8EA3-14C08E7E8ADF}" name="Lookup_Projects" displayName="Lookup_Projects" ref="C4:E8" totalsRowShown="0">
  <autoFilter ref="C4:E8" xr:uid="{6BD4DF23-FB83-427E-8EA3-14C08E7E8ADF}"/>
  <sortState xmlns:xlrd2="http://schemas.microsoft.com/office/spreadsheetml/2017/richdata2" ref="C5:E8">
    <sortCondition ref="E4:E8"/>
  </sortState>
  <tableColumns count="3">
    <tableColumn id="1" xr3:uid="{84BFEBB5-0994-4AA9-A08B-FD339D8BB3B9}" name="Naam"/>
    <tableColumn id="2" xr3:uid="{EB527ABF-D7C5-478C-A493-7EF5A523308B}" name="Beschrijving"/>
    <tableColumn id="3" xr3:uid="{F0811B99-EAC5-467A-8326-974435914520}" name="Order"/>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971865-605D-4D4E-BEC0-C51A436E28F6}" name="Lookup_Reserverings_Status" displayName="Lookup_Reserverings_Status" ref="C13:E22" totalsRowShown="0">
  <autoFilter ref="C13:E22" xr:uid="{B5971865-605D-4D4E-BEC0-C51A436E28F6}"/>
  <sortState xmlns:xlrd2="http://schemas.microsoft.com/office/spreadsheetml/2017/richdata2" ref="C14:E17">
    <sortCondition ref="E4:E8"/>
  </sortState>
  <tableColumns count="3">
    <tableColumn id="1" xr3:uid="{E1D7886D-20F9-4E67-9770-00E60C8F9B06}" name="Naam"/>
    <tableColumn id="2" xr3:uid="{9969AC73-AC25-47BA-BC99-3B07FDB9EE10}" name="Beschrijving"/>
    <tableColumn id="3" xr3:uid="{9F1B92A4-B485-419F-BEFC-D4567E55C2AC}" name="Order"/>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2DEA6BD-3850-4F97-9D03-83590AE7E476}" name="Lookup_Tijden" displayName="Lookup_Tijden" ref="C25:C70" totalsRowShown="0">
  <autoFilter ref="C25:C70" xr:uid="{C2DEA6BD-3850-4F97-9D03-83590AE7E476}"/>
  <tableColumns count="1">
    <tableColumn id="1" xr3:uid="{447F2CD4-FBB9-4FE8-9690-82D7F76CD6C3}" name="TijdLijst"/>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670D141-61C2-490A-AA57-B67F7F568BAF}" name="Lookup_DuurTijden" displayName="Lookup_DuurTijden" ref="E25:E58" totalsRowShown="0">
  <autoFilter ref="E25:E58" xr:uid="{F670D141-61C2-490A-AA57-B67F7F568BAF}"/>
  <tableColumns count="1">
    <tableColumn id="1" xr3:uid="{8FEDEBC3-A065-4BE9-8EBD-40F98A1D9939}" name="Duurtijd"/>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DFED363-93AE-49F6-AB65-45FD1AD669B6}" name="Tabel_Project_Medewerkers" displayName="Tabel_Project_Medewerkers" ref="C3:H9" totalsRowShown="0">
  <autoFilter ref="C3:H9" xr:uid="{CDFED363-93AE-49F6-AB65-45FD1AD669B6}"/>
  <tableColumns count="6">
    <tableColumn id="1" xr3:uid="{4AA24D81-AD49-47FF-95C3-C7BFE3B3DA91}" name="Project"/>
    <tableColumn id="2" xr3:uid="{1600C265-3341-41E3-9CF3-6070DD3A5EAA}" name="Naam"/>
    <tableColumn id="3" xr3:uid="{9B4C0A9E-1DAF-46CA-82B0-3D50D141E20B}" name="Email" dataCellStyle="Hyperlink"/>
    <tableColumn id="6" xr3:uid="{832F1F0D-C3CA-4812-B967-5A146252565E}" name="Organisatie" dataCellStyle="Hyperlink"/>
    <tableColumn id="5" xr3:uid="{4EF8B189-DD08-4989-9C41-DFB10C57E233}" name="GSM"/>
    <tableColumn id="4" xr3:uid="{7FDAE5BE-A4FE-4615-BD2C-11B5CFD075D9}" name="Order"/>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A550EF2-A539-4BDF-A229-EB1DA2EFF262}" name="Tabel_Stelplaats_Contacten" displayName="Tabel_Stelplaats_Contacten" ref="C3:H8" totalsRowShown="0">
  <autoFilter ref="C3:H8" xr:uid="{DA550EF2-A539-4BDF-A229-EB1DA2EFF262}"/>
  <tableColumns count="6">
    <tableColumn id="1" xr3:uid="{BE94CB39-2F9B-4C7B-9F4D-985E8674ED75}" name="Entiteit"/>
    <tableColumn id="2" xr3:uid="{8398E0BD-5BED-4F8E-9541-E1594E11DE90}" name="Stelplaats"/>
    <tableColumn id="3" xr3:uid="{13E548BF-1943-4B02-8DC5-03FC41F718FD}" name="Naam" dataDxfId="25">
      <calculatedColumnFormula>"Verantw " &amp; Tabel_Stelplaats_Contacten[[#This Row],[Stelplaats]]</calculatedColumnFormula>
    </tableColumn>
    <tableColumn id="4" xr3:uid="{17380589-5B09-48E7-AA9D-3F695E30EF38}" name="Email" dataDxfId="24">
      <calculatedColumnFormula>"contact_"&amp;LOWER(Tabel_Stelplaats_Contacten[[#This Row],[Stelplaats]])&amp;"@delijn.be"</calculatedColumnFormula>
    </tableColumn>
    <tableColumn id="5" xr3:uid="{0B44DB15-DC4E-4FAC-9B41-990091625D7E}" name="GSM" dataDxfId="23">
      <calculatedColumnFormula>"-"</calculatedColumnFormula>
    </tableColumn>
    <tableColumn id="6" xr3:uid="{94FAC6D6-E6D2-4D2A-AB84-7F3A3C91CA3D}" name="Key" dataDxfId="22">
      <calculatedColumnFormula>Tabel_Stelplaats_Contacten[[#This Row],[Entiteit]]&amp;"#"&amp;Tabel_Stelplaats_Contacten[[#This Row],[Stelplaats]]</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CBE4742-F2ED-45B8-AB4A-E4FDA902008B}" name="INPUT_VTS_REGIE" displayName="INPUT_VTS_REGIE" ref="B12:Y2803" tableType="queryTable" totalsRowShown="0">
  <autoFilter ref="B12:Y2803" xr:uid="{2CBE4742-F2ED-45B8-AB4A-E4FDA902008B}"/>
  <tableColumns count="24">
    <tableColumn id="5" xr3:uid="{2FD8C1CB-CD0D-43D0-BB40-DBEDAC1859D0}" uniqueName="5" name="Vt Nummer" queryTableFieldId="5"/>
    <tableColumn id="13" xr3:uid="{D26B4899-0B92-46B9-9D16-86558644E7A9}" uniqueName="13" name="Entiteit" queryTableFieldId="13" dataDxfId="21"/>
    <tableColumn id="8" xr3:uid="{2A2A002E-746E-48F9-A672-39F3C1D1C1D3}" uniqueName="8" name="Stelplaats" queryTableFieldId="8" dataDxfId="20"/>
    <tableColumn id="10" xr3:uid="{171C7CC1-0E89-4EB7-AA1C-8225FEB99489}" uniqueName="10" name="Stelplaats OC" queryTableFieldId="10" dataDxfId="19"/>
    <tableColumn id="9" xr3:uid="{38139216-126B-4FE1-AFCE-92BE318FB38D}" uniqueName="9" name="Stelplaats OC Code" queryTableFieldId="9" dataDxfId="18"/>
    <tableColumn id="7" xr3:uid="{C2A94DCF-C527-4556-ACD4-6136E7180DA9}" uniqueName="7" name="Stelplaats Code" queryTableFieldId="7" dataDxfId="17"/>
    <tableColumn id="27" xr3:uid="{548A9A5C-4EA6-4A4D-A769-C3F9482B0BB9}" uniqueName="27" name="Vt Type" queryTableFieldId="27" dataDxfId="16"/>
    <tableColumn id="28" xr3:uid="{AFF397B1-C118-45F2-81AF-F9B52BAB971D}" uniqueName="28" name="Vt Sub Type" queryTableFieldId="28" dataDxfId="15"/>
    <tableColumn id="29" xr3:uid="{EE2013E3-46BE-4D08-A178-2DC1DB96A15D}" uniqueName="29" name="Vt Omschrijving" queryTableFieldId="29" dataDxfId="14"/>
    <tableColumn id="6" xr3:uid="{E60AF7CC-8793-450F-AE1E-447ACA2B6680}" uniqueName="6" name="Code motor euroklasse" queryTableFieldId="6" dataDxfId="13"/>
    <tableColumn id="11" xr3:uid="{40A3824A-729A-41E0-8982-66DE931D124F}" uniqueName="11" name="Datum eerste gebruik" queryTableFieldId="11" dataDxfId="12"/>
    <tableColumn id="30" xr3:uid="{3B6E7551-51A9-4932-83A9-8A13875BCA10}" uniqueName="30" name="Leeftijd" queryTableFieldId="30"/>
    <tableColumn id="12" xr3:uid="{F5472959-CDC6-44AD-8311-E5CCC0F5891A}" uniqueName="12" name="Entiteitsnummer" queryTableFieldId="12" dataDxfId="11"/>
    <tableColumn id="14" xr3:uid="{4B63BACD-34A2-4488-B592-7A55BAFABC97}" uniqueName="14" name="Bestelnummer" queryTableFieldId="14" dataDxfId="10"/>
    <tableColumn id="18" xr3:uid="{A167D914-3A77-483C-92F6-800081F1A356}" uniqueName="18" name="Flag lage vloer" queryTableFieldId="18" dataDxfId="9"/>
    <tableColumn id="19" xr3:uid="{F7870157-B1CA-40E3-B817-DF8BFD35CDC3}" uniqueName="19" name="Flag roetfilter" queryTableFieldId="19" dataDxfId="8"/>
    <tableColumn id="20" xr3:uid="{063FB5C6-D4C3-4330-9BB6-4CE26E52FB40}" uniqueName="20" name="Flag halte aankondiging systeem" queryTableFieldId="20" dataDxfId="7"/>
    <tableColumn id="21" xr3:uid="{6248582E-F9AC-4980-9DD9-AF58959337CD}" uniqueName="21" name="Flag rolstoel verankering" queryTableFieldId="21" dataDxfId="6"/>
    <tableColumn id="22" xr3:uid="{C9112F2F-EFB1-4DDC-A940-9BEEDB9A5A01}" uniqueName="22" name="Flag oprijplaat aanwezig" queryTableFieldId="22" dataDxfId="5"/>
    <tableColumn id="23" xr3:uid="{BD897C4D-E88C-454B-BC77-DDC5664E0C43}" uniqueName="23" name="Aantal voertuigen" queryTableFieldId="23"/>
    <tableColumn id="25" xr3:uid="{12554D79-D90A-479A-8337-D73BBD56E9BA}" uniqueName="25" name="Datum Rapport" queryTableFieldId="25" dataDxfId="4"/>
    <tableColumn id="26" xr3:uid="{CF5A127E-90EF-4A80-BA08-570963082CE9}" uniqueName="26" name="Code voertuig status" queryTableFieldId="26"/>
    <tableColumn id="24" xr3:uid="{0C5B4DA5-0FC9-4DEF-8BE6-1678E4615424}" uniqueName="24" name="Counter" queryTableFieldId="24"/>
    <tableColumn id="1" xr3:uid="{3B3362A5-0C9E-4596-A417-EBA9C2FEC746}" uniqueName="1" name="Key_Ent_Stelplaats" queryTableFieldId="48"/>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32B6B6A-24CE-41EB-8844-69BF5B124213}" name="INPUT_VTS_REGIE_DT" displayName="INPUT_VTS_REGIE_DT" ref="AC12:AD2803" tableType="queryTable" totalsRowShown="0">
  <autoFilter ref="AC12:AD2803" xr:uid="{232B6B6A-24CE-41EB-8844-69BF5B124213}"/>
  <tableColumns count="2">
    <tableColumn id="1" xr3:uid="{13C1E7F0-62CC-48F1-8B57-A5C4D4A1C186}" uniqueName="1" name="Vt Nummer" queryTableFieldId="1"/>
    <tableColumn id="2" xr3:uid="{BB38D238-4912-4665-A5D5-D1599F48798A}" uniqueName="2" name="Vt Info" queryTableFieldId="2"/>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01361F-5687-4376-9A33-BE99E9E7A97D}" name="Tab_Parameters" displayName="Tab_Parameters" ref="B21:E42" totalsRowShown="0">
  <autoFilter ref="B21:E42" xr:uid="{8F6FB050-349C-4B92-A5CD-88067F532F8F}"/>
  <tableColumns count="4">
    <tableColumn id="4" xr3:uid="{ADA07884-15A8-42E1-B2EF-5CB7D5A38505}" name="Link" dataDxfId="3">
      <calculatedColumnFormula>IF(LEFT(Tab_Parameters[[#This Row],[Value]],4)="http",HYPERLINK(Tab_Parameters[[#This Row],[Value]],"L"),"")</calculatedColumnFormula>
    </tableColumn>
    <tableColumn id="1" xr3:uid="{B1DE3690-1E8F-482C-B96B-B714EE46E4BB}" name="Parameter"/>
    <tableColumn id="2" xr3:uid="{2B63053D-77A3-45F9-8F75-D30919F332D0}" name="Value">
      <calculatedColumnFormula array="1">LEFT(CELL("filename",A1),FIND("[",CELL("filename",A1))-1)</calculatedColumnFormula>
    </tableColumn>
    <tableColumn id="3" xr3:uid="{9BD60389-EBA6-418D-9899-A43907458E29}" name="Commentaar"/>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9E2322-C8D5-4AA3-8665-FFAD54D3152E}" name="Table_Refresh_List" displayName="Table_Refresh_List" ref="C5:F15" totalsRowShown="0">
  <autoFilter ref="C5:F15" xr:uid="{CF130CD7-9630-42C5-B369-CD2C5485B537}"/>
  <tableColumns count="4">
    <tableColumn id="1" xr3:uid="{205B985A-F37C-4A28-989C-DA625C296079}" name="Item_Name"/>
    <tableColumn id="2" xr3:uid="{3B4AA3A0-1255-4F44-8BC7-567B944C70C7}" name="Refresh status"/>
    <tableColumn id="4" xr3:uid="{BC5CE542-6C76-4BE6-B1BE-6ABEB355F0B3}" name="Order" dataDxfId="2"/>
    <tableColumn id="3" xr3:uid="{96630118-BBE3-4C2F-86B2-1974FB3EA8C2}" name="RelocateBefore_Refresh" dataDxfId="1"/>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19316B-3933-4518-9F6C-5B39BB92CB5D}" name="Tabel_Local_Folders" displayName="Tabel_Local_Folders" ref="B16:D18" totalsRowShown="0">
  <autoFilter ref="B16:D18" xr:uid="{4C520DA5-7B1C-4EF1-AA77-B83A1B1F6BEE}"/>
  <tableColumns count="3">
    <tableColumn id="3" xr3:uid="{CF700CBB-CABC-4D9A-B5A6-4E48A3E7767C}" name="Default" dataDxfId="0">
      <calculatedColumnFormula>IF( Tabel_Local_Folders[[#This Row],[Local folder path]]=$E$2,1,"")</calculatedColumnFormula>
    </tableColumn>
    <tableColumn id="1" xr3:uid="{153C910C-5E6F-46D6-B62B-CEFFD2A55F51}" name="Local folder ID"/>
    <tableColumn id="2" xr3:uid="{90E5FF29-F24C-44FB-B619-DE2147D22F9E}" name="Local folder path"/>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hyperlink" Target="mailto:bart.mommens@delijn.be" TargetMode="External"/><Relationship Id="rId2" Type="http://schemas.openxmlformats.org/officeDocument/2006/relationships/hyperlink" Target="mailto:oscar.stern.ext@delijn.be" TargetMode="External"/><Relationship Id="rId1" Type="http://schemas.openxmlformats.org/officeDocument/2006/relationships/hyperlink" Target="mailto:luc.vanoverveldt.ext@delijn.be" TargetMode="Externa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hyperlink" Target="mailto:contact_winterslag@delijn.be" TargetMode="External"/><Relationship Id="rId1" Type="http://schemas.openxmlformats.org/officeDocument/2006/relationships/hyperlink" Target="mailto:contact_kinrooi@delijn.be"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3.xml"/><Relationship Id="rId4" Type="http://schemas.microsoft.com/office/2007/relationships/slicer" Target="../slicers/slicer3.xml"/></Relationships>
</file>

<file path=xl/worksheets/_rels/sheet9.xml.rels><?xml version="1.0" encoding="UTF-8" standalone="yes"?>
<Relationships xmlns="http://schemas.openxmlformats.org/package/2006/relationships"><Relationship Id="rId3" Type="http://schemas.openxmlformats.org/officeDocument/2006/relationships/hyperlink" Target="." TargetMode="External"/><Relationship Id="rId7" Type="http://schemas.openxmlformats.org/officeDocument/2006/relationships/table" Target="../tables/table13.xml"/><Relationship Id="rId2" Type="http://schemas.openxmlformats.org/officeDocument/2006/relationships/hyperlink" Target="file:///C:\Users\lucva\AppData\Roaming\:f:\r\teams\PTM-Cameratellingen\Gedeelde%20documenten\620%20Installatie\Jotforms" TargetMode="External"/><Relationship Id="rId1" Type="http://schemas.openxmlformats.org/officeDocument/2006/relationships/hyperlink" Target="file:///C:\Users\lucva\AppData\Roaming\Microsoft\Users\lucva\AppData\Roaming\Microsoft\Excel\Oefening%20Mobiliteit"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DAAD8-90DC-4D47-B619-CE447194860A}">
  <sheetPr codeName="Sheet1"/>
  <dimension ref="B4:AG26"/>
  <sheetViews>
    <sheetView showGridLines="0" tabSelected="1" zoomScale="115" zoomScaleNormal="115" workbookViewId="0">
      <selection activeCell="M6" sqref="M6"/>
    </sheetView>
  </sheetViews>
  <sheetFormatPr defaultRowHeight="15" x14ac:dyDescent="0.25"/>
  <cols>
    <col min="1" max="1" width="1.42578125" customWidth="1"/>
    <col min="2" max="2" width="1.85546875" style="2" customWidth="1"/>
    <col min="3" max="3" width="11.42578125" style="2" customWidth="1"/>
    <col min="4" max="4" width="1.7109375" style="2" customWidth="1"/>
    <col min="5" max="5" width="10.42578125" customWidth="1"/>
    <col min="6" max="6" width="22.5703125" style="11" customWidth="1"/>
    <col min="7" max="7" width="2.140625" customWidth="1"/>
    <col min="8" max="8" width="26.28515625" style="3" customWidth="1"/>
    <col min="9" max="9" width="20.7109375" style="3" customWidth="1"/>
    <col min="10" max="10" width="11" style="3" customWidth="1"/>
    <col min="11" max="11" width="2" customWidth="1"/>
    <col min="12" max="12" width="17.7109375" style="13" customWidth="1"/>
    <col min="13" max="13" width="11.85546875" style="28" customWidth="1"/>
    <col min="14" max="14" width="10" style="43" customWidth="1"/>
    <col min="15" max="15" width="22.7109375" customWidth="1"/>
    <col min="16" max="16" width="17.5703125" style="3" customWidth="1"/>
    <col min="17" max="17" width="2.28515625" customWidth="1"/>
    <col min="18" max="18" width="17.42578125" style="3" customWidth="1"/>
    <col min="19" max="19" width="25.28515625" style="3" customWidth="1"/>
    <col min="20" max="20" width="9.7109375" style="3" customWidth="1"/>
    <col min="21" max="21" width="12.7109375" customWidth="1"/>
    <col min="22" max="22" width="2.7109375" style="3" customWidth="1"/>
    <col min="23" max="23" width="29.140625" style="3" customWidth="1"/>
    <col min="24" max="24" width="30.85546875" style="3" customWidth="1"/>
    <col min="25" max="25" width="13.140625" style="3" customWidth="1"/>
    <col min="26" max="26" width="2.140625" style="3" customWidth="1"/>
    <col min="27" max="27" width="10.7109375" style="3" customWidth="1"/>
    <col min="28" max="28" width="13.140625" style="3" customWidth="1"/>
    <col min="29" max="29" width="13.85546875" style="3" customWidth="1"/>
    <col min="30" max="30" width="15.85546875" style="3" customWidth="1"/>
    <col min="33" max="33" width="0" hidden="1" customWidth="1"/>
  </cols>
  <sheetData>
    <row r="4" spans="2:33" x14ac:dyDescent="0.25">
      <c r="M4" s="28" t="s">
        <v>3957</v>
      </c>
    </row>
    <row r="6" spans="2:33" x14ac:dyDescent="0.25">
      <c r="M6" s="28" t="s">
        <v>3958</v>
      </c>
    </row>
    <row r="10" spans="2:33" ht="18.75" x14ac:dyDescent="0.25">
      <c r="H10" s="48" t="s">
        <v>3766</v>
      </c>
      <c r="I10" s="48"/>
      <c r="J10" s="48"/>
      <c r="L10" s="48" t="s">
        <v>3941</v>
      </c>
      <c r="M10" s="48"/>
      <c r="N10" s="48"/>
      <c r="O10" s="48"/>
      <c r="P10" s="48"/>
      <c r="R10" s="48" t="s">
        <v>3942</v>
      </c>
      <c r="S10" s="48"/>
      <c r="T10" s="48"/>
      <c r="U10" s="48"/>
      <c r="W10" s="48" t="s">
        <v>3943</v>
      </c>
      <c r="X10" s="48"/>
      <c r="Y10" s="48"/>
      <c r="AA10" s="48" t="s">
        <v>3944</v>
      </c>
      <c r="AB10" s="48"/>
      <c r="AC10" s="48"/>
      <c r="AD10" s="48"/>
      <c r="AE10" s="48"/>
      <c r="AF10" s="48"/>
      <c r="AG10" s="48"/>
    </row>
    <row r="11" spans="2:33" ht="18.75" hidden="1" x14ac:dyDescent="0.25">
      <c r="H11" s="29"/>
      <c r="I11" s="29"/>
      <c r="J11" s="29"/>
      <c r="L11" s="45"/>
      <c r="M11" s="41"/>
      <c r="N11" s="41"/>
      <c r="O11" s="29"/>
      <c r="P11" s="29"/>
      <c r="R11" s="29"/>
      <c r="S11" s="29"/>
      <c r="T11" s="29"/>
      <c r="V11" s="29"/>
      <c r="W11" s="29"/>
      <c r="X11" s="29"/>
      <c r="Z11" s="29"/>
      <c r="AA11" s="29"/>
      <c r="AB11" s="29"/>
      <c r="AC11" s="29"/>
      <c r="AD11" s="29"/>
      <c r="AE11" s="29"/>
      <c r="AF11" s="29"/>
    </row>
    <row r="12" spans="2:33" ht="6.75" customHeight="1" x14ac:dyDescent="0.25">
      <c r="F12"/>
      <c r="H12" s="29"/>
      <c r="I12" s="29"/>
      <c r="J12" s="29"/>
      <c r="L12" s="45"/>
      <c r="M12" s="41"/>
      <c r="N12" s="41"/>
      <c r="O12" s="29"/>
      <c r="P12" s="29"/>
      <c r="R12" s="29"/>
      <c r="S12" s="29"/>
      <c r="T12" s="29"/>
      <c r="V12" s="29"/>
      <c r="W12" s="29"/>
      <c r="X12" s="29"/>
      <c r="Z12" s="29"/>
      <c r="AA12" s="29"/>
      <c r="AB12" s="29"/>
      <c r="AC12" s="29"/>
      <c r="AD12" s="29"/>
      <c r="AE12" s="29"/>
      <c r="AF12" s="29"/>
    </row>
    <row r="13" spans="2:33" x14ac:dyDescent="0.25">
      <c r="E13" s="30" t="str" cm="1">
        <f t="array" ref="E13">"Volgend #: "
&amp; MAX(Tabel_VT_Reservaties[Aanvraag '#]+1)</f>
        <v>Volgend #: 7</v>
      </c>
      <c r="H13" s="31" t="s">
        <v>3946</v>
      </c>
      <c r="I13" s="32">
        <f>SUBTOTAL(109,Tabel_VT_Reservaties[Counter])</f>
        <v>12</v>
      </c>
    </row>
    <row r="14" spans="2:33" s="22" customFormat="1" ht="39" customHeight="1" x14ac:dyDescent="0.25">
      <c r="B14" s="23"/>
      <c r="C14" s="23"/>
      <c r="D14" s="23"/>
      <c r="E14" s="22" t="s">
        <v>3945</v>
      </c>
      <c r="F14" s="22" t="s">
        <v>131</v>
      </c>
      <c r="G14" s="22" t="s">
        <v>3773</v>
      </c>
      <c r="H14" s="22" t="s">
        <v>3765</v>
      </c>
      <c r="I14" s="22" t="s">
        <v>3766</v>
      </c>
      <c r="J14" s="22" t="s">
        <v>3767</v>
      </c>
      <c r="K14" s="22" t="s">
        <v>3768</v>
      </c>
      <c r="L14" s="46" t="s">
        <v>3954</v>
      </c>
      <c r="M14" s="27" t="s">
        <v>3955</v>
      </c>
      <c r="N14" s="27" t="s">
        <v>3940</v>
      </c>
      <c r="O14" s="22" t="s">
        <v>3769</v>
      </c>
      <c r="P14" s="22" t="s">
        <v>3770</v>
      </c>
      <c r="Q14" s="22" t="s">
        <v>3771</v>
      </c>
      <c r="R14" s="22" t="s">
        <v>62</v>
      </c>
      <c r="S14" s="22" t="s">
        <v>57</v>
      </c>
      <c r="T14" s="22" t="s">
        <v>54</v>
      </c>
      <c r="U14" s="22" t="s">
        <v>3803</v>
      </c>
      <c r="V14" s="22" t="s">
        <v>3772</v>
      </c>
      <c r="W14" s="22" t="s">
        <v>3936</v>
      </c>
      <c r="X14" s="22" t="s">
        <v>3937</v>
      </c>
      <c r="Y14" s="22" t="s">
        <v>3938</v>
      </c>
      <c r="Z14" s="22" t="s">
        <v>3935</v>
      </c>
      <c r="AA14" s="22" t="s">
        <v>120</v>
      </c>
      <c r="AB14" s="22" t="s">
        <v>3804</v>
      </c>
      <c r="AC14" s="22" t="s">
        <v>3805</v>
      </c>
      <c r="AD14" s="22" t="s">
        <v>121</v>
      </c>
      <c r="AE14" s="22" t="s">
        <v>122</v>
      </c>
      <c r="AF14" s="22" t="s">
        <v>3806</v>
      </c>
      <c r="AG14" s="22" t="s">
        <v>70</v>
      </c>
    </row>
    <row r="15" spans="2:33" x14ac:dyDescent="0.25">
      <c r="E15" s="3">
        <v>1</v>
      </c>
      <c r="F15" s="11" t="s">
        <v>3786</v>
      </c>
      <c r="H15" s="3" t="s">
        <v>3789</v>
      </c>
      <c r="I15" s="3" t="s">
        <v>3790</v>
      </c>
      <c r="J15" s="25">
        <v>45170</v>
      </c>
      <c r="L15" s="13">
        <v>45178</v>
      </c>
      <c r="M15" s="28">
        <v>0.41666666666666702</v>
      </c>
      <c r="N15" s="28">
        <v>4.1666666666666664E-2</v>
      </c>
      <c r="O15" s="44">
        <f>IF(  Tabel_VT_Reservaties[[#This Row],[Datum Start]] &gt; 0,Tabel_VT_Reservaties[[#This Row],[Datum Start]]+TIME(HOUR(Tabel_VT_Reservaties[[#This Row],[Tijd Start]]),MINUTE(Tabel_VT_Reservaties[[#This Row],[Tijd Start]]),0),"")</f>
        <v>45178.416666666664</v>
      </c>
      <c r="P15" s="44">
        <f>IF(  Tabel_VT_Reservaties[[#This Row],[Datum/Tijd Start]] &lt;&gt;"",Tabel_VT_Reservaties[[#This Row],[Datum/Tijd Start]]+TIME(HOUR(Tabel_VT_Reservaties[[#This Row],[Duurtijd]]),MINUTE(Tabel_VT_Reservaties[[#This Row],[Duurtijd]]),0),"")</f>
        <v>45178.458333333328</v>
      </c>
      <c r="R15" s="3" t="s">
        <v>3662</v>
      </c>
      <c r="S15" s="3" t="s">
        <v>3679</v>
      </c>
      <c r="T15" s="3">
        <v>2216</v>
      </c>
      <c r="U15" s="3" t="e" vm="1">
        <f>_xlfn.XLOOKUP(Tabel_VT_Reservaties[[#This Row],[Vt Nummer]],INPUT_VTS_REGIE_DT[Vt Nummer],INPUT_VTS_REGIE_DT[Vt Info],"")</f>
        <v>#VALUE!</v>
      </c>
      <c r="W15" s="3" t="str">
        <f>_xlfn.XLOOKUP(Tabel_VT_Reservaties[[#This Row],[Entiteit]]&amp;"#"&amp;Tabel_VT_Reservaties[[#This Row],[Stelplaats]],Tabel_Stelplaats_Contacten[Key],Tabel_Stelplaats_Contacten[Naam],"")</f>
        <v>Verantw Kinrooi</v>
      </c>
      <c r="X15" s="3" t="str">
        <f>_xlfn.XLOOKUP(Tabel_VT_Reservaties[[#This Row],[Entiteit]]&amp;"#"&amp;Tabel_VT_Reservaties[[#This Row],[Stelplaats]],Tabel_Stelplaats_Contacten[Key],Tabel_Stelplaats_Contacten[Email],"")</f>
        <v>contact_kinrooi@delijn.be</v>
      </c>
      <c r="Y15" s="3" t="str">
        <f>_xlfn.XLOOKUP(Tabel_VT_Reservaties[[#This Row],[Entiteit]]&amp;"#"&amp;Tabel_VT_Reservaties[[#This Row],[Stelplaats]],Tabel_Stelplaats_Contacten[Key],Tabel_Stelplaats_Contacten[GSM],"")</f>
        <v>-</v>
      </c>
      <c r="AA15" s="3" t="str" cm="1">
        <f t="array" ref="AA15">IFERROR(_FV(Tabel_VT_Reservaties[[#This Row],[Vt Info]],"Vt Type",TRUE),"")</f>
        <v>Bus</v>
      </c>
      <c r="AB15" s="3" t="str" cm="1">
        <f t="array" ref="AB15">IFERROR(_FV(Tabel_VT_Reservaties[[#This Row],[Vt Info]],"Vt Sub Type",TRUE),"")</f>
        <v>Gelede bus</v>
      </c>
      <c r="AC15" s="3" t="str" cm="1">
        <f t="array" ref="AC15">IFERROR(_FV(Tabel_VT_Reservaties[[#This Row],[Vt Info]],"Code motor euroklasse",TRUE),"")</f>
        <v>Euro6</v>
      </c>
      <c r="AD15" s="3" t="str" cm="1">
        <f t="array" ref="AD15">IFERROR(_FV(Tabel_VT_Reservaties[[#This Row],[Vt Info]],"Vt Sub Type",TRUE),"")</f>
        <v>Gelede bus</v>
      </c>
      <c r="AE15" s="3" t="str" cm="1">
        <f t="array" ref="AE15">IFERROR(_FV(Tabel_VT_Reservaties[[#This Row],[Vt Info]],"Vt Omschrijving",TRUE),"")</f>
        <v>Lage vloer streek</v>
      </c>
      <c r="AF15" s="3" t="str" cm="1">
        <f t="array" ref="AF15">IFERROR(_FV(Tabel_VT_Reservaties[[#This Row],[Vt Info]],"Bestelnummer"),"")</f>
        <v>221B</v>
      </c>
      <c r="AG15" s="3">
        <f>1</f>
        <v>1</v>
      </c>
    </row>
    <row r="16" spans="2:33" ht="15.75" thickBot="1" x14ac:dyDescent="0.3">
      <c r="E16" s="3">
        <v>2</v>
      </c>
      <c r="F16" s="11" t="s">
        <v>3781</v>
      </c>
      <c r="H16" s="3" t="s">
        <v>3778</v>
      </c>
      <c r="I16" s="3" t="s">
        <v>3798</v>
      </c>
      <c r="J16" s="25">
        <v>45187</v>
      </c>
      <c r="L16" s="13">
        <v>45245</v>
      </c>
      <c r="M16" s="28">
        <v>0.54166666666666397</v>
      </c>
      <c r="N16" s="28">
        <v>8.3333333333333398E-2</v>
      </c>
      <c r="O16" s="44">
        <f>IF(  Tabel_VT_Reservaties[[#This Row],[Datum Start]] &gt; 0,Tabel_VT_Reservaties[[#This Row],[Datum Start]]+TIME(HOUR(Tabel_VT_Reservaties[[#This Row],[Tijd Start]]),MINUTE(Tabel_VT_Reservaties[[#This Row],[Tijd Start]]),0),"")</f>
        <v>45245.541666666664</v>
      </c>
      <c r="P16" s="26">
        <f>IF(  Tabel_VT_Reservaties[[#This Row],[Datum/Tijd Start]] &lt;&gt;"",Tabel_VT_Reservaties[[#This Row],[Datum/Tijd Start]]+TIME(HOUR(Tabel_VT_Reservaties[[#This Row],[Duurtijd]]),MINUTE(Tabel_VT_Reservaties[[#This Row],[Duurtijd]]),0),"")</f>
        <v>45245.625</v>
      </c>
      <c r="R16" s="3" t="s">
        <v>3668</v>
      </c>
      <c r="S16" s="3" t="s">
        <v>3673</v>
      </c>
      <c r="T16" s="3">
        <v>2181</v>
      </c>
      <c r="U16" s="3" t="e" vm="2">
        <f>_xlfn.XLOOKUP(Tabel_VT_Reservaties[[#This Row],[Vt Nummer]],INPUT_VTS_REGIE_DT[Vt Nummer],INPUT_VTS_REGIE_DT[Vt Info],"")</f>
        <v>#VALUE!</v>
      </c>
      <c r="W16" s="3" t="str">
        <f>_xlfn.XLOOKUP(Tabel_VT_Reservaties[[#This Row],[Entiteit]]&amp;"#"&amp;Tabel_VT_Reservaties[[#This Row],[Stelplaats]],Tabel_Stelplaats_Contacten[Key],Tabel_Stelplaats_Contacten[Naam],"")</f>
        <v>Verantw Oostende Slijkensestwg</v>
      </c>
      <c r="X16" s="3" t="str">
        <f>_xlfn.XLOOKUP(Tabel_VT_Reservaties[[#This Row],[Entiteit]]&amp;"#"&amp;Tabel_VT_Reservaties[[#This Row],[Stelplaats]],Tabel_Stelplaats_Contacten[Key],Tabel_Stelplaats_Contacten[Email],"")</f>
        <v>contact_oostende slijkensestwg@delijn.be</v>
      </c>
      <c r="Y16" s="3" t="str">
        <f>_xlfn.XLOOKUP(Tabel_VT_Reservaties[[#This Row],[Entiteit]]&amp;"#"&amp;Tabel_VT_Reservaties[[#This Row],[Stelplaats]],Tabel_Stelplaats_Contacten[Key],Tabel_Stelplaats_Contacten[GSM],"")</f>
        <v>-</v>
      </c>
      <c r="AA16" s="3" t="str" cm="1">
        <f t="array" ref="AA16">IFERROR(_FV(Tabel_VT_Reservaties[[#This Row],[Vt Info]],"Vt Type",TRUE),"")</f>
        <v>Bus</v>
      </c>
      <c r="AB16" s="3" cm="1">
        <f t="array" ref="AB16">IFERROR(_FV(Tabel_VT_Reservaties[[#This Row],[Vt Info]],"Leeftijd"),"")</f>
        <v>6</v>
      </c>
      <c r="AC16" s="3" t="str" cm="1">
        <f t="array" ref="AC16">IFERROR(_FV(Tabel_VT_Reservaties[[#This Row],[Vt Info]],"Code motor euroklasse",TRUE),"")</f>
        <v>Euro6</v>
      </c>
      <c r="AD16" s="3" t="str" cm="1">
        <f t="array" ref="AD16">IFERROR(_FV(Tabel_VT_Reservaties[[#This Row],[Vt Info]],"Vt Sub Type",TRUE),"")</f>
        <v>12-m bus</v>
      </c>
      <c r="AE16" s="3" t="str" cm="1">
        <f t="array" ref="AE16">IFERROR(_FV(Tabel_VT_Reservaties[[#This Row],[Vt Info]],"Vt Omschrijving",TRUE),"")</f>
        <v>Lage vloer streek</v>
      </c>
      <c r="AF16" s="3" t="str" cm="1">
        <f t="array" ref="AF16">IFERROR(_FV(Tabel_VT_Reservaties[[#This Row],[Vt Info]],"Bestelnummer"),"")</f>
        <v>221A</v>
      </c>
      <c r="AG16" s="3">
        <f>1</f>
        <v>1</v>
      </c>
    </row>
    <row r="17" spans="3:33" ht="16.5" thickTop="1" thickBot="1" x14ac:dyDescent="0.3">
      <c r="C17" s="24" t="s">
        <v>3939</v>
      </c>
      <c r="E17" s="3">
        <v>3</v>
      </c>
      <c r="F17" s="11" t="s">
        <v>3779</v>
      </c>
      <c r="H17" s="3" t="s">
        <v>3789</v>
      </c>
      <c r="I17" s="3" t="s">
        <v>3790</v>
      </c>
      <c r="J17" s="25">
        <v>45184</v>
      </c>
      <c r="L17" s="13">
        <v>45209</v>
      </c>
      <c r="M17" s="28">
        <v>0.375</v>
      </c>
      <c r="N17" s="28">
        <v>8.3333333333333398E-2</v>
      </c>
      <c r="O17" s="44">
        <f>IF(  Tabel_VT_Reservaties[[#This Row],[Datum Start]] &gt; 0,Tabel_VT_Reservaties[[#This Row],[Datum Start]]+TIME(HOUR(Tabel_VT_Reservaties[[#This Row],[Tijd Start]]),MINUTE(Tabel_VT_Reservaties[[#This Row],[Tijd Start]]),0),"")</f>
        <v>45209.375</v>
      </c>
      <c r="P17" s="44">
        <f>IF(  Tabel_VT_Reservaties[[#This Row],[Datum/Tijd Start]] &lt;&gt;"",Tabel_VT_Reservaties[[#This Row],[Datum/Tijd Start]]+TIME(HOUR(Tabel_VT_Reservaties[[#This Row],[Duurtijd]]),MINUTE(Tabel_VT_Reservaties[[#This Row],[Duurtijd]]),0),"")</f>
        <v>45209.458333333336</v>
      </c>
      <c r="R17" s="3" t="s">
        <v>3662</v>
      </c>
      <c r="S17" s="3" t="s">
        <v>3679</v>
      </c>
      <c r="T17" s="3">
        <v>2215</v>
      </c>
      <c r="U17" s="3" t="e" vm="3">
        <f>_xlfn.XLOOKUP(Tabel_VT_Reservaties[[#This Row],[Vt Nummer]],INPUT_VTS_REGIE_DT[Vt Nummer],INPUT_VTS_REGIE_DT[Vt Info],"")</f>
        <v>#VALUE!</v>
      </c>
      <c r="V17"/>
      <c r="W17" s="11" t="str">
        <f>_xlfn.XLOOKUP(Tabel_VT_Reservaties[[#This Row],[Entiteit]]&amp;"#"&amp;Tabel_VT_Reservaties[[#This Row],[Stelplaats]],Tabel_Stelplaats_Contacten[Key],Tabel_Stelplaats_Contacten[Naam],"")</f>
        <v>Verantw Kinrooi</v>
      </c>
      <c r="X17" t="str">
        <f>_xlfn.XLOOKUP(Tabel_VT_Reservaties[[#This Row],[Entiteit]]&amp;"#"&amp;Tabel_VT_Reservaties[[#This Row],[Stelplaats]],Tabel_Stelplaats_Contacten[Key],Tabel_Stelplaats_Contacten[Email],"")</f>
        <v>contact_kinrooi@delijn.be</v>
      </c>
      <c r="Y17" s="11" t="str">
        <f>_xlfn.XLOOKUP(Tabel_VT_Reservaties[[#This Row],[Entiteit]]&amp;"#"&amp;Tabel_VT_Reservaties[[#This Row],[Stelplaats]],Tabel_Stelplaats_Contacten[Key],Tabel_Stelplaats_Contacten[GSM],"")</f>
        <v>-</v>
      </c>
      <c r="Z17"/>
      <c r="AA17" s="3" t="str" cm="1">
        <f t="array" ref="AA17">IFERROR(_FV(Tabel_VT_Reservaties[[#This Row],[Vt Info]],"Vt Type",TRUE),"")</f>
        <v>Bus</v>
      </c>
      <c r="AB17" s="3" cm="1">
        <f t="array" ref="AB17">IFERROR(_FV(Tabel_VT_Reservaties[[#This Row],[Vt Info]],"Leeftijd"),"")</f>
        <v>7</v>
      </c>
      <c r="AC17" s="3" t="str" cm="1">
        <f t="array" ref="AC17">IFERROR(_FV(Tabel_VT_Reservaties[[#This Row],[Vt Info]],"Code motor euroklasse",TRUE),"")</f>
        <v>Euro6</v>
      </c>
      <c r="AD17" s="3" t="str" cm="1">
        <f t="array" ref="AD17">IFERROR(_FV(Tabel_VT_Reservaties[[#This Row],[Vt Info]],"Vt Sub Type",TRUE),"")</f>
        <v>Gelede bus</v>
      </c>
      <c r="AE17" s="3" t="str" cm="1">
        <f t="array" ref="AE17">IFERROR(_FV(Tabel_VT_Reservaties[[#This Row],[Vt Info]],"Vt Omschrijving",TRUE),"")</f>
        <v>Lage vloer streek</v>
      </c>
      <c r="AF17" s="3" t="str" cm="1">
        <f t="array" ref="AF17">IFERROR(_FV(Tabel_VT_Reservaties[[#This Row],[Vt Info]],"Bestelnummer"),"")</f>
        <v>221B</v>
      </c>
      <c r="AG17" s="3">
        <f>1</f>
        <v>1</v>
      </c>
    </row>
    <row r="18" spans="3:33" ht="16.5" thickTop="1" thickBot="1" x14ac:dyDescent="0.3">
      <c r="C18" s="24" t="s">
        <v>3939</v>
      </c>
      <c r="E18" s="3">
        <v>4</v>
      </c>
      <c r="F18" s="11" t="s">
        <v>3779</v>
      </c>
      <c r="H18" s="3" t="s">
        <v>3802</v>
      </c>
      <c r="I18" s="3" t="s">
        <v>3794</v>
      </c>
      <c r="J18" s="25">
        <v>45181</v>
      </c>
      <c r="L18" s="13">
        <v>45211</v>
      </c>
      <c r="M18" s="28">
        <v>0.44791666666666702</v>
      </c>
      <c r="N18" s="28">
        <v>0.104166666666667</v>
      </c>
      <c r="O18" s="44">
        <f>IF(  Tabel_VT_Reservaties[[#This Row],[Datum Start]] &gt; 0,Tabel_VT_Reservaties[[#This Row],[Datum Start]]+TIME(HOUR(Tabel_VT_Reservaties[[#This Row],[Tijd Start]]),MINUTE(Tabel_VT_Reservaties[[#This Row],[Tijd Start]]),0),"")</f>
        <v>45211.447916666664</v>
      </c>
      <c r="P18" s="26">
        <f>IF(  Tabel_VT_Reservaties[[#This Row],[Datum/Tijd Start]] &lt;&gt;"",Tabel_VT_Reservaties[[#This Row],[Datum/Tijd Start]]+TIME(HOUR(Tabel_VT_Reservaties[[#This Row],[Duurtijd]]),MINUTE(Tabel_VT_Reservaties[[#This Row],[Duurtijd]]),0),"")</f>
        <v>45211.552083333328</v>
      </c>
      <c r="R18" s="3" t="s">
        <v>3662</v>
      </c>
      <c r="S18" s="3" t="s">
        <v>3716</v>
      </c>
      <c r="T18" s="3">
        <v>2871</v>
      </c>
      <c r="U18" s="3" t="e" vm="4">
        <f>_xlfn.XLOOKUP(Tabel_VT_Reservaties[[#This Row],[Vt Nummer]],INPUT_VTS_REGIE_DT[Vt Nummer],INPUT_VTS_REGIE_DT[Vt Info],"")</f>
        <v>#VALUE!</v>
      </c>
      <c r="V18"/>
      <c r="W18" s="11" t="str">
        <f>_xlfn.XLOOKUP(Tabel_VT_Reservaties[[#This Row],[Entiteit]]&amp;"#"&amp;Tabel_VT_Reservaties[[#This Row],[Stelplaats]],Tabel_Stelplaats_Contacten[Key],Tabel_Stelplaats_Contacten[Naam],"")</f>
        <v>Verantw Winterslag</v>
      </c>
      <c r="X18" t="str">
        <f>_xlfn.XLOOKUP(Tabel_VT_Reservaties[[#This Row],[Entiteit]]&amp;"#"&amp;Tabel_VT_Reservaties[[#This Row],[Stelplaats]],Tabel_Stelplaats_Contacten[Key],Tabel_Stelplaats_Contacten[Email],"")</f>
        <v>contact_winterslag@delijn.be</v>
      </c>
      <c r="Y18" s="11" t="str">
        <f>_xlfn.XLOOKUP(Tabel_VT_Reservaties[[#This Row],[Entiteit]]&amp;"#"&amp;Tabel_VT_Reservaties[[#This Row],[Stelplaats]],Tabel_Stelplaats_Contacten[Key],Tabel_Stelplaats_Contacten[GSM],"")</f>
        <v>-</v>
      </c>
      <c r="Z18"/>
      <c r="AA18" s="3" t="str" cm="1">
        <f t="array" ref="AA18">IFERROR(_FV(Tabel_VT_Reservaties[[#This Row],[Vt Info]],"Vt Type",TRUE),"")</f>
        <v>Bus</v>
      </c>
      <c r="AB18" s="3" cm="1">
        <f t="array" ref="AB18">IFERROR(_FV(Tabel_VT_Reservaties[[#This Row],[Vt Info]],"Leeftijd"),"")</f>
        <v>0</v>
      </c>
      <c r="AC18" s="3" t="str" cm="1">
        <f t="array" ref="AC18">IFERROR(_FV(Tabel_VT_Reservaties[[#This Row],[Vt Info]],"Code motor euroklasse",TRUE),"")</f>
        <v/>
      </c>
      <c r="AD18" s="3" t="str" cm="1">
        <f t="array" ref="AD18">IFERROR(_FV(Tabel_VT_Reservaties[[#This Row],[Vt Info]],"Vt Sub Type",TRUE),"")</f>
        <v>E-Bus</v>
      </c>
      <c r="AE18" s="3" t="str" cm="1">
        <f t="array" ref="AE18">IFERROR(_FV(Tabel_VT_Reservaties[[#This Row],[Vt Info]],"Vt Omschrijving",TRUE),"")</f>
        <v>12m LV E-bus</v>
      </c>
      <c r="AF18" s="3" t="str" cm="1">
        <f t="array" ref="AF18">IFERROR(_FV(Tabel_VT_Reservaties[[#This Row],[Vt Info]],"Bestelnummer"),"")</f>
        <v>224A</v>
      </c>
      <c r="AG18" s="3">
        <f>1</f>
        <v>1</v>
      </c>
    </row>
    <row r="19" spans="3:33" ht="16.5" thickTop="1" thickBot="1" x14ac:dyDescent="0.3">
      <c r="C19" s="24" t="s">
        <v>3939</v>
      </c>
      <c r="E19" s="3">
        <v>5</v>
      </c>
      <c r="F19" s="11" t="s">
        <v>3779</v>
      </c>
      <c r="H19" s="3" t="s">
        <v>3777</v>
      </c>
      <c r="I19" s="3" t="s">
        <v>3798</v>
      </c>
      <c r="J19" s="25">
        <v>45187</v>
      </c>
      <c r="L19" s="13">
        <v>45214</v>
      </c>
      <c r="M19" s="28">
        <v>0.45833333333333298</v>
      </c>
      <c r="N19" s="28">
        <v>4.1666666666666664E-2</v>
      </c>
      <c r="O19" s="44">
        <f>IF(  Tabel_VT_Reservaties[[#This Row],[Datum Start]] &gt; 0,Tabel_VT_Reservaties[[#This Row],[Datum Start]]+TIME(HOUR(Tabel_VT_Reservaties[[#This Row],[Tijd Start]]),MINUTE(Tabel_VT_Reservaties[[#This Row],[Tijd Start]]),0),"")</f>
        <v>45214.458333333336</v>
      </c>
      <c r="P19" s="26">
        <f>IF(  Tabel_VT_Reservaties[[#This Row],[Datum/Tijd Start]] &lt;&gt;"",Tabel_VT_Reservaties[[#This Row],[Datum/Tijd Start]]+TIME(HOUR(Tabel_VT_Reservaties[[#This Row],[Duurtijd]]),MINUTE(Tabel_VT_Reservaties[[#This Row],[Duurtijd]]),0),"")</f>
        <v>45214.5</v>
      </c>
      <c r="R19" s="3" t="s">
        <v>3646</v>
      </c>
      <c r="S19" s="3" t="s">
        <v>3653</v>
      </c>
      <c r="T19" s="3">
        <v>4762</v>
      </c>
      <c r="U19" s="3" t="e" vm="5">
        <f>_xlfn.XLOOKUP(Tabel_VT_Reservaties[[#This Row],[Vt Nummer]],INPUT_VTS_REGIE_DT[Vt Nummer],INPUT_VTS_REGIE_DT[Vt Info],"")</f>
        <v>#VALUE!</v>
      </c>
      <c r="V19"/>
      <c r="W19" s="3" t="str">
        <f>_xlfn.XLOOKUP(Tabel_VT_Reservaties[[#This Row],[Entiteit]]&amp;"#"&amp;Tabel_VT_Reservaties[[#This Row],[Stelplaats]],Tabel_Stelplaats_Contacten[Key],Tabel_Stelplaats_Contacten[Naam],"")</f>
        <v>Verantw Hoogstraten</v>
      </c>
      <c r="X19" s="3" t="str">
        <f>_xlfn.XLOOKUP(Tabel_VT_Reservaties[[#This Row],[Entiteit]]&amp;"#"&amp;Tabel_VT_Reservaties[[#This Row],[Stelplaats]],Tabel_Stelplaats_Contacten[Key],Tabel_Stelplaats_Contacten[Email],"")</f>
        <v>contact_hoogstraten@delijn.be</v>
      </c>
      <c r="Y19" s="3" t="str">
        <f>_xlfn.XLOOKUP(Tabel_VT_Reservaties[[#This Row],[Entiteit]]&amp;"#"&amp;Tabel_VT_Reservaties[[#This Row],[Stelplaats]],Tabel_Stelplaats_Contacten[Key],Tabel_Stelplaats_Contacten[GSM],"")</f>
        <v>-</v>
      </c>
      <c r="AA19" s="3" t="str" cm="1">
        <f t="array" ref="AA19">IFERROR(_FV(Tabel_VT_Reservaties[[#This Row],[Vt Info]],"Vt Type",TRUE),"")</f>
        <v>Bus</v>
      </c>
      <c r="AB19" s="3" cm="1">
        <f t="array" ref="AB19">IFERROR(_FV(Tabel_VT_Reservaties[[#This Row],[Vt Info]],"Leeftijd"),"")</f>
        <v>19</v>
      </c>
      <c r="AC19" s="3" t="str" cm="1">
        <f t="array" ref="AC19">IFERROR(_FV(Tabel_VT_Reservaties[[#This Row],[Vt Info]],"Code motor euroklasse",TRUE),"")</f>
        <v>3</v>
      </c>
      <c r="AD19" s="3" t="str" cm="1">
        <f t="array" ref="AD19">IFERROR(_FV(Tabel_VT_Reservaties[[#This Row],[Vt Info]],"Vt Sub Type",TRUE),"")</f>
        <v>Gelede bus</v>
      </c>
      <c r="AE19" s="3" t="str" cm="1">
        <f t="array" ref="AE19">IFERROR(_FV(Tabel_VT_Reservaties[[#This Row],[Vt Info]],"Vt Omschrijving",TRUE),"")</f>
        <v>Lage vloer streek</v>
      </c>
      <c r="AF19" s="3" t="str" cm="1">
        <f t="array" ref="AF19">IFERROR(_FV(Tabel_VT_Reservaties[[#This Row],[Vt Info]],"Bestelnummer"),"")</f>
        <v>211</v>
      </c>
      <c r="AG19" s="3">
        <f>1</f>
        <v>1</v>
      </c>
    </row>
    <row r="20" spans="3:33" ht="15.75" thickTop="1" x14ac:dyDescent="0.25">
      <c r="E20" s="3">
        <v>6</v>
      </c>
      <c r="F20" s="47" t="s">
        <v>3781</v>
      </c>
      <c r="H20" s="3" t="s">
        <v>3789</v>
      </c>
      <c r="I20" s="3" t="s">
        <v>3790</v>
      </c>
      <c r="J20" s="25">
        <v>45187</v>
      </c>
      <c r="L20" s="13">
        <v>45232</v>
      </c>
      <c r="M20" s="28">
        <v>0.44791666666666702</v>
      </c>
      <c r="N20" s="28">
        <v>0.125</v>
      </c>
      <c r="O20" s="44">
        <f>IF(  Tabel_VT_Reservaties[[#This Row],[Datum Start]] &gt; 0,Tabel_VT_Reservaties[[#This Row],[Datum Start]]+TIME(HOUR(Tabel_VT_Reservaties[[#This Row],[Tijd Start]]),MINUTE(Tabel_VT_Reservaties[[#This Row],[Tijd Start]]),0),"")</f>
        <v>45232.447916666664</v>
      </c>
      <c r="P20" s="26">
        <f>IF(  Tabel_VT_Reservaties[[#This Row],[Datum/Tijd Start]] &lt;&gt;"",Tabel_VT_Reservaties[[#This Row],[Datum/Tijd Start]]+TIME(HOUR(Tabel_VT_Reservaties[[#This Row],[Duurtijd]]),MINUTE(Tabel_VT_Reservaties[[#This Row],[Duurtijd]]),0),"")</f>
        <v>45232.572916666664</v>
      </c>
      <c r="R20" s="3" t="s">
        <v>3659</v>
      </c>
      <c r="S20" s="3" t="s">
        <v>3660</v>
      </c>
      <c r="T20" s="3">
        <v>2053</v>
      </c>
      <c r="U20" s="3" t="e" vm="6">
        <f>_xlfn.XLOOKUP(Tabel_VT_Reservaties[[#This Row],[Vt Nummer]],INPUT_VTS_REGIE_DT[Vt Nummer],INPUT_VTS_REGIE_DT[Vt Info],"")</f>
        <v>#VALUE!</v>
      </c>
      <c r="W20" s="3" t="str">
        <f>_xlfn.XLOOKUP(Tabel_VT_Reservaties[[#This Row],[Entiteit]]&amp;"#"&amp;Tabel_VT_Reservaties[[#This Row],[Stelplaats]],Tabel_Stelplaats_Contacten[Key],Tabel_Stelplaats_Contacten[Naam],"")</f>
        <v>Verantw Destelbergen</v>
      </c>
      <c r="X20" s="3" t="str">
        <f>_xlfn.XLOOKUP(Tabel_VT_Reservaties[[#This Row],[Entiteit]]&amp;"#"&amp;Tabel_VT_Reservaties[[#This Row],[Stelplaats]],Tabel_Stelplaats_Contacten[Key],Tabel_Stelplaats_Contacten[Email],"")</f>
        <v>contact_destelbergen@delijn.be</v>
      </c>
      <c r="Y20" s="3" t="str">
        <f>_xlfn.XLOOKUP(Tabel_VT_Reservaties[[#This Row],[Entiteit]]&amp;"#"&amp;Tabel_VT_Reservaties[[#This Row],[Stelplaats]],Tabel_Stelplaats_Contacten[Key],Tabel_Stelplaats_Contacten[GSM],"")</f>
        <v>-</v>
      </c>
      <c r="AA20" s="3" t="str" cm="1">
        <f t="array" ref="AA20">IFERROR(_FV(Tabel_VT_Reservaties[[#This Row],[Vt Info]],"Vt Type",TRUE),"")</f>
        <v>Bus</v>
      </c>
      <c r="AB20" s="36" cm="1">
        <f t="array" ref="AB20">IFERROR(_FV(Tabel_VT_Reservaties[[#This Row],[Vt Info]],"Leeftijd"),"")</f>
        <v>6</v>
      </c>
      <c r="AC20" s="3" t="str" cm="1">
        <f t="array" ref="AC20">IFERROR(_FV(Tabel_VT_Reservaties[[#This Row],[Vt Info]],"Code motor euroklasse",TRUE),"")</f>
        <v>Euro6</v>
      </c>
      <c r="AD20" s="3" t="str" cm="1">
        <f t="array" ref="AD20">IFERROR(_FV(Tabel_VT_Reservaties[[#This Row],[Vt Info]],"Vt Sub Type",TRUE),"")</f>
        <v>12-m bus</v>
      </c>
      <c r="AE20" s="3" t="str" cm="1">
        <f t="array" ref="AE20">IFERROR(_FV(Tabel_VT_Reservaties[[#This Row],[Vt Info]],"Vt Omschrijving",TRUE),"")</f>
        <v>Lage vloer streek</v>
      </c>
      <c r="AF20" s="3" t="str" cm="1">
        <f t="array" ref="AF20">IFERROR(_FV(Tabel_VT_Reservaties[[#This Row],[Vt Info]],"Bestelnummer"),"")</f>
        <v>221A</v>
      </c>
      <c r="AG20" s="3">
        <f>1</f>
        <v>1</v>
      </c>
    </row>
    <row r="21" spans="3:33" x14ac:dyDescent="0.25">
      <c r="E21" s="3"/>
      <c r="F21" s="11" t="s">
        <v>3779</v>
      </c>
      <c r="H21" s="3" t="s">
        <v>3789</v>
      </c>
      <c r="I21" s="3" t="s">
        <v>3790</v>
      </c>
      <c r="J21" s="25">
        <v>45187</v>
      </c>
      <c r="L21" s="13">
        <v>45235</v>
      </c>
      <c r="M21" s="28">
        <v>0.41666666666666702</v>
      </c>
      <c r="N21" s="28">
        <v>5.2083333333333336E-2</v>
      </c>
      <c r="O21" s="44">
        <f>IF(  Tabel_VT_Reservaties[[#This Row],[Datum Start]] &gt; 0,Tabel_VT_Reservaties[[#This Row],[Datum Start]]+TIME(HOUR(Tabel_VT_Reservaties[[#This Row],[Tijd Start]]),MINUTE(Tabel_VT_Reservaties[[#This Row],[Tijd Start]]),0),"")</f>
        <v>45235.416666666664</v>
      </c>
      <c r="P21" s="44">
        <f>IF(  Tabel_VT_Reservaties[[#This Row],[Datum/Tijd Start]] &lt;&gt;"",Tabel_VT_Reservaties[[#This Row],[Datum/Tijd Start]]+TIME(HOUR(Tabel_VT_Reservaties[[#This Row],[Duurtijd]]),MINUTE(Tabel_VT_Reservaties[[#This Row],[Duurtijd]]),0),"")</f>
        <v>45235.46875</v>
      </c>
      <c r="R21" s="3" t="s">
        <v>3659</v>
      </c>
      <c r="S21" s="3" t="s">
        <v>3660</v>
      </c>
      <c r="T21" s="3">
        <v>2201</v>
      </c>
      <c r="U21" s="3" t="e" vm="7">
        <f>_xlfn.XLOOKUP(Tabel_VT_Reservaties[[#This Row],[Vt Nummer]],INPUT_VTS_REGIE_DT[Vt Nummer],INPUT_VTS_REGIE_DT[Vt Info],"")</f>
        <v>#VALUE!</v>
      </c>
      <c r="W21" s="3" t="str">
        <f>_xlfn.XLOOKUP(Tabel_VT_Reservaties[[#This Row],[Entiteit]]&amp;"#"&amp;Tabel_VT_Reservaties[[#This Row],[Stelplaats]],Tabel_Stelplaats_Contacten[Key],Tabel_Stelplaats_Contacten[Naam],"")</f>
        <v>Verantw Destelbergen</v>
      </c>
      <c r="X21" s="3" t="str">
        <f>_xlfn.XLOOKUP(Tabel_VT_Reservaties[[#This Row],[Entiteit]]&amp;"#"&amp;Tabel_VT_Reservaties[[#This Row],[Stelplaats]],Tabel_Stelplaats_Contacten[Key],Tabel_Stelplaats_Contacten[Email],"")</f>
        <v>contact_destelbergen@delijn.be</v>
      </c>
      <c r="Y21" s="3" t="str">
        <f>_xlfn.XLOOKUP(Tabel_VT_Reservaties[[#This Row],[Entiteit]]&amp;"#"&amp;Tabel_VT_Reservaties[[#This Row],[Stelplaats]],Tabel_Stelplaats_Contacten[Key],Tabel_Stelplaats_Contacten[GSM],"")</f>
        <v>-</v>
      </c>
      <c r="AA21" s="3" t="str" cm="1">
        <f t="array" ref="AA21">IFERROR(_FV(Tabel_VT_Reservaties[[#This Row],[Vt Info]],"Vt Type",TRUE),"")</f>
        <v>Bus</v>
      </c>
      <c r="AB21" s="3" cm="1">
        <f t="array" ref="AB21">IFERROR(_FV(Tabel_VT_Reservaties[[#This Row],[Vt Info]],"Leeftijd"),"")</f>
        <v>7</v>
      </c>
      <c r="AC21" s="3" t="str" cm="1">
        <f t="array" ref="AC21">IFERROR(_FV(Tabel_VT_Reservaties[[#This Row],[Vt Info]],"Code motor euroklasse",TRUE),"")</f>
        <v>Euro6</v>
      </c>
      <c r="AD21" s="3" t="str" cm="1">
        <f t="array" ref="AD21">IFERROR(_FV(Tabel_VT_Reservaties[[#This Row],[Vt Info]],"Vt Sub Type",TRUE),"")</f>
        <v>Gelede bus</v>
      </c>
      <c r="AE21" s="3" t="str" cm="1">
        <f t="array" ref="AE21">IFERROR(_FV(Tabel_VT_Reservaties[[#This Row],[Vt Info]],"Vt Omschrijving",TRUE),"")</f>
        <v>Lage vloer streek</v>
      </c>
      <c r="AF21" s="3" t="str" cm="1">
        <f t="array" ref="AF21">IFERROR(_FV(Tabel_VT_Reservaties[[#This Row],[Vt Info]],"Bestelnummer"),"")</f>
        <v>221B</v>
      </c>
      <c r="AG21" s="3">
        <f>1</f>
        <v>1</v>
      </c>
    </row>
    <row r="22" spans="3:33" x14ac:dyDescent="0.25">
      <c r="E22" s="3"/>
      <c r="N22" s="28"/>
      <c r="O22" s="44" t="str">
        <f>IF(  Tabel_VT_Reservaties[[#This Row],[Datum Start]] &gt; 0,Tabel_VT_Reservaties[[#This Row],[Datum Start]]+TIME(HOUR(Tabel_VT_Reservaties[[#This Row],[Tijd Start]]),MINUTE(Tabel_VT_Reservaties[[#This Row],[Tijd Start]]),0),"")</f>
        <v/>
      </c>
      <c r="P22" s="44" t="str">
        <f>IF(  Tabel_VT_Reservaties[[#This Row],[Datum/Tijd Start]] &lt;&gt;"",Tabel_VT_Reservaties[[#This Row],[Datum/Tijd Start]]+TIME(HOUR(Tabel_VT_Reservaties[[#This Row],[Duurtijd]]),MINUTE(Tabel_VT_Reservaties[[#This Row],[Duurtijd]]),0),"")</f>
        <v/>
      </c>
      <c r="U22" s="3" t="str">
        <f>_xlfn.XLOOKUP(Tabel_VT_Reservaties[[#This Row],[Vt Nummer]],INPUT_VTS_REGIE_DT[Vt Nummer],INPUT_VTS_REGIE_DT[Vt Info],"")</f>
        <v/>
      </c>
      <c r="W22" s="3" t="str">
        <f>_xlfn.XLOOKUP(Tabel_VT_Reservaties[[#This Row],[Entiteit]]&amp;"#"&amp;Tabel_VT_Reservaties[[#This Row],[Stelplaats]],Tabel_Stelplaats_Contacten[Key],Tabel_Stelplaats_Contacten[Naam],"")</f>
        <v/>
      </c>
      <c r="X22" s="3" t="str">
        <f>_xlfn.XLOOKUP(Tabel_VT_Reservaties[[#This Row],[Entiteit]]&amp;"#"&amp;Tabel_VT_Reservaties[[#This Row],[Stelplaats]],Tabel_Stelplaats_Contacten[Key],Tabel_Stelplaats_Contacten[Email],"")</f>
        <v/>
      </c>
      <c r="Y22" s="3" t="str">
        <f>_xlfn.XLOOKUP(Tabel_VT_Reservaties[[#This Row],[Entiteit]]&amp;"#"&amp;Tabel_VT_Reservaties[[#This Row],[Stelplaats]],Tabel_Stelplaats_Contacten[Key],Tabel_Stelplaats_Contacten[GSM],"")</f>
        <v/>
      </c>
      <c r="AA22" s="3" t="str" cm="1">
        <f t="array" ref="AA22">IFERROR(_FV(Tabel_VT_Reservaties[[#This Row],[Vt Info]],"Vt Type",TRUE),"")</f>
        <v/>
      </c>
      <c r="AB22" s="3" t="str" cm="1">
        <f t="array" ref="AB22">IFERROR(_FV(Tabel_VT_Reservaties[[#This Row],[Vt Info]],"Leeftijd"),"")</f>
        <v/>
      </c>
      <c r="AC22" s="3" t="str" cm="1">
        <f t="array" ref="AC22">IFERROR(_FV(Tabel_VT_Reservaties[[#This Row],[Vt Info]],"Code motor euroklasse",TRUE),"")</f>
        <v/>
      </c>
      <c r="AD22" s="3" t="str" cm="1">
        <f t="array" ref="AD22">IFERROR(_FV(Tabel_VT_Reservaties[[#This Row],[Vt Info]],"Vt Sub Type",TRUE),"")</f>
        <v/>
      </c>
      <c r="AE22" s="3" t="str" cm="1">
        <f t="array" ref="AE22">IFERROR(_FV(Tabel_VT_Reservaties[[#This Row],[Vt Info]],"Vt Omschrijving",TRUE),"")</f>
        <v/>
      </c>
      <c r="AF22" s="3" t="str" cm="1">
        <f t="array" ref="AF22">IFERROR(_FV(Tabel_VT_Reservaties[[#This Row],[Vt Info]],"Bestelnummer"),"")</f>
        <v/>
      </c>
      <c r="AG22" s="3">
        <f>1</f>
        <v>1</v>
      </c>
    </row>
    <row r="23" spans="3:33" x14ac:dyDescent="0.25">
      <c r="E23" s="3"/>
      <c r="N23" s="28"/>
      <c r="O23" s="44" t="str">
        <f>IF(  Tabel_VT_Reservaties[[#This Row],[Datum Start]] &gt; 0,Tabel_VT_Reservaties[[#This Row],[Datum Start]]+TIME(HOUR(Tabel_VT_Reservaties[[#This Row],[Tijd Start]]),MINUTE(Tabel_VT_Reservaties[[#This Row],[Tijd Start]]),0),"")</f>
        <v/>
      </c>
      <c r="P23" s="44" t="str">
        <f>IF(  Tabel_VT_Reservaties[[#This Row],[Datum/Tijd Start]] &lt;&gt;"",Tabel_VT_Reservaties[[#This Row],[Datum/Tijd Start]]+TIME(HOUR(Tabel_VT_Reservaties[[#This Row],[Duurtijd]]),MINUTE(Tabel_VT_Reservaties[[#This Row],[Duurtijd]]),0),"")</f>
        <v/>
      </c>
      <c r="U23" s="3" t="str">
        <f>_xlfn.XLOOKUP(Tabel_VT_Reservaties[[#This Row],[Vt Nummer]],INPUT_VTS_REGIE_DT[Vt Nummer],INPUT_VTS_REGIE_DT[Vt Info],"")</f>
        <v/>
      </c>
      <c r="W23" s="3" t="str">
        <f>_xlfn.XLOOKUP(Tabel_VT_Reservaties[[#This Row],[Entiteit]]&amp;"#"&amp;Tabel_VT_Reservaties[[#This Row],[Stelplaats]],Tabel_Stelplaats_Contacten[Key],Tabel_Stelplaats_Contacten[Naam],"")</f>
        <v/>
      </c>
      <c r="X23" s="3" t="str">
        <f>_xlfn.XLOOKUP(Tabel_VT_Reservaties[[#This Row],[Entiteit]]&amp;"#"&amp;Tabel_VT_Reservaties[[#This Row],[Stelplaats]],Tabel_Stelplaats_Contacten[Key],Tabel_Stelplaats_Contacten[Email],"")</f>
        <v/>
      </c>
      <c r="Y23" s="3" t="str">
        <f>_xlfn.XLOOKUP(Tabel_VT_Reservaties[[#This Row],[Entiteit]]&amp;"#"&amp;Tabel_VT_Reservaties[[#This Row],[Stelplaats]],Tabel_Stelplaats_Contacten[Key],Tabel_Stelplaats_Contacten[GSM],"")</f>
        <v/>
      </c>
      <c r="AA23" s="3" t="str" cm="1">
        <f t="array" ref="AA23">IFERROR(_FV(Tabel_VT_Reservaties[[#This Row],[Vt Info]],"Vt Type",TRUE),"")</f>
        <v/>
      </c>
      <c r="AB23" s="3" t="str" cm="1">
        <f t="array" ref="AB23">IFERROR(_FV(Tabel_VT_Reservaties[[#This Row],[Vt Info]],"Leeftijd"),"")</f>
        <v/>
      </c>
      <c r="AC23" s="3" t="str" cm="1">
        <f t="array" ref="AC23">IFERROR(_FV(Tabel_VT_Reservaties[[#This Row],[Vt Info]],"Code motor euroklasse",TRUE),"")</f>
        <v/>
      </c>
      <c r="AD23" s="3" t="str" cm="1">
        <f t="array" ref="AD23">IFERROR(_FV(Tabel_VT_Reservaties[[#This Row],[Vt Info]],"Vt Sub Type",TRUE),"")</f>
        <v/>
      </c>
      <c r="AE23" s="3" t="str" cm="1">
        <f t="array" ref="AE23">IFERROR(_FV(Tabel_VT_Reservaties[[#This Row],[Vt Info]],"Vt Omschrijving",TRUE),"")</f>
        <v/>
      </c>
      <c r="AF23" s="3" t="str" cm="1">
        <f t="array" ref="AF23">IFERROR(_FV(Tabel_VT_Reservaties[[#This Row],[Vt Info]],"Bestelnummer"),"")</f>
        <v/>
      </c>
      <c r="AG23" s="3">
        <f>1</f>
        <v>1</v>
      </c>
    </row>
    <row r="24" spans="3:33" x14ac:dyDescent="0.25">
      <c r="E24" s="3"/>
      <c r="N24" s="28"/>
      <c r="O24" s="44" t="str">
        <f>IF(  Tabel_VT_Reservaties[[#This Row],[Datum Start]] &gt; 0,Tabel_VT_Reservaties[[#This Row],[Datum Start]]+TIME(HOUR(Tabel_VT_Reservaties[[#This Row],[Tijd Start]]),MINUTE(Tabel_VT_Reservaties[[#This Row],[Tijd Start]]),0),"")</f>
        <v/>
      </c>
      <c r="P24" s="44" t="str">
        <f>IF(  Tabel_VT_Reservaties[[#This Row],[Datum/Tijd Start]] &lt;&gt;"",Tabel_VT_Reservaties[[#This Row],[Datum/Tijd Start]]+TIME(HOUR(Tabel_VT_Reservaties[[#This Row],[Duurtijd]]),MINUTE(Tabel_VT_Reservaties[[#This Row],[Duurtijd]]),0),"")</f>
        <v/>
      </c>
      <c r="U24" s="3" t="str">
        <f>_xlfn.XLOOKUP(Tabel_VT_Reservaties[[#This Row],[Vt Nummer]],INPUT_VTS_REGIE_DT[Vt Nummer],INPUT_VTS_REGIE_DT[Vt Info],"")</f>
        <v/>
      </c>
      <c r="W24" s="3" t="str">
        <f>_xlfn.XLOOKUP(Tabel_VT_Reservaties[[#This Row],[Entiteit]]&amp;"#"&amp;Tabel_VT_Reservaties[[#This Row],[Stelplaats]],Tabel_Stelplaats_Contacten[Key],Tabel_Stelplaats_Contacten[Naam],"")</f>
        <v/>
      </c>
      <c r="X24" s="3" t="str">
        <f>_xlfn.XLOOKUP(Tabel_VT_Reservaties[[#This Row],[Entiteit]]&amp;"#"&amp;Tabel_VT_Reservaties[[#This Row],[Stelplaats]],Tabel_Stelplaats_Contacten[Key],Tabel_Stelplaats_Contacten[Email],"")</f>
        <v/>
      </c>
      <c r="Y24" s="3" t="str">
        <f>_xlfn.XLOOKUP(Tabel_VT_Reservaties[[#This Row],[Entiteit]]&amp;"#"&amp;Tabel_VT_Reservaties[[#This Row],[Stelplaats]],Tabel_Stelplaats_Contacten[Key],Tabel_Stelplaats_Contacten[GSM],"")</f>
        <v/>
      </c>
      <c r="AA24" s="3" t="str" cm="1">
        <f t="array" ref="AA24">IFERROR(_FV(Tabel_VT_Reservaties[[#This Row],[Vt Info]],"Vt Type",TRUE),"")</f>
        <v/>
      </c>
      <c r="AB24" s="3" t="str" cm="1">
        <f t="array" ref="AB24">IFERROR(_FV(Tabel_VT_Reservaties[[#This Row],[Vt Info]],"Leeftijd"),"")</f>
        <v/>
      </c>
      <c r="AC24" s="3" t="str" cm="1">
        <f t="array" ref="AC24">IFERROR(_FV(Tabel_VT_Reservaties[[#This Row],[Vt Info]],"Code motor euroklasse",TRUE),"")</f>
        <v/>
      </c>
      <c r="AD24" s="3" t="str" cm="1">
        <f t="array" ref="AD24">IFERROR(_FV(Tabel_VT_Reservaties[[#This Row],[Vt Info]],"Vt Sub Type",TRUE),"")</f>
        <v/>
      </c>
      <c r="AE24" s="3" t="str" cm="1">
        <f t="array" ref="AE24">IFERROR(_FV(Tabel_VT_Reservaties[[#This Row],[Vt Info]],"Vt Omschrijving",TRUE),"")</f>
        <v/>
      </c>
      <c r="AF24" s="3" t="str" cm="1">
        <f t="array" ref="AF24">IFERROR(_FV(Tabel_VT_Reservaties[[#This Row],[Vt Info]],"Bestelnummer"),"")</f>
        <v/>
      </c>
      <c r="AG24" s="3">
        <f>1</f>
        <v>1</v>
      </c>
    </row>
    <row r="25" spans="3:33" x14ac:dyDescent="0.25">
      <c r="E25" s="3"/>
      <c r="N25" s="28"/>
      <c r="O25" s="44" t="str">
        <f>IF(  Tabel_VT_Reservaties[[#This Row],[Datum Start]] &gt; 0,Tabel_VT_Reservaties[[#This Row],[Datum Start]]+TIME(HOUR(Tabel_VT_Reservaties[[#This Row],[Tijd Start]]),MINUTE(Tabel_VT_Reservaties[[#This Row],[Tijd Start]]),0),"")</f>
        <v/>
      </c>
      <c r="P25" s="44" t="str">
        <f>IF(  Tabel_VT_Reservaties[[#This Row],[Datum/Tijd Start]] &lt;&gt;"",Tabel_VT_Reservaties[[#This Row],[Datum/Tijd Start]]+TIME(HOUR(Tabel_VT_Reservaties[[#This Row],[Duurtijd]]),MINUTE(Tabel_VT_Reservaties[[#This Row],[Duurtijd]]),0),"")</f>
        <v/>
      </c>
      <c r="U25" s="3" t="str">
        <f>_xlfn.XLOOKUP(Tabel_VT_Reservaties[[#This Row],[Vt Nummer]],INPUT_VTS_REGIE_DT[Vt Nummer],INPUT_VTS_REGIE_DT[Vt Info],"")</f>
        <v/>
      </c>
      <c r="W25" s="3" t="str">
        <f>_xlfn.XLOOKUP(Tabel_VT_Reservaties[[#This Row],[Entiteit]]&amp;"#"&amp;Tabel_VT_Reservaties[[#This Row],[Stelplaats]],Tabel_Stelplaats_Contacten[Key],Tabel_Stelplaats_Contacten[Naam],"")</f>
        <v/>
      </c>
      <c r="X25" s="3" t="str">
        <f>_xlfn.XLOOKUP(Tabel_VT_Reservaties[[#This Row],[Entiteit]]&amp;"#"&amp;Tabel_VT_Reservaties[[#This Row],[Stelplaats]],Tabel_Stelplaats_Contacten[Key],Tabel_Stelplaats_Contacten[Email],"")</f>
        <v/>
      </c>
      <c r="Y25" s="3" t="str">
        <f>_xlfn.XLOOKUP(Tabel_VT_Reservaties[[#This Row],[Entiteit]]&amp;"#"&amp;Tabel_VT_Reservaties[[#This Row],[Stelplaats]],Tabel_Stelplaats_Contacten[Key],Tabel_Stelplaats_Contacten[GSM],"")</f>
        <v/>
      </c>
      <c r="AA25" s="3" t="str" cm="1">
        <f t="array" ref="AA25">IFERROR(_FV(Tabel_VT_Reservaties[[#This Row],[Vt Info]],"Vt Type",TRUE),"")</f>
        <v/>
      </c>
      <c r="AB25" s="3" t="str" cm="1">
        <f t="array" ref="AB25">IFERROR(_FV(Tabel_VT_Reservaties[[#This Row],[Vt Info]],"Leeftijd"),"")</f>
        <v/>
      </c>
      <c r="AC25" s="3" t="str" cm="1">
        <f t="array" ref="AC25">IFERROR(_FV(Tabel_VT_Reservaties[[#This Row],[Vt Info]],"Code motor euroklasse",TRUE),"")</f>
        <v/>
      </c>
      <c r="AD25" s="3" t="str" cm="1">
        <f t="array" ref="AD25">IFERROR(_FV(Tabel_VT_Reservaties[[#This Row],[Vt Info]],"Vt Sub Type",TRUE),"")</f>
        <v/>
      </c>
      <c r="AE25" s="3" t="str" cm="1">
        <f t="array" ref="AE25">IFERROR(_FV(Tabel_VT_Reservaties[[#This Row],[Vt Info]],"Vt Omschrijving",TRUE),"")</f>
        <v/>
      </c>
      <c r="AF25" s="3" t="str" cm="1">
        <f t="array" ref="AF25">IFERROR(_FV(Tabel_VT_Reservaties[[#This Row],[Vt Info]],"Bestelnummer"),"")</f>
        <v/>
      </c>
      <c r="AG25" s="3">
        <f>1</f>
        <v>1</v>
      </c>
    </row>
    <row r="26" spans="3:33" x14ac:dyDescent="0.25">
      <c r="E26" s="3"/>
      <c r="N26" s="28"/>
      <c r="O26" s="44" t="str">
        <f>IF(  Tabel_VT_Reservaties[[#This Row],[Datum Start]] &gt; 0,Tabel_VT_Reservaties[[#This Row],[Datum Start]]+TIME(HOUR(Tabel_VT_Reservaties[[#This Row],[Tijd Start]]),MINUTE(Tabel_VT_Reservaties[[#This Row],[Tijd Start]]),0),"")</f>
        <v/>
      </c>
      <c r="P26" s="44" t="str">
        <f>IF(  Tabel_VT_Reservaties[[#This Row],[Datum/Tijd Start]] &lt;&gt;"",Tabel_VT_Reservaties[[#This Row],[Datum/Tijd Start]]+TIME(HOUR(Tabel_VT_Reservaties[[#This Row],[Duurtijd]]),MINUTE(Tabel_VT_Reservaties[[#This Row],[Duurtijd]]),0),"")</f>
        <v/>
      </c>
      <c r="U26" s="3" t="str">
        <f>_xlfn.XLOOKUP(Tabel_VT_Reservaties[[#This Row],[Vt Nummer]],INPUT_VTS_REGIE_DT[Vt Nummer],INPUT_VTS_REGIE_DT[Vt Info],"")</f>
        <v/>
      </c>
      <c r="W26" s="3" t="str">
        <f>_xlfn.XLOOKUP(Tabel_VT_Reservaties[[#This Row],[Entiteit]]&amp;"#"&amp;Tabel_VT_Reservaties[[#This Row],[Stelplaats]],Tabel_Stelplaats_Contacten[Key],Tabel_Stelplaats_Contacten[Naam],"")</f>
        <v/>
      </c>
      <c r="X26" s="3" t="str">
        <f>_xlfn.XLOOKUP(Tabel_VT_Reservaties[[#This Row],[Entiteit]]&amp;"#"&amp;Tabel_VT_Reservaties[[#This Row],[Stelplaats]],Tabel_Stelplaats_Contacten[Key],Tabel_Stelplaats_Contacten[Email],"")</f>
        <v/>
      </c>
      <c r="Y26" s="3" t="str">
        <f>_xlfn.XLOOKUP(Tabel_VT_Reservaties[[#This Row],[Entiteit]]&amp;"#"&amp;Tabel_VT_Reservaties[[#This Row],[Stelplaats]],Tabel_Stelplaats_Contacten[Key],Tabel_Stelplaats_Contacten[GSM],"")</f>
        <v/>
      </c>
      <c r="AA26" s="3" t="str" cm="1">
        <f t="array" ref="AA26">IFERROR(_FV(Tabel_VT_Reservaties[[#This Row],[Vt Info]],"Vt Type",TRUE),"")</f>
        <v/>
      </c>
      <c r="AB26" s="3" t="str" cm="1">
        <f t="array" ref="AB26">IFERROR(_FV(Tabel_VT_Reservaties[[#This Row],[Vt Info]],"Leeftijd"),"")</f>
        <v/>
      </c>
      <c r="AC26" s="3" t="str" cm="1">
        <f t="array" ref="AC26">IFERROR(_FV(Tabel_VT_Reservaties[[#This Row],[Vt Info]],"Code motor euroklasse",TRUE),"")</f>
        <v/>
      </c>
      <c r="AD26" s="3" t="str" cm="1">
        <f t="array" ref="AD26">IFERROR(_FV(Tabel_VT_Reservaties[[#This Row],[Vt Info]],"Vt Sub Type",TRUE),"")</f>
        <v/>
      </c>
      <c r="AE26" s="3" t="str" cm="1">
        <f t="array" ref="AE26">IFERROR(_FV(Tabel_VT_Reservaties[[#This Row],[Vt Info]],"Vt Omschrijving",TRUE),"")</f>
        <v/>
      </c>
      <c r="AF26" s="3" t="str" cm="1">
        <f t="array" ref="AF26">IFERROR(_FV(Tabel_VT_Reservaties[[#This Row],[Vt Info]],"Bestelnummer"),"")</f>
        <v/>
      </c>
      <c r="AG26" s="3">
        <f>1</f>
        <v>1</v>
      </c>
    </row>
  </sheetData>
  <mergeCells count="5">
    <mergeCell ref="H10:J10"/>
    <mergeCell ref="L10:P10"/>
    <mergeCell ref="W10:Y10"/>
    <mergeCell ref="AA10:AG10"/>
    <mergeCell ref="R10:U10"/>
  </mergeCells>
  <phoneticPr fontId="4" type="noConversion"/>
  <conditionalFormatting sqref="E14:AF86">
    <cfRule type="expression" dxfId="64" priority="1">
      <formula>LEFT(E$14,2)="SP"</formula>
    </cfRule>
  </conditionalFormatting>
  <conditionalFormatting sqref="W20:X214">
    <cfRule type="expression" dxfId="63" priority="32">
      <formula>LEFT(AA$14,2)="SP"</formula>
    </cfRule>
  </conditionalFormatting>
  <conditionalFormatting sqref="E14:AF48">
    <cfRule type="expression" dxfId="62" priority="2">
      <formula>$F14="03a Geconfirmeerd"</formula>
    </cfRule>
  </conditionalFormatting>
  <dataValidations count="8">
    <dataValidation type="list" allowBlank="1" showInputMessage="1" showErrorMessage="1" sqref="R15:R43" xr:uid="{34A534ED-677D-46E0-8931-7261E55224FC}">
      <formula1>Lijst_Cascade1_Entiteiten</formula1>
    </dataValidation>
    <dataValidation type="list" allowBlank="1" showInputMessage="1" showErrorMessage="1" sqref="S15:S39" xr:uid="{0C2FFB02-5FF3-4200-8DAB-38F1E61580AB}">
      <formula1>Lijst_Cascade1_Stelplaatsen</formula1>
    </dataValidation>
    <dataValidation type="list" allowBlank="1" showInputMessage="1" showErrorMessage="1" sqref="T15:T38" xr:uid="{21495748-4387-4223-A8AF-FE7ADEB53C56}">
      <formula1>Lijst_Cascade1_VTS</formula1>
    </dataValidation>
    <dataValidation type="list" allowBlank="1" showInputMessage="1" showErrorMessage="1" sqref="M15:M82" xr:uid="{D36E0A4B-E56F-4674-81BE-7B192DE1463A}">
      <formula1>Lijst_Tijden</formula1>
    </dataValidation>
    <dataValidation type="list" allowBlank="1" showInputMessage="1" showErrorMessage="1" sqref="N15:N43" xr:uid="{A812F3B9-4F85-4AD8-8732-9BB7222790C9}">
      <formula1>Lijst_DuurTijden</formula1>
    </dataValidation>
    <dataValidation type="list" allowBlank="1" showInputMessage="1" showErrorMessage="1" sqref="H15:H1474" xr:uid="{6B95575B-8F8B-4C3E-A2F0-BD0EB2808E7B}">
      <formula1>Lijst_Cascade2_Projecten</formula1>
    </dataValidation>
    <dataValidation type="list" allowBlank="1" showInputMessage="1" showErrorMessage="1" sqref="F15:F498" xr:uid="{E4720786-616A-44CE-B5CF-189F6090FF1E}">
      <formula1>Lijst_Reservatie_Status</formula1>
    </dataValidation>
    <dataValidation type="list" allowBlank="1" showInputMessage="1" showErrorMessage="1" sqref="I15:I49" xr:uid="{20A8294C-ED78-45F0-88E6-A54F6AF9CF50}">
      <formula1>Lijst_Cascade2_Medewerkers</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5FC2-98F8-4762-A85E-FAB3FA20AAAD}">
  <sheetPr codeName="Sheet4"/>
  <dimension ref="D2:Q5"/>
  <sheetViews>
    <sheetView showGridLines="0" workbookViewId="0">
      <selection activeCell="H20" sqref="H20"/>
    </sheetView>
  </sheetViews>
  <sheetFormatPr defaultRowHeight="15" x14ac:dyDescent="0.25"/>
  <cols>
    <col min="4" max="4" width="21.140625" style="3" customWidth="1"/>
    <col min="5" max="5" width="22.140625" style="3" customWidth="1"/>
    <col min="6" max="6" width="9.140625" style="3"/>
    <col min="7" max="7" width="1.42578125" style="39" customWidth="1"/>
    <col min="8" max="8" width="9.140625" style="3"/>
    <col min="9" max="9" width="13.42578125" style="3" customWidth="1"/>
    <col min="10" max="10" width="9.140625" style="3"/>
    <col min="11" max="11" width="1.140625" style="39" customWidth="1"/>
    <col min="12" max="12" width="16.28515625" style="3" customWidth="1"/>
    <col min="13" max="13" width="2.28515625" style="39" customWidth="1"/>
    <col min="14" max="14" width="15.28515625" style="3" customWidth="1"/>
    <col min="15" max="16" width="20" style="3" customWidth="1"/>
    <col min="17" max="17" width="19.85546875" style="3" customWidth="1"/>
  </cols>
  <sheetData>
    <row r="2" spans="4:17" x14ac:dyDescent="0.25">
      <c r="N2" s="49" t="s">
        <v>3953</v>
      </c>
      <c r="O2" s="49"/>
      <c r="P2" s="49"/>
      <c r="Q2" s="49"/>
    </row>
    <row r="3" spans="4:17" s="21" customFormat="1" ht="53.25" customHeight="1" x14ac:dyDescent="0.25">
      <c r="D3" s="33" t="s">
        <v>3769</v>
      </c>
      <c r="E3" s="33" t="s">
        <v>3770</v>
      </c>
      <c r="F3" s="34" t="s">
        <v>3940</v>
      </c>
      <c r="G3" s="37" t="s">
        <v>3771</v>
      </c>
      <c r="H3" s="33" t="s">
        <v>62</v>
      </c>
      <c r="I3" s="33" t="s">
        <v>57</v>
      </c>
      <c r="J3" s="33" t="s">
        <v>54</v>
      </c>
      <c r="K3" s="37" t="s">
        <v>3772</v>
      </c>
      <c r="L3" s="33" t="s">
        <v>3952</v>
      </c>
      <c r="M3" s="37" t="s">
        <v>3937</v>
      </c>
      <c r="N3" s="33" t="s">
        <v>3949</v>
      </c>
      <c r="O3" s="33" t="s">
        <v>3950</v>
      </c>
      <c r="P3" s="33" t="s">
        <v>3951</v>
      </c>
      <c r="Q3" s="38" t="s">
        <v>32</v>
      </c>
    </row>
    <row r="4" spans="4:17" x14ac:dyDescent="0.25">
      <c r="D4" s="40">
        <v>45209.375</v>
      </c>
      <c r="E4" s="40">
        <v>45209.5</v>
      </c>
      <c r="F4" s="35" t="s">
        <v>3947</v>
      </c>
      <c r="H4" s="36" t="s">
        <v>3662</v>
      </c>
      <c r="I4" s="36" t="s">
        <v>3679</v>
      </c>
      <c r="J4" s="36">
        <v>2215</v>
      </c>
      <c r="L4" s="36"/>
      <c r="N4" s="36"/>
      <c r="O4" s="36"/>
      <c r="P4" s="36"/>
    </row>
    <row r="5" spans="4:17" x14ac:dyDescent="0.25">
      <c r="D5" s="40">
        <v>45211.333333333336</v>
      </c>
      <c r="E5" s="40">
        <v>45211.375</v>
      </c>
      <c r="F5" s="35" t="s">
        <v>3948</v>
      </c>
      <c r="H5" s="36" t="s">
        <v>3662</v>
      </c>
      <c r="I5" s="36" t="s">
        <v>3716</v>
      </c>
      <c r="J5" s="36">
        <v>2871</v>
      </c>
      <c r="L5" s="36"/>
      <c r="N5" s="36"/>
      <c r="O5" s="36"/>
    </row>
  </sheetData>
  <mergeCells count="1">
    <mergeCell ref="N2:Q2"/>
  </mergeCells>
  <conditionalFormatting sqref="D3:P5 Q3">
    <cfRule type="expression" dxfId="36" priority="1">
      <formula>LEFT(D$14,2)="SP"</formula>
    </cfRule>
  </conditionalFormatting>
  <dataValidations count="3">
    <dataValidation type="list" allowBlank="1" showInputMessage="1" showErrorMessage="1" sqref="J4:J5" xr:uid="{0D2BF2E4-2238-4CDE-99E9-AE1219A31D89}">
      <formula1>Lijst_Cascade1_VTS</formula1>
    </dataValidation>
    <dataValidation type="list" allowBlank="1" showInputMessage="1" showErrorMessage="1" sqref="I4:I5" xr:uid="{9036A37C-1129-4CD4-81ED-169DCE3D7E93}">
      <formula1>Lijst_Cascade1_Stelplaatsen</formula1>
    </dataValidation>
    <dataValidation type="list" allowBlank="1" showInputMessage="1" showErrorMessage="1" sqref="H4:H5" xr:uid="{994EC30A-951B-41A9-9827-59A2CD56E4A4}">
      <formula1>Lijst_Cascade1_Entiteiten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B5E0D-7EE1-4FD4-B61A-18A3B1875C05}">
  <sheetPr codeName="Sheet8"/>
  <dimension ref="D1:P1631"/>
  <sheetViews>
    <sheetView workbookViewId="0">
      <pane xSplit="11" ySplit="10" topLeftCell="L612" activePane="bottomRight" state="frozen"/>
      <selection pane="topRight" activeCell="L1" sqref="L1"/>
      <selection pane="bottomLeft" activeCell="A11" sqref="A11"/>
      <selection pane="bottomRight" activeCell="G618" sqref="G618"/>
    </sheetView>
  </sheetViews>
  <sheetFormatPr defaultRowHeight="15" x14ac:dyDescent="0.25"/>
  <cols>
    <col min="4" max="4" width="18.7109375" bestFit="1" customWidth="1"/>
    <col min="5" max="5" width="15" bestFit="1" customWidth="1"/>
    <col min="6" max="6" width="20.7109375" bestFit="1" customWidth="1"/>
    <col min="7" max="7" width="21.85546875" bestFit="1" customWidth="1"/>
    <col min="8" max="8" width="12" bestFit="1" customWidth="1"/>
    <col min="9" max="9" width="26.28515625" bestFit="1" customWidth="1"/>
    <col min="10" max="10" width="10.140625" bestFit="1" customWidth="1"/>
    <col min="11" max="11" width="14.7109375" bestFit="1" customWidth="1"/>
    <col min="12" max="12" width="13.42578125" bestFit="1" customWidth="1"/>
    <col min="13" max="13" width="33.42578125" bestFit="1" customWidth="1"/>
    <col min="14" max="14" width="15.7109375" bestFit="1" customWidth="1"/>
    <col min="15" max="15" width="10.42578125" bestFit="1" customWidth="1"/>
    <col min="16" max="16" width="11.140625" bestFit="1" customWidth="1"/>
  </cols>
  <sheetData>
    <row r="1" spans="4:16" ht="23.25" x14ac:dyDescent="0.35">
      <c r="D1" s="15" t="s">
        <v>3643</v>
      </c>
      <c r="E1" s="14"/>
      <c r="F1" s="14"/>
      <c r="G1" s="14"/>
      <c r="H1" s="14"/>
      <c r="I1" s="14"/>
      <c r="J1" s="14"/>
      <c r="K1" s="14"/>
    </row>
    <row r="9" spans="4:16" x14ac:dyDescent="0.25">
      <c r="D9" s="16">
        <f>SUBTOTAL(109,INPUT_VTS_EXPL[Counter])</f>
        <v>769</v>
      </c>
    </row>
    <row r="10" spans="4:16" x14ac:dyDescent="0.25">
      <c r="D10" t="s">
        <v>124</v>
      </c>
      <c r="E10" t="s">
        <v>125</v>
      </c>
      <c r="F10" t="s">
        <v>126</v>
      </c>
      <c r="G10" t="s">
        <v>127</v>
      </c>
      <c r="H10" t="s">
        <v>128</v>
      </c>
      <c r="I10" t="s">
        <v>129</v>
      </c>
      <c r="J10" t="s">
        <v>123</v>
      </c>
      <c r="K10" t="s">
        <v>130</v>
      </c>
      <c r="L10" t="s">
        <v>131</v>
      </c>
      <c r="M10" t="s">
        <v>132</v>
      </c>
      <c r="N10" t="s">
        <v>133</v>
      </c>
      <c r="O10" t="s">
        <v>70</v>
      </c>
      <c r="P10" t="s">
        <v>3640</v>
      </c>
    </row>
    <row r="11" spans="4:16" hidden="1" x14ac:dyDescent="0.25">
      <c r="D11" t="s">
        <v>134</v>
      </c>
      <c r="E11" t="s">
        <v>135</v>
      </c>
      <c r="F11" t="s">
        <v>136</v>
      </c>
      <c r="G11" t="s">
        <v>136</v>
      </c>
      <c r="H11" t="s">
        <v>137</v>
      </c>
      <c r="I11" s="13">
        <v>37517</v>
      </c>
      <c r="J11">
        <v>21</v>
      </c>
      <c r="K11" t="s">
        <v>138</v>
      </c>
      <c r="L11" t="s">
        <v>139</v>
      </c>
      <c r="M11" t="s">
        <v>140</v>
      </c>
      <c r="N11" t="s">
        <v>141</v>
      </c>
      <c r="O11">
        <v>1</v>
      </c>
      <c r="P11">
        <v>20.98</v>
      </c>
    </row>
    <row r="12" spans="4:16" hidden="1" x14ac:dyDescent="0.25">
      <c r="D12" t="s">
        <v>142</v>
      </c>
      <c r="E12" t="s">
        <v>135</v>
      </c>
      <c r="F12" t="s">
        <v>143</v>
      </c>
      <c r="G12" t="s">
        <v>144</v>
      </c>
      <c r="H12" t="s">
        <v>137</v>
      </c>
      <c r="I12" s="13">
        <v>38069</v>
      </c>
      <c r="J12">
        <v>19</v>
      </c>
      <c r="K12" t="s">
        <v>145</v>
      </c>
      <c r="L12" t="s">
        <v>139</v>
      </c>
      <c r="M12" t="s">
        <v>146</v>
      </c>
      <c r="N12" t="s">
        <v>147</v>
      </c>
      <c r="O12">
        <v>1</v>
      </c>
      <c r="P12">
        <v>19.47</v>
      </c>
    </row>
    <row r="13" spans="4:16" hidden="1" x14ac:dyDescent="0.25">
      <c r="D13" t="s">
        <v>148</v>
      </c>
      <c r="E13" t="s">
        <v>135</v>
      </c>
      <c r="F13" t="s">
        <v>149</v>
      </c>
      <c r="G13" t="s">
        <v>150</v>
      </c>
      <c r="H13" t="s">
        <v>137</v>
      </c>
      <c r="I13" s="13">
        <v>38442</v>
      </c>
      <c r="J13">
        <v>18</v>
      </c>
      <c r="K13" t="s">
        <v>145</v>
      </c>
      <c r="L13" t="s">
        <v>139</v>
      </c>
      <c r="M13" t="s">
        <v>151</v>
      </c>
      <c r="N13" t="s">
        <v>152</v>
      </c>
      <c r="O13">
        <v>1</v>
      </c>
      <c r="P13">
        <v>18.45</v>
      </c>
    </row>
    <row r="14" spans="4:16" hidden="1" x14ac:dyDescent="0.25">
      <c r="D14" t="s">
        <v>153</v>
      </c>
      <c r="E14" t="s">
        <v>135</v>
      </c>
      <c r="F14" t="s">
        <v>143</v>
      </c>
      <c r="G14" t="s">
        <v>144</v>
      </c>
      <c r="H14" t="s">
        <v>137</v>
      </c>
      <c r="I14" s="13">
        <v>38455</v>
      </c>
      <c r="J14">
        <v>18</v>
      </c>
      <c r="K14" t="s">
        <v>145</v>
      </c>
      <c r="L14" t="s">
        <v>139</v>
      </c>
      <c r="M14" t="s">
        <v>154</v>
      </c>
      <c r="N14" t="s">
        <v>155</v>
      </c>
      <c r="O14">
        <v>1</v>
      </c>
      <c r="P14">
        <v>18.41</v>
      </c>
    </row>
    <row r="15" spans="4:16" hidden="1" x14ac:dyDescent="0.25">
      <c r="D15" t="s">
        <v>156</v>
      </c>
      <c r="E15" t="s">
        <v>135</v>
      </c>
      <c r="F15" t="s">
        <v>143</v>
      </c>
      <c r="G15" t="s">
        <v>144</v>
      </c>
      <c r="H15" t="s">
        <v>137</v>
      </c>
      <c r="I15" s="13">
        <v>38483</v>
      </c>
      <c r="J15">
        <v>18</v>
      </c>
      <c r="K15" t="s">
        <v>157</v>
      </c>
      <c r="L15" t="s">
        <v>139</v>
      </c>
      <c r="M15" t="s">
        <v>154</v>
      </c>
      <c r="N15" t="s">
        <v>158</v>
      </c>
      <c r="O15">
        <v>1</v>
      </c>
      <c r="P15">
        <v>18.329999999999998</v>
      </c>
    </row>
    <row r="16" spans="4:16" hidden="1" x14ac:dyDescent="0.25">
      <c r="D16" t="s">
        <v>159</v>
      </c>
      <c r="E16" t="s">
        <v>135</v>
      </c>
      <c r="F16" t="s">
        <v>149</v>
      </c>
      <c r="G16" t="s">
        <v>150</v>
      </c>
      <c r="H16" t="s">
        <v>137</v>
      </c>
      <c r="I16" s="13">
        <v>38527</v>
      </c>
      <c r="J16">
        <v>18</v>
      </c>
      <c r="K16" t="s">
        <v>145</v>
      </c>
      <c r="L16" t="s">
        <v>139</v>
      </c>
      <c r="M16" t="s">
        <v>160</v>
      </c>
      <c r="N16" t="s">
        <v>161</v>
      </c>
      <c r="O16">
        <v>1</v>
      </c>
      <c r="P16">
        <v>18.21</v>
      </c>
    </row>
    <row r="17" spans="4:16" hidden="1" x14ac:dyDescent="0.25">
      <c r="D17" t="s">
        <v>162</v>
      </c>
      <c r="E17" t="s">
        <v>135</v>
      </c>
      <c r="F17" t="s">
        <v>149</v>
      </c>
      <c r="G17" t="s">
        <v>163</v>
      </c>
      <c r="H17" t="s">
        <v>137</v>
      </c>
      <c r="I17" s="13">
        <v>38581</v>
      </c>
      <c r="J17">
        <v>18</v>
      </c>
      <c r="K17" t="s">
        <v>145</v>
      </c>
      <c r="L17" t="s">
        <v>164</v>
      </c>
      <c r="M17" t="s">
        <v>165</v>
      </c>
      <c r="N17" t="s">
        <v>166</v>
      </c>
      <c r="O17">
        <v>1</v>
      </c>
      <c r="P17">
        <v>18.07</v>
      </c>
    </row>
    <row r="18" spans="4:16" hidden="1" x14ac:dyDescent="0.25">
      <c r="D18" t="s">
        <v>167</v>
      </c>
      <c r="E18" t="s">
        <v>135</v>
      </c>
      <c r="F18" t="s">
        <v>149</v>
      </c>
      <c r="G18" t="s">
        <v>163</v>
      </c>
      <c r="H18" t="s">
        <v>137</v>
      </c>
      <c r="I18" s="13">
        <v>38581</v>
      </c>
      <c r="J18">
        <v>18</v>
      </c>
      <c r="K18" t="s">
        <v>145</v>
      </c>
      <c r="L18" t="s">
        <v>164</v>
      </c>
      <c r="M18" t="s">
        <v>165</v>
      </c>
      <c r="N18" t="s">
        <v>168</v>
      </c>
      <c r="O18">
        <v>1</v>
      </c>
      <c r="P18">
        <v>18.07</v>
      </c>
    </row>
    <row r="19" spans="4:16" hidden="1" x14ac:dyDescent="0.25">
      <c r="D19" t="s">
        <v>169</v>
      </c>
      <c r="E19" t="s">
        <v>135</v>
      </c>
      <c r="F19" t="s">
        <v>149</v>
      </c>
      <c r="G19" t="s">
        <v>163</v>
      </c>
      <c r="H19" t="s">
        <v>137</v>
      </c>
      <c r="I19" s="13">
        <v>38581</v>
      </c>
      <c r="J19">
        <v>18</v>
      </c>
      <c r="K19" t="s">
        <v>138</v>
      </c>
      <c r="L19" t="s">
        <v>139</v>
      </c>
      <c r="M19" t="s">
        <v>170</v>
      </c>
      <c r="N19" t="s">
        <v>171</v>
      </c>
      <c r="O19">
        <v>1</v>
      </c>
      <c r="P19">
        <v>18.07</v>
      </c>
    </row>
    <row r="20" spans="4:16" hidden="1" x14ac:dyDescent="0.25">
      <c r="D20" t="s">
        <v>172</v>
      </c>
      <c r="E20" t="s">
        <v>135</v>
      </c>
      <c r="F20" t="s">
        <v>173</v>
      </c>
      <c r="G20" t="s">
        <v>163</v>
      </c>
      <c r="H20" t="s">
        <v>137</v>
      </c>
      <c r="I20" s="13">
        <v>38596</v>
      </c>
      <c r="J20">
        <v>18</v>
      </c>
      <c r="K20" t="s">
        <v>138</v>
      </c>
      <c r="L20" t="s">
        <v>164</v>
      </c>
      <c r="M20" t="s">
        <v>170</v>
      </c>
      <c r="N20" t="s">
        <v>174</v>
      </c>
      <c r="O20">
        <v>1</v>
      </c>
      <c r="P20">
        <v>18.03</v>
      </c>
    </row>
    <row r="21" spans="4:16" hidden="1" x14ac:dyDescent="0.25">
      <c r="D21" t="s">
        <v>175</v>
      </c>
      <c r="E21" t="s">
        <v>135</v>
      </c>
      <c r="F21" t="s">
        <v>149</v>
      </c>
      <c r="G21" t="s">
        <v>163</v>
      </c>
      <c r="H21" t="s">
        <v>176</v>
      </c>
      <c r="I21" s="13">
        <v>38629</v>
      </c>
      <c r="J21">
        <v>18</v>
      </c>
      <c r="K21" t="s">
        <v>177</v>
      </c>
      <c r="L21" t="s">
        <v>139</v>
      </c>
      <c r="M21" t="s">
        <v>178</v>
      </c>
      <c r="N21" t="s">
        <v>179</v>
      </c>
      <c r="O21">
        <v>1</v>
      </c>
      <c r="P21">
        <v>17.93</v>
      </c>
    </row>
    <row r="22" spans="4:16" hidden="1" x14ac:dyDescent="0.25">
      <c r="D22" t="s">
        <v>175</v>
      </c>
      <c r="E22" t="s">
        <v>135</v>
      </c>
      <c r="F22" t="s">
        <v>149</v>
      </c>
      <c r="G22" t="s">
        <v>163</v>
      </c>
      <c r="H22" t="s">
        <v>176</v>
      </c>
      <c r="I22" s="13">
        <v>38629</v>
      </c>
      <c r="J22">
        <v>18</v>
      </c>
      <c r="K22" t="s">
        <v>138</v>
      </c>
      <c r="L22" t="s">
        <v>139</v>
      </c>
      <c r="M22" t="s">
        <v>178</v>
      </c>
      <c r="N22" t="s">
        <v>179</v>
      </c>
      <c r="O22">
        <v>1</v>
      </c>
      <c r="P22">
        <v>17.93</v>
      </c>
    </row>
    <row r="23" spans="4:16" hidden="1" x14ac:dyDescent="0.25">
      <c r="D23" t="s">
        <v>180</v>
      </c>
      <c r="E23" t="s">
        <v>135</v>
      </c>
      <c r="F23" t="s">
        <v>181</v>
      </c>
      <c r="G23" t="s">
        <v>182</v>
      </c>
      <c r="H23" t="s">
        <v>137</v>
      </c>
      <c r="I23" s="13">
        <v>38637</v>
      </c>
      <c r="J23">
        <v>18</v>
      </c>
      <c r="K23" t="s">
        <v>138</v>
      </c>
      <c r="L23" t="s">
        <v>139</v>
      </c>
      <c r="M23" t="s">
        <v>183</v>
      </c>
      <c r="N23" t="s">
        <v>184</v>
      </c>
      <c r="O23">
        <v>1</v>
      </c>
      <c r="P23">
        <v>17.91</v>
      </c>
    </row>
    <row r="24" spans="4:16" hidden="1" x14ac:dyDescent="0.25">
      <c r="D24" t="s">
        <v>185</v>
      </c>
      <c r="E24" t="s">
        <v>135</v>
      </c>
      <c r="F24" t="s">
        <v>149</v>
      </c>
      <c r="G24" t="s">
        <v>163</v>
      </c>
      <c r="H24" t="s">
        <v>137</v>
      </c>
      <c r="I24" s="13">
        <v>38692</v>
      </c>
      <c r="J24">
        <v>18</v>
      </c>
      <c r="K24" t="s">
        <v>177</v>
      </c>
      <c r="L24" t="s">
        <v>139</v>
      </c>
      <c r="M24" t="s">
        <v>186</v>
      </c>
      <c r="N24" t="s">
        <v>187</v>
      </c>
      <c r="O24">
        <v>1</v>
      </c>
      <c r="P24">
        <v>17.760000000000002</v>
      </c>
    </row>
    <row r="25" spans="4:16" hidden="1" x14ac:dyDescent="0.25">
      <c r="D25" t="s">
        <v>188</v>
      </c>
      <c r="E25" t="s">
        <v>135</v>
      </c>
      <c r="F25" t="s">
        <v>149</v>
      </c>
      <c r="G25" t="s">
        <v>163</v>
      </c>
      <c r="H25" t="s">
        <v>137</v>
      </c>
      <c r="I25" s="13">
        <v>38701</v>
      </c>
      <c r="J25">
        <v>18</v>
      </c>
      <c r="K25" t="s">
        <v>145</v>
      </c>
      <c r="L25" t="s">
        <v>139</v>
      </c>
      <c r="M25" t="s">
        <v>189</v>
      </c>
      <c r="N25" t="s">
        <v>190</v>
      </c>
      <c r="O25">
        <v>1</v>
      </c>
      <c r="P25">
        <v>17.739999999999998</v>
      </c>
    </row>
    <row r="26" spans="4:16" hidden="1" x14ac:dyDescent="0.25">
      <c r="D26" t="s">
        <v>191</v>
      </c>
      <c r="E26" t="s">
        <v>135</v>
      </c>
      <c r="F26" t="s">
        <v>149</v>
      </c>
      <c r="G26" t="s">
        <v>192</v>
      </c>
      <c r="H26" t="s">
        <v>137</v>
      </c>
      <c r="I26" s="13">
        <v>38701</v>
      </c>
      <c r="J26">
        <v>18</v>
      </c>
      <c r="K26" t="s">
        <v>145</v>
      </c>
      <c r="L26" t="s">
        <v>139</v>
      </c>
      <c r="M26" t="s">
        <v>193</v>
      </c>
      <c r="N26" t="s">
        <v>194</v>
      </c>
      <c r="O26">
        <v>1</v>
      </c>
      <c r="P26">
        <v>17.739999999999998</v>
      </c>
    </row>
    <row r="27" spans="4:16" hidden="1" x14ac:dyDescent="0.25">
      <c r="D27" t="s">
        <v>195</v>
      </c>
      <c r="E27" t="s">
        <v>135</v>
      </c>
      <c r="F27" t="s">
        <v>149</v>
      </c>
      <c r="G27" t="s">
        <v>163</v>
      </c>
      <c r="H27" t="s">
        <v>137</v>
      </c>
      <c r="I27" s="13">
        <v>38722</v>
      </c>
      <c r="J27">
        <v>18</v>
      </c>
      <c r="K27" t="s">
        <v>145</v>
      </c>
      <c r="L27" t="s">
        <v>164</v>
      </c>
      <c r="M27" t="s">
        <v>196</v>
      </c>
      <c r="N27" t="s">
        <v>197</v>
      </c>
      <c r="O27">
        <v>1</v>
      </c>
      <c r="P27">
        <v>17.68</v>
      </c>
    </row>
    <row r="28" spans="4:16" hidden="1" x14ac:dyDescent="0.25">
      <c r="D28" t="s">
        <v>198</v>
      </c>
      <c r="E28" t="s">
        <v>135</v>
      </c>
      <c r="F28" t="s">
        <v>136</v>
      </c>
      <c r="G28" t="s">
        <v>199</v>
      </c>
      <c r="H28" t="s">
        <v>137</v>
      </c>
      <c r="I28" s="13">
        <v>38721</v>
      </c>
      <c r="J28">
        <v>18</v>
      </c>
      <c r="K28" t="s">
        <v>145</v>
      </c>
      <c r="L28" t="s">
        <v>139</v>
      </c>
      <c r="M28" t="s">
        <v>200</v>
      </c>
      <c r="N28" t="s">
        <v>201</v>
      </c>
      <c r="O28">
        <v>1</v>
      </c>
      <c r="P28">
        <v>17.68</v>
      </c>
    </row>
    <row r="29" spans="4:16" hidden="1" x14ac:dyDescent="0.25">
      <c r="D29" t="s">
        <v>202</v>
      </c>
      <c r="E29" t="s">
        <v>135</v>
      </c>
      <c r="F29" t="s">
        <v>181</v>
      </c>
      <c r="G29" t="s">
        <v>203</v>
      </c>
      <c r="H29" t="s">
        <v>137</v>
      </c>
      <c r="I29" s="13">
        <v>38721</v>
      </c>
      <c r="J29">
        <v>18</v>
      </c>
      <c r="K29" t="s">
        <v>177</v>
      </c>
      <c r="L29" t="s">
        <v>139</v>
      </c>
      <c r="M29" t="s">
        <v>204</v>
      </c>
      <c r="N29" t="s">
        <v>205</v>
      </c>
      <c r="O29">
        <v>1</v>
      </c>
      <c r="P29">
        <v>17.68</v>
      </c>
    </row>
    <row r="30" spans="4:16" hidden="1" x14ac:dyDescent="0.25">
      <c r="D30" t="s">
        <v>206</v>
      </c>
      <c r="E30" t="s">
        <v>135</v>
      </c>
      <c r="F30" t="s">
        <v>149</v>
      </c>
      <c r="G30" t="s">
        <v>150</v>
      </c>
      <c r="H30" t="s">
        <v>137</v>
      </c>
      <c r="I30" s="13">
        <v>38733</v>
      </c>
      <c r="J30">
        <v>18</v>
      </c>
      <c r="K30" t="s">
        <v>145</v>
      </c>
      <c r="L30" t="s">
        <v>139</v>
      </c>
      <c r="M30" t="s">
        <v>207</v>
      </c>
      <c r="N30" t="s">
        <v>208</v>
      </c>
      <c r="O30">
        <v>1</v>
      </c>
      <c r="P30">
        <v>17.649999999999999</v>
      </c>
    </row>
    <row r="31" spans="4:16" hidden="1" x14ac:dyDescent="0.25">
      <c r="D31" t="s">
        <v>209</v>
      </c>
      <c r="E31" t="s">
        <v>135</v>
      </c>
      <c r="F31" t="s">
        <v>149</v>
      </c>
      <c r="G31" t="s">
        <v>192</v>
      </c>
      <c r="H31" t="s">
        <v>137</v>
      </c>
      <c r="I31" s="13">
        <v>38733</v>
      </c>
      <c r="J31">
        <v>18</v>
      </c>
      <c r="K31" t="s">
        <v>145</v>
      </c>
      <c r="L31" t="s">
        <v>139</v>
      </c>
      <c r="M31" t="s">
        <v>193</v>
      </c>
      <c r="N31" t="s">
        <v>210</v>
      </c>
      <c r="O31">
        <v>1</v>
      </c>
      <c r="P31">
        <v>17.649999999999999</v>
      </c>
    </row>
    <row r="32" spans="4:16" hidden="1" x14ac:dyDescent="0.25">
      <c r="D32" t="s">
        <v>211</v>
      </c>
      <c r="E32" t="s">
        <v>135</v>
      </c>
      <c r="F32" t="s">
        <v>149</v>
      </c>
      <c r="G32" t="s">
        <v>163</v>
      </c>
      <c r="H32" t="s">
        <v>176</v>
      </c>
      <c r="I32" s="13">
        <v>38744</v>
      </c>
      <c r="J32">
        <v>18</v>
      </c>
      <c r="K32" t="s">
        <v>177</v>
      </c>
      <c r="L32" t="s">
        <v>164</v>
      </c>
      <c r="M32" t="s">
        <v>178</v>
      </c>
      <c r="N32" t="s">
        <v>212</v>
      </c>
      <c r="O32">
        <v>1</v>
      </c>
      <c r="P32">
        <v>17.62</v>
      </c>
    </row>
    <row r="33" spans="4:16" hidden="1" x14ac:dyDescent="0.25">
      <c r="D33" t="s">
        <v>213</v>
      </c>
      <c r="E33" t="s">
        <v>135</v>
      </c>
      <c r="F33" t="s">
        <v>149</v>
      </c>
      <c r="G33" t="s">
        <v>163</v>
      </c>
      <c r="H33" t="s">
        <v>137</v>
      </c>
      <c r="I33" s="13">
        <v>38755</v>
      </c>
      <c r="J33">
        <v>18</v>
      </c>
      <c r="K33" t="s">
        <v>177</v>
      </c>
      <c r="L33" t="s">
        <v>139</v>
      </c>
      <c r="M33" t="s">
        <v>151</v>
      </c>
      <c r="N33" t="s">
        <v>214</v>
      </c>
      <c r="O33">
        <v>1</v>
      </c>
      <c r="P33">
        <v>17.59</v>
      </c>
    </row>
    <row r="34" spans="4:16" hidden="1" x14ac:dyDescent="0.25">
      <c r="D34" t="s">
        <v>215</v>
      </c>
      <c r="E34" t="s">
        <v>135</v>
      </c>
      <c r="F34" t="s">
        <v>149</v>
      </c>
      <c r="G34" t="s">
        <v>192</v>
      </c>
      <c r="H34" t="s">
        <v>137</v>
      </c>
      <c r="I34" s="13">
        <v>38757</v>
      </c>
      <c r="J34">
        <v>18</v>
      </c>
      <c r="K34" t="s">
        <v>145</v>
      </c>
      <c r="L34" t="s">
        <v>164</v>
      </c>
      <c r="M34" t="s">
        <v>216</v>
      </c>
      <c r="N34" t="s">
        <v>217</v>
      </c>
      <c r="O34">
        <v>1</v>
      </c>
      <c r="P34">
        <v>17.579999999999998</v>
      </c>
    </row>
    <row r="35" spans="4:16" hidden="1" x14ac:dyDescent="0.25">
      <c r="D35" t="s">
        <v>218</v>
      </c>
      <c r="E35" t="s">
        <v>135</v>
      </c>
      <c r="F35" t="s">
        <v>149</v>
      </c>
      <c r="G35" t="s">
        <v>163</v>
      </c>
      <c r="H35" t="s">
        <v>137</v>
      </c>
      <c r="I35" s="13">
        <v>38757</v>
      </c>
      <c r="J35">
        <v>18</v>
      </c>
      <c r="K35" t="s">
        <v>145</v>
      </c>
      <c r="L35" t="s">
        <v>139</v>
      </c>
      <c r="M35" t="s">
        <v>193</v>
      </c>
      <c r="N35" t="s">
        <v>219</v>
      </c>
      <c r="O35">
        <v>1</v>
      </c>
      <c r="P35">
        <v>17.579999999999998</v>
      </c>
    </row>
    <row r="36" spans="4:16" hidden="1" x14ac:dyDescent="0.25">
      <c r="D36" t="s">
        <v>220</v>
      </c>
      <c r="E36" t="s">
        <v>135</v>
      </c>
      <c r="F36" t="s">
        <v>143</v>
      </c>
      <c r="G36" t="s">
        <v>221</v>
      </c>
      <c r="H36" t="s">
        <v>137</v>
      </c>
      <c r="I36" s="13">
        <v>38791</v>
      </c>
      <c r="J36">
        <v>17</v>
      </c>
      <c r="K36" t="s">
        <v>138</v>
      </c>
      <c r="L36" t="s">
        <v>139</v>
      </c>
      <c r="M36" t="s">
        <v>222</v>
      </c>
      <c r="N36" t="s">
        <v>223</v>
      </c>
      <c r="O36">
        <v>1</v>
      </c>
      <c r="P36">
        <v>17.489999999999998</v>
      </c>
    </row>
    <row r="37" spans="4:16" hidden="1" x14ac:dyDescent="0.25">
      <c r="D37" t="s">
        <v>224</v>
      </c>
      <c r="E37" t="s">
        <v>135</v>
      </c>
      <c r="F37" t="s">
        <v>225</v>
      </c>
      <c r="G37" t="s">
        <v>226</v>
      </c>
      <c r="H37" t="s">
        <v>137</v>
      </c>
      <c r="I37" s="13">
        <v>38847</v>
      </c>
      <c r="J37">
        <v>17</v>
      </c>
      <c r="K37" t="s">
        <v>145</v>
      </c>
      <c r="L37" t="s">
        <v>139</v>
      </c>
      <c r="M37" t="s">
        <v>227</v>
      </c>
      <c r="N37" t="s">
        <v>228</v>
      </c>
      <c r="O37">
        <v>1</v>
      </c>
      <c r="P37">
        <v>17.34</v>
      </c>
    </row>
    <row r="38" spans="4:16" hidden="1" x14ac:dyDescent="0.25">
      <c r="D38" t="s">
        <v>229</v>
      </c>
      <c r="E38" t="s">
        <v>135</v>
      </c>
      <c r="F38" t="s">
        <v>143</v>
      </c>
      <c r="G38" t="s">
        <v>144</v>
      </c>
      <c r="H38" t="s">
        <v>137</v>
      </c>
      <c r="I38" s="13">
        <v>38849</v>
      </c>
      <c r="J38">
        <v>17</v>
      </c>
      <c r="K38" t="s">
        <v>138</v>
      </c>
      <c r="L38" t="s">
        <v>164</v>
      </c>
      <c r="M38" t="s">
        <v>230</v>
      </c>
      <c r="N38" t="s">
        <v>231</v>
      </c>
      <c r="O38">
        <v>1</v>
      </c>
      <c r="P38">
        <v>17.329999999999998</v>
      </c>
    </row>
    <row r="39" spans="4:16" hidden="1" x14ac:dyDescent="0.25">
      <c r="D39" t="s">
        <v>232</v>
      </c>
      <c r="E39" t="s">
        <v>135</v>
      </c>
      <c r="F39" t="s">
        <v>136</v>
      </c>
      <c r="G39" t="s">
        <v>199</v>
      </c>
      <c r="H39" t="s">
        <v>137</v>
      </c>
      <c r="I39" s="13">
        <v>38898</v>
      </c>
      <c r="J39">
        <v>17</v>
      </c>
      <c r="K39" t="s">
        <v>145</v>
      </c>
      <c r="L39" t="s">
        <v>139</v>
      </c>
      <c r="M39" t="s">
        <v>200</v>
      </c>
      <c r="N39" t="s">
        <v>233</v>
      </c>
      <c r="O39">
        <v>1</v>
      </c>
      <c r="P39">
        <v>17.2</v>
      </c>
    </row>
    <row r="40" spans="4:16" hidden="1" x14ac:dyDescent="0.25">
      <c r="D40" t="s">
        <v>234</v>
      </c>
      <c r="E40" t="s">
        <v>135</v>
      </c>
      <c r="F40" t="s">
        <v>136</v>
      </c>
      <c r="G40" t="s">
        <v>136</v>
      </c>
      <c r="H40" t="s">
        <v>137</v>
      </c>
      <c r="I40" s="13">
        <v>38923</v>
      </c>
      <c r="J40">
        <v>17</v>
      </c>
      <c r="K40" t="s">
        <v>145</v>
      </c>
      <c r="L40" t="s">
        <v>139</v>
      </c>
      <c r="M40" t="s">
        <v>200</v>
      </c>
      <c r="N40" t="s">
        <v>235</v>
      </c>
      <c r="O40">
        <v>1</v>
      </c>
      <c r="P40">
        <v>17.13</v>
      </c>
    </row>
    <row r="41" spans="4:16" hidden="1" x14ac:dyDescent="0.25">
      <c r="D41" t="s">
        <v>236</v>
      </c>
      <c r="E41" t="s">
        <v>135</v>
      </c>
      <c r="F41" t="s">
        <v>136</v>
      </c>
      <c r="G41" t="s">
        <v>199</v>
      </c>
      <c r="H41" t="s">
        <v>137</v>
      </c>
      <c r="I41" s="13">
        <v>38954</v>
      </c>
      <c r="J41">
        <v>17</v>
      </c>
      <c r="K41" t="s">
        <v>145</v>
      </c>
      <c r="L41" t="s">
        <v>139</v>
      </c>
      <c r="M41" t="s">
        <v>200</v>
      </c>
      <c r="N41" t="s">
        <v>237</v>
      </c>
      <c r="O41">
        <v>1</v>
      </c>
      <c r="P41">
        <v>17.04</v>
      </c>
    </row>
    <row r="42" spans="4:16" hidden="1" x14ac:dyDescent="0.25">
      <c r="D42" t="s">
        <v>238</v>
      </c>
      <c r="E42" t="s">
        <v>135</v>
      </c>
      <c r="F42" t="s">
        <v>149</v>
      </c>
      <c r="G42" t="s">
        <v>163</v>
      </c>
      <c r="H42" t="s">
        <v>239</v>
      </c>
      <c r="I42" s="13">
        <v>38959</v>
      </c>
      <c r="J42">
        <v>17</v>
      </c>
      <c r="K42" t="s">
        <v>138</v>
      </c>
      <c r="L42" t="s">
        <v>164</v>
      </c>
      <c r="M42" t="s">
        <v>240</v>
      </c>
      <c r="N42" t="s">
        <v>241</v>
      </c>
      <c r="O42">
        <v>1</v>
      </c>
      <c r="P42">
        <v>17.03</v>
      </c>
    </row>
    <row r="43" spans="4:16" hidden="1" x14ac:dyDescent="0.25">
      <c r="D43" t="s">
        <v>242</v>
      </c>
      <c r="E43" t="s">
        <v>135</v>
      </c>
      <c r="F43" t="s">
        <v>149</v>
      </c>
      <c r="G43" t="s">
        <v>163</v>
      </c>
      <c r="H43" t="s">
        <v>137</v>
      </c>
      <c r="I43" s="13">
        <v>38968</v>
      </c>
      <c r="J43">
        <v>17</v>
      </c>
      <c r="K43" t="s">
        <v>145</v>
      </c>
      <c r="L43" t="s">
        <v>139</v>
      </c>
      <c r="M43" t="s">
        <v>170</v>
      </c>
      <c r="N43" t="s">
        <v>243</v>
      </c>
      <c r="O43">
        <v>1</v>
      </c>
      <c r="P43">
        <v>17.010000000000002</v>
      </c>
    </row>
    <row r="44" spans="4:16" hidden="1" x14ac:dyDescent="0.25">
      <c r="D44" t="s">
        <v>244</v>
      </c>
      <c r="E44" t="s">
        <v>135</v>
      </c>
      <c r="F44" t="s">
        <v>149</v>
      </c>
      <c r="G44" t="s">
        <v>163</v>
      </c>
      <c r="H44" t="s">
        <v>176</v>
      </c>
      <c r="I44" s="13">
        <v>38989</v>
      </c>
      <c r="J44">
        <v>17</v>
      </c>
      <c r="K44" t="s">
        <v>177</v>
      </c>
      <c r="L44" t="s">
        <v>164</v>
      </c>
      <c r="M44" t="s">
        <v>178</v>
      </c>
      <c r="N44" t="s">
        <v>245</v>
      </c>
      <c r="O44">
        <v>1</v>
      </c>
      <c r="P44">
        <v>16.95</v>
      </c>
    </row>
    <row r="45" spans="4:16" hidden="1" x14ac:dyDescent="0.25">
      <c r="D45" t="s">
        <v>244</v>
      </c>
      <c r="E45" t="s">
        <v>135</v>
      </c>
      <c r="F45" t="s">
        <v>149</v>
      </c>
      <c r="G45" t="s">
        <v>163</v>
      </c>
      <c r="H45" t="s">
        <v>176</v>
      </c>
      <c r="I45" s="13">
        <v>38989</v>
      </c>
      <c r="J45">
        <v>17</v>
      </c>
      <c r="K45" t="s">
        <v>177</v>
      </c>
      <c r="L45" t="s">
        <v>164</v>
      </c>
      <c r="M45" t="s">
        <v>178</v>
      </c>
      <c r="N45" t="s">
        <v>245</v>
      </c>
      <c r="O45">
        <v>1</v>
      </c>
      <c r="P45">
        <v>16.95</v>
      </c>
    </row>
    <row r="46" spans="4:16" hidden="1" x14ac:dyDescent="0.25">
      <c r="D46" t="s">
        <v>246</v>
      </c>
      <c r="E46" t="s">
        <v>135</v>
      </c>
      <c r="F46" t="s">
        <v>149</v>
      </c>
      <c r="G46" t="s">
        <v>163</v>
      </c>
      <c r="H46" t="s">
        <v>137</v>
      </c>
      <c r="I46" s="13">
        <v>38994</v>
      </c>
      <c r="J46">
        <v>17</v>
      </c>
      <c r="K46" t="s">
        <v>145</v>
      </c>
      <c r="L46" t="s">
        <v>164</v>
      </c>
      <c r="M46" t="s">
        <v>196</v>
      </c>
      <c r="N46" t="s">
        <v>247</v>
      </c>
      <c r="O46">
        <v>1</v>
      </c>
      <c r="P46">
        <v>16.93</v>
      </c>
    </row>
    <row r="47" spans="4:16" hidden="1" x14ac:dyDescent="0.25">
      <c r="D47" t="s">
        <v>248</v>
      </c>
      <c r="E47" t="s">
        <v>135</v>
      </c>
      <c r="F47" t="s">
        <v>143</v>
      </c>
      <c r="G47" t="s">
        <v>221</v>
      </c>
      <c r="H47" t="s">
        <v>137</v>
      </c>
      <c r="I47" s="13">
        <v>39000</v>
      </c>
      <c r="J47">
        <v>17</v>
      </c>
      <c r="K47" t="s">
        <v>145</v>
      </c>
      <c r="L47" t="s">
        <v>164</v>
      </c>
      <c r="M47" t="s">
        <v>146</v>
      </c>
      <c r="N47" t="s">
        <v>249</v>
      </c>
      <c r="O47">
        <v>1</v>
      </c>
      <c r="P47">
        <v>16.920000000000002</v>
      </c>
    </row>
    <row r="48" spans="4:16" hidden="1" x14ac:dyDescent="0.25">
      <c r="D48" t="s">
        <v>250</v>
      </c>
      <c r="E48" t="s">
        <v>135</v>
      </c>
      <c r="F48" t="s">
        <v>136</v>
      </c>
      <c r="G48" t="s">
        <v>199</v>
      </c>
      <c r="H48" t="s">
        <v>137</v>
      </c>
      <c r="I48" s="13">
        <v>39035</v>
      </c>
      <c r="J48">
        <v>17</v>
      </c>
      <c r="K48" t="s">
        <v>145</v>
      </c>
      <c r="L48" t="s">
        <v>139</v>
      </c>
      <c r="M48" t="s">
        <v>200</v>
      </c>
      <c r="N48" t="s">
        <v>251</v>
      </c>
      <c r="O48">
        <v>1</v>
      </c>
      <c r="P48">
        <v>16.82</v>
      </c>
    </row>
    <row r="49" spans="4:16" hidden="1" x14ac:dyDescent="0.25">
      <c r="D49" t="s">
        <v>252</v>
      </c>
      <c r="E49" t="s">
        <v>135</v>
      </c>
      <c r="F49" t="s">
        <v>136</v>
      </c>
      <c r="G49" t="s">
        <v>199</v>
      </c>
      <c r="H49" t="s">
        <v>137</v>
      </c>
      <c r="I49" s="13">
        <v>39035</v>
      </c>
      <c r="J49">
        <v>17</v>
      </c>
      <c r="K49" t="s">
        <v>177</v>
      </c>
      <c r="L49" t="s">
        <v>139</v>
      </c>
      <c r="M49" t="s">
        <v>200</v>
      </c>
      <c r="N49" t="s">
        <v>253</v>
      </c>
      <c r="O49">
        <v>1</v>
      </c>
      <c r="P49">
        <v>16.82</v>
      </c>
    </row>
    <row r="50" spans="4:16" hidden="1" x14ac:dyDescent="0.25">
      <c r="D50" t="s">
        <v>254</v>
      </c>
      <c r="E50" t="s">
        <v>135</v>
      </c>
      <c r="F50" t="s">
        <v>149</v>
      </c>
      <c r="G50" t="s">
        <v>163</v>
      </c>
      <c r="H50" t="s">
        <v>176</v>
      </c>
      <c r="I50" s="13">
        <v>39035</v>
      </c>
      <c r="J50">
        <v>17</v>
      </c>
      <c r="K50" t="s">
        <v>145</v>
      </c>
      <c r="L50" t="s">
        <v>139</v>
      </c>
      <c r="M50" t="s">
        <v>216</v>
      </c>
      <c r="N50" t="s">
        <v>255</v>
      </c>
      <c r="O50">
        <v>1</v>
      </c>
      <c r="P50">
        <v>16.82</v>
      </c>
    </row>
    <row r="51" spans="4:16" hidden="1" x14ac:dyDescent="0.25">
      <c r="D51" t="s">
        <v>256</v>
      </c>
      <c r="E51" t="s">
        <v>135</v>
      </c>
      <c r="F51" t="s">
        <v>143</v>
      </c>
      <c r="G51" t="s">
        <v>221</v>
      </c>
      <c r="H51" t="s">
        <v>176</v>
      </c>
      <c r="I51" s="13">
        <v>39066</v>
      </c>
      <c r="J51">
        <v>17</v>
      </c>
      <c r="K51" t="s">
        <v>138</v>
      </c>
      <c r="L51" t="s">
        <v>164</v>
      </c>
      <c r="M51" t="s">
        <v>146</v>
      </c>
      <c r="N51" t="s">
        <v>257</v>
      </c>
      <c r="O51">
        <v>1</v>
      </c>
      <c r="P51">
        <v>16.739999999999998</v>
      </c>
    </row>
    <row r="52" spans="4:16" hidden="1" x14ac:dyDescent="0.25">
      <c r="D52" t="s">
        <v>258</v>
      </c>
      <c r="E52" t="s">
        <v>135</v>
      </c>
      <c r="F52" t="s">
        <v>136</v>
      </c>
      <c r="G52" t="s">
        <v>199</v>
      </c>
      <c r="H52" t="s">
        <v>137</v>
      </c>
      <c r="I52" s="13">
        <v>39097</v>
      </c>
      <c r="J52">
        <v>17</v>
      </c>
      <c r="K52" t="s">
        <v>177</v>
      </c>
      <c r="L52" t="s">
        <v>139</v>
      </c>
      <c r="M52" t="s">
        <v>200</v>
      </c>
      <c r="N52" t="s">
        <v>259</v>
      </c>
      <c r="O52">
        <v>1</v>
      </c>
      <c r="P52">
        <v>16.649999999999999</v>
      </c>
    </row>
    <row r="53" spans="4:16" hidden="1" x14ac:dyDescent="0.25">
      <c r="D53" t="s">
        <v>260</v>
      </c>
      <c r="E53" t="s">
        <v>135</v>
      </c>
      <c r="F53" t="s">
        <v>136</v>
      </c>
      <c r="G53" t="s">
        <v>199</v>
      </c>
      <c r="H53" t="s">
        <v>137</v>
      </c>
      <c r="I53" s="13">
        <v>39113</v>
      </c>
      <c r="J53">
        <v>17</v>
      </c>
      <c r="K53" t="s">
        <v>138</v>
      </c>
      <c r="L53" t="s">
        <v>139</v>
      </c>
      <c r="M53" t="s">
        <v>261</v>
      </c>
      <c r="N53" t="s">
        <v>262</v>
      </c>
      <c r="O53">
        <v>1</v>
      </c>
      <c r="P53">
        <v>16.61</v>
      </c>
    </row>
    <row r="54" spans="4:16" hidden="1" x14ac:dyDescent="0.25">
      <c r="D54" t="s">
        <v>263</v>
      </c>
      <c r="E54" t="s">
        <v>135</v>
      </c>
      <c r="F54" t="s">
        <v>136</v>
      </c>
      <c r="G54" t="s">
        <v>199</v>
      </c>
      <c r="H54" t="s">
        <v>137</v>
      </c>
      <c r="I54" s="13">
        <v>39134</v>
      </c>
      <c r="J54">
        <v>17</v>
      </c>
      <c r="K54" t="s">
        <v>177</v>
      </c>
      <c r="L54" t="s">
        <v>139</v>
      </c>
      <c r="M54" t="s">
        <v>264</v>
      </c>
      <c r="N54" t="s">
        <v>265</v>
      </c>
      <c r="O54">
        <v>1</v>
      </c>
      <c r="P54">
        <v>16.55</v>
      </c>
    </row>
    <row r="55" spans="4:16" hidden="1" x14ac:dyDescent="0.25">
      <c r="D55" t="s">
        <v>266</v>
      </c>
      <c r="E55" t="s">
        <v>135</v>
      </c>
      <c r="F55" t="s">
        <v>143</v>
      </c>
      <c r="G55" t="s">
        <v>267</v>
      </c>
      <c r="H55" t="s">
        <v>137</v>
      </c>
      <c r="I55" s="13">
        <v>39150</v>
      </c>
      <c r="J55">
        <v>17</v>
      </c>
      <c r="K55" t="s">
        <v>138</v>
      </c>
      <c r="L55" t="s">
        <v>139</v>
      </c>
      <c r="M55" t="s">
        <v>268</v>
      </c>
      <c r="N55" t="s">
        <v>269</v>
      </c>
      <c r="O55">
        <v>1</v>
      </c>
      <c r="P55">
        <v>16.510000000000002</v>
      </c>
    </row>
    <row r="56" spans="4:16" hidden="1" x14ac:dyDescent="0.25">
      <c r="D56" t="s">
        <v>270</v>
      </c>
      <c r="E56" t="s">
        <v>135</v>
      </c>
      <c r="F56" t="s">
        <v>149</v>
      </c>
      <c r="G56" t="s">
        <v>271</v>
      </c>
      <c r="H56" t="s">
        <v>176</v>
      </c>
      <c r="I56" s="13">
        <v>39184</v>
      </c>
      <c r="J56">
        <v>16</v>
      </c>
      <c r="K56" t="s">
        <v>145</v>
      </c>
      <c r="L56" t="s">
        <v>164</v>
      </c>
      <c r="M56" t="s">
        <v>216</v>
      </c>
      <c r="N56" t="s">
        <v>272</v>
      </c>
      <c r="O56">
        <v>1</v>
      </c>
      <c r="P56">
        <v>16.41</v>
      </c>
    </row>
    <row r="57" spans="4:16" hidden="1" x14ac:dyDescent="0.25">
      <c r="D57" t="s">
        <v>273</v>
      </c>
      <c r="E57" t="s">
        <v>135</v>
      </c>
      <c r="F57" t="s">
        <v>149</v>
      </c>
      <c r="G57" t="s">
        <v>271</v>
      </c>
      <c r="H57" t="s">
        <v>176</v>
      </c>
      <c r="I57" s="13">
        <v>39184</v>
      </c>
      <c r="J57">
        <v>16</v>
      </c>
      <c r="K57" t="s">
        <v>145</v>
      </c>
      <c r="L57" t="s">
        <v>164</v>
      </c>
      <c r="M57" t="s">
        <v>207</v>
      </c>
      <c r="N57" t="s">
        <v>274</v>
      </c>
      <c r="O57">
        <v>1</v>
      </c>
      <c r="P57">
        <v>16.41</v>
      </c>
    </row>
    <row r="58" spans="4:16" hidden="1" x14ac:dyDescent="0.25">
      <c r="D58" t="s">
        <v>275</v>
      </c>
      <c r="E58" t="s">
        <v>135</v>
      </c>
      <c r="F58" t="s">
        <v>149</v>
      </c>
      <c r="G58" t="s">
        <v>271</v>
      </c>
      <c r="H58" t="s">
        <v>239</v>
      </c>
      <c r="I58" s="13">
        <v>39184</v>
      </c>
      <c r="J58">
        <v>16</v>
      </c>
      <c r="K58" t="s">
        <v>145</v>
      </c>
      <c r="L58" t="s">
        <v>164</v>
      </c>
      <c r="M58" t="s">
        <v>207</v>
      </c>
      <c r="N58" t="s">
        <v>276</v>
      </c>
      <c r="O58">
        <v>1</v>
      </c>
      <c r="P58">
        <v>16.41</v>
      </c>
    </row>
    <row r="59" spans="4:16" hidden="1" x14ac:dyDescent="0.25">
      <c r="D59" t="s">
        <v>277</v>
      </c>
      <c r="E59" t="s">
        <v>135</v>
      </c>
      <c r="F59" t="s">
        <v>143</v>
      </c>
      <c r="G59" t="s">
        <v>144</v>
      </c>
      <c r="H59" t="s">
        <v>176</v>
      </c>
      <c r="I59" s="13">
        <v>39216</v>
      </c>
      <c r="J59">
        <v>16</v>
      </c>
      <c r="K59" t="s">
        <v>138</v>
      </c>
      <c r="L59" t="s">
        <v>139</v>
      </c>
      <c r="M59" t="s">
        <v>154</v>
      </c>
      <c r="N59" t="s">
        <v>278</v>
      </c>
      <c r="O59">
        <v>1</v>
      </c>
      <c r="P59">
        <v>16.329999999999998</v>
      </c>
    </row>
    <row r="60" spans="4:16" hidden="1" x14ac:dyDescent="0.25">
      <c r="D60" t="s">
        <v>279</v>
      </c>
      <c r="E60" t="s">
        <v>135</v>
      </c>
      <c r="F60" t="s">
        <v>149</v>
      </c>
      <c r="G60" t="s">
        <v>149</v>
      </c>
      <c r="H60" t="s">
        <v>239</v>
      </c>
      <c r="I60" s="13">
        <v>39218</v>
      </c>
      <c r="J60">
        <v>16</v>
      </c>
      <c r="K60" t="s">
        <v>177</v>
      </c>
      <c r="L60" t="s">
        <v>164</v>
      </c>
      <c r="M60" t="s">
        <v>189</v>
      </c>
      <c r="N60" t="s">
        <v>280</v>
      </c>
      <c r="O60">
        <v>1</v>
      </c>
      <c r="P60">
        <v>16.32</v>
      </c>
    </row>
    <row r="61" spans="4:16" hidden="1" x14ac:dyDescent="0.25">
      <c r="D61" t="s">
        <v>281</v>
      </c>
      <c r="E61" t="s">
        <v>135</v>
      </c>
      <c r="F61" t="s">
        <v>149</v>
      </c>
      <c r="G61" t="s">
        <v>271</v>
      </c>
      <c r="H61" t="s">
        <v>176</v>
      </c>
      <c r="I61" s="13">
        <v>39218</v>
      </c>
      <c r="J61">
        <v>16</v>
      </c>
      <c r="K61" t="s">
        <v>177</v>
      </c>
      <c r="L61" t="s">
        <v>164</v>
      </c>
      <c r="M61" t="s">
        <v>207</v>
      </c>
      <c r="N61" t="s">
        <v>282</v>
      </c>
      <c r="O61">
        <v>1</v>
      </c>
      <c r="P61">
        <v>16.32</v>
      </c>
    </row>
    <row r="62" spans="4:16" hidden="1" x14ac:dyDescent="0.25">
      <c r="D62" t="s">
        <v>283</v>
      </c>
      <c r="E62" t="s">
        <v>135</v>
      </c>
      <c r="F62" t="s">
        <v>149</v>
      </c>
      <c r="G62" t="s">
        <v>150</v>
      </c>
      <c r="H62" t="s">
        <v>239</v>
      </c>
      <c r="I62" s="13">
        <v>39255</v>
      </c>
      <c r="J62">
        <v>16</v>
      </c>
      <c r="K62" t="s">
        <v>138</v>
      </c>
      <c r="L62" t="s">
        <v>164</v>
      </c>
      <c r="M62" t="s">
        <v>284</v>
      </c>
      <c r="N62" t="s">
        <v>285</v>
      </c>
      <c r="O62">
        <v>1</v>
      </c>
      <c r="P62">
        <v>16.22</v>
      </c>
    </row>
    <row r="63" spans="4:16" hidden="1" x14ac:dyDescent="0.25">
      <c r="D63" t="s">
        <v>286</v>
      </c>
      <c r="E63" t="s">
        <v>135</v>
      </c>
      <c r="F63" t="s">
        <v>181</v>
      </c>
      <c r="G63" t="s">
        <v>203</v>
      </c>
      <c r="H63" t="s">
        <v>239</v>
      </c>
      <c r="I63" s="13">
        <v>39260</v>
      </c>
      <c r="J63">
        <v>16</v>
      </c>
      <c r="K63" t="s">
        <v>177</v>
      </c>
      <c r="L63" t="s">
        <v>164</v>
      </c>
      <c r="M63" t="s">
        <v>204</v>
      </c>
      <c r="N63" t="s">
        <v>287</v>
      </c>
      <c r="O63">
        <v>1</v>
      </c>
      <c r="P63">
        <v>16.21</v>
      </c>
    </row>
    <row r="64" spans="4:16" hidden="1" x14ac:dyDescent="0.25">
      <c r="D64" t="s">
        <v>288</v>
      </c>
      <c r="E64" t="s">
        <v>135</v>
      </c>
      <c r="F64" t="s">
        <v>136</v>
      </c>
      <c r="G64" t="s">
        <v>199</v>
      </c>
      <c r="H64" t="s">
        <v>137</v>
      </c>
      <c r="I64" s="13">
        <v>39272</v>
      </c>
      <c r="J64">
        <v>16</v>
      </c>
      <c r="K64" t="s">
        <v>177</v>
      </c>
      <c r="L64" t="s">
        <v>139</v>
      </c>
      <c r="M64" t="s">
        <v>264</v>
      </c>
      <c r="N64" t="s">
        <v>289</v>
      </c>
      <c r="O64">
        <v>1</v>
      </c>
      <c r="P64">
        <v>16.170000000000002</v>
      </c>
    </row>
    <row r="65" spans="4:16" hidden="1" x14ac:dyDescent="0.25">
      <c r="D65" t="s">
        <v>290</v>
      </c>
      <c r="E65" t="s">
        <v>135</v>
      </c>
      <c r="F65" t="s">
        <v>149</v>
      </c>
      <c r="G65" t="s">
        <v>163</v>
      </c>
      <c r="H65" t="s">
        <v>137</v>
      </c>
      <c r="I65" s="13">
        <v>39287</v>
      </c>
      <c r="J65">
        <v>16</v>
      </c>
      <c r="K65" t="s">
        <v>177</v>
      </c>
      <c r="L65" t="s">
        <v>164</v>
      </c>
      <c r="M65" t="s">
        <v>165</v>
      </c>
      <c r="N65" t="s">
        <v>291</v>
      </c>
      <c r="O65">
        <v>1</v>
      </c>
      <c r="P65">
        <v>16.13</v>
      </c>
    </row>
    <row r="66" spans="4:16" hidden="1" x14ac:dyDescent="0.25">
      <c r="D66" t="s">
        <v>292</v>
      </c>
      <c r="E66" t="s">
        <v>135</v>
      </c>
      <c r="F66" t="s">
        <v>149</v>
      </c>
      <c r="G66" t="s">
        <v>163</v>
      </c>
      <c r="H66" t="s">
        <v>137</v>
      </c>
      <c r="I66" s="13">
        <v>39287</v>
      </c>
      <c r="J66">
        <v>16</v>
      </c>
      <c r="K66" t="s">
        <v>145</v>
      </c>
      <c r="L66" t="s">
        <v>139</v>
      </c>
      <c r="M66" t="s">
        <v>170</v>
      </c>
      <c r="N66" t="s">
        <v>293</v>
      </c>
      <c r="O66">
        <v>1</v>
      </c>
      <c r="P66">
        <v>16.13</v>
      </c>
    </row>
    <row r="67" spans="4:16" hidden="1" x14ac:dyDescent="0.25">
      <c r="D67" t="s">
        <v>294</v>
      </c>
      <c r="E67" t="s">
        <v>135</v>
      </c>
      <c r="F67" t="s">
        <v>149</v>
      </c>
      <c r="G67" t="s">
        <v>295</v>
      </c>
      <c r="H67" t="s">
        <v>137</v>
      </c>
      <c r="I67" s="13">
        <v>39287</v>
      </c>
      <c r="J67">
        <v>16</v>
      </c>
      <c r="K67" t="s">
        <v>177</v>
      </c>
      <c r="L67" t="s">
        <v>139</v>
      </c>
      <c r="M67" t="s">
        <v>170</v>
      </c>
      <c r="N67" t="s">
        <v>296</v>
      </c>
      <c r="O67">
        <v>1</v>
      </c>
      <c r="P67">
        <v>16.13</v>
      </c>
    </row>
    <row r="68" spans="4:16" hidden="1" x14ac:dyDescent="0.25">
      <c r="D68" t="s">
        <v>297</v>
      </c>
      <c r="E68" t="s">
        <v>135</v>
      </c>
      <c r="F68" t="s">
        <v>149</v>
      </c>
      <c r="G68" t="s">
        <v>163</v>
      </c>
      <c r="H68" t="s">
        <v>137</v>
      </c>
      <c r="I68" s="13">
        <v>39287</v>
      </c>
      <c r="J68">
        <v>16</v>
      </c>
      <c r="K68" t="s">
        <v>145</v>
      </c>
      <c r="L68" t="s">
        <v>139</v>
      </c>
      <c r="M68" t="s">
        <v>165</v>
      </c>
      <c r="N68" t="s">
        <v>298</v>
      </c>
      <c r="O68">
        <v>1</v>
      </c>
      <c r="P68">
        <v>16.13</v>
      </c>
    </row>
    <row r="69" spans="4:16" hidden="1" x14ac:dyDescent="0.25">
      <c r="D69" t="s">
        <v>299</v>
      </c>
      <c r="E69" t="s">
        <v>135</v>
      </c>
      <c r="F69" t="s">
        <v>149</v>
      </c>
      <c r="G69" t="s">
        <v>163</v>
      </c>
      <c r="H69" t="s">
        <v>137</v>
      </c>
      <c r="I69" s="13">
        <v>39287</v>
      </c>
      <c r="J69">
        <v>16</v>
      </c>
      <c r="K69" t="s">
        <v>177</v>
      </c>
      <c r="L69" t="s">
        <v>139</v>
      </c>
      <c r="M69" t="s">
        <v>170</v>
      </c>
      <c r="N69" t="s">
        <v>300</v>
      </c>
      <c r="O69">
        <v>1</v>
      </c>
      <c r="P69">
        <v>16.13</v>
      </c>
    </row>
    <row r="70" spans="4:16" hidden="1" x14ac:dyDescent="0.25">
      <c r="D70" t="s">
        <v>301</v>
      </c>
      <c r="E70" t="s">
        <v>135</v>
      </c>
      <c r="F70" t="s">
        <v>149</v>
      </c>
      <c r="G70" t="s">
        <v>163</v>
      </c>
      <c r="H70" t="s">
        <v>137</v>
      </c>
      <c r="I70" s="13">
        <v>39287</v>
      </c>
      <c r="J70">
        <v>16</v>
      </c>
      <c r="K70" t="s">
        <v>177</v>
      </c>
      <c r="L70" t="s">
        <v>139</v>
      </c>
      <c r="M70" t="s">
        <v>170</v>
      </c>
      <c r="N70" t="s">
        <v>302</v>
      </c>
      <c r="O70">
        <v>1</v>
      </c>
      <c r="P70">
        <v>16.13</v>
      </c>
    </row>
    <row r="71" spans="4:16" hidden="1" x14ac:dyDescent="0.25">
      <c r="D71" t="s">
        <v>303</v>
      </c>
      <c r="E71" t="s">
        <v>135</v>
      </c>
      <c r="F71" t="s">
        <v>149</v>
      </c>
      <c r="G71" t="s">
        <v>163</v>
      </c>
      <c r="H71" t="s">
        <v>137</v>
      </c>
      <c r="I71" s="13">
        <v>39287</v>
      </c>
      <c r="J71">
        <v>16</v>
      </c>
      <c r="K71" t="s">
        <v>145</v>
      </c>
      <c r="L71" t="s">
        <v>139</v>
      </c>
      <c r="M71" t="s">
        <v>170</v>
      </c>
      <c r="N71" t="s">
        <v>304</v>
      </c>
      <c r="O71">
        <v>1</v>
      </c>
      <c r="P71">
        <v>16.13</v>
      </c>
    </row>
    <row r="72" spans="4:16" hidden="1" x14ac:dyDescent="0.25">
      <c r="D72" t="s">
        <v>305</v>
      </c>
      <c r="E72" t="s">
        <v>135</v>
      </c>
      <c r="F72" t="s">
        <v>149</v>
      </c>
      <c r="G72" t="s">
        <v>163</v>
      </c>
      <c r="H72" t="s">
        <v>137</v>
      </c>
      <c r="I72" s="13">
        <v>39287</v>
      </c>
      <c r="J72">
        <v>16</v>
      </c>
      <c r="K72" t="s">
        <v>145</v>
      </c>
      <c r="L72" t="s">
        <v>139</v>
      </c>
      <c r="M72" t="s">
        <v>170</v>
      </c>
      <c r="N72" t="s">
        <v>306</v>
      </c>
      <c r="O72">
        <v>1</v>
      </c>
      <c r="P72">
        <v>16.13</v>
      </c>
    </row>
    <row r="73" spans="4:16" hidden="1" x14ac:dyDescent="0.25">
      <c r="D73" t="s">
        <v>307</v>
      </c>
      <c r="E73" t="s">
        <v>135</v>
      </c>
      <c r="F73" t="s">
        <v>143</v>
      </c>
      <c r="G73" t="s">
        <v>308</v>
      </c>
      <c r="H73" t="s">
        <v>239</v>
      </c>
      <c r="I73" s="13">
        <v>39297</v>
      </c>
      <c r="J73">
        <v>16</v>
      </c>
      <c r="K73" t="s">
        <v>177</v>
      </c>
      <c r="L73" t="s">
        <v>139</v>
      </c>
      <c r="M73" t="s">
        <v>264</v>
      </c>
      <c r="N73" t="s">
        <v>309</v>
      </c>
      <c r="O73">
        <v>1</v>
      </c>
      <c r="P73">
        <v>16.100000000000001</v>
      </c>
    </row>
    <row r="74" spans="4:16" hidden="1" x14ac:dyDescent="0.25">
      <c r="D74" t="s">
        <v>310</v>
      </c>
      <c r="E74" t="s">
        <v>135</v>
      </c>
      <c r="F74" t="s">
        <v>143</v>
      </c>
      <c r="G74" t="s">
        <v>308</v>
      </c>
      <c r="H74" t="s">
        <v>239</v>
      </c>
      <c r="I74" s="13">
        <v>39297</v>
      </c>
      <c r="J74">
        <v>16</v>
      </c>
      <c r="K74" t="s">
        <v>177</v>
      </c>
      <c r="L74" t="s">
        <v>139</v>
      </c>
      <c r="M74" t="s">
        <v>186</v>
      </c>
      <c r="N74" t="s">
        <v>311</v>
      </c>
      <c r="O74">
        <v>1</v>
      </c>
      <c r="P74">
        <v>16.100000000000001</v>
      </c>
    </row>
    <row r="75" spans="4:16" hidden="1" x14ac:dyDescent="0.25">
      <c r="D75" t="s">
        <v>312</v>
      </c>
      <c r="E75" t="s">
        <v>135</v>
      </c>
      <c r="F75" t="s">
        <v>143</v>
      </c>
      <c r="G75" t="s">
        <v>143</v>
      </c>
      <c r="H75" t="s">
        <v>239</v>
      </c>
      <c r="I75" s="13">
        <v>39297</v>
      </c>
      <c r="J75">
        <v>16</v>
      </c>
      <c r="K75" t="s">
        <v>145</v>
      </c>
      <c r="L75" t="s">
        <v>139</v>
      </c>
      <c r="M75" t="s">
        <v>186</v>
      </c>
      <c r="N75" t="s">
        <v>313</v>
      </c>
      <c r="O75">
        <v>1</v>
      </c>
      <c r="P75">
        <v>16.100000000000001</v>
      </c>
    </row>
    <row r="76" spans="4:16" hidden="1" x14ac:dyDescent="0.25">
      <c r="D76" t="s">
        <v>314</v>
      </c>
      <c r="E76" t="s">
        <v>135</v>
      </c>
      <c r="F76" t="s">
        <v>136</v>
      </c>
      <c r="G76" t="s">
        <v>315</v>
      </c>
      <c r="H76" t="s">
        <v>176</v>
      </c>
      <c r="I76" s="13">
        <v>39315</v>
      </c>
      <c r="J76">
        <v>16</v>
      </c>
      <c r="K76" t="s">
        <v>157</v>
      </c>
      <c r="L76" t="s">
        <v>164</v>
      </c>
      <c r="M76" t="s">
        <v>316</v>
      </c>
      <c r="N76" t="s">
        <v>317</v>
      </c>
      <c r="O76">
        <v>1</v>
      </c>
      <c r="P76">
        <v>16.059999999999999</v>
      </c>
    </row>
    <row r="77" spans="4:16" hidden="1" x14ac:dyDescent="0.25">
      <c r="D77" t="s">
        <v>318</v>
      </c>
      <c r="E77" t="s">
        <v>135</v>
      </c>
      <c r="F77" t="s">
        <v>143</v>
      </c>
      <c r="G77" t="s">
        <v>319</v>
      </c>
      <c r="H77" t="s">
        <v>239</v>
      </c>
      <c r="I77" s="13">
        <v>39316</v>
      </c>
      <c r="J77">
        <v>16</v>
      </c>
      <c r="K77" t="s">
        <v>177</v>
      </c>
      <c r="L77" t="s">
        <v>164</v>
      </c>
      <c r="M77" t="s">
        <v>320</v>
      </c>
      <c r="N77" t="s">
        <v>321</v>
      </c>
      <c r="O77">
        <v>1</v>
      </c>
      <c r="P77">
        <v>16.05</v>
      </c>
    </row>
    <row r="78" spans="4:16" hidden="1" x14ac:dyDescent="0.25">
      <c r="D78" t="s">
        <v>322</v>
      </c>
      <c r="E78" t="s">
        <v>135</v>
      </c>
      <c r="F78" t="s">
        <v>136</v>
      </c>
      <c r="G78" t="s">
        <v>136</v>
      </c>
      <c r="H78" t="s">
        <v>137</v>
      </c>
      <c r="I78" s="13">
        <v>39316</v>
      </c>
      <c r="J78">
        <v>16</v>
      </c>
      <c r="K78" t="s">
        <v>145</v>
      </c>
      <c r="L78" t="s">
        <v>139</v>
      </c>
      <c r="M78" t="s">
        <v>200</v>
      </c>
      <c r="N78" t="s">
        <v>323</v>
      </c>
      <c r="O78">
        <v>1</v>
      </c>
      <c r="P78">
        <v>16.05</v>
      </c>
    </row>
    <row r="79" spans="4:16" hidden="1" x14ac:dyDescent="0.25">
      <c r="D79" t="s">
        <v>324</v>
      </c>
      <c r="E79" t="s">
        <v>135</v>
      </c>
      <c r="F79" t="s">
        <v>136</v>
      </c>
      <c r="G79" t="s">
        <v>136</v>
      </c>
      <c r="H79" t="s">
        <v>137</v>
      </c>
      <c r="I79" s="13">
        <v>39316</v>
      </c>
      <c r="J79">
        <v>16</v>
      </c>
      <c r="K79" t="s">
        <v>145</v>
      </c>
      <c r="L79" t="s">
        <v>139</v>
      </c>
      <c r="M79" t="s">
        <v>200</v>
      </c>
      <c r="N79" t="s">
        <v>325</v>
      </c>
      <c r="O79">
        <v>1</v>
      </c>
      <c r="P79">
        <v>16.05</v>
      </c>
    </row>
    <row r="80" spans="4:16" hidden="1" x14ac:dyDescent="0.25">
      <c r="D80" t="s">
        <v>326</v>
      </c>
      <c r="E80" t="s">
        <v>135</v>
      </c>
      <c r="F80" t="s">
        <v>143</v>
      </c>
      <c r="G80" t="s">
        <v>308</v>
      </c>
      <c r="H80" t="s">
        <v>239</v>
      </c>
      <c r="I80" s="13">
        <v>39316</v>
      </c>
      <c r="J80">
        <v>16</v>
      </c>
      <c r="K80" t="s">
        <v>145</v>
      </c>
      <c r="L80" t="s">
        <v>139</v>
      </c>
      <c r="M80" t="s">
        <v>264</v>
      </c>
      <c r="N80" t="s">
        <v>327</v>
      </c>
      <c r="O80">
        <v>1</v>
      </c>
      <c r="P80">
        <v>16.05</v>
      </c>
    </row>
    <row r="81" spans="4:16" hidden="1" x14ac:dyDescent="0.25">
      <c r="D81" t="s">
        <v>328</v>
      </c>
      <c r="E81" t="s">
        <v>135</v>
      </c>
      <c r="F81" t="s">
        <v>143</v>
      </c>
      <c r="G81" t="s">
        <v>308</v>
      </c>
      <c r="H81" t="s">
        <v>239</v>
      </c>
      <c r="I81" s="13">
        <v>39316</v>
      </c>
      <c r="J81">
        <v>16</v>
      </c>
      <c r="K81" t="s">
        <v>145</v>
      </c>
      <c r="L81" t="s">
        <v>139</v>
      </c>
      <c r="M81" t="s">
        <v>261</v>
      </c>
      <c r="N81" t="s">
        <v>329</v>
      </c>
      <c r="O81">
        <v>1</v>
      </c>
      <c r="P81">
        <v>16.05</v>
      </c>
    </row>
    <row r="82" spans="4:16" hidden="1" x14ac:dyDescent="0.25">
      <c r="D82" t="s">
        <v>330</v>
      </c>
      <c r="E82" t="s">
        <v>135</v>
      </c>
      <c r="F82" t="s">
        <v>143</v>
      </c>
      <c r="G82" t="s">
        <v>267</v>
      </c>
      <c r="H82" t="s">
        <v>137</v>
      </c>
      <c r="I82" s="13">
        <v>39325</v>
      </c>
      <c r="J82">
        <v>16</v>
      </c>
      <c r="K82" t="s">
        <v>138</v>
      </c>
      <c r="L82" t="s">
        <v>139</v>
      </c>
      <c r="M82" t="s">
        <v>268</v>
      </c>
      <c r="N82" t="s">
        <v>331</v>
      </c>
      <c r="O82">
        <v>1</v>
      </c>
      <c r="P82">
        <v>16.03</v>
      </c>
    </row>
    <row r="83" spans="4:16" hidden="1" x14ac:dyDescent="0.25">
      <c r="D83" t="s">
        <v>332</v>
      </c>
      <c r="E83" t="s">
        <v>135</v>
      </c>
      <c r="F83" t="s">
        <v>173</v>
      </c>
      <c r="G83" t="s">
        <v>271</v>
      </c>
      <c r="H83" t="s">
        <v>176</v>
      </c>
      <c r="I83" s="13">
        <v>39329</v>
      </c>
      <c r="J83">
        <v>16</v>
      </c>
      <c r="K83" t="s">
        <v>145</v>
      </c>
      <c r="L83" t="s">
        <v>139</v>
      </c>
      <c r="M83" t="s">
        <v>189</v>
      </c>
      <c r="N83" t="s">
        <v>333</v>
      </c>
      <c r="O83">
        <v>1</v>
      </c>
      <c r="P83">
        <v>16.02</v>
      </c>
    </row>
    <row r="84" spans="4:16" hidden="1" x14ac:dyDescent="0.25">
      <c r="D84" t="s">
        <v>334</v>
      </c>
      <c r="E84" t="s">
        <v>135</v>
      </c>
      <c r="F84" t="s">
        <v>149</v>
      </c>
      <c r="G84" t="s">
        <v>271</v>
      </c>
      <c r="H84" t="s">
        <v>176</v>
      </c>
      <c r="I84" s="13">
        <v>39332</v>
      </c>
      <c r="J84">
        <v>16</v>
      </c>
      <c r="K84" t="s">
        <v>177</v>
      </c>
      <c r="L84" t="s">
        <v>164</v>
      </c>
      <c r="M84" t="s">
        <v>193</v>
      </c>
      <c r="N84" t="s">
        <v>335</v>
      </c>
      <c r="O84">
        <v>1</v>
      </c>
      <c r="P84">
        <v>16.010000000000002</v>
      </c>
    </row>
    <row r="85" spans="4:16" hidden="1" x14ac:dyDescent="0.25">
      <c r="D85" t="s">
        <v>336</v>
      </c>
      <c r="E85" t="s">
        <v>135</v>
      </c>
      <c r="F85" t="s">
        <v>149</v>
      </c>
      <c r="G85" t="s">
        <v>271</v>
      </c>
      <c r="H85" t="s">
        <v>176</v>
      </c>
      <c r="I85" s="13">
        <v>39332</v>
      </c>
      <c r="J85">
        <v>16</v>
      </c>
      <c r="K85" t="s">
        <v>177</v>
      </c>
      <c r="L85" t="s">
        <v>164</v>
      </c>
      <c r="M85" t="s">
        <v>193</v>
      </c>
      <c r="N85" t="s">
        <v>337</v>
      </c>
      <c r="O85">
        <v>1</v>
      </c>
      <c r="P85">
        <v>16.010000000000002</v>
      </c>
    </row>
    <row r="86" spans="4:16" hidden="1" x14ac:dyDescent="0.25">
      <c r="D86" t="s">
        <v>336</v>
      </c>
      <c r="E86" t="s">
        <v>135</v>
      </c>
      <c r="F86" t="s">
        <v>149</v>
      </c>
      <c r="G86" t="s">
        <v>271</v>
      </c>
      <c r="H86" t="s">
        <v>176</v>
      </c>
      <c r="I86" s="13">
        <v>39332</v>
      </c>
      <c r="J86">
        <v>16</v>
      </c>
      <c r="K86" t="s">
        <v>145</v>
      </c>
      <c r="L86" t="s">
        <v>164</v>
      </c>
      <c r="M86" t="s">
        <v>193</v>
      </c>
      <c r="N86" t="s">
        <v>337</v>
      </c>
      <c r="O86">
        <v>1</v>
      </c>
      <c r="P86">
        <v>16.010000000000002</v>
      </c>
    </row>
    <row r="87" spans="4:16" hidden="1" x14ac:dyDescent="0.25">
      <c r="D87" t="s">
        <v>338</v>
      </c>
      <c r="E87" t="s">
        <v>135</v>
      </c>
      <c r="F87" t="s">
        <v>149</v>
      </c>
      <c r="G87" t="s">
        <v>271</v>
      </c>
      <c r="H87" t="s">
        <v>176</v>
      </c>
      <c r="I87" s="13">
        <v>39332</v>
      </c>
      <c r="J87">
        <v>16</v>
      </c>
      <c r="K87" t="s">
        <v>177</v>
      </c>
      <c r="L87" t="s">
        <v>164</v>
      </c>
      <c r="M87" t="s">
        <v>193</v>
      </c>
      <c r="N87" t="s">
        <v>339</v>
      </c>
      <c r="O87">
        <v>1</v>
      </c>
      <c r="P87">
        <v>16.010000000000002</v>
      </c>
    </row>
    <row r="88" spans="4:16" hidden="1" x14ac:dyDescent="0.25">
      <c r="D88" t="s">
        <v>338</v>
      </c>
      <c r="E88" t="s">
        <v>135</v>
      </c>
      <c r="F88" t="s">
        <v>149</v>
      </c>
      <c r="G88" t="s">
        <v>271</v>
      </c>
      <c r="H88" t="s">
        <v>176</v>
      </c>
      <c r="I88" s="13">
        <v>39332</v>
      </c>
      <c r="J88">
        <v>16</v>
      </c>
      <c r="K88" t="s">
        <v>145</v>
      </c>
      <c r="L88" t="s">
        <v>164</v>
      </c>
      <c r="M88" t="s">
        <v>193</v>
      </c>
      <c r="N88" t="s">
        <v>339</v>
      </c>
      <c r="O88">
        <v>1</v>
      </c>
      <c r="P88">
        <v>16.010000000000002</v>
      </c>
    </row>
    <row r="89" spans="4:16" hidden="1" x14ac:dyDescent="0.25">
      <c r="D89" t="s">
        <v>340</v>
      </c>
      <c r="E89" t="s">
        <v>135</v>
      </c>
      <c r="F89" t="s">
        <v>149</v>
      </c>
      <c r="G89" t="s">
        <v>271</v>
      </c>
      <c r="H89" t="s">
        <v>176</v>
      </c>
      <c r="I89" s="13">
        <v>39332</v>
      </c>
      <c r="J89">
        <v>16</v>
      </c>
      <c r="K89" t="s">
        <v>177</v>
      </c>
      <c r="L89" t="s">
        <v>139</v>
      </c>
      <c r="M89" t="s">
        <v>189</v>
      </c>
      <c r="N89" t="s">
        <v>341</v>
      </c>
      <c r="O89">
        <v>1</v>
      </c>
      <c r="P89">
        <v>16.010000000000002</v>
      </c>
    </row>
    <row r="90" spans="4:16" hidden="1" x14ac:dyDescent="0.25">
      <c r="D90" t="s">
        <v>342</v>
      </c>
      <c r="E90" t="s">
        <v>135</v>
      </c>
      <c r="F90" t="s">
        <v>149</v>
      </c>
      <c r="G90" t="s">
        <v>271</v>
      </c>
      <c r="H90" t="s">
        <v>343</v>
      </c>
      <c r="I90" s="13">
        <v>39332</v>
      </c>
      <c r="J90">
        <v>16</v>
      </c>
      <c r="K90" t="s">
        <v>145</v>
      </c>
      <c r="L90" t="s">
        <v>139</v>
      </c>
      <c r="M90" t="s">
        <v>216</v>
      </c>
      <c r="N90" t="s">
        <v>344</v>
      </c>
      <c r="O90">
        <v>1</v>
      </c>
      <c r="P90">
        <v>16.010000000000002</v>
      </c>
    </row>
    <row r="91" spans="4:16" hidden="1" x14ac:dyDescent="0.25">
      <c r="D91" t="s">
        <v>345</v>
      </c>
      <c r="E91" t="s">
        <v>135</v>
      </c>
      <c r="F91" t="s">
        <v>143</v>
      </c>
      <c r="G91" t="s">
        <v>267</v>
      </c>
      <c r="H91" t="s">
        <v>137</v>
      </c>
      <c r="I91" s="13">
        <v>39335</v>
      </c>
      <c r="J91">
        <v>16</v>
      </c>
      <c r="K91" t="s">
        <v>138</v>
      </c>
      <c r="L91" t="s">
        <v>139</v>
      </c>
      <c r="M91" t="s">
        <v>268</v>
      </c>
      <c r="N91" t="s">
        <v>346</v>
      </c>
      <c r="O91">
        <v>1</v>
      </c>
      <c r="P91">
        <v>16</v>
      </c>
    </row>
    <row r="92" spans="4:16" hidden="1" x14ac:dyDescent="0.25">
      <c r="D92" t="s">
        <v>347</v>
      </c>
      <c r="E92" t="s">
        <v>135</v>
      </c>
      <c r="F92" t="s">
        <v>149</v>
      </c>
      <c r="G92" t="s">
        <v>271</v>
      </c>
      <c r="H92" t="s">
        <v>176</v>
      </c>
      <c r="I92" s="13">
        <v>39343</v>
      </c>
      <c r="J92">
        <v>16</v>
      </c>
      <c r="K92" t="s">
        <v>145</v>
      </c>
      <c r="L92" t="s">
        <v>139</v>
      </c>
      <c r="M92" t="s">
        <v>160</v>
      </c>
      <c r="N92" t="s">
        <v>348</v>
      </c>
      <c r="O92">
        <v>1</v>
      </c>
      <c r="P92">
        <v>15.98</v>
      </c>
    </row>
    <row r="93" spans="4:16" hidden="1" x14ac:dyDescent="0.25">
      <c r="D93" t="s">
        <v>349</v>
      </c>
      <c r="E93" t="s">
        <v>135</v>
      </c>
      <c r="F93" t="s">
        <v>149</v>
      </c>
      <c r="G93" t="s">
        <v>150</v>
      </c>
      <c r="H93" t="s">
        <v>239</v>
      </c>
      <c r="I93" s="13">
        <v>39350</v>
      </c>
      <c r="J93">
        <v>16</v>
      </c>
      <c r="K93" t="s">
        <v>138</v>
      </c>
      <c r="L93" t="s">
        <v>164</v>
      </c>
      <c r="M93" t="s">
        <v>240</v>
      </c>
      <c r="N93" t="s">
        <v>350</v>
      </c>
      <c r="O93">
        <v>1</v>
      </c>
      <c r="P93">
        <v>15.96</v>
      </c>
    </row>
    <row r="94" spans="4:16" hidden="1" x14ac:dyDescent="0.25">
      <c r="D94" t="s">
        <v>351</v>
      </c>
      <c r="E94" t="s">
        <v>135</v>
      </c>
      <c r="F94" t="s">
        <v>149</v>
      </c>
      <c r="G94" t="s">
        <v>163</v>
      </c>
      <c r="H94" t="s">
        <v>239</v>
      </c>
      <c r="I94" s="13">
        <v>39349</v>
      </c>
      <c r="J94">
        <v>16</v>
      </c>
      <c r="K94" t="s">
        <v>138</v>
      </c>
      <c r="L94" t="s">
        <v>139</v>
      </c>
      <c r="M94" t="s">
        <v>352</v>
      </c>
      <c r="N94" t="s">
        <v>353</v>
      </c>
      <c r="O94">
        <v>1</v>
      </c>
      <c r="P94">
        <v>15.96</v>
      </c>
    </row>
    <row r="95" spans="4:16" hidden="1" x14ac:dyDescent="0.25">
      <c r="D95" t="s">
        <v>354</v>
      </c>
      <c r="E95" t="s">
        <v>135</v>
      </c>
      <c r="F95" t="s">
        <v>149</v>
      </c>
      <c r="G95" t="s">
        <v>163</v>
      </c>
      <c r="H95" t="s">
        <v>239</v>
      </c>
      <c r="I95" s="13">
        <v>39358</v>
      </c>
      <c r="J95">
        <v>16</v>
      </c>
      <c r="K95" t="s">
        <v>138</v>
      </c>
      <c r="L95" t="s">
        <v>139</v>
      </c>
      <c r="M95" t="s">
        <v>355</v>
      </c>
      <c r="N95" t="s">
        <v>356</v>
      </c>
      <c r="O95">
        <v>1</v>
      </c>
      <c r="P95">
        <v>15.94</v>
      </c>
    </row>
    <row r="96" spans="4:16" hidden="1" x14ac:dyDescent="0.25">
      <c r="D96" t="s">
        <v>357</v>
      </c>
      <c r="E96" t="s">
        <v>135</v>
      </c>
      <c r="F96" t="s">
        <v>149</v>
      </c>
      <c r="G96" t="s">
        <v>149</v>
      </c>
      <c r="H96" t="s">
        <v>239</v>
      </c>
      <c r="I96" s="13">
        <v>39363</v>
      </c>
      <c r="J96">
        <v>16</v>
      </c>
      <c r="K96" t="s">
        <v>177</v>
      </c>
      <c r="L96" t="s">
        <v>139</v>
      </c>
      <c r="M96" t="s">
        <v>193</v>
      </c>
      <c r="N96" t="s">
        <v>358</v>
      </c>
      <c r="O96">
        <v>1</v>
      </c>
      <c r="P96">
        <v>15.92</v>
      </c>
    </row>
    <row r="97" spans="4:16" hidden="1" x14ac:dyDescent="0.25">
      <c r="D97" t="s">
        <v>359</v>
      </c>
      <c r="E97" t="s">
        <v>135</v>
      </c>
      <c r="F97" t="s">
        <v>149</v>
      </c>
      <c r="G97" t="s">
        <v>271</v>
      </c>
      <c r="H97" t="s">
        <v>239</v>
      </c>
      <c r="I97" s="13">
        <v>39379</v>
      </c>
      <c r="J97">
        <v>16</v>
      </c>
      <c r="K97" t="s">
        <v>177</v>
      </c>
      <c r="L97" t="s">
        <v>139</v>
      </c>
      <c r="M97" t="s">
        <v>193</v>
      </c>
      <c r="N97" t="s">
        <v>360</v>
      </c>
      <c r="O97">
        <v>1</v>
      </c>
      <c r="P97">
        <v>15.88</v>
      </c>
    </row>
    <row r="98" spans="4:16" hidden="1" x14ac:dyDescent="0.25">
      <c r="D98" t="s">
        <v>361</v>
      </c>
      <c r="E98" t="s">
        <v>135</v>
      </c>
      <c r="F98" t="s">
        <v>149</v>
      </c>
      <c r="G98" t="s">
        <v>163</v>
      </c>
      <c r="H98" t="s">
        <v>239</v>
      </c>
      <c r="I98" s="13">
        <v>39378</v>
      </c>
      <c r="J98">
        <v>16</v>
      </c>
      <c r="K98" t="s">
        <v>177</v>
      </c>
      <c r="L98" t="s">
        <v>139</v>
      </c>
      <c r="M98" t="s">
        <v>178</v>
      </c>
      <c r="N98" t="s">
        <v>362</v>
      </c>
      <c r="O98">
        <v>1</v>
      </c>
      <c r="P98">
        <v>15.88</v>
      </c>
    </row>
    <row r="99" spans="4:16" hidden="1" x14ac:dyDescent="0.25">
      <c r="D99" t="s">
        <v>361</v>
      </c>
      <c r="E99" t="s">
        <v>135</v>
      </c>
      <c r="F99" t="s">
        <v>149</v>
      </c>
      <c r="G99" t="s">
        <v>163</v>
      </c>
      <c r="H99" t="s">
        <v>239</v>
      </c>
      <c r="I99" s="13">
        <v>39378</v>
      </c>
      <c r="J99">
        <v>16</v>
      </c>
      <c r="K99" t="s">
        <v>177</v>
      </c>
      <c r="L99" t="s">
        <v>139</v>
      </c>
      <c r="M99" t="s">
        <v>178</v>
      </c>
      <c r="N99" t="s">
        <v>362</v>
      </c>
      <c r="O99">
        <v>1</v>
      </c>
      <c r="P99">
        <v>15.88</v>
      </c>
    </row>
    <row r="100" spans="4:16" hidden="1" x14ac:dyDescent="0.25">
      <c r="D100" t="s">
        <v>363</v>
      </c>
      <c r="E100" t="s">
        <v>135</v>
      </c>
      <c r="F100" t="s">
        <v>149</v>
      </c>
      <c r="G100" t="s">
        <v>271</v>
      </c>
      <c r="H100" t="s">
        <v>239</v>
      </c>
      <c r="I100" s="13">
        <v>39379</v>
      </c>
      <c r="J100">
        <v>16</v>
      </c>
      <c r="K100" t="s">
        <v>177</v>
      </c>
      <c r="L100" t="s">
        <v>139</v>
      </c>
      <c r="M100" t="s">
        <v>193</v>
      </c>
      <c r="N100" t="s">
        <v>364</v>
      </c>
      <c r="O100">
        <v>1</v>
      </c>
      <c r="P100">
        <v>15.88</v>
      </c>
    </row>
    <row r="101" spans="4:16" hidden="1" x14ac:dyDescent="0.25">
      <c r="D101" t="s">
        <v>365</v>
      </c>
      <c r="E101" t="s">
        <v>135</v>
      </c>
      <c r="F101" t="s">
        <v>149</v>
      </c>
      <c r="G101" t="s">
        <v>271</v>
      </c>
      <c r="H101" t="s">
        <v>239</v>
      </c>
      <c r="I101" s="13">
        <v>39379</v>
      </c>
      <c r="J101">
        <v>16</v>
      </c>
      <c r="K101" t="s">
        <v>145</v>
      </c>
      <c r="L101" t="s">
        <v>139</v>
      </c>
      <c r="M101" t="s">
        <v>207</v>
      </c>
      <c r="N101" t="s">
        <v>366</v>
      </c>
      <c r="O101">
        <v>1</v>
      </c>
      <c r="P101">
        <v>15.88</v>
      </c>
    </row>
    <row r="102" spans="4:16" hidden="1" x14ac:dyDescent="0.25">
      <c r="D102" t="s">
        <v>367</v>
      </c>
      <c r="E102" t="s">
        <v>135</v>
      </c>
      <c r="F102" t="s">
        <v>149</v>
      </c>
      <c r="G102" t="s">
        <v>271</v>
      </c>
      <c r="H102" t="s">
        <v>239</v>
      </c>
      <c r="I102" s="13">
        <v>39391</v>
      </c>
      <c r="J102">
        <v>16</v>
      </c>
      <c r="K102" t="s">
        <v>177</v>
      </c>
      <c r="L102" t="s">
        <v>139</v>
      </c>
      <c r="M102" t="s">
        <v>140</v>
      </c>
      <c r="N102" t="s">
        <v>368</v>
      </c>
      <c r="O102">
        <v>1</v>
      </c>
      <c r="P102">
        <v>15.85</v>
      </c>
    </row>
    <row r="103" spans="4:16" hidden="1" x14ac:dyDescent="0.25">
      <c r="D103" t="s">
        <v>369</v>
      </c>
      <c r="E103" t="s">
        <v>135</v>
      </c>
      <c r="F103" t="s">
        <v>149</v>
      </c>
      <c r="G103" t="s">
        <v>271</v>
      </c>
      <c r="H103" t="s">
        <v>239</v>
      </c>
      <c r="I103" s="13">
        <v>39391</v>
      </c>
      <c r="J103">
        <v>16</v>
      </c>
      <c r="K103" t="s">
        <v>157</v>
      </c>
      <c r="L103" t="s">
        <v>139</v>
      </c>
      <c r="M103" t="s">
        <v>146</v>
      </c>
      <c r="N103" t="s">
        <v>370</v>
      </c>
      <c r="O103">
        <v>1</v>
      </c>
      <c r="P103">
        <v>15.85</v>
      </c>
    </row>
    <row r="104" spans="4:16" hidden="1" x14ac:dyDescent="0.25">
      <c r="D104" t="s">
        <v>371</v>
      </c>
      <c r="E104" t="s">
        <v>135</v>
      </c>
      <c r="F104" t="s">
        <v>149</v>
      </c>
      <c r="G104" t="s">
        <v>271</v>
      </c>
      <c r="H104" t="s">
        <v>239</v>
      </c>
      <c r="I104" s="13">
        <v>39393</v>
      </c>
      <c r="J104">
        <v>16</v>
      </c>
      <c r="K104" t="s">
        <v>145</v>
      </c>
      <c r="L104" t="s">
        <v>164</v>
      </c>
      <c r="M104" t="s">
        <v>372</v>
      </c>
      <c r="N104" t="s">
        <v>373</v>
      </c>
      <c r="O104">
        <v>1</v>
      </c>
      <c r="P104">
        <v>15.84</v>
      </c>
    </row>
    <row r="105" spans="4:16" hidden="1" x14ac:dyDescent="0.25">
      <c r="D105" t="s">
        <v>374</v>
      </c>
      <c r="E105" t="s">
        <v>135</v>
      </c>
      <c r="F105" t="s">
        <v>149</v>
      </c>
      <c r="G105" t="s">
        <v>271</v>
      </c>
      <c r="H105" t="s">
        <v>239</v>
      </c>
      <c r="I105" s="13">
        <v>39393</v>
      </c>
      <c r="J105">
        <v>16</v>
      </c>
      <c r="K105" t="s">
        <v>138</v>
      </c>
      <c r="L105" t="s">
        <v>139</v>
      </c>
      <c r="M105" t="s">
        <v>352</v>
      </c>
      <c r="N105" t="s">
        <v>375</v>
      </c>
      <c r="O105">
        <v>1</v>
      </c>
      <c r="P105">
        <v>15.84</v>
      </c>
    </row>
    <row r="106" spans="4:16" hidden="1" x14ac:dyDescent="0.25">
      <c r="D106" t="s">
        <v>376</v>
      </c>
      <c r="E106" t="s">
        <v>135</v>
      </c>
      <c r="F106" t="s">
        <v>149</v>
      </c>
      <c r="G106" t="s">
        <v>150</v>
      </c>
      <c r="H106" t="s">
        <v>239</v>
      </c>
      <c r="I106" s="13">
        <v>39409</v>
      </c>
      <c r="J106">
        <v>16</v>
      </c>
      <c r="K106" t="s">
        <v>145</v>
      </c>
      <c r="L106" t="s">
        <v>164</v>
      </c>
      <c r="M106" t="s">
        <v>284</v>
      </c>
      <c r="N106" t="s">
        <v>377</v>
      </c>
      <c r="O106">
        <v>1</v>
      </c>
      <c r="P106">
        <v>15.8</v>
      </c>
    </row>
    <row r="107" spans="4:16" hidden="1" x14ac:dyDescent="0.25">
      <c r="D107" t="s">
        <v>378</v>
      </c>
      <c r="E107" t="s">
        <v>135</v>
      </c>
      <c r="F107" t="s">
        <v>379</v>
      </c>
      <c r="G107" t="s">
        <v>380</v>
      </c>
      <c r="H107" t="s">
        <v>176</v>
      </c>
      <c r="I107" s="13">
        <v>39414</v>
      </c>
      <c r="J107">
        <v>16</v>
      </c>
      <c r="K107" t="s">
        <v>138</v>
      </c>
      <c r="L107" t="s">
        <v>164</v>
      </c>
      <c r="M107" t="s">
        <v>268</v>
      </c>
      <c r="N107" t="s">
        <v>381</v>
      </c>
      <c r="O107">
        <v>1</v>
      </c>
      <c r="P107">
        <v>15.78</v>
      </c>
    </row>
    <row r="108" spans="4:16" hidden="1" x14ac:dyDescent="0.25">
      <c r="D108" t="s">
        <v>382</v>
      </c>
      <c r="E108" t="s">
        <v>135</v>
      </c>
      <c r="F108" t="s">
        <v>143</v>
      </c>
      <c r="G108" t="s">
        <v>383</v>
      </c>
      <c r="H108" t="s">
        <v>239</v>
      </c>
      <c r="I108" s="13">
        <v>39420</v>
      </c>
      <c r="J108">
        <v>16</v>
      </c>
      <c r="K108" t="s">
        <v>145</v>
      </c>
      <c r="L108" t="s">
        <v>139</v>
      </c>
      <c r="M108" t="s">
        <v>264</v>
      </c>
      <c r="N108" t="s">
        <v>384</v>
      </c>
      <c r="O108">
        <v>1</v>
      </c>
      <c r="P108">
        <v>15.77</v>
      </c>
    </row>
    <row r="109" spans="4:16" hidden="1" x14ac:dyDescent="0.25">
      <c r="D109" t="s">
        <v>385</v>
      </c>
      <c r="E109" t="s">
        <v>135</v>
      </c>
      <c r="F109" t="s">
        <v>149</v>
      </c>
      <c r="G109" t="s">
        <v>163</v>
      </c>
      <c r="H109" t="s">
        <v>176</v>
      </c>
      <c r="I109" s="13">
        <v>39420</v>
      </c>
      <c r="J109">
        <v>16</v>
      </c>
      <c r="K109" t="s">
        <v>145</v>
      </c>
      <c r="L109" t="s">
        <v>139</v>
      </c>
      <c r="M109" t="s">
        <v>386</v>
      </c>
      <c r="N109" t="s">
        <v>387</v>
      </c>
      <c r="O109">
        <v>1</v>
      </c>
      <c r="P109">
        <v>15.77</v>
      </c>
    </row>
    <row r="110" spans="4:16" hidden="1" x14ac:dyDescent="0.25">
      <c r="D110" t="s">
        <v>388</v>
      </c>
      <c r="E110" t="s">
        <v>135</v>
      </c>
      <c r="F110" t="s">
        <v>143</v>
      </c>
      <c r="G110" t="s">
        <v>308</v>
      </c>
      <c r="H110" t="s">
        <v>239</v>
      </c>
      <c r="I110" s="13">
        <v>39420</v>
      </c>
      <c r="J110">
        <v>16</v>
      </c>
      <c r="K110" t="s">
        <v>145</v>
      </c>
      <c r="L110" t="s">
        <v>139</v>
      </c>
      <c r="M110" t="s">
        <v>264</v>
      </c>
      <c r="N110" t="s">
        <v>389</v>
      </c>
      <c r="O110">
        <v>1</v>
      </c>
      <c r="P110">
        <v>15.77</v>
      </c>
    </row>
    <row r="111" spans="4:16" hidden="1" x14ac:dyDescent="0.25">
      <c r="D111" t="s">
        <v>390</v>
      </c>
      <c r="E111" t="s">
        <v>135</v>
      </c>
      <c r="F111" t="s">
        <v>181</v>
      </c>
      <c r="G111" t="s">
        <v>199</v>
      </c>
      <c r="H111" t="s">
        <v>239</v>
      </c>
      <c r="I111" s="13">
        <v>39422</v>
      </c>
      <c r="J111">
        <v>16</v>
      </c>
      <c r="K111" t="s">
        <v>145</v>
      </c>
      <c r="L111" t="s">
        <v>139</v>
      </c>
      <c r="M111" t="s">
        <v>391</v>
      </c>
      <c r="N111" t="s">
        <v>392</v>
      </c>
      <c r="O111">
        <v>1</v>
      </c>
      <c r="P111">
        <v>15.76</v>
      </c>
    </row>
    <row r="112" spans="4:16" hidden="1" x14ac:dyDescent="0.25">
      <c r="D112" t="s">
        <v>393</v>
      </c>
      <c r="E112" t="s">
        <v>135</v>
      </c>
      <c r="F112" t="s">
        <v>181</v>
      </c>
      <c r="G112" t="s">
        <v>199</v>
      </c>
      <c r="H112" t="s">
        <v>239</v>
      </c>
      <c r="I112" s="13">
        <v>39422</v>
      </c>
      <c r="J112">
        <v>16</v>
      </c>
      <c r="K112" t="s">
        <v>177</v>
      </c>
      <c r="L112" t="s">
        <v>139</v>
      </c>
      <c r="M112" t="s">
        <v>391</v>
      </c>
      <c r="N112" t="s">
        <v>394</v>
      </c>
      <c r="O112">
        <v>1</v>
      </c>
      <c r="P112">
        <v>15.76</v>
      </c>
    </row>
    <row r="113" spans="4:16" hidden="1" x14ac:dyDescent="0.25">
      <c r="D113" t="s">
        <v>393</v>
      </c>
      <c r="E113" t="s">
        <v>135</v>
      </c>
      <c r="F113" t="s">
        <v>181</v>
      </c>
      <c r="G113" t="s">
        <v>199</v>
      </c>
      <c r="H113" t="s">
        <v>239</v>
      </c>
      <c r="I113" s="13">
        <v>39422</v>
      </c>
      <c r="J113">
        <v>16</v>
      </c>
      <c r="K113" t="s">
        <v>145</v>
      </c>
      <c r="L113" t="s">
        <v>139</v>
      </c>
      <c r="M113" t="s">
        <v>391</v>
      </c>
      <c r="N113" t="s">
        <v>394</v>
      </c>
      <c r="O113">
        <v>1</v>
      </c>
      <c r="P113">
        <v>15.76</v>
      </c>
    </row>
    <row r="114" spans="4:16" hidden="1" x14ac:dyDescent="0.25">
      <c r="D114" t="s">
        <v>395</v>
      </c>
      <c r="E114" t="s">
        <v>135</v>
      </c>
      <c r="F114" t="s">
        <v>181</v>
      </c>
      <c r="G114" t="s">
        <v>199</v>
      </c>
      <c r="H114" t="s">
        <v>239</v>
      </c>
      <c r="I114" s="13">
        <v>39422</v>
      </c>
      <c r="J114">
        <v>16</v>
      </c>
      <c r="K114" t="s">
        <v>177</v>
      </c>
      <c r="L114" t="s">
        <v>139</v>
      </c>
      <c r="M114" t="s">
        <v>391</v>
      </c>
      <c r="N114" t="s">
        <v>396</v>
      </c>
      <c r="O114">
        <v>1</v>
      </c>
      <c r="P114">
        <v>15.76</v>
      </c>
    </row>
    <row r="115" spans="4:16" hidden="1" x14ac:dyDescent="0.25">
      <c r="D115" t="s">
        <v>397</v>
      </c>
      <c r="E115" t="s">
        <v>135</v>
      </c>
      <c r="F115" t="s">
        <v>143</v>
      </c>
      <c r="G115" t="s">
        <v>144</v>
      </c>
      <c r="H115" t="s">
        <v>239</v>
      </c>
      <c r="I115" s="13">
        <v>39428</v>
      </c>
      <c r="J115">
        <v>16</v>
      </c>
      <c r="K115" t="s">
        <v>145</v>
      </c>
      <c r="L115" t="s">
        <v>139</v>
      </c>
      <c r="M115" t="s">
        <v>398</v>
      </c>
      <c r="N115" t="s">
        <v>399</v>
      </c>
      <c r="O115">
        <v>1</v>
      </c>
      <c r="P115">
        <v>15.75</v>
      </c>
    </row>
    <row r="116" spans="4:16" hidden="1" x14ac:dyDescent="0.25">
      <c r="D116" t="s">
        <v>400</v>
      </c>
      <c r="E116" t="s">
        <v>135</v>
      </c>
      <c r="F116" t="s">
        <v>143</v>
      </c>
      <c r="G116" t="s">
        <v>144</v>
      </c>
      <c r="H116" t="s">
        <v>239</v>
      </c>
      <c r="I116" s="13">
        <v>39428</v>
      </c>
      <c r="J116">
        <v>16</v>
      </c>
      <c r="K116" t="s">
        <v>145</v>
      </c>
      <c r="L116" t="s">
        <v>139</v>
      </c>
      <c r="M116" t="s">
        <v>398</v>
      </c>
      <c r="N116" t="s">
        <v>401</v>
      </c>
      <c r="O116">
        <v>1</v>
      </c>
      <c r="P116">
        <v>15.75</v>
      </c>
    </row>
    <row r="117" spans="4:16" hidden="1" x14ac:dyDescent="0.25">
      <c r="D117" t="s">
        <v>402</v>
      </c>
      <c r="E117" t="s">
        <v>135</v>
      </c>
      <c r="F117" t="s">
        <v>181</v>
      </c>
      <c r="G117" t="s">
        <v>203</v>
      </c>
      <c r="H117" t="s">
        <v>239</v>
      </c>
      <c r="I117" s="13">
        <v>39428</v>
      </c>
      <c r="J117">
        <v>16</v>
      </c>
      <c r="K117" t="s">
        <v>177</v>
      </c>
      <c r="L117" t="s">
        <v>139</v>
      </c>
      <c r="M117" t="s">
        <v>204</v>
      </c>
      <c r="N117" t="s">
        <v>403</v>
      </c>
      <c r="O117">
        <v>1</v>
      </c>
      <c r="P117">
        <v>15.75</v>
      </c>
    </row>
    <row r="118" spans="4:16" hidden="1" x14ac:dyDescent="0.25">
      <c r="D118" t="s">
        <v>404</v>
      </c>
      <c r="E118" t="s">
        <v>135</v>
      </c>
      <c r="F118" t="s">
        <v>143</v>
      </c>
      <c r="G118" t="s">
        <v>308</v>
      </c>
      <c r="H118" t="s">
        <v>239</v>
      </c>
      <c r="I118" s="13">
        <v>39427</v>
      </c>
      <c r="J118">
        <v>16</v>
      </c>
      <c r="K118" t="s">
        <v>145</v>
      </c>
      <c r="L118" t="s">
        <v>139</v>
      </c>
      <c r="M118" t="s">
        <v>261</v>
      </c>
      <c r="N118" t="s">
        <v>405</v>
      </c>
      <c r="O118">
        <v>1</v>
      </c>
      <c r="P118">
        <v>15.75</v>
      </c>
    </row>
    <row r="119" spans="4:16" hidden="1" x14ac:dyDescent="0.25">
      <c r="D119" t="s">
        <v>406</v>
      </c>
      <c r="E119" t="s">
        <v>135</v>
      </c>
      <c r="F119" t="s">
        <v>143</v>
      </c>
      <c r="G119" t="s">
        <v>267</v>
      </c>
      <c r="H119" t="s">
        <v>239</v>
      </c>
      <c r="I119" s="13">
        <v>39450</v>
      </c>
      <c r="J119">
        <v>16</v>
      </c>
      <c r="K119" t="s">
        <v>138</v>
      </c>
      <c r="L119" t="s">
        <v>139</v>
      </c>
      <c r="M119" t="s">
        <v>268</v>
      </c>
      <c r="N119" t="s">
        <v>407</v>
      </c>
      <c r="O119">
        <v>1</v>
      </c>
      <c r="P119">
        <v>15.69</v>
      </c>
    </row>
    <row r="120" spans="4:16" hidden="1" x14ac:dyDescent="0.25">
      <c r="D120" t="s">
        <v>408</v>
      </c>
      <c r="E120" t="s">
        <v>135</v>
      </c>
      <c r="F120" t="s">
        <v>149</v>
      </c>
      <c r="G120" t="s">
        <v>271</v>
      </c>
      <c r="H120" t="s">
        <v>239</v>
      </c>
      <c r="I120" s="13">
        <v>39463</v>
      </c>
      <c r="J120">
        <v>16</v>
      </c>
      <c r="K120" t="s">
        <v>177</v>
      </c>
      <c r="L120" t="s">
        <v>139</v>
      </c>
      <c r="M120" t="s">
        <v>207</v>
      </c>
      <c r="N120" t="s">
        <v>409</v>
      </c>
      <c r="O120">
        <v>1</v>
      </c>
      <c r="P120">
        <v>15.65</v>
      </c>
    </row>
    <row r="121" spans="4:16" hidden="1" x14ac:dyDescent="0.25">
      <c r="D121" t="s">
        <v>410</v>
      </c>
      <c r="E121" t="s">
        <v>135</v>
      </c>
      <c r="F121" t="s">
        <v>149</v>
      </c>
      <c r="G121" t="s">
        <v>271</v>
      </c>
      <c r="H121" t="s">
        <v>239</v>
      </c>
      <c r="I121" s="13">
        <v>39463</v>
      </c>
      <c r="J121">
        <v>16</v>
      </c>
      <c r="K121" t="s">
        <v>177</v>
      </c>
      <c r="L121" t="s">
        <v>139</v>
      </c>
      <c r="M121" t="s">
        <v>207</v>
      </c>
      <c r="N121" t="s">
        <v>411</v>
      </c>
      <c r="O121">
        <v>1</v>
      </c>
      <c r="P121">
        <v>15.65</v>
      </c>
    </row>
    <row r="122" spans="4:16" hidden="1" x14ac:dyDescent="0.25">
      <c r="D122" t="s">
        <v>412</v>
      </c>
      <c r="E122" t="s">
        <v>135</v>
      </c>
      <c r="F122" t="s">
        <v>143</v>
      </c>
      <c r="G122" t="s">
        <v>383</v>
      </c>
      <c r="H122" t="s">
        <v>239</v>
      </c>
      <c r="I122" s="13">
        <v>39465</v>
      </c>
      <c r="J122">
        <v>16</v>
      </c>
      <c r="K122" t="s">
        <v>177</v>
      </c>
      <c r="L122" t="s">
        <v>139</v>
      </c>
      <c r="M122" t="s">
        <v>200</v>
      </c>
      <c r="N122" t="s">
        <v>413</v>
      </c>
      <c r="O122">
        <v>1</v>
      </c>
      <c r="P122">
        <v>15.64</v>
      </c>
    </row>
    <row r="123" spans="4:16" hidden="1" x14ac:dyDescent="0.25">
      <c r="D123" t="s">
        <v>414</v>
      </c>
      <c r="E123" t="s">
        <v>135</v>
      </c>
      <c r="F123" t="s">
        <v>143</v>
      </c>
      <c r="G123" t="s">
        <v>308</v>
      </c>
      <c r="H123" t="s">
        <v>239</v>
      </c>
      <c r="I123" s="13">
        <v>39465</v>
      </c>
      <c r="J123">
        <v>16</v>
      </c>
      <c r="K123" t="s">
        <v>177</v>
      </c>
      <c r="L123" t="s">
        <v>139</v>
      </c>
      <c r="M123" t="s">
        <v>200</v>
      </c>
      <c r="N123" t="s">
        <v>415</v>
      </c>
      <c r="O123">
        <v>1</v>
      </c>
      <c r="P123">
        <v>15.64</v>
      </c>
    </row>
    <row r="124" spans="4:16" hidden="1" x14ac:dyDescent="0.25">
      <c r="D124" t="s">
        <v>416</v>
      </c>
      <c r="E124" t="s">
        <v>135</v>
      </c>
      <c r="F124" t="s">
        <v>143</v>
      </c>
      <c r="G124" t="s">
        <v>308</v>
      </c>
      <c r="H124" t="s">
        <v>239</v>
      </c>
      <c r="I124" s="13">
        <v>39465</v>
      </c>
      <c r="J124">
        <v>16</v>
      </c>
      <c r="K124" t="s">
        <v>145</v>
      </c>
      <c r="L124" t="s">
        <v>139</v>
      </c>
      <c r="M124" t="s">
        <v>200</v>
      </c>
      <c r="N124" t="s">
        <v>417</v>
      </c>
      <c r="O124">
        <v>1</v>
      </c>
      <c r="P124">
        <v>15.64</v>
      </c>
    </row>
    <row r="125" spans="4:16" hidden="1" x14ac:dyDescent="0.25">
      <c r="D125" t="s">
        <v>418</v>
      </c>
      <c r="E125" t="s">
        <v>135</v>
      </c>
      <c r="F125" t="s">
        <v>419</v>
      </c>
      <c r="G125" t="s">
        <v>420</v>
      </c>
      <c r="H125" t="s">
        <v>239</v>
      </c>
      <c r="I125" s="13">
        <v>39472</v>
      </c>
      <c r="J125">
        <v>16</v>
      </c>
      <c r="K125" t="s">
        <v>138</v>
      </c>
      <c r="L125" t="s">
        <v>164</v>
      </c>
      <c r="M125" t="s">
        <v>421</v>
      </c>
      <c r="N125" t="s">
        <v>422</v>
      </c>
      <c r="O125">
        <v>1</v>
      </c>
      <c r="P125">
        <v>15.63</v>
      </c>
    </row>
    <row r="126" spans="4:16" hidden="1" x14ac:dyDescent="0.25">
      <c r="D126" t="s">
        <v>423</v>
      </c>
      <c r="E126" t="s">
        <v>135</v>
      </c>
      <c r="F126" t="s">
        <v>419</v>
      </c>
      <c r="G126" t="s">
        <v>420</v>
      </c>
      <c r="H126" t="s">
        <v>239</v>
      </c>
      <c r="I126" s="13">
        <v>39472</v>
      </c>
      <c r="J126">
        <v>16</v>
      </c>
      <c r="K126" t="s">
        <v>177</v>
      </c>
      <c r="L126" t="s">
        <v>164</v>
      </c>
      <c r="M126" t="s">
        <v>421</v>
      </c>
      <c r="N126" t="s">
        <v>424</v>
      </c>
      <c r="O126">
        <v>1</v>
      </c>
      <c r="P126">
        <v>15.63</v>
      </c>
    </row>
    <row r="127" spans="4:16" hidden="1" x14ac:dyDescent="0.25">
      <c r="D127" t="s">
        <v>425</v>
      </c>
      <c r="E127" t="s">
        <v>135</v>
      </c>
      <c r="F127" t="s">
        <v>379</v>
      </c>
      <c r="G127" t="s">
        <v>426</v>
      </c>
      <c r="H127" t="s">
        <v>176</v>
      </c>
      <c r="I127" s="13">
        <v>39469</v>
      </c>
      <c r="J127">
        <v>16</v>
      </c>
      <c r="K127" t="s">
        <v>145</v>
      </c>
      <c r="L127" t="s">
        <v>164</v>
      </c>
      <c r="M127" t="s">
        <v>196</v>
      </c>
      <c r="N127" t="s">
        <v>427</v>
      </c>
      <c r="O127">
        <v>1</v>
      </c>
      <c r="P127">
        <v>15.63</v>
      </c>
    </row>
    <row r="128" spans="4:16" hidden="1" x14ac:dyDescent="0.25">
      <c r="D128" t="s">
        <v>428</v>
      </c>
      <c r="E128" t="s">
        <v>135</v>
      </c>
      <c r="F128" t="s">
        <v>143</v>
      </c>
      <c r="G128" t="s">
        <v>308</v>
      </c>
      <c r="H128" t="s">
        <v>239</v>
      </c>
      <c r="I128" s="13">
        <v>39472</v>
      </c>
      <c r="J128">
        <v>16</v>
      </c>
      <c r="K128" t="s">
        <v>177</v>
      </c>
      <c r="L128" t="s">
        <v>139</v>
      </c>
      <c r="M128" t="s">
        <v>261</v>
      </c>
      <c r="N128" t="s">
        <v>429</v>
      </c>
      <c r="O128">
        <v>1</v>
      </c>
      <c r="P128">
        <v>15.63</v>
      </c>
    </row>
    <row r="129" spans="4:16" hidden="1" x14ac:dyDescent="0.25">
      <c r="D129" t="s">
        <v>430</v>
      </c>
      <c r="E129" t="s">
        <v>135</v>
      </c>
      <c r="F129" t="s">
        <v>149</v>
      </c>
      <c r="G129" t="s">
        <v>150</v>
      </c>
      <c r="H129" t="s">
        <v>239</v>
      </c>
      <c r="I129" s="13">
        <v>39471</v>
      </c>
      <c r="J129">
        <v>16</v>
      </c>
      <c r="K129" t="s">
        <v>145</v>
      </c>
      <c r="L129" t="s">
        <v>139</v>
      </c>
      <c r="M129" t="s">
        <v>431</v>
      </c>
      <c r="N129" t="s">
        <v>432</v>
      </c>
      <c r="O129">
        <v>1</v>
      </c>
      <c r="P129">
        <v>15.63</v>
      </c>
    </row>
    <row r="130" spans="4:16" hidden="1" x14ac:dyDescent="0.25">
      <c r="D130" t="s">
        <v>433</v>
      </c>
      <c r="E130" t="s">
        <v>135</v>
      </c>
      <c r="F130" t="s">
        <v>149</v>
      </c>
      <c r="G130" t="s">
        <v>434</v>
      </c>
      <c r="H130" t="s">
        <v>239</v>
      </c>
      <c r="I130" s="13">
        <v>39471</v>
      </c>
      <c r="J130">
        <v>16</v>
      </c>
      <c r="K130" t="s">
        <v>138</v>
      </c>
      <c r="L130" t="s">
        <v>139</v>
      </c>
      <c r="M130" t="s">
        <v>431</v>
      </c>
      <c r="N130" t="s">
        <v>435</v>
      </c>
      <c r="O130">
        <v>1</v>
      </c>
      <c r="P130">
        <v>15.63</v>
      </c>
    </row>
    <row r="131" spans="4:16" hidden="1" x14ac:dyDescent="0.25">
      <c r="D131" t="s">
        <v>436</v>
      </c>
      <c r="E131" t="s">
        <v>135</v>
      </c>
      <c r="F131" t="s">
        <v>143</v>
      </c>
      <c r="G131" t="s">
        <v>383</v>
      </c>
      <c r="H131" t="s">
        <v>239</v>
      </c>
      <c r="I131" s="13">
        <v>39472</v>
      </c>
      <c r="J131">
        <v>16</v>
      </c>
      <c r="K131" t="s">
        <v>177</v>
      </c>
      <c r="L131" t="s">
        <v>139</v>
      </c>
      <c r="M131" t="s">
        <v>261</v>
      </c>
      <c r="N131" t="s">
        <v>437</v>
      </c>
      <c r="O131">
        <v>1</v>
      </c>
      <c r="P131">
        <v>15.63</v>
      </c>
    </row>
    <row r="132" spans="4:16" hidden="1" x14ac:dyDescent="0.25">
      <c r="D132" t="s">
        <v>438</v>
      </c>
      <c r="E132" t="s">
        <v>135</v>
      </c>
      <c r="F132" t="s">
        <v>149</v>
      </c>
      <c r="G132" t="s">
        <v>271</v>
      </c>
      <c r="H132" t="s">
        <v>239</v>
      </c>
      <c r="I132" s="13">
        <v>39489</v>
      </c>
      <c r="J132">
        <v>16</v>
      </c>
      <c r="K132" t="s">
        <v>145</v>
      </c>
      <c r="L132" t="s">
        <v>164</v>
      </c>
      <c r="M132" t="s">
        <v>372</v>
      </c>
      <c r="N132" t="s">
        <v>439</v>
      </c>
      <c r="O132">
        <v>1</v>
      </c>
      <c r="P132">
        <v>15.58</v>
      </c>
    </row>
    <row r="133" spans="4:16" hidden="1" x14ac:dyDescent="0.25">
      <c r="D133" t="s">
        <v>440</v>
      </c>
      <c r="E133" t="s">
        <v>135</v>
      </c>
      <c r="F133" t="s">
        <v>143</v>
      </c>
      <c r="G133" t="s">
        <v>144</v>
      </c>
      <c r="H133" t="s">
        <v>176</v>
      </c>
      <c r="I133" s="13">
        <v>39500</v>
      </c>
      <c r="J133">
        <v>16</v>
      </c>
      <c r="K133" t="s">
        <v>145</v>
      </c>
      <c r="L133" t="s">
        <v>139</v>
      </c>
      <c r="M133" t="s">
        <v>154</v>
      </c>
      <c r="N133" t="s">
        <v>441</v>
      </c>
      <c r="O133">
        <v>1</v>
      </c>
      <c r="P133">
        <v>15.55</v>
      </c>
    </row>
    <row r="134" spans="4:16" hidden="1" x14ac:dyDescent="0.25">
      <c r="D134" t="s">
        <v>442</v>
      </c>
      <c r="E134" t="s">
        <v>135</v>
      </c>
      <c r="F134" t="s">
        <v>143</v>
      </c>
      <c r="G134" t="s">
        <v>144</v>
      </c>
      <c r="H134" t="s">
        <v>176</v>
      </c>
      <c r="I134" s="13">
        <v>39500</v>
      </c>
      <c r="J134">
        <v>16</v>
      </c>
      <c r="K134" t="s">
        <v>145</v>
      </c>
      <c r="L134" t="s">
        <v>139</v>
      </c>
      <c r="M134" t="s">
        <v>154</v>
      </c>
      <c r="N134" t="s">
        <v>443</v>
      </c>
      <c r="O134">
        <v>1</v>
      </c>
      <c r="P134">
        <v>15.55</v>
      </c>
    </row>
    <row r="135" spans="4:16" hidden="1" x14ac:dyDescent="0.25">
      <c r="D135" t="s">
        <v>444</v>
      </c>
      <c r="E135" t="s">
        <v>135</v>
      </c>
      <c r="F135" t="s">
        <v>136</v>
      </c>
      <c r="G135" t="s">
        <v>445</v>
      </c>
      <c r="H135" t="s">
        <v>239</v>
      </c>
      <c r="I135" s="13">
        <v>39507</v>
      </c>
      <c r="J135">
        <v>16</v>
      </c>
      <c r="K135" t="s">
        <v>177</v>
      </c>
      <c r="L135" t="s">
        <v>139</v>
      </c>
      <c r="M135" t="s">
        <v>240</v>
      </c>
      <c r="N135" t="s">
        <v>446</v>
      </c>
      <c r="O135">
        <v>1</v>
      </c>
      <c r="P135">
        <v>15.53</v>
      </c>
    </row>
    <row r="136" spans="4:16" hidden="1" x14ac:dyDescent="0.25">
      <c r="D136" t="s">
        <v>447</v>
      </c>
      <c r="E136" t="s">
        <v>135</v>
      </c>
      <c r="F136" t="s">
        <v>181</v>
      </c>
      <c r="G136" t="s">
        <v>199</v>
      </c>
      <c r="H136" t="s">
        <v>239</v>
      </c>
      <c r="I136" s="13">
        <v>39512</v>
      </c>
      <c r="J136">
        <v>16</v>
      </c>
      <c r="K136" t="s">
        <v>177</v>
      </c>
      <c r="L136" t="s">
        <v>139</v>
      </c>
      <c r="M136" t="s">
        <v>183</v>
      </c>
      <c r="N136" t="s">
        <v>448</v>
      </c>
      <c r="O136">
        <v>1</v>
      </c>
      <c r="P136">
        <v>15.52</v>
      </c>
    </row>
    <row r="137" spans="4:16" hidden="1" x14ac:dyDescent="0.25">
      <c r="D137" t="s">
        <v>449</v>
      </c>
      <c r="E137" t="s">
        <v>135</v>
      </c>
      <c r="F137" t="s">
        <v>143</v>
      </c>
      <c r="G137" t="s">
        <v>308</v>
      </c>
      <c r="H137" t="s">
        <v>239</v>
      </c>
      <c r="I137" s="13">
        <v>39519</v>
      </c>
      <c r="J137">
        <v>16</v>
      </c>
      <c r="K137" t="s">
        <v>177</v>
      </c>
      <c r="L137" t="s">
        <v>139</v>
      </c>
      <c r="M137" t="s">
        <v>200</v>
      </c>
      <c r="N137" t="s">
        <v>450</v>
      </c>
      <c r="O137">
        <v>1</v>
      </c>
      <c r="P137">
        <v>15.5</v>
      </c>
    </row>
    <row r="138" spans="4:16" hidden="1" x14ac:dyDescent="0.25">
      <c r="D138" t="s">
        <v>451</v>
      </c>
      <c r="E138" t="s">
        <v>135</v>
      </c>
      <c r="F138" t="s">
        <v>136</v>
      </c>
      <c r="G138" t="s">
        <v>315</v>
      </c>
      <c r="H138" t="s">
        <v>239</v>
      </c>
      <c r="I138" s="13">
        <v>39517</v>
      </c>
      <c r="J138">
        <v>16</v>
      </c>
      <c r="K138" t="s">
        <v>138</v>
      </c>
      <c r="L138" t="s">
        <v>139</v>
      </c>
      <c r="M138" t="s">
        <v>452</v>
      </c>
      <c r="N138" t="s">
        <v>453</v>
      </c>
      <c r="O138">
        <v>1</v>
      </c>
      <c r="P138">
        <v>15.5</v>
      </c>
    </row>
    <row r="139" spans="4:16" hidden="1" x14ac:dyDescent="0.25">
      <c r="D139" t="s">
        <v>454</v>
      </c>
      <c r="E139" t="s">
        <v>135</v>
      </c>
      <c r="F139" t="s">
        <v>143</v>
      </c>
      <c r="G139" t="s">
        <v>308</v>
      </c>
      <c r="H139" t="s">
        <v>239</v>
      </c>
      <c r="I139" s="13">
        <v>39521</v>
      </c>
      <c r="J139">
        <v>15</v>
      </c>
      <c r="K139" t="s">
        <v>177</v>
      </c>
      <c r="L139" t="s">
        <v>139</v>
      </c>
      <c r="M139" t="s">
        <v>200</v>
      </c>
      <c r="N139" t="s">
        <v>455</v>
      </c>
      <c r="O139">
        <v>1</v>
      </c>
      <c r="P139">
        <v>15.49</v>
      </c>
    </row>
    <row r="140" spans="4:16" hidden="1" x14ac:dyDescent="0.25">
      <c r="D140" t="s">
        <v>456</v>
      </c>
      <c r="E140" t="s">
        <v>135</v>
      </c>
      <c r="F140" t="s">
        <v>149</v>
      </c>
      <c r="G140" t="s">
        <v>163</v>
      </c>
      <c r="H140" t="s">
        <v>176</v>
      </c>
      <c r="I140" s="13">
        <v>39526</v>
      </c>
      <c r="J140">
        <v>15</v>
      </c>
      <c r="K140" t="s">
        <v>145</v>
      </c>
      <c r="L140" t="s">
        <v>139</v>
      </c>
      <c r="M140" t="s">
        <v>170</v>
      </c>
      <c r="N140" t="s">
        <v>457</v>
      </c>
      <c r="O140">
        <v>1</v>
      </c>
      <c r="P140">
        <v>15.48</v>
      </c>
    </row>
    <row r="141" spans="4:16" hidden="1" x14ac:dyDescent="0.25">
      <c r="D141" t="s">
        <v>458</v>
      </c>
      <c r="E141" t="s">
        <v>135</v>
      </c>
      <c r="F141" t="s">
        <v>149</v>
      </c>
      <c r="G141" t="s">
        <v>271</v>
      </c>
      <c r="H141" t="s">
        <v>239</v>
      </c>
      <c r="I141" s="13">
        <v>39533</v>
      </c>
      <c r="J141">
        <v>15</v>
      </c>
      <c r="K141" t="s">
        <v>177</v>
      </c>
      <c r="L141" t="s">
        <v>139</v>
      </c>
      <c r="M141" t="s">
        <v>193</v>
      </c>
      <c r="N141" t="s">
        <v>459</v>
      </c>
      <c r="O141">
        <v>1</v>
      </c>
      <c r="P141">
        <v>15.46</v>
      </c>
    </row>
    <row r="142" spans="4:16" hidden="1" x14ac:dyDescent="0.25">
      <c r="D142" t="s">
        <v>460</v>
      </c>
      <c r="E142" t="s">
        <v>135</v>
      </c>
      <c r="F142" t="s">
        <v>149</v>
      </c>
      <c r="G142" t="s">
        <v>271</v>
      </c>
      <c r="H142" t="s">
        <v>239</v>
      </c>
      <c r="I142" s="13">
        <v>39533</v>
      </c>
      <c r="J142">
        <v>15</v>
      </c>
      <c r="K142" t="s">
        <v>177</v>
      </c>
      <c r="L142" t="s">
        <v>139</v>
      </c>
      <c r="M142" t="s">
        <v>207</v>
      </c>
      <c r="N142" t="s">
        <v>461</v>
      </c>
      <c r="O142">
        <v>1</v>
      </c>
      <c r="P142">
        <v>15.46</v>
      </c>
    </row>
    <row r="143" spans="4:16" hidden="1" x14ac:dyDescent="0.25">
      <c r="D143" t="s">
        <v>462</v>
      </c>
      <c r="E143" t="s">
        <v>135</v>
      </c>
      <c r="F143" t="s">
        <v>143</v>
      </c>
      <c r="G143" t="s">
        <v>144</v>
      </c>
      <c r="H143" t="s">
        <v>176</v>
      </c>
      <c r="I143" s="13">
        <v>39535</v>
      </c>
      <c r="J143">
        <v>15</v>
      </c>
      <c r="K143" t="s">
        <v>177</v>
      </c>
      <c r="L143" t="s">
        <v>139</v>
      </c>
      <c r="M143" t="s">
        <v>154</v>
      </c>
      <c r="N143" t="s">
        <v>463</v>
      </c>
      <c r="O143">
        <v>1</v>
      </c>
      <c r="P143">
        <v>15.45</v>
      </c>
    </row>
    <row r="144" spans="4:16" hidden="1" x14ac:dyDescent="0.25">
      <c r="D144" t="s">
        <v>464</v>
      </c>
      <c r="E144" t="s">
        <v>135</v>
      </c>
      <c r="F144" t="s">
        <v>136</v>
      </c>
      <c r="G144" t="s">
        <v>199</v>
      </c>
      <c r="H144" t="s">
        <v>239</v>
      </c>
      <c r="I144" s="13">
        <v>39541</v>
      </c>
      <c r="J144">
        <v>15</v>
      </c>
      <c r="K144" t="s">
        <v>145</v>
      </c>
      <c r="L144" t="s">
        <v>139</v>
      </c>
      <c r="M144" t="s">
        <v>465</v>
      </c>
      <c r="N144" t="s">
        <v>466</v>
      </c>
      <c r="O144">
        <v>1</v>
      </c>
      <c r="P144">
        <v>15.44</v>
      </c>
    </row>
    <row r="145" spans="4:16" hidden="1" x14ac:dyDescent="0.25">
      <c r="D145" t="s">
        <v>467</v>
      </c>
      <c r="E145" t="s">
        <v>135</v>
      </c>
      <c r="F145" t="s">
        <v>143</v>
      </c>
      <c r="G145" t="s">
        <v>383</v>
      </c>
      <c r="H145" t="s">
        <v>239</v>
      </c>
      <c r="I145" s="13">
        <v>39545</v>
      </c>
      <c r="J145">
        <v>15</v>
      </c>
      <c r="K145" t="s">
        <v>138</v>
      </c>
      <c r="L145" t="s">
        <v>139</v>
      </c>
      <c r="M145" t="s">
        <v>468</v>
      </c>
      <c r="N145" t="s">
        <v>469</v>
      </c>
      <c r="O145">
        <v>1</v>
      </c>
      <c r="P145">
        <v>15.43</v>
      </c>
    </row>
    <row r="146" spans="4:16" hidden="1" x14ac:dyDescent="0.25">
      <c r="D146" t="s">
        <v>470</v>
      </c>
      <c r="E146" t="s">
        <v>135</v>
      </c>
      <c r="F146" t="s">
        <v>149</v>
      </c>
      <c r="G146" t="s">
        <v>150</v>
      </c>
      <c r="H146" t="s">
        <v>176</v>
      </c>
      <c r="I146" s="13">
        <v>39552</v>
      </c>
      <c r="J146">
        <v>15</v>
      </c>
      <c r="K146" t="s">
        <v>177</v>
      </c>
      <c r="L146" t="s">
        <v>139</v>
      </c>
      <c r="M146" t="s">
        <v>154</v>
      </c>
      <c r="N146" t="s">
        <v>471</v>
      </c>
      <c r="O146">
        <v>1</v>
      </c>
      <c r="P146">
        <v>15.41</v>
      </c>
    </row>
    <row r="147" spans="4:16" hidden="1" x14ac:dyDescent="0.25">
      <c r="D147" t="s">
        <v>472</v>
      </c>
      <c r="E147" t="s">
        <v>135</v>
      </c>
      <c r="F147" t="s">
        <v>143</v>
      </c>
      <c r="G147" t="s">
        <v>383</v>
      </c>
      <c r="H147" t="s">
        <v>239</v>
      </c>
      <c r="I147" s="13">
        <v>39549</v>
      </c>
      <c r="J147">
        <v>15</v>
      </c>
      <c r="K147" t="s">
        <v>145</v>
      </c>
      <c r="L147" t="s">
        <v>139</v>
      </c>
      <c r="M147" t="s">
        <v>355</v>
      </c>
      <c r="N147" t="s">
        <v>473</v>
      </c>
      <c r="O147">
        <v>1</v>
      </c>
      <c r="P147">
        <v>15.41</v>
      </c>
    </row>
    <row r="148" spans="4:16" hidden="1" x14ac:dyDescent="0.25">
      <c r="D148" t="s">
        <v>472</v>
      </c>
      <c r="E148" t="s">
        <v>135</v>
      </c>
      <c r="F148" t="s">
        <v>143</v>
      </c>
      <c r="G148" t="s">
        <v>383</v>
      </c>
      <c r="H148" t="s">
        <v>239</v>
      </c>
      <c r="I148" s="13">
        <v>39549</v>
      </c>
      <c r="J148">
        <v>15</v>
      </c>
      <c r="K148" t="s">
        <v>177</v>
      </c>
      <c r="L148" t="s">
        <v>139</v>
      </c>
      <c r="M148" t="s">
        <v>355</v>
      </c>
      <c r="N148" t="s">
        <v>473</v>
      </c>
      <c r="O148">
        <v>1</v>
      </c>
      <c r="P148">
        <v>15.41</v>
      </c>
    </row>
    <row r="149" spans="4:16" hidden="1" x14ac:dyDescent="0.25">
      <c r="D149" t="s">
        <v>474</v>
      </c>
      <c r="E149" t="s">
        <v>135</v>
      </c>
      <c r="F149" t="s">
        <v>143</v>
      </c>
      <c r="G149" t="s">
        <v>144</v>
      </c>
      <c r="H149" t="s">
        <v>239</v>
      </c>
      <c r="I149" s="13">
        <v>39556</v>
      </c>
      <c r="J149">
        <v>15</v>
      </c>
      <c r="K149" t="s">
        <v>145</v>
      </c>
      <c r="L149" t="s">
        <v>164</v>
      </c>
      <c r="M149" t="s">
        <v>222</v>
      </c>
      <c r="N149" t="s">
        <v>475</v>
      </c>
      <c r="O149">
        <v>1</v>
      </c>
      <c r="P149">
        <v>15.4</v>
      </c>
    </row>
    <row r="150" spans="4:16" hidden="1" x14ac:dyDescent="0.25">
      <c r="D150" t="s">
        <v>476</v>
      </c>
      <c r="E150" t="s">
        <v>135</v>
      </c>
      <c r="F150" t="s">
        <v>149</v>
      </c>
      <c r="G150" t="s">
        <v>163</v>
      </c>
      <c r="H150" t="s">
        <v>137</v>
      </c>
      <c r="I150" s="13">
        <v>39556</v>
      </c>
      <c r="J150">
        <v>15</v>
      </c>
      <c r="K150" t="s">
        <v>157</v>
      </c>
      <c r="L150" t="s">
        <v>139</v>
      </c>
      <c r="M150" t="s">
        <v>452</v>
      </c>
      <c r="N150" t="s">
        <v>477</v>
      </c>
      <c r="O150">
        <v>1</v>
      </c>
      <c r="P150">
        <v>15.4</v>
      </c>
    </row>
    <row r="151" spans="4:16" hidden="1" x14ac:dyDescent="0.25">
      <c r="D151" t="s">
        <v>478</v>
      </c>
      <c r="E151" t="s">
        <v>135</v>
      </c>
      <c r="F151" t="s">
        <v>149</v>
      </c>
      <c r="G151" t="s">
        <v>163</v>
      </c>
      <c r="H151" t="s">
        <v>239</v>
      </c>
      <c r="I151" s="13">
        <v>39559</v>
      </c>
      <c r="J151">
        <v>15</v>
      </c>
      <c r="K151" t="s">
        <v>157</v>
      </c>
      <c r="L151" t="s">
        <v>139</v>
      </c>
      <c r="M151" t="s">
        <v>452</v>
      </c>
      <c r="N151" t="s">
        <v>479</v>
      </c>
      <c r="O151">
        <v>1</v>
      </c>
      <c r="P151">
        <v>15.39</v>
      </c>
    </row>
    <row r="152" spans="4:16" hidden="1" x14ac:dyDescent="0.25">
      <c r="D152" t="s">
        <v>480</v>
      </c>
      <c r="E152" t="s">
        <v>135</v>
      </c>
      <c r="F152" t="s">
        <v>143</v>
      </c>
      <c r="G152" t="s">
        <v>144</v>
      </c>
      <c r="H152" t="s">
        <v>239</v>
      </c>
      <c r="I152" s="13">
        <v>39563</v>
      </c>
      <c r="J152">
        <v>15</v>
      </c>
      <c r="K152" t="s">
        <v>177</v>
      </c>
      <c r="L152" t="s">
        <v>164</v>
      </c>
      <c r="M152" t="s">
        <v>146</v>
      </c>
      <c r="N152" t="s">
        <v>481</v>
      </c>
      <c r="O152">
        <v>1</v>
      </c>
      <c r="P152">
        <v>15.38</v>
      </c>
    </row>
    <row r="153" spans="4:16" hidden="1" x14ac:dyDescent="0.25">
      <c r="D153" t="s">
        <v>482</v>
      </c>
      <c r="E153" t="s">
        <v>135</v>
      </c>
      <c r="F153" t="s">
        <v>143</v>
      </c>
      <c r="G153" t="s">
        <v>319</v>
      </c>
      <c r="H153" t="s">
        <v>239</v>
      </c>
      <c r="I153" s="13">
        <v>39563</v>
      </c>
      <c r="J153">
        <v>15</v>
      </c>
      <c r="K153" t="s">
        <v>177</v>
      </c>
      <c r="L153" t="s">
        <v>139</v>
      </c>
      <c r="M153" t="s">
        <v>222</v>
      </c>
      <c r="N153" t="s">
        <v>483</v>
      </c>
      <c r="O153">
        <v>1</v>
      </c>
      <c r="P153">
        <v>15.38</v>
      </c>
    </row>
    <row r="154" spans="4:16" hidden="1" x14ac:dyDescent="0.25">
      <c r="D154" t="s">
        <v>484</v>
      </c>
      <c r="E154" t="s">
        <v>135</v>
      </c>
      <c r="F154" t="s">
        <v>143</v>
      </c>
      <c r="G154" t="s">
        <v>308</v>
      </c>
      <c r="H154" t="s">
        <v>239</v>
      </c>
      <c r="I154" s="13">
        <v>39573</v>
      </c>
      <c r="J154">
        <v>15</v>
      </c>
      <c r="K154" t="s">
        <v>177</v>
      </c>
      <c r="L154" t="s">
        <v>139</v>
      </c>
      <c r="M154" t="s">
        <v>261</v>
      </c>
      <c r="N154" t="s">
        <v>485</v>
      </c>
      <c r="O154">
        <v>1</v>
      </c>
      <c r="P154">
        <v>15.35</v>
      </c>
    </row>
    <row r="155" spans="4:16" hidden="1" x14ac:dyDescent="0.25">
      <c r="D155" t="s">
        <v>486</v>
      </c>
      <c r="E155" t="s">
        <v>135</v>
      </c>
      <c r="F155" t="s">
        <v>143</v>
      </c>
      <c r="G155" t="s">
        <v>308</v>
      </c>
      <c r="H155" t="s">
        <v>239</v>
      </c>
      <c r="I155" s="13">
        <v>39573</v>
      </c>
      <c r="J155">
        <v>15</v>
      </c>
      <c r="K155" t="s">
        <v>177</v>
      </c>
      <c r="L155" t="s">
        <v>139</v>
      </c>
      <c r="M155" t="s">
        <v>261</v>
      </c>
      <c r="N155" t="s">
        <v>487</v>
      </c>
      <c r="O155">
        <v>1</v>
      </c>
      <c r="P155">
        <v>15.35</v>
      </c>
    </row>
    <row r="156" spans="4:16" hidden="1" x14ac:dyDescent="0.25">
      <c r="D156" t="s">
        <v>488</v>
      </c>
      <c r="E156" t="s">
        <v>135</v>
      </c>
      <c r="F156" t="s">
        <v>136</v>
      </c>
      <c r="G156" t="s">
        <v>489</v>
      </c>
      <c r="H156" t="s">
        <v>239</v>
      </c>
      <c r="I156" s="13">
        <v>39575</v>
      </c>
      <c r="J156">
        <v>15</v>
      </c>
      <c r="K156" t="s">
        <v>145</v>
      </c>
      <c r="L156" t="s">
        <v>164</v>
      </c>
      <c r="M156" t="s">
        <v>490</v>
      </c>
      <c r="N156" t="s">
        <v>491</v>
      </c>
      <c r="O156">
        <v>1</v>
      </c>
      <c r="P156">
        <v>15.34</v>
      </c>
    </row>
    <row r="157" spans="4:16" hidden="1" x14ac:dyDescent="0.25">
      <c r="D157" t="s">
        <v>492</v>
      </c>
      <c r="E157" t="s">
        <v>135</v>
      </c>
      <c r="F157" t="s">
        <v>143</v>
      </c>
      <c r="G157" t="s">
        <v>308</v>
      </c>
      <c r="H157" t="s">
        <v>137</v>
      </c>
      <c r="I157" s="13">
        <v>39587</v>
      </c>
      <c r="J157">
        <v>15</v>
      </c>
      <c r="K157" t="s">
        <v>177</v>
      </c>
      <c r="L157" t="s">
        <v>139</v>
      </c>
      <c r="M157" t="s">
        <v>200</v>
      </c>
      <c r="N157" t="s">
        <v>493</v>
      </c>
      <c r="O157">
        <v>1</v>
      </c>
      <c r="P157">
        <v>15.31</v>
      </c>
    </row>
    <row r="158" spans="4:16" hidden="1" x14ac:dyDescent="0.25">
      <c r="D158" t="s">
        <v>494</v>
      </c>
      <c r="E158" t="s">
        <v>135</v>
      </c>
      <c r="F158" t="s">
        <v>143</v>
      </c>
      <c r="G158" t="s">
        <v>308</v>
      </c>
      <c r="H158" t="s">
        <v>239</v>
      </c>
      <c r="I158" s="13">
        <v>39587</v>
      </c>
      <c r="J158">
        <v>15</v>
      </c>
      <c r="K158" t="s">
        <v>177</v>
      </c>
      <c r="L158" t="s">
        <v>139</v>
      </c>
      <c r="M158" t="s">
        <v>200</v>
      </c>
      <c r="N158" t="s">
        <v>495</v>
      </c>
      <c r="O158">
        <v>1</v>
      </c>
      <c r="P158">
        <v>15.31</v>
      </c>
    </row>
    <row r="159" spans="4:16" hidden="1" x14ac:dyDescent="0.25">
      <c r="D159" t="s">
        <v>496</v>
      </c>
      <c r="E159" t="s">
        <v>135</v>
      </c>
      <c r="F159" t="s">
        <v>143</v>
      </c>
      <c r="G159" t="s">
        <v>144</v>
      </c>
      <c r="H159" t="s">
        <v>239</v>
      </c>
      <c r="I159" s="13">
        <v>39591</v>
      </c>
      <c r="J159">
        <v>15</v>
      </c>
      <c r="K159" t="s">
        <v>138</v>
      </c>
      <c r="L159" t="s">
        <v>164</v>
      </c>
      <c r="M159" t="s">
        <v>421</v>
      </c>
      <c r="N159" t="s">
        <v>497</v>
      </c>
      <c r="O159">
        <v>1</v>
      </c>
      <c r="P159">
        <v>15.3</v>
      </c>
    </row>
    <row r="160" spans="4:16" hidden="1" x14ac:dyDescent="0.25">
      <c r="D160" t="s">
        <v>498</v>
      </c>
      <c r="E160" t="s">
        <v>135</v>
      </c>
      <c r="F160" t="s">
        <v>143</v>
      </c>
      <c r="G160" t="s">
        <v>144</v>
      </c>
      <c r="H160" t="s">
        <v>239</v>
      </c>
      <c r="I160" s="13">
        <v>39591</v>
      </c>
      <c r="J160">
        <v>15</v>
      </c>
      <c r="K160" t="s">
        <v>177</v>
      </c>
      <c r="L160" t="s">
        <v>164</v>
      </c>
      <c r="M160" t="s">
        <v>421</v>
      </c>
      <c r="N160" t="s">
        <v>499</v>
      </c>
      <c r="O160">
        <v>1</v>
      </c>
      <c r="P160">
        <v>15.3</v>
      </c>
    </row>
    <row r="161" spans="4:16" hidden="1" x14ac:dyDescent="0.25">
      <c r="D161" t="s">
        <v>500</v>
      </c>
      <c r="E161" t="s">
        <v>135</v>
      </c>
      <c r="F161" t="s">
        <v>143</v>
      </c>
      <c r="G161" t="s">
        <v>144</v>
      </c>
      <c r="H161" t="s">
        <v>239</v>
      </c>
      <c r="I161" s="13">
        <v>39590</v>
      </c>
      <c r="J161">
        <v>15</v>
      </c>
      <c r="K161" t="s">
        <v>177</v>
      </c>
      <c r="L161" t="s">
        <v>164</v>
      </c>
      <c r="M161" t="s">
        <v>421</v>
      </c>
      <c r="N161" t="s">
        <v>501</v>
      </c>
      <c r="O161">
        <v>1</v>
      </c>
      <c r="P161">
        <v>15.3</v>
      </c>
    </row>
    <row r="162" spans="4:16" hidden="1" x14ac:dyDescent="0.25">
      <c r="D162" t="s">
        <v>502</v>
      </c>
      <c r="E162" t="s">
        <v>135</v>
      </c>
      <c r="F162" t="s">
        <v>143</v>
      </c>
      <c r="G162" t="s">
        <v>144</v>
      </c>
      <c r="H162" t="s">
        <v>239</v>
      </c>
      <c r="I162" s="13">
        <v>39590</v>
      </c>
      <c r="J162">
        <v>15</v>
      </c>
      <c r="K162" t="s">
        <v>145</v>
      </c>
      <c r="L162" t="s">
        <v>164</v>
      </c>
      <c r="M162" t="s">
        <v>222</v>
      </c>
      <c r="N162" t="s">
        <v>503</v>
      </c>
      <c r="O162">
        <v>1</v>
      </c>
      <c r="P162">
        <v>15.3</v>
      </c>
    </row>
    <row r="163" spans="4:16" hidden="1" x14ac:dyDescent="0.25">
      <c r="D163" t="s">
        <v>504</v>
      </c>
      <c r="E163" t="s">
        <v>135</v>
      </c>
      <c r="F163" t="s">
        <v>143</v>
      </c>
      <c r="G163" t="s">
        <v>308</v>
      </c>
      <c r="H163" t="s">
        <v>137</v>
      </c>
      <c r="I163" s="13">
        <v>39589</v>
      </c>
      <c r="J163">
        <v>15</v>
      </c>
      <c r="K163" t="s">
        <v>177</v>
      </c>
      <c r="L163" t="s">
        <v>139</v>
      </c>
      <c r="M163" t="s">
        <v>200</v>
      </c>
      <c r="N163" t="s">
        <v>505</v>
      </c>
      <c r="O163">
        <v>1</v>
      </c>
      <c r="P163">
        <v>15.3</v>
      </c>
    </row>
    <row r="164" spans="4:16" hidden="1" x14ac:dyDescent="0.25">
      <c r="D164" t="s">
        <v>506</v>
      </c>
      <c r="E164" t="s">
        <v>135</v>
      </c>
      <c r="F164" t="s">
        <v>143</v>
      </c>
      <c r="G164" t="s">
        <v>308</v>
      </c>
      <c r="H164" t="s">
        <v>239</v>
      </c>
      <c r="I164" s="13">
        <v>39591</v>
      </c>
      <c r="J164">
        <v>15</v>
      </c>
      <c r="K164" t="s">
        <v>177</v>
      </c>
      <c r="L164" t="s">
        <v>139</v>
      </c>
      <c r="M164" t="s">
        <v>261</v>
      </c>
      <c r="N164" t="s">
        <v>507</v>
      </c>
      <c r="O164">
        <v>1</v>
      </c>
      <c r="P164">
        <v>15.3</v>
      </c>
    </row>
    <row r="165" spans="4:16" hidden="1" x14ac:dyDescent="0.25">
      <c r="D165" t="s">
        <v>508</v>
      </c>
      <c r="E165" t="s">
        <v>135</v>
      </c>
      <c r="F165" t="s">
        <v>149</v>
      </c>
      <c r="G165" t="s">
        <v>163</v>
      </c>
      <c r="H165" t="s">
        <v>239</v>
      </c>
      <c r="I165" s="13">
        <v>39591</v>
      </c>
      <c r="J165">
        <v>15</v>
      </c>
      <c r="K165" t="s">
        <v>138</v>
      </c>
      <c r="L165" t="s">
        <v>139</v>
      </c>
      <c r="M165" t="s">
        <v>509</v>
      </c>
      <c r="N165" t="s">
        <v>510</v>
      </c>
      <c r="O165">
        <v>1</v>
      </c>
      <c r="P165">
        <v>15.3</v>
      </c>
    </row>
    <row r="166" spans="4:16" hidden="1" x14ac:dyDescent="0.25">
      <c r="D166" t="s">
        <v>511</v>
      </c>
      <c r="E166" t="s">
        <v>135</v>
      </c>
      <c r="F166" t="s">
        <v>143</v>
      </c>
      <c r="G166" t="s">
        <v>308</v>
      </c>
      <c r="H166" t="s">
        <v>137</v>
      </c>
      <c r="I166" s="13">
        <v>39594</v>
      </c>
      <c r="J166">
        <v>15</v>
      </c>
      <c r="K166" t="s">
        <v>177</v>
      </c>
      <c r="L166" t="s">
        <v>139</v>
      </c>
      <c r="M166" t="s">
        <v>200</v>
      </c>
      <c r="N166" t="s">
        <v>512</v>
      </c>
      <c r="O166">
        <v>1</v>
      </c>
      <c r="P166">
        <v>15.29</v>
      </c>
    </row>
    <row r="167" spans="4:16" hidden="1" x14ac:dyDescent="0.25">
      <c r="D167" t="s">
        <v>513</v>
      </c>
      <c r="E167" t="s">
        <v>135</v>
      </c>
      <c r="F167" t="s">
        <v>143</v>
      </c>
      <c r="G167" t="s">
        <v>144</v>
      </c>
      <c r="H167" t="s">
        <v>239</v>
      </c>
      <c r="I167" s="13">
        <v>39598</v>
      </c>
      <c r="J167">
        <v>15</v>
      </c>
      <c r="K167" t="s">
        <v>177</v>
      </c>
      <c r="L167" t="s">
        <v>164</v>
      </c>
      <c r="M167" t="s">
        <v>421</v>
      </c>
      <c r="N167" t="s">
        <v>514</v>
      </c>
      <c r="O167">
        <v>1</v>
      </c>
      <c r="P167">
        <v>15.28</v>
      </c>
    </row>
    <row r="168" spans="4:16" hidden="1" x14ac:dyDescent="0.25">
      <c r="D168" t="s">
        <v>515</v>
      </c>
      <c r="E168" t="s">
        <v>135</v>
      </c>
      <c r="F168" t="s">
        <v>143</v>
      </c>
      <c r="G168" t="s">
        <v>144</v>
      </c>
      <c r="H168" t="s">
        <v>239</v>
      </c>
      <c r="I168" s="13">
        <v>39605</v>
      </c>
      <c r="J168">
        <v>15</v>
      </c>
      <c r="K168" t="s">
        <v>138</v>
      </c>
      <c r="L168" t="s">
        <v>164</v>
      </c>
      <c r="M168" t="s">
        <v>421</v>
      </c>
      <c r="N168" t="s">
        <v>516</v>
      </c>
      <c r="O168">
        <v>1</v>
      </c>
      <c r="P168">
        <v>15.26</v>
      </c>
    </row>
    <row r="169" spans="4:16" hidden="1" x14ac:dyDescent="0.25">
      <c r="D169" t="s">
        <v>517</v>
      </c>
      <c r="E169" t="s">
        <v>135</v>
      </c>
      <c r="F169" t="s">
        <v>143</v>
      </c>
      <c r="G169" t="s">
        <v>144</v>
      </c>
      <c r="H169" t="s">
        <v>239</v>
      </c>
      <c r="I169" s="13">
        <v>39610</v>
      </c>
      <c r="J169">
        <v>15</v>
      </c>
      <c r="K169" t="s">
        <v>177</v>
      </c>
      <c r="L169" t="s">
        <v>164</v>
      </c>
      <c r="M169" t="s">
        <v>421</v>
      </c>
      <c r="N169" t="s">
        <v>518</v>
      </c>
      <c r="O169">
        <v>1</v>
      </c>
      <c r="P169">
        <v>15.25</v>
      </c>
    </row>
    <row r="170" spans="4:16" hidden="1" x14ac:dyDescent="0.25">
      <c r="D170" t="s">
        <v>519</v>
      </c>
      <c r="E170" t="s">
        <v>135</v>
      </c>
      <c r="F170" t="s">
        <v>143</v>
      </c>
      <c r="G170" t="s">
        <v>143</v>
      </c>
      <c r="H170" t="s">
        <v>239</v>
      </c>
      <c r="I170" s="13">
        <v>39610</v>
      </c>
      <c r="J170">
        <v>15</v>
      </c>
      <c r="K170" t="s">
        <v>145</v>
      </c>
      <c r="L170" t="s">
        <v>139</v>
      </c>
      <c r="M170" t="s">
        <v>264</v>
      </c>
      <c r="N170" t="s">
        <v>520</v>
      </c>
      <c r="O170">
        <v>1</v>
      </c>
      <c r="P170">
        <v>15.25</v>
      </c>
    </row>
    <row r="171" spans="4:16" hidden="1" x14ac:dyDescent="0.25">
      <c r="D171" t="s">
        <v>521</v>
      </c>
      <c r="E171" t="s">
        <v>135</v>
      </c>
      <c r="F171" t="s">
        <v>143</v>
      </c>
      <c r="G171" t="s">
        <v>144</v>
      </c>
      <c r="H171" t="s">
        <v>239</v>
      </c>
      <c r="I171" s="13">
        <v>39611</v>
      </c>
      <c r="J171">
        <v>15</v>
      </c>
      <c r="K171" t="s">
        <v>177</v>
      </c>
      <c r="L171" t="s">
        <v>164</v>
      </c>
      <c r="M171" t="s">
        <v>146</v>
      </c>
      <c r="N171" t="s">
        <v>522</v>
      </c>
      <c r="O171">
        <v>1</v>
      </c>
      <c r="P171">
        <v>15.24</v>
      </c>
    </row>
    <row r="172" spans="4:16" hidden="1" x14ac:dyDescent="0.25">
      <c r="D172" t="s">
        <v>523</v>
      </c>
      <c r="E172" t="s">
        <v>135</v>
      </c>
      <c r="F172" t="s">
        <v>379</v>
      </c>
      <c r="G172" t="s">
        <v>380</v>
      </c>
      <c r="H172" t="s">
        <v>176</v>
      </c>
      <c r="I172" s="13">
        <v>39612</v>
      </c>
      <c r="J172">
        <v>15</v>
      </c>
      <c r="K172" t="s">
        <v>138</v>
      </c>
      <c r="L172" t="s">
        <v>139</v>
      </c>
      <c r="M172" t="s">
        <v>268</v>
      </c>
      <c r="N172" t="s">
        <v>524</v>
      </c>
      <c r="O172">
        <v>1</v>
      </c>
      <c r="P172">
        <v>15.24</v>
      </c>
    </row>
    <row r="173" spans="4:16" hidden="1" x14ac:dyDescent="0.25">
      <c r="D173" t="s">
        <v>525</v>
      </c>
      <c r="E173" t="s">
        <v>135</v>
      </c>
      <c r="F173" t="s">
        <v>143</v>
      </c>
      <c r="G173" t="s">
        <v>144</v>
      </c>
      <c r="H173" t="s">
        <v>239</v>
      </c>
      <c r="I173" s="13">
        <v>39619</v>
      </c>
      <c r="J173">
        <v>15</v>
      </c>
      <c r="K173" t="s">
        <v>177</v>
      </c>
      <c r="L173" t="s">
        <v>164</v>
      </c>
      <c r="M173" t="s">
        <v>421</v>
      </c>
      <c r="N173" t="s">
        <v>526</v>
      </c>
      <c r="O173">
        <v>1</v>
      </c>
      <c r="P173">
        <v>15.22</v>
      </c>
    </row>
    <row r="174" spans="4:16" hidden="1" x14ac:dyDescent="0.25">
      <c r="D174" t="s">
        <v>527</v>
      </c>
      <c r="E174" t="s">
        <v>135</v>
      </c>
      <c r="F174" t="s">
        <v>143</v>
      </c>
      <c r="G174" t="s">
        <v>144</v>
      </c>
      <c r="H174" t="s">
        <v>239</v>
      </c>
      <c r="I174" s="13">
        <v>39619</v>
      </c>
      <c r="J174">
        <v>15</v>
      </c>
      <c r="K174" t="s">
        <v>177</v>
      </c>
      <c r="L174" t="s">
        <v>164</v>
      </c>
      <c r="M174" t="s">
        <v>421</v>
      </c>
      <c r="N174" t="s">
        <v>528</v>
      </c>
      <c r="O174">
        <v>1</v>
      </c>
      <c r="P174">
        <v>15.22</v>
      </c>
    </row>
    <row r="175" spans="4:16" hidden="1" x14ac:dyDescent="0.25">
      <c r="D175" t="s">
        <v>529</v>
      </c>
      <c r="E175" t="s">
        <v>135</v>
      </c>
      <c r="F175" t="s">
        <v>143</v>
      </c>
      <c r="G175" t="s">
        <v>144</v>
      </c>
      <c r="H175" t="s">
        <v>239</v>
      </c>
      <c r="I175" s="13">
        <v>39619</v>
      </c>
      <c r="J175">
        <v>15</v>
      </c>
      <c r="K175" t="s">
        <v>177</v>
      </c>
      <c r="L175" t="s">
        <v>164</v>
      </c>
      <c r="M175" t="s">
        <v>421</v>
      </c>
      <c r="N175" t="s">
        <v>530</v>
      </c>
      <c r="O175">
        <v>1</v>
      </c>
      <c r="P175">
        <v>15.22</v>
      </c>
    </row>
    <row r="176" spans="4:16" hidden="1" x14ac:dyDescent="0.25">
      <c r="D176" t="s">
        <v>531</v>
      </c>
      <c r="E176" t="s">
        <v>135</v>
      </c>
      <c r="F176" t="s">
        <v>143</v>
      </c>
      <c r="G176" t="s">
        <v>144</v>
      </c>
      <c r="H176" t="s">
        <v>239</v>
      </c>
      <c r="I176" s="13">
        <v>39619</v>
      </c>
      <c r="J176">
        <v>15</v>
      </c>
      <c r="K176" t="s">
        <v>157</v>
      </c>
      <c r="L176" t="s">
        <v>139</v>
      </c>
      <c r="M176" t="s">
        <v>421</v>
      </c>
      <c r="N176" t="s">
        <v>532</v>
      </c>
      <c r="O176">
        <v>1</v>
      </c>
      <c r="P176">
        <v>15.22</v>
      </c>
    </row>
    <row r="177" spans="4:16" hidden="1" x14ac:dyDescent="0.25">
      <c r="D177" t="s">
        <v>533</v>
      </c>
      <c r="E177" t="s">
        <v>135</v>
      </c>
      <c r="F177" t="s">
        <v>143</v>
      </c>
      <c r="G177" t="s">
        <v>144</v>
      </c>
      <c r="H177" t="s">
        <v>239</v>
      </c>
      <c r="I177" s="13">
        <v>39624</v>
      </c>
      <c r="J177">
        <v>15</v>
      </c>
      <c r="K177" t="s">
        <v>177</v>
      </c>
      <c r="L177" t="s">
        <v>164</v>
      </c>
      <c r="M177" t="s">
        <v>421</v>
      </c>
      <c r="N177" t="s">
        <v>534</v>
      </c>
      <c r="O177">
        <v>1</v>
      </c>
      <c r="P177">
        <v>15.21</v>
      </c>
    </row>
    <row r="178" spans="4:16" hidden="1" x14ac:dyDescent="0.25">
      <c r="D178" t="s">
        <v>535</v>
      </c>
      <c r="E178" t="s">
        <v>135</v>
      </c>
      <c r="F178" t="s">
        <v>143</v>
      </c>
      <c r="G178" t="s">
        <v>144</v>
      </c>
      <c r="H178" t="s">
        <v>239</v>
      </c>
      <c r="I178" s="13">
        <v>39624</v>
      </c>
      <c r="J178">
        <v>15</v>
      </c>
      <c r="K178" t="s">
        <v>177</v>
      </c>
      <c r="L178" t="s">
        <v>164</v>
      </c>
      <c r="M178" t="s">
        <v>421</v>
      </c>
      <c r="N178" t="s">
        <v>536</v>
      </c>
      <c r="O178">
        <v>1</v>
      </c>
      <c r="P178">
        <v>15.21</v>
      </c>
    </row>
    <row r="179" spans="4:16" hidden="1" x14ac:dyDescent="0.25">
      <c r="D179" t="s">
        <v>537</v>
      </c>
      <c r="E179" t="s">
        <v>135</v>
      </c>
      <c r="F179" t="s">
        <v>143</v>
      </c>
      <c r="G179" t="s">
        <v>144</v>
      </c>
      <c r="H179" t="s">
        <v>239</v>
      </c>
      <c r="I179" s="13">
        <v>39624</v>
      </c>
      <c r="J179">
        <v>15</v>
      </c>
      <c r="K179" t="s">
        <v>177</v>
      </c>
      <c r="L179" t="s">
        <v>164</v>
      </c>
      <c r="M179" t="s">
        <v>421</v>
      </c>
      <c r="N179" t="s">
        <v>538</v>
      </c>
      <c r="O179">
        <v>1</v>
      </c>
      <c r="P179">
        <v>15.21</v>
      </c>
    </row>
    <row r="180" spans="4:16" hidden="1" x14ac:dyDescent="0.25">
      <c r="D180" t="s">
        <v>539</v>
      </c>
      <c r="E180" t="s">
        <v>135</v>
      </c>
      <c r="F180" t="s">
        <v>143</v>
      </c>
      <c r="G180" t="s">
        <v>144</v>
      </c>
      <c r="H180" t="s">
        <v>239</v>
      </c>
      <c r="I180" s="13">
        <v>39624</v>
      </c>
      <c r="J180">
        <v>15</v>
      </c>
      <c r="K180" t="s">
        <v>177</v>
      </c>
      <c r="L180" t="s">
        <v>164</v>
      </c>
      <c r="M180" t="s">
        <v>421</v>
      </c>
      <c r="N180" t="s">
        <v>540</v>
      </c>
      <c r="O180">
        <v>1</v>
      </c>
      <c r="P180">
        <v>15.21</v>
      </c>
    </row>
    <row r="181" spans="4:16" hidden="1" x14ac:dyDescent="0.25">
      <c r="D181" t="s">
        <v>541</v>
      </c>
      <c r="E181" t="s">
        <v>135</v>
      </c>
      <c r="F181" t="s">
        <v>149</v>
      </c>
      <c r="G181" t="s">
        <v>150</v>
      </c>
      <c r="H181" t="s">
        <v>239</v>
      </c>
      <c r="I181" s="13">
        <v>39624</v>
      </c>
      <c r="J181">
        <v>15</v>
      </c>
      <c r="K181" t="s">
        <v>145</v>
      </c>
      <c r="L181" t="s">
        <v>164</v>
      </c>
      <c r="M181" t="s">
        <v>284</v>
      </c>
      <c r="N181" t="s">
        <v>542</v>
      </c>
      <c r="O181">
        <v>1</v>
      </c>
      <c r="P181">
        <v>15.21</v>
      </c>
    </row>
    <row r="182" spans="4:16" hidden="1" x14ac:dyDescent="0.25">
      <c r="D182" t="s">
        <v>543</v>
      </c>
      <c r="E182" t="s">
        <v>135</v>
      </c>
      <c r="F182" t="s">
        <v>143</v>
      </c>
      <c r="G182" t="s">
        <v>144</v>
      </c>
      <c r="H182" t="s">
        <v>239</v>
      </c>
      <c r="I182" s="13">
        <v>39629</v>
      </c>
      <c r="J182">
        <v>15</v>
      </c>
      <c r="K182" t="s">
        <v>138</v>
      </c>
      <c r="L182" t="s">
        <v>164</v>
      </c>
      <c r="M182" t="s">
        <v>421</v>
      </c>
      <c r="N182" t="s">
        <v>544</v>
      </c>
      <c r="O182">
        <v>1</v>
      </c>
      <c r="P182">
        <v>15.2</v>
      </c>
    </row>
    <row r="183" spans="4:16" hidden="1" x14ac:dyDescent="0.25">
      <c r="D183" t="s">
        <v>545</v>
      </c>
      <c r="E183" t="s">
        <v>135</v>
      </c>
      <c r="F183" t="s">
        <v>143</v>
      </c>
      <c r="G183" t="s">
        <v>144</v>
      </c>
      <c r="H183" t="s">
        <v>239</v>
      </c>
      <c r="I183" s="13">
        <v>39629</v>
      </c>
      <c r="J183">
        <v>15</v>
      </c>
      <c r="K183" t="s">
        <v>177</v>
      </c>
      <c r="L183" t="s">
        <v>164</v>
      </c>
      <c r="M183" t="s">
        <v>421</v>
      </c>
      <c r="N183" t="s">
        <v>546</v>
      </c>
      <c r="O183">
        <v>1</v>
      </c>
      <c r="P183">
        <v>15.2</v>
      </c>
    </row>
    <row r="184" spans="4:16" hidden="1" x14ac:dyDescent="0.25">
      <c r="D184" t="s">
        <v>547</v>
      </c>
      <c r="E184" t="s">
        <v>135</v>
      </c>
      <c r="F184" t="s">
        <v>143</v>
      </c>
      <c r="G184" t="s">
        <v>144</v>
      </c>
      <c r="H184" t="s">
        <v>239</v>
      </c>
      <c r="I184" s="13">
        <v>39629</v>
      </c>
      <c r="J184">
        <v>15</v>
      </c>
      <c r="K184" t="s">
        <v>177</v>
      </c>
      <c r="L184" t="s">
        <v>164</v>
      </c>
      <c r="M184" t="s">
        <v>421</v>
      </c>
      <c r="N184" t="s">
        <v>548</v>
      </c>
      <c r="O184">
        <v>1</v>
      </c>
      <c r="P184">
        <v>15.2</v>
      </c>
    </row>
    <row r="185" spans="4:16" hidden="1" x14ac:dyDescent="0.25">
      <c r="D185" t="s">
        <v>549</v>
      </c>
      <c r="E185" t="s">
        <v>135</v>
      </c>
      <c r="F185" t="s">
        <v>149</v>
      </c>
      <c r="G185" t="s">
        <v>550</v>
      </c>
      <c r="H185" t="s">
        <v>239</v>
      </c>
      <c r="I185" s="13">
        <v>39631</v>
      </c>
      <c r="J185">
        <v>15</v>
      </c>
      <c r="K185" t="s">
        <v>177</v>
      </c>
      <c r="L185" t="s">
        <v>139</v>
      </c>
      <c r="M185" t="s">
        <v>151</v>
      </c>
      <c r="N185" t="s">
        <v>551</v>
      </c>
      <c r="O185">
        <v>1</v>
      </c>
      <c r="P185">
        <v>15.19</v>
      </c>
    </row>
    <row r="186" spans="4:16" hidden="1" x14ac:dyDescent="0.25">
      <c r="D186" t="s">
        <v>552</v>
      </c>
      <c r="E186" t="s">
        <v>135</v>
      </c>
      <c r="F186" t="s">
        <v>149</v>
      </c>
      <c r="G186" t="s">
        <v>550</v>
      </c>
      <c r="H186" t="s">
        <v>239</v>
      </c>
      <c r="I186" s="13">
        <v>39631</v>
      </c>
      <c r="J186">
        <v>15</v>
      </c>
      <c r="K186" t="s">
        <v>177</v>
      </c>
      <c r="L186" t="s">
        <v>139</v>
      </c>
      <c r="M186" t="s">
        <v>151</v>
      </c>
      <c r="N186" t="s">
        <v>553</v>
      </c>
      <c r="O186">
        <v>1</v>
      </c>
      <c r="P186">
        <v>15.19</v>
      </c>
    </row>
    <row r="187" spans="4:16" hidden="1" x14ac:dyDescent="0.25">
      <c r="D187" t="s">
        <v>554</v>
      </c>
      <c r="E187" t="s">
        <v>135</v>
      </c>
      <c r="F187" t="s">
        <v>173</v>
      </c>
      <c r="G187" t="s">
        <v>163</v>
      </c>
      <c r="H187" t="s">
        <v>176</v>
      </c>
      <c r="I187" s="13">
        <v>39630</v>
      </c>
      <c r="J187">
        <v>15</v>
      </c>
      <c r="K187" t="s">
        <v>145</v>
      </c>
      <c r="L187" t="s">
        <v>139</v>
      </c>
      <c r="M187" t="s">
        <v>555</v>
      </c>
      <c r="N187" t="s">
        <v>556</v>
      </c>
      <c r="O187">
        <v>1</v>
      </c>
      <c r="P187">
        <v>15.19</v>
      </c>
    </row>
    <row r="188" spans="4:16" hidden="1" x14ac:dyDescent="0.25">
      <c r="D188" t="s">
        <v>557</v>
      </c>
      <c r="E188" t="s">
        <v>135</v>
      </c>
      <c r="F188" t="s">
        <v>143</v>
      </c>
      <c r="G188" t="s">
        <v>144</v>
      </c>
      <c r="H188" t="s">
        <v>176</v>
      </c>
      <c r="I188" s="13">
        <v>39631</v>
      </c>
      <c r="J188">
        <v>15</v>
      </c>
      <c r="K188" t="s">
        <v>177</v>
      </c>
      <c r="L188" t="s">
        <v>139</v>
      </c>
      <c r="M188" t="s">
        <v>154</v>
      </c>
      <c r="N188" t="s">
        <v>558</v>
      </c>
      <c r="O188">
        <v>1</v>
      </c>
      <c r="P188">
        <v>15.19</v>
      </c>
    </row>
    <row r="189" spans="4:16" hidden="1" x14ac:dyDescent="0.25">
      <c r="D189" t="s">
        <v>559</v>
      </c>
      <c r="E189" t="s">
        <v>135</v>
      </c>
      <c r="F189" t="s">
        <v>379</v>
      </c>
      <c r="G189" t="s">
        <v>560</v>
      </c>
      <c r="H189" t="s">
        <v>176</v>
      </c>
      <c r="I189" s="13">
        <v>39666</v>
      </c>
      <c r="J189">
        <v>15</v>
      </c>
      <c r="K189" t="s">
        <v>138</v>
      </c>
      <c r="L189" t="s">
        <v>139</v>
      </c>
      <c r="M189" t="s">
        <v>316</v>
      </c>
      <c r="N189" t="s">
        <v>561</v>
      </c>
      <c r="O189">
        <v>1</v>
      </c>
      <c r="P189">
        <v>15.09</v>
      </c>
    </row>
    <row r="190" spans="4:16" hidden="1" x14ac:dyDescent="0.25">
      <c r="D190" t="s">
        <v>562</v>
      </c>
      <c r="E190" t="s">
        <v>135</v>
      </c>
      <c r="F190" t="s">
        <v>225</v>
      </c>
      <c r="G190" t="s">
        <v>226</v>
      </c>
      <c r="H190" t="s">
        <v>239</v>
      </c>
      <c r="I190" s="13">
        <v>39671</v>
      </c>
      <c r="J190">
        <v>15</v>
      </c>
      <c r="K190" t="s">
        <v>145</v>
      </c>
      <c r="L190" t="s">
        <v>139</v>
      </c>
      <c r="M190" t="s">
        <v>227</v>
      </c>
      <c r="N190" t="s">
        <v>563</v>
      </c>
      <c r="O190">
        <v>1</v>
      </c>
      <c r="P190">
        <v>15.08</v>
      </c>
    </row>
    <row r="191" spans="4:16" hidden="1" x14ac:dyDescent="0.25">
      <c r="D191" t="s">
        <v>564</v>
      </c>
      <c r="E191" t="s">
        <v>135</v>
      </c>
      <c r="F191" t="s">
        <v>136</v>
      </c>
      <c r="G191" t="s">
        <v>315</v>
      </c>
      <c r="H191" t="s">
        <v>239</v>
      </c>
      <c r="I191" s="13">
        <v>39680</v>
      </c>
      <c r="J191">
        <v>15</v>
      </c>
      <c r="K191" t="s">
        <v>145</v>
      </c>
      <c r="L191" t="s">
        <v>164</v>
      </c>
      <c r="M191" t="s">
        <v>320</v>
      </c>
      <c r="N191" t="s">
        <v>565</v>
      </c>
      <c r="O191">
        <v>1</v>
      </c>
      <c r="P191">
        <v>15.06</v>
      </c>
    </row>
    <row r="192" spans="4:16" hidden="1" x14ac:dyDescent="0.25">
      <c r="D192" t="s">
        <v>566</v>
      </c>
      <c r="E192" t="s">
        <v>135</v>
      </c>
      <c r="F192" t="s">
        <v>136</v>
      </c>
      <c r="G192" t="s">
        <v>315</v>
      </c>
      <c r="H192" t="s">
        <v>239</v>
      </c>
      <c r="I192" s="13">
        <v>39680</v>
      </c>
      <c r="J192">
        <v>15</v>
      </c>
      <c r="K192" t="s">
        <v>177</v>
      </c>
      <c r="L192" t="s">
        <v>164</v>
      </c>
      <c r="M192" t="s">
        <v>320</v>
      </c>
      <c r="N192" t="s">
        <v>567</v>
      </c>
      <c r="O192">
        <v>1</v>
      </c>
      <c r="P192">
        <v>15.06</v>
      </c>
    </row>
    <row r="193" spans="4:16" hidden="1" x14ac:dyDescent="0.25">
      <c r="D193" t="s">
        <v>568</v>
      </c>
      <c r="E193" t="s">
        <v>135</v>
      </c>
      <c r="F193" t="s">
        <v>136</v>
      </c>
      <c r="G193" t="s">
        <v>315</v>
      </c>
      <c r="H193" t="s">
        <v>239</v>
      </c>
      <c r="I193" s="13">
        <v>39680</v>
      </c>
      <c r="J193">
        <v>15</v>
      </c>
      <c r="K193" t="s">
        <v>177</v>
      </c>
      <c r="L193" t="s">
        <v>139</v>
      </c>
      <c r="M193" t="s">
        <v>320</v>
      </c>
      <c r="N193" t="s">
        <v>569</v>
      </c>
      <c r="O193">
        <v>1</v>
      </c>
      <c r="P193">
        <v>15.06</v>
      </c>
    </row>
    <row r="194" spans="4:16" hidden="1" x14ac:dyDescent="0.25">
      <c r="D194" t="s">
        <v>570</v>
      </c>
      <c r="E194" t="s">
        <v>135</v>
      </c>
      <c r="F194" t="s">
        <v>136</v>
      </c>
      <c r="G194" t="s">
        <v>315</v>
      </c>
      <c r="H194" t="s">
        <v>239</v>
      </c>
      <c r="I194" s="13">
        <v>39680</v>
      </c>
      <c r="J194">
        <v>15</v>
      </c>
      <c r="K194" t="s">
        <v>145</v>
      </c>
      <c r="L194" t="s">
        <v>139</v>
      </c>
      <c r="M194" t="s">
        <v>268</v>
      </c>
      <c r="N194" t="s">
        <v>571</v>
      </c>
      <c r="O194">
        <v>1</v>
      </c>
      <c r="P194">
        <v>15.06</v>
      </c>
    </row>
    <row r="195" spans="4:16" hidden="1" x14ac:dyDescent="0.25">
      <c r="D195" t="s">
        <v>572</v>
      </c>
      <c r="E195" t="s">
        <v>135</v>
      </c>
      <c r="F195" t="s">
        <v>379</v>
      </c>
      <c r="G195" t="s">
        <v>426</v>
      </c>
      <c r="H195" t="s">
        <v>176</v>
      </c>
      <c r="I195" s="13">
        <v>39682</v>
      </c>
      <c r="J195">
        <v>15</v>
      </c>
      <c r="K195" t="s">
        <v>145</v>
      </c>
      <c r="L195" t="s">
        <v>139</v>
      </c>
      <c r="M195" t="s">
        <v>573</v>
      </c>
      <c r="N195" t="s">
        <v>574</v>
      </c>
      <c r="O195">
        <v>1</v>
      </c>
      <c r="P195">
        <v>15.05</v>
      </c>
    </row>
    <row r="196" spans="4:16" hidden="1" x14ac:dyDescent="0.25">
      <c r="D196" t="s">
        <v>575</v>
      </c>
      <c r="E196" t="s">
        <v>135</v>
      </c>
      <c r="F196" t="s">
        <v>379</v>
      </c>
      <c r="G196" t="s">
        <v>426</v>
      </c>
      <c r="H196" t="s">
        <v>176</v>
      </c>
      <c r="I196" s="13">
        <v>39682</v>
      </c>
      <c r="J196">
        <v>15</v>
      </c>
      <c r="K196" t="s">
        <v>177</v>
      </c>
      <c r="L196" t="s">
        <v>139</v>
      </c>
      <c r="M196" t="s">
        <v>204</v>
      </c>
      <c r="N196" t="s">
        <v>576</v>
      </c>
      <c r="O196">
        <v>1</v>
      </c>
      <c r="P196">
        <v>15.05</v>
      </c>
    </row>
    <row r="197" spans="4:16" hidden="1" x14ac:dyDescent="0.25">
      <c r="D197" t="s">
        <v>577</v>
      </c>
      <c r="E197" t="s">
        <v>135</v>
      </c>
      <c r="F197" t="s">
        <v>149</v>
      </c>
      <c r="G197" t="s">
        <v>271</v>
      </c>
      <c r="H197" t="s">
        <v>176</v>
      </c>
      <c r="I197" s="13">
        <v>39685</v>
      </c>
      <c r="J197">
        <v>15</v>
      </c>
      <c r="K197" t="s">
        <v>177</v>
      </c>
      <c r="L197" t="s">
        <v>139</v>
      </c>
      <c r="M197" t="s">
        <v>186</v>
      </c>
      <c r="N197" t="s">
        <v>578</v>
      </c>
      <c r="O197">
        <v>1</v>
      </c>
      <c r="P197">
        <v>15.04</v>
      </c>
    </row>
    <row r="198" spans="4:16" hidden="1" x14ac:dyDescent="0.25">
      <c r="D198" t="s">
        <v>579</v>
      </c>
      <c r="E198" t="s">
        <v>135</v>
      </c>
      <c r="F198" t="s">
        <v>149</v>
      </c>
      <c r="G198" t="s">
        <v>271</v>
      </c>
      <c r="H198" t="s">
        <v>176</v>
      </c>
      <c r="I198" s="13">
        <v>39685</v>
      </c>
      <c r="J198">
        <v>15</v>
      </c>
      <c r="K198" t="s">
        <v>145</v>
      </c>
      <c r="L198" t="s">
        <v>139</v>
      </c>
      <c r="M198" t="s">
        <v>186</v>
      </c>
      <c r="N198" t="s">
        <v>580</v>
      </c>
      <c r="O198">
        <v>1</v>
      </c>
      <c r="P198">
        <v>15.04</v>
      </c>
    </row>
    <row r="199" spans="4:16" hidden="1" x14ac:dyDescent="0.25">
      <c r="D199" t="s">
        <v>581</v>
      </c>
      <c r="E199" t="s">
        <v>135</v>
      </c>
      <c r="F199" t="s">
        <v>149</v>
      </c>
      <c r="G199" t="s">
        <v>163</v>
      </c>
      <c r="H199" t="s">
        <v>239</v>
      </c>
      <c r="I199" s="13">
        <v>39686</v>
      </c>
      <c r="J199">
        <v>15</v>
      </c>
      <c r="K199" t="s">
        <v>177</v>
      </c>
      <c r="L199" t="s">
        <v>139</v>
      </c>
      <c r="M199" t="s">
        <v>189</v>
      </c>
      <c r="N199" t="s">
        <v>582</v>
      </c>
      <c r="O199">
        <v>1</v>
      </c>
      <c r="P199">
        <v>15.04</v>
      </c>
    </row>
    <row r="200" spans="4:16" hidden="1" x14ac:dyDescent="0.25">
      <c r="D200" t="s">
        <v>583</v>
      </c>
      <c r="E200" t="s">
        <v>135</v>
      </c>
      <c r="F200" t="s">
        <v>379</v>
      </c>
      <c r="G200" t="s">
        <v>426</v>
      </c>
      <c r="H200" t="s">
        <v>176</v>
      </c>
      <c r="I200" s="13">
        <v>39685</v>
      </c>
      <c r="J200">
        <v>15</v>
      </c>
      <c r="K200" t="s">
        <v>145</v>
      </c>
      <c r="L200" t="s">
        <v>139</v>
      </c>
      <c r="M200" t="s">
        <v>183</v>
      </c>
      <c r="N200" t="s">
        <v>584</v>
      </c>
      <c r="O200">
        <v>1</v>
      </c>
      <c r="P200">
        <v>15.04</v>
      </c>
    </row>
    <row r="201" spans="4:16" hidden="1" x14ac:dyDescent="0.25">
      <c r="D201" t="s">
        <v>585</v>
      </c>
      <c r="E201" t="s">
        <v>135</v>
      </c>
      <c r="F201" t="s">
        <v>149</v>
      </c>
      <c r="G201" t="s">
        <v>150</v>
      </c>
      <c r="H201" t="s">
        <v>239</v>
      </c>
      <c r="I201" s="13">
        <v>39693</v>
      </c>
      <c r="J201">
        <v>15</v>
      </c>
      <c r="K201" t="s">
        <v>177</v>
      </c>
      <c r="L201" t="s">
        <v>139</v>
      </c>
      <c r="M201" t="s">
        <v>170</v>
      </c>
      <c r="N201" t="s">
        <v>586</v>
      </c>
      <c r="O201">
        <v>1</v>
      </c>
      <c r="P201">
        <v>15.02</v>
      </c>
    </row>
    <row r="202" spans="4:16" hidden="1" x14ac:dyDescent="0.25">
      <c r="D202" t="s">
        <v>587</v>
      </c>
      <c r="E202" t="s">
        <v>135</v>
      </c>
      <c r="F202" t="s">
        <v>143</v>
      </c>
      <c r="G202" t="s">
        <v>308</v>
      </c>
      <c r="H202" t="s">
        <v>239</v>
      </c>
      <c r="I202" s="13">
        <v>39692</v>
      </c>
      <c r="J202">
        <v>15</v>
      </c>
      <c r="K202" t="s">
        <v>145</v>
      </c>
      <c r="L202" t="s">
        <v>139</v>
      </c>
      <c r="M202" t="s">
        <v>264</v>
      </c>
      <c r="N202" t="s">
        <v>588</v>
      </c>
      <c r="O202">
        <v>1</v>
      </c>
      <c r="P202">
        <v>15.02</v>
      </c>
    </row>
    <row r="203" spans="4:16" hidden="1" x14ac:dyDescent="0.25">
      <c r="D203" t="s">
        <v>589</v>
      </c>
      <c r="E203" t="s">
        <v>135</v>
      </c>
      <c r="F203" t="s">
        <v>149</v>
      </c>
      <c r="G203" t="s">
        <v>150</v>
      </c>
      <c r="H203" t="s">
        <v>239</v>
      </c>
      <c r="I203" s="13">
        <v>39693</v>
      </c>
      <c r="J203">
        <v>15</v>
      </c>
      <c r="K203" t="s">
        <v>177</v>
      </c>
      <c r="L203" t="s">
        <v>139</v>
      </c>
      <c r="M203" t="s">
        <v>170</v>
      </c>
      <c r="N203" t="s">
        <v>590</v>
      </c>
      <c r="O203">
        <v>1</v>
      </c>
      <c r="P203">
        <v>15.02</v>
      </c>
    </row>
    <row r="204" spans="4:16" hidden="1" x14ac:dyDescent="0.25">
      <c r="D204" t="s">
        <v>591</v>
      </c>
      <c r="E204" t="s">
        <v>135</v>
      </c>
      <c r="F204" t="s">
        <v>143</v>
      </c>
      <c r="G204" t="s">
        <v>308</v>
      </c>
      <c r="H204" t="s">
        <v>239</v>
      </c>
      <c r="I204" s="13">
        <v>39692</v>
      </c>
      <c r="J204">
        <v>15</v>
      </c>
      <c r="K204" t="s">
        <v>145</v>
      </c>
      <c r="L204" t="s">
        <v>139</v>
      </c>
      <c r="M204" t="s">
        <v>264</v>
      </c>
      <c r="N204" t="s">
        <v>592</v>
      </c>
      <c r="O204">
        <v>1</v>
      </c>
      <c r="P204">
        <v>15.02</v>
      </c>
    </row>
    <row r="205" spans="4:16" hidden="1" x14ac:dyDescent="0.25">
      <c r="D205" t="s">
        <v>593</v>
      </c>
      <c r="E205" t="s">
        <v>135</v>
      </c>
      <c r="F205" t="s">
        <v>149</v>
      </c>
      <c r="G205" t="s">
        <v>150</v>
      </c>
      <c r="H205" t="s">
        <v>239</v>
      </c>
      <c r="I205" s="13">
        <v>39693</v>
      </c>
      <c r="J205">
        <v>15</v>
      </c>
      <c r="K205" t="s">
        <v>177</v>
      </c>
      <c r="L205" t="s">
        <v>139</v>
      </c>
      <c r="M205" t="s">
        <v>170</v>
      </c>
      <c r="N205" t="s">
        <v>594</v>
      </c>
      <c r="O205">
        <v>1</v>
      </c>
      <c r="P205">
        <v>15.02</v>
      </c>
    </row>
    <row r="206" spans="4:16" hidden="1" x14ac:dyDescent="0.25">
      <c r="D206" t="s">
        <v>595</v>
      </c>
      <c r="E206" t="s">
        <v>135</v>
      </c>
      <c r="F206" t="s">
        <v>136</v>
      </c>
      <c r="G206" t="s">
        <v>199</v>
      </c>
      <c r="H206" t="s">
        <v>239</v>
      </c>
      <c r="I206" s="13">
        <v>39692</v>
      </c>
      <c r="J206">
        <v>15</v>
      </c>
      <c r="K206" t="s">
        <v>145</v>
      </c>
      <c r="L206" t="s">
        <v>139</v>
      </c>
      <c r="M206" t="s">
        <v>596</v>
      </c>
      <c r="N206" t="s">
        <v>597</v>
      </c>
      <c r="O206">
        <v>1</v>
      </c>
      <c r="P206">
        <v>15.02</v>
      </c>
    </row>
    <row r="207" spans="4:16" hidden="1" x14ac:dyDescent="0.25">
      <c r="D207" t="s">
        <v>598</v>
      </c>
      <c r="E207" t="s">
        <v>135</v>
      </c>
      <c r="F207" t="s">
        <v>143</v>
      </c>
      <c r="G207" t="s">
        <v>308</v>
      </c>
      <c r="H207" t="s">
        <v>239</v>
      </c>
      <c r="I207" s="13">
        <v>39692</v>
      </c>
      <c r="J207">
        <v>15</v>
      </c>
      <c r="K207" t="s">
        <v>138</v>
      </c>
      <c r="L207" t="s">
        <v>139</v>
      </c>
      <c r="M207" t="s">
        <v>268</v>
      </c>
      <c r="N207" t="s">
        <v>599</v>
      </c>
      <c r="O207">
        <v>1</v>
      </c>
      <c r="P207">
        <v>15.02</v>
      </c>
    </row>
    <row r="208" spans="4:16" hidden="1" x14ac:dyDescent="0.25">
      <c r="D208" t="s">
        <v>600</v>
      </c>
      <c r="E208" t="s">
        <v>135</v>
      </c>
      <c r="F208" t="s">
        <v>149</v>
      </c>
      <c r="G208" t="s">
        <v>163</v>
      </c>
      <c r="H208" t="s">
        <v>239</v>
      </c>
      <c r="I208" s="13">
        <v>39706</v>
      </c>
      <c r="J208">
        <v>15</v>
      </c>
      <c r="K208" t="s">
        <v>177</v>
      </c>
      <c r="L208" t="s">
        <v>139</v>
      </c>
      <c r="M208" t="s">
        <v>398</v>
      </c>
      <c r="N208" t="s">
        <v>601</v>
      </c>
      <c r="O208">
        <v>1</v>
      </c>
      <c r="P208">
        <v>14.98</v>
      </c>
    </row>
    <row r="209" spans="4:16" hidden="1" x14ac:dyDescent="0.25">
      <c r="D209" t="s">
        <v>602</v>
      </c>
      <c r="E209" t="s">
        <v>135</v>
      </c>
      <c r="F209" t="s">
        <v>143</v>
      </c>
      <c r="G209" t="s">
        <v>144</v>
      </c>
      <c r="H209" t="s">
        <v>239</v>
      </c>
      <c r="I209" s="13">
        <v>39716</v>
      </c>
      <c r="J209">
        <v>15</v>
      </c>
      <c r="K209" t="s">
        <v>177</v>
      </c>
      <c r="L209" t="s">
        <v>139</v>
      </c>
      <c r="M209" t="s">
        <v>398</v>
      </c>
      <c r="N209" t="s">
        <v>603</v>
      </c>
      <c r="O209">
        <v>1</v>
      </c>
      <c r="P209">
        <v>14.96</v>
      </c>
    </row>
    <row r="210" spans="4:16" hidden="1" x14ac:dyDescent="0.25">
      <c r="D210" t="s">
        <v>604</v>
      </c>
      <c r="E210" t="s">
        <v>135</v>
      </c>
      <c r="F210" t="s">
        <v>143</v>
      </c>
      <c r="G210" t="s">
        <v>308</v>
      </c>
      <c r="H210" t="s">
        <v>239</v>
      </c>
      <c r="I210" s="13">
        <v>39731</v>
      </c>
      <c r="J210">
        <v>15</v>
      </c>
      <c r="K210" t="s">
        <v>145</v>
      </c>
      <c r="L210" t="s">
        <v>139</v>
      </c>
      <c r="M210" t="s">
        <v>264</v>
      </c>
      <c r="N210" t="s">
        <v>605</v>
      </c>
      <c r="O210">
        <v>1</v>
      </c>
      <c r="P210">
        <v>14.92</v>
      </c>
    </row>
    <row r="211" spans="4:16" hidden="1" x14ac:dyDescent="0.25">
      <c r="D211" t="s">
        <v>606</v>
      </c>
      <c r="E211" t="s">
        <v>135</v>
      </c>
      <c r="F211" t="s">
        <v>143</v>
      </c>
      <c r="G211" t="s">
        <v>144</v>
      </c>
      <c r="H211" t="s">
        <v>239</v>
      </c>
      <c r="I211" s="13">
        <v>39735</v>
      </c>
      <c r="J211">
        <v>15</v>
      </c>
      <c r="K211" t="s">
        <v>177</v>
      </c>
      <c r="L211" t="s">
        <v>164</v>
      </c>
      <c r="M211" t="s">
        <v>146</v>
      </c>
      <c r="N211" t="s">
        <v>607</v>
      </c>
      <c r="O211">
        <v>1</v>
      </c>
      <c r="P211">
        <v>14.9</v>
      </c>
    </row>
    <row r="212" spans="4:16" hidden="1" x14ac:dyDescent="0.25">
      <c r="D212" t="s">
        <v>608</v>
      </c>
      <c r="E212" t="s">
        <v>135</v>
      </c>
      <c r="F212" t="s">
        <v>143</v>
      </c>
      <c r="G212" t="s">
        <v>144</v>
      </c>
      <c r="H212" t="s">
        <v>239</v>
      </c>
      <c r="I212" s="13">
        <v>39735</v>
      </c>
      <c r="J212">
        <v>15</v>
      </c>
      <c r="K212" t="s">
        <v>177</v>
      </c>
      <c r="L212" t="s">
        <v>164</v>
      </c>
      <c r="M212" t="s">
        <v>146</v>
      </c>
      <c r="N212" t="s">
        <v>609</v>
      </c>
      <c r="O212">
        <v>1</v>
      </c>
      <c r="P212">
        <v>14.9</v>
      </c>
    </row>
    <row r="213" spans="4:16" hidden="1" x14ac:dyDescent="0.25">
      <c r="D213" t="s">
        <v>610</v>
      </c>
      <c r="E213" t="s">
        <v>135</v>
      </c>
      <c r="F213" t="s">
        <v>143</v>
      </c>
      <c r="G213" t="s">
        <v>611</v>
      </c>
      <c r="H213" t="s">
        <v>239</v>
      </c>
      <c r="I213" s="13">
        <v>39738</v>
      </c>
      <c r="J213">
        <v>15</v>
      </c>
      <c r="K213" t="s">
        <v>145</v>
      </c>
      <c r="L213" t="s">
        <v>164</v>
      </c>
      <c r="M213" t="s">
        <v>227</v>
      </c>
      <c r="N213" t="s">
        <v>612</v>
      </c>
      <c r="O213">
        <v>1</v>
      </c>
      <c r="P213">
        <v>14.9</v>
      </c>
    </row>
    <row r="214" spans="4:16" hidden="1" x14ac:dyDescent="0.25">
      <c r="D214" t="s">
        <v>613</v>
      </c>
      <c r="E214" t="s">
        <v>135</v>
      </c>
      <c r="F214" t="s">
        <v>143</v>
      </c>
      <c r="G214" t="s">
        <v>144</v>
      </c>
      <c r="H214" t="s">
        <v>239</v>
      </c>
      <c r="I214" s="13">
        <v>39737</v>
      </c>
      <c r="J214">
        <v>15</v>
      </c>
      <c r="K214" t="s">
        <v>177</v>
      </c>
      <c r="L214" t="s">
        <v>164</v>
      </c>
      <c r="M214" t="s">
        <v>146</v>
      </c>
      <c r="N214" t="s">
        <v>614</v>
      </c>
      <c r="O214">
        <v>1</v>
      </c>
      <c r="P214">
        <v>14.9</v>
      </c>
    </row>
    <row r="215" spans="4:16" hidden="1" x14ac:dyDescent="0.25">
      <c r="D215" t="s">
        <v>615</v>
      </c>
      <c r="E215" t="s">
        <v>135</v>
      </c>
      <c r="F215" t="s">
        <v>143</v>
      </c>
      <c r="G215" t="s">
        <v>383</v>
      </c>
      <c r="H215" t="s">
        <v>239</v>
      </c>
      <c r="I215" s="13">
        <v>39759</v>
      </c>
      <c r="J215">
        <v>15</v>
      </c>
      <c r="K215" t="s">
        <v>177</v>
      </c>
      <c r="L215" t="s">
        <v>139</v>
      </c>
      <c r="M215" t="s">
        <v>264</v>
      </c>
      <c r="N215" t="s">
        <v>616</v>
      </c>
      <c r="O215">
        <v>1</v>
      </c>
      <c r="P215">
        <v>14.84</v>
      </c>
    </row>
    <row r="216" spans="4:16" hidden="1" x14ac:dyDescent="0.25">
      <c r="D216" t="s">
        <v>617</v>
      </c>
      <c r="E216" t="s">
        <v>135</v>
      </c>
      <c r="F216" t="s">
        <v>143</v>
      </c>
      <c r="G216" t="s">
        <v>618</v>
      </c>
      <c r="H216" t="s">
        <v>239</v>
      </c>
      <c r="I216" s="13">
        <v>39766</v>
      </c>
      <c r="J216">
        <v>15</v>
      </c>
      <c r="K216" t="s">
        <v>177</v>
      </c>
      <c r="L216" t="s">
        <v>139</v>
      </c>
      <c r="M216" t="s">
        <v>264</v>
      </c>
      <c r="N216" t="s">
        <v>619</v>
      </c>
      <c r="O216">
        <v>1</v>
      </c>
      <c r="P216">
        <v>14.82</v>
      </c>
    </row>
    <row r="217" spans="4:16" hidden="1" x14ac:dyDescent="0.25">
      <c r="D217" t="s">
        <v>620</v>
      </c>
      <c r="E217" t="s">
        <v>135</v>
      </c>
      <c r="F217" t="s">
        <v>143</v>
      </c>
      <c r="G217" t="s">
        <v>308</v>
      </c>
      <c r="H217" t="s">
        <v>239</v>
      </c>
      <c r="I217" s="13">
        <v>39766</v>
      </c>
      <c r="J217">
        <v>15</v>
      </c>
      <c r="K217" t="s">
        <v>177</v>
      </c>
      <c r="L217" t="s">
        <v>139</v>
      </c>
      <c r="M217" t="s">
        <v>264</v>
      </c>
      <c r="N217" t="s">
        <v>621</v>
      </c>
      <c r="O217">
        <v>1</v>
      </c>
      <c r="P217">
        <v>14.82</v>
      </c>
    </row>
    <row r="218" spans="4:16" hidden="1" x14ac:dyDescent="0.25">
      <c r="D218" t="s">
        <v>622</v>
      </c>
      <c r="E218" t="s">
        <v>135</v>
      </c>
      <c r="F218" t="s">
        <v>143</v>
      </c>
      <c r="G218" t="s">
        <v>144</v>
      </c>
      <c r="H218" t="s">
        <v>239</v>
      </c>
      <c r="I218" s="13">
        <v>39771</v>
      </c>
      <c r="J218">
        <v>15</v>
      </c>
      <c r="K218" t="s">
        <v>177</v>
      </c>
      <c r="L218" t="s">
        <v>164</v>
      </c>
      <c r="M218" t="s">
        <v>146</v>
      </c>
      <c r="N218" t="s">
        <v>623</v>
      </c>
      <c r="O218">
        <v>1</v>
      </c>
      <c r="P218">
        <v>14.81</v>
      </c>
    </row>
    <row r="219" spans="4:16" hidden="1" x14ac:dyDescent="0.25">
      <c r="D219" t="s">
        <v>624</v>
      </c>
      <c r="E219" t="s">
        <v>135</v>
      </c>
      <c r="F219" t="s">
        <v>136</v>
      </c>
      <c r="G219" t="s">
        <v>199</v>
      </c>
      <c r="H219" t="s">
        <v>239</v>
      </c>
      <c r="I219" s="13">
        <v>39771</v>
      </c>
      <c r="J219">
        <v>15</v>
      </c>
      <c r="K219" t="s">
        <v>177</v>
      </c>
      <c r="L219" t="s">
        <v>139</v>
      </c>
      <c r="M219" t="s">
        <v>268</v>
      </c>
      <c r="N219" t="s">
        <v>625</v>
      </c>
      <c r="O219">
        <v>1</v>
      </c>
      <c r="P219">
        <v>14.81</v>
      </c>
    </row>
    <row r="220" spans="4:16" hidden="1" x14ac:dyDescent="0.25">
      <c r="D220" t="s">
        <v>626</v>
      </c>
      <c r="E220" t="s">
        <v>135</v>
      </c>
      <c r="F220" t="s">
        <v>143</v>
      </c>
      <c r="G220" t="s">
        <v>308</v>
      </c>
      <c r="H220" t="s">
        <v>239</v>
      </c>
      <c r="I220" s="13">
        <v>39778</v>
      </c>
      <c r="J220">
        <v>15</v>
      </c>
      <c r="K220" t="s">
        <v>177</v>
      </c>
      <c r="L220" t="s">
        <v>139</v>
      </c>
      <c r="M220" t="s">
        <v>200</v>
      </c>
      <c r="N220" t="s">
        <v>627</v>
      </c>
      <c r="O220">
        <v>1</v>
      </c>
      <c r="P220">
        <v>14.79</v>
      </c>
    </row>
    <row r="221" spans="4:16" hidden="1" x14ac:dyDescent="0.25">
      <c r="D221" t="s">
        <v>628</v>
      </c>
      <c r="E221" t="s">
        <v>135</v>
      </c>
      <c r="F221" t="s">
        <v>136</v>
      </c>
      <c r="G221" t="s">
        <v>199</v>
      </c>
      <c r="H221" t="s">
        <v>239</v>
      </c>
      <c r="I221" s="13">
        <v>39778</v>
      </c>
      <c r="J221">
        <v>15</v>
      </c>
      <c r="K221" t="s">
        <v>177</v>
      </c>
      <c r="L221" t="s">
        <v>139</v>
      </c>
      <c r="M221" t="s">
        <v>268</v>
      </c>
      <c r="N221" t="s">
        <v>629</v>
      </c>
      <c r="O221">
        <v>1</v>
      </c>
      <c r="P221">
        <v>14.79</v>
      </c>
    </row>
    <row r="222" spans="4:16" hidden="1" x14ac:dyDescent="0.25">
      <c r="D222" t="s">
        <v>630</v>
      </c>
      <c r="E222" t="s">
        <v>135</v>
      </c>
      <c r="F222" t="s">
        <v>136</v>
      </c>
      <c r="G222" t="s">
        <v>199</v>
      </c>
      <c r="H222" t="s">
        <v>239</v>
      </c>
      <c r="I222" s="13">
        <v>39778</v>
      </c>
      <c r="J222">
        <v>15</v>
      </c>
      <c r="K222" t="s">
        <v>177</v>
      </c>
      <c r="L222" t="s">
        <v>139</v>
      </c>
      <c r="M222" t="s">
        <v>268</v>
      </c>
      <c r="N222" t="s">
        <v>631</v>
      </c>
      <c r="O222">
        <v>1</v>
      </c>
      <c r="P222">
        <v>14.79</v>
      </c>
    </row>
    <row r="223" spans="4:16" hidden="1" x14ac:dyDescent="0.25">
      <c r="D223" t="s">
        <v>632</v>
      </c>
      <c r="E223" t="s">
        <v>135</v>
      </c>
      <c r="F223" t="s">
        <v>136</v>
      </c>
      <c r="G223" t="s">
        <v>199</v>
      </c>
      <c r="H223" t="s">
        <v>239</v>
      </c>
      <c r="I223" s="13">
        <v>39778</v>
      </c>
      <c r="J223">
        <v>15</v>
      </c>
      <c r="K223" t="s">
        <v>177</v>
      </c>
      <c r="L223" t="s">
        <v>139</v>
      </c>
      <c r="M223" t="s">
        <v>268</v>
      </c>
      <c r="N223" t="s">
        <v>633</v>
      </c>
      <c r="O223">
        <v>1</v>
      </c>
      <c r="P223">
        <v>14.79</v>
      </c>
    </row>
    <row r="224" spans="4:16" hidden="1" x14ac:dyDescent="0.25">
      <c r="D224" t="s">
        <v>634</v>
      </c>
      <c r="E224" t="s">
        <v>135</v>
      </c>
      <c r="F224" t="s">
        <v>136</v>
      </c>
      <c r="G224" t="s">
        <v>199</v>
      </c>
      <c r="H224" t="s">
        <v>239</v>
      </c>
      <c r="I224" s="13">
        <v>39778</v>
      </c>
      <c r="J224">
        <v>15</v>
      </c>
      <c r="K224" t="s">
        <v>177</v>
      </c>
      <c r="L224" t="s">
        <v>139</v>
      </c>
      <c r="M224" t="s">
        <v>268</v>
      </c>
      <c r="N224" t="s">
        <v>635</v>
      </c>
      <c r="O224">
        <v>1</v>
      </c>
      <c r="P224">
        <v>14.79</v>
      </c>
    </row>
    <row r="225" spans="4:16" hidden="1" x14ac:dyDescent="0.25">
      <c r="D225" t="s">
        <v>636</v>
      </c>
      <c r="E225" t="s">
        <v>135</v>
      </c>
      <c r="F225" t="s">
        <v>136</v>
      </c>
      <c r="G225" t="s">
        <v>199</v>
      </c>
      <c r="H225" t="s">
        <v>239</v>
      </c>
      <c r="I225" s="13">
        <v>39779</v>
      </c>
      <c r="J225">
        <v>15</v>
      </c>
      <c r="K225" t="s">
        <v>138</v>
      </c>
      <c r="L225" t="s">
        <v>139</v>
      </c>
      <c r="M225" t="s">
        <v>268</v>
      </c>
      <c r="N225" t="s">
        <v>637</v>
      </c>
      <c r="O225">
        <v>1</v>
      </c>
      <c r="P225">
        <v>14.78</v>
      </c>
    </row>
    <row r="226" spans="4:16" hidden="1" x14ac:dyDescent="0.25">
      <c r="D226" t="s">
        <v>636</v>
      </c>
      <c r="E226" t="s">
        <v>135</v>
      </c>
      <c r="F226" t="s">
        <v>136</v>
      </c>
      <c r="G226" t="s">
        <v>199</v>
      </c>
      <c r="H226" t="s">
        <v>239</v>
      </c>
      <c r="I226" s="13">
        <v>39779</v>
      </c>
      <c r="J226">
        <v>15</v>
      </c>
      <c r="K226" t="s">
        <v>145</v>
      </c>
      <c r="L226" t="s">
        <v>139</v>
      </c>
      <c r="M226" t="s">
        <v>268</v>
      </c>
      <c r="N226" t="s">
        <v>637</v>
      </c>
      <c r="O226">
        <v>1</v>
      </c>
      <c r="P226">
        <v>14.78</v>
      </c>
    </row>
    <row r="227" spans="4:16" hidden="1" x14ac:dyDescent="0.25">
      <c r="D227" t="s">
        <v>638</v>
      </c>
      <c r="E227" t="s">
        <v>135</v>
      </c>
      <c r="F227" t="s">
        <v>136</v>
      </c>
      <c r="G227" t="s">
        <v>199</v>
      </c>
      <c r="H227" t="s">
        <v>239</v>
      </c>
      <c r="I227" s="13">
        <v>39779</v>
      </c>
      <c r="J227">
        <v>15</v>
      </c>
      <c r="K227" t="s">
        <v>177</v>
      </c>
      <c r="L227" t="s">
        <v>139</v>
      </c>
      <c r="M227" t="s">
        <v>268</v>
      </c>
      <c r="N227" t="s">
        <v>639</v>
      </c>
      <c r="O227">
        <v>1</v>
      </c>
      <c r="P227">
        <v>14.78</v>
      </c>
    </row>
    <row r="228" spans="4:16" hidden="1" x14ac:dyDescent="0.25">
      <c r="D228" t="s">
        <v>640</v>
      </c>
      <c r="E228" t="s">
        <v>135</v>
      </c>
      <c r="F228" t="s">
        <v>143</v>
      </c>
      <c r="G228" t="s">
        <v>221</v>
      </c>
      <c r="H228" t="s">
        <v>239</v>
      </c>
      <c r="I228" s="13">
        <v>39792</v>
      </c>
      <c r="J228">
        <v>15</v>
      </c>
      <c r="K228" t="s">
        <v>177</v>
      </c>
      <c r="L228" t="s">
        <v>164</v>
      </c>
      <c r="M228" t="s">
        <v>146</v>
      </c>
      <c r="N228" t="s">
        <v>641</v>
      </c>
      <c r="O228">
        <v>1</v>
      </c>
      <c r="P228">
        <v>14.75</v>
      </c>
    </row>
    <row r="229" spans="4:16" hidden="1" x14ac:dyDescent="0.25">
      <c r="D229" t="s">
        <v>642</v>
      </c>
      <c r="E229" t="s">
        <v>135</v>
      </c>
      <c r="F229" t="s">
        <v>136</v>
      </c>
      <c r="G229" t="s">
        <v>199</v>
      </c>
      <c r="H229" t="s">
        <v>239</v>
      </c>
      <c r="I229" s="13">
        <v>39792</v>
      </c>
      <c r="J229">
        <v>15</v>
      </c>
      <c r="K229" t="s">
        <v>177</v>
      </c>
      <c r="L229" t="s">
        <v>139</v>
      </c>
      <c r="M229" t="s">
        <v>596</v>
      </c>
      <c r="N229" t="s">
        <v>643</v>
      </c>
      <c r="O229">
        <v>1</v>
      </c>
      <c r="P229">
        <v>14.75</v>
      </c>
    </row>
    <row r="230" spans="4:16" hidden="1" x14ac:dyDescent="0.25">
      <c r="D230" t="s">
        <v>644</v>
      </c>
      <c r="E230" t="s">
        <v>135</v>
      </c>
      <c r="F230" t="s">
        <v>181</v>
      </c>
      <c r="G230" t="s">
        <v>203</v>
      </c>
      <c r="H230" t="s">
        <v>239</v>
      </c>
      <c r="I230" s="13">
        <v>39801</v>
      </c>
      <c r="J230">
        <v>15</v>
      </c>
      <c r="K230" t="s">
        <v>177</v>
      </c>
      <c r="L230" t="s">
        <v>139</v>
      </c>
      <c r="M230" t="s">
        <v>204</v>
      </c>
      <c r="N230" t="s">
        <v>645</v>
      </c>
      <c r="O230">
        <v>1</v>
      </c>
      <c r="P230">
        <v>14.72</v>
      </c>
    </row>
    <row r="231" spans="4:16" hidden="1" x14ac:dyDescent="0.25">
      <c r="D231" t="s">
        <v>646</v>
      </c>
      <c r="E231" t="s">
        <v>135</v>
      </c>
      <c r="F231" t="s">
        <v>379</v>
      </c>
      <c r="G231" t="s">
        <v>426</v>
      </c>
      <c r="H231" t="s">
        <v>176</v>
      </c>
      <c r="I231" s="13">
        <v>39806</v>
      </c>
      <c r="J231">
        <v>15</v>
      </c>
      <c r="K231" t="s">
        <v>177</v>
      </c>
      <c r="L231" t="s">
        <v>139</v>
      </c>
      <c r="M231" t="s">
        <v>647</v>
      </c>
      <c r="N231" t="s">
        <v>648</v>
      </c>
      <c r="O231">
        <v>1</v>
      </c>
      <c r="P231">
        <v>14.71</v>
      </c>
    </row>
    <row r="232" spans="4:16" hidden="1" x14ac:dyDescent="0.25">
      <c r="D232" t="s">
        <v>649</v>
      </c>
      <c r="E232" t="s">
        <v>135</v>
      </c>
      <c r="F232" t="s">
        <v>143</v>
      </c>
      <c r="G232" t="s">
        <v>611</v>
      </c>
      <c r="H232" t="s">
        <v>239</v>
      </c>
      <c r="I232" s="13">
        <v>39818</v>
      </c>
      <c r="J232">
        <v>15</v>
      </c>
      <c r="K232" t="s">
        <v>145</v>
      </c>
      <c r="L232" t="s">
        <v>139</v>
      </c>
      <c r="M232" t="s">
        <v>421</v>
      </c>
      <c r="N232" t="s">
        <v>650</v>
      </c>
      <c r="O232">
        <v>1</v>
      </c>
      <c r="P232">
        <v>14.68</v>
      </c>
    </row>
    <row r="233" spans="4:16" hidden="1" x14ac:dyDescent="0.25">
      <c r="D233" t="s">
        <v>651</v>
      </c>
      <c r="E233" t="s">
        <v>135</v>
      </c>
      <c r="F233" t="s">
        <v>149</v>
      </c>
      <c r="G233" t="s">
        <v>271</v>
      </c>
      <c r="H233" t="s">
        <v>239</v>
      </c>
      <c r="I233" s="13">
        <v>39821</v>
      </c>
      <c r="J233">
        <v>15</v>
      </c>
      <c r="K233" t="s">
        <v>177</v>
      </c>
      <c r="L233" t="s">
        <v>139</v>
      </c>
      <c r="M233" t="s">
        <v>189</v>
      </c>
      <c r="N233" t="s">
        <v>652</v>
      </c>
      <c r="O233">
        <v>1</v>
      </c>
      <c r="P233">
        <v>14.67</v>
      </c>
    </row>
    <row r="234" spans="4:16" hidden="1" x14ac:dyDescent="0.25">
      <c r="D234" t="s">
        <v>653</v>
      </c>
      <c r="E234" t="s">
        <v>135</v>
      </c>
      <c r="F234" t="s">
        <v>149</v>
      </c>
      <c r="G234" t="s">
        <v>271</v>
      </c>
      <c r="H234" t="s">
        <v>239</v>
      </c>
      <c r="I234" s="13">
        <v>39821</v>
      </c>
      <c r="J234">
        <v>15</v>
      </c>
      <c r="K234" t="s">
        <v>177</v>
      </c>
      <c r="L234" t="s">
        <v>139</v>
      </c>
      <c r="M234" t="s">
        <v>207</v>
      </c>
      <c r="N234" t="s">
        <v>654</v>
      </c>
      <c r="O234">
        <v>1</v>
      </c>
      <c r="P234">
        <v>14.67</v>
      </c>
    </row>
    <row r="235" spans="4:16" hidden="1" x14ac:dyDescent="0.25">
      <c r="D235" t="s">
        <v>655</v>
      </c>
      <c r="E235" t="s">
        <v>135</v>
      </c>
      <c r="F235" t="s">
        <v>656</v>
      </c>
      <c r="G235" t="s">
        <v>271</v>
      </c>
      <c r="H235" t="s">
        <v>239</v>
      </c>
      <c r="I235" s="13">
        <v>39821</v>
      </c>
      <c r="J235">
        <v>15</v>
      </c>
      <c r="K235" t="s">
        <v>177</v>
      </c>
      <c r="L235" t="s">
        <v>139</v>
      </c>
      <c r="M235" t="s">
        <v>216</v>
      </c>
      <c r="N235" t="s">
        <v>657</v>
      </c>
      <c r="O235">
        <v>1</v>
      </c>
      <c r="P235">
        <v>14.67</v>
      </c>
    </row>
    <row r="236" spans="4:16" hidden="1" x14ac:dyDescent="0.25">
      <c r="D236" t="s">
        <v>658</v>
      </c>
      <c r="E236" t="s">
        <v>135</v>
      </c>
      <c r="F236" t="s">
        <v>173</v>
      </c>
      <c r="G236" t="s">
        <v>271</v>
      </c>
      <c r="H236" t="s">
        <v>239</v>
      </c>
      <c r="I236" s="13">
        <v>39821</v>
      </c>
      <c r="J236">
        <v>15</v>
      </c>
      <c r="K236" t="s">
        <v>177</v>
      </c>
      <c r="L236" t="s">
        <v>139</v>
      </c>
      <c r="M236" t="s">
        <v>216</v>
      </c>
      <c r="N236" t="s">
        <v>659</v>
      </c>
      <c r="O236">
        <v>1</v>
      </c>
      <c r="P236">
        <v>14.67</v>
      </c>
    </row>
    <row r="237" spans="4:16" hidden="1" x14ac:dyDescent="0.25">
      <c r="D237" t="s">
        <v>660</v>
      </c>
      <c r="E237" t="s">
        <v>135</v>
      </c>
      <c r="F237" t="s">
        <v>136</v>
      </c>
      <c r="G237" t="s">
        <v>136</v>
      </c>
      <c r="H237" t="s">
        <v>239</v>
      </c>
      <c r="I237" s="13">
        <v>39832</v>
      </c>
      <c r="J237">
        <v>15</v>
      </c>
      <c r="K237" t="s">
        <v>145</v>
      </c>
      <c r="L237" t="s">
        <v>139</v>
      </c>
      <c r="M237" t="s">
        <v>140</v>
      </c>
      <c r="N237" t="s">
        <v>661</v>
      </c>
      <c r="O237">
        <v>1</v>
      </c>
      <c r="P237">
        <v>14.64</v>
      </c>
    </row>
    <row r="238" spans="4:16" hidden="1" x14ac:dyDescent="0.25">
      <c r="D238" t="s">
        <v>662</v>
      </c>
      <c r="E238" t="s">
        <v>135</v>
      </c>
      <c r="F238" t="s">
        <v>149</v>
      </c>
      <c r="G238" t="s">
        <v>163</v>
      </c>
      <c r="H238" t="s">
        <v>176</v>
      </c>
      <c r="I238" s="13">
        <v>39836</v>
      </c>
      <c r="J238">
        <v>15</v>
      </c>
      <c r="K238" t="s">
        <v>177</v>
      </c>
      <c r="L238" t="s">
        <v>139</v>
      </c>
      <c r="M238" t="s">
        <v>186</v>
      </c>
      <c r="N238" t="s">
        <v>663</v>
      </c>
      <c r="O238">
        <v>1</v>
      </c>
      <c r="P238">
        <v>14.63</v>
      </c>
    </row>
    <row r="239" spans="4:16" hidden="1" x14ac:dyDescent="0.25">
      <c r="D239" t="s">
        <v>664</v>
      </c>
      <c r="E239" t="s">
        <v>135</v>
      </c>
      <c r="F239" t="s">
        <v>149</v>
      </c>
      <c r="G239" t="s">
        <v>163</v>
      </c>
      <c r="H239" t="s">
        <v>176</v>
      </c>
      <c r="I239" s="13">
        <v>39846</v>
      </c>
      <c r="J239">
        <v>15</v>
      </c>
      <c r="K239" t="s">
        <v>177</v>
      </c>
      <c r="L239" t="s">
        <v>139</v>
      </c>
      <c r="M239" t="s">
        <v>186</v>
      </c>
      <c r="N239" t="s">
        <v>665</v>
      </c>
      <c r="O239">
        <v>1</v>
      </c>
      <c r="P239">
        <v>14.6</v>
      </c>
    </row>
    <row r="240" spans="4:16" hidden="1" x14ac:dyDescent="0.25">
      <c r="D240" t="s">
        <v>666</v>
      </c>
      <c r="E240" t="s">
        <v>135</v>
      </c>
      <c r="F240" t="s">
        <v>667</v>
      </c>
      <c r="G240" t="s">
        <v>668</v>
      </c>
      <c r="H240" t="s">
        <v>239</v>
      </c>
      <c r="I240" s="13">
        <v>39846</v>
      </c>
      <c r="J240">
        <v>15</v>
      </c>
      <c r="K240" t="s">
        <v>145</v>
      </c>
      <c r="L240" t="s">
        <v>139</v>
      </c>
      <c r="M240" t="s">
        <v>669</v>
      </c>
      <c r="N240" t="s">
        <v>670</v>
      </c>
      <c r="O240">
        <v>1</v>
      </c>
      <c r="P240">
        <v>14.6</v>
      </c>
    </row>
    <row r="241" spans="4:16" hidden="1" x14ac:dyDescent="0.25">
      <c r="D241" t="s">
        <v>671</v>
      </c>
      <c r="E241" t="s">
        <v>135</v>
      </c>
      <c r="F241" t="s">
        <v>143</v>
      </c>
      <c r="G241" t="s">
        <v>221</v>
      </c>
      <c r="H241" t="s">
        <v>239</v>
      </c>
      <c r="I241" s="13">
        <v>39846</v>
      </c>
      <c r="J241">
        <v>15</v>
      </c>
      <c r="K241" t="s">
        <v>145</v>
      </c>
      <c r="L241" t="s">
        <v>139</v>
      </c>
      <c r="M241" t="s">
        <v>227</v>
      </c>
      <c r="N241" t="s">
        <v>672</v>
      </c>
      <c r="O241">
        <v>1</v>
      </c>
      <c r="P241">
        <v>14.6</v>
      </c>
    </row>
    <row r="242" spans="4:16" hidden="1" x14ac:dyDescent="0.25">
      <c r="D242" t="s">
        <v>673</v>
      </c>
      <c r="E242" t="s">
        <v>135</v>
      </c>
      <c r="F242" t="s">
        <v>149</v>
      </c>
      <c r="G242" t="s">
        <v>192</v>
      </c>
      <c r="H242" t="s">
        <v>239</v>
      </c>
      <c r="I242" s="13">
        <v>39884</v>
      </c>
      <c r="J242">
        <v>14</v>
      </c>
      <c r="K242" t="s">
        <v>177</v>
      </c>
      <c r="L242" t="s">
        <v>139</v>
      </c>
      <c r="M242" t="s">
        <v>386</v>
      </c>
      <c r="N242" t="s">
        <v>674</v>
      </c>
      <c r="O242">
        <v>1</v>
      </c>
      <c r="P242">
        <v>14.5</v>
      </c>
    </row>
    <row r="243" spans="4:16" hidden="1" x14ac:dyDescent="0.25">
      <c r="D243" t="s">
        <v>675</v>
      </c>
      <c r="E243" t="s">
        <v>135</v>
      </c>
      <c r="F243" t="s">
        <v>149</v>
      </c>
      <c r="G243" t="s">
        <v>163</v>
      </c>
      <c r="H243" t="s">
        <v>239</v>
      </c>
      <c r="I243" s="13">
        <v>39884</v>
      </c>
      <c r="J243">
        <v>14</v>
      </c>
      <c r="K243" t="s">
        <v>177</v>
      </c>
      <c r="L243" t="s">
        <v>139</v>
      </c>
      <c r="M243" t="s">
        <v>386</v>
      </c>
      <c r="N243" t="s">
        <v>676</v>
      </c>
      <c r="O243">
        <v>1</v>
      </c>
      <c r="P243">
        <v>14.5</v>
      </c>
    </row>
    <row r="244" spans="4:16" hidden="1" x14ac:dyDescent="0.25">
      <c r="D244" t="s">
        <v>677</v>
      </c>
      <c r="E244" t="s">
        <v>135</v>
      </c>
      <c r="F244" t="s">
        <v>149</v>
      </c>
      <c r="G244" t="s">
        <v>149</v>
      </c>
      <c r="H244" t="s">
        <v>176</v>
      </c>
      <c r="I244" s="13">
        <v>39895</v>
      </c>
      <c r="J244">
        <v>14</v>
      </c>
      <c r="K244" t="s">
        <v>177</v>
      </c>
      <c r="L244" t="s">
        <v>139</v>
      </c>
      <c r="M244" t="s">
        <v>165</v>
      </c>
      <c r="N244" t="s">
        <v>678</v>
      </c>
      <c r="O244">
        <v>1</v>
      </c>
      <c r="P244">
        <v>14.47</v>
      </c>
    </row>
    <row r="245" spans="4:16" hidden="1" x14ac:dyDescent="0.25">
      <c r="D245" t="s">
        <v>679</v>
      </c>
      <c r="E245" t="s">
        <v>135</v>
      </c>
      <c r="F245" t="s">
        <v>181</v>
      </c>
      <c r="G245" t="s">
        <v>182</v>
      </c>
      <c r="H245" t="s">
        <v>239</v>
      </c>
      <c r="I245" s="13">
        <v>39918</v>
      </c>
      <c r="J245">
        <v>14</v>
      </c>
      <c r="K245" t="s">
        <v>145</v>
      </c>
      <c r="L245" t="s">
        <v>164</v>
      </c>
      <c r="M245" t="s">
        <v>170</v>
      </c>
      <c r="N245" t="s">
        <v>680</v>
      </c>
      <c r="O245">
        <v>1</v>
      </c>
      <c r="P245">
        <v>14.4</v>
      </c>
    </row>
    <row r="246" spans="4:16" hidden="1" x14ac:dyDescent="0.25">
      <c r="D246" t="s">
        <v>679</v>
      </c>
      <c r="E246" t="s">
        <v>135</v>
      </c>
      <c r="F246" t="s">
        <v>181</v>
      </c>
      <c r="G246" t="s">
        <v>182</v>
      </c>
      <c r="H246" t="s">
        <v>239</v>
      </c>
      <c r="I246" s="13">
        <v>39918</v>
      </c>
      <c r="J246">
        <v>14</v>
      </c>
      <c r="K246" t="s">
        <v>145</v>
      </c>
      <c r="L246" t="s">
        <v>164</v>
      </c>
      <c r="M246" t="s">
        <v>170</v>
      </c>
      <c r="N246" t="s">
        <v>680</v>
      </c>
      <c r="O246">
        <v>1</v>
      </c>
      <c r="P246">
        <v>14.4</v>
      </c>
    </row>
    <row r="247" spans="4:16" hidden="1" x14ac:dyDescent="0.25">
      <c r="D247" t="s">
        <v>681</v>
      </c>
      <c r="E247" t="s">
        <v>135</v>
      </c>
      <c r="F247" t="s">
        <v>143</v>
      </c>
      <c r="G247" t="s">
        <v>144</v>
      </c>
      <c r="H247" t="s">
        <v>239</v>
      </c>
      <c r="I247" s="13">
        <v>39924</v>
      </c>
      <c r="J247">
        <v>14</v>
      </c>
      <c r="K247" t="s">
        <v>177</v>
      </c>
      <c r="L247" t="s">
        <v>139</v>
      </c>
      <c r="M247" t="s">
        <v>284</v>
      </c>
      <c r="N247" t="s">
        <v>682</v>
      </c>
      <c r="O247">
        <v>1</v>
      </c>
      <c r="P247">
        <v>14.39</v>
      </c>
    </row>
    <row r="248" spans="4:16" hidden="1" x14ac:dyDescent="0.25">
      <c r="D248" t="s">
        <v>683</v>
      </c>
      <c r="E248" t="s">
        <v>135</v>
      </c>
      <c r="F248" t="s">
        <v>143</v>
      </c>
      <c r="G248" t="s">
        <v>144</v>
      </c>
      <c r="H248" t="s">
        <v>239</v>
      </c>
      <c r="I248" s="13">
        <v>39924</v>
      </c>
      <c r="J248">
        <v>14</v>
      </c>
      <c r="K248" t="s">
        <v>177</v>
      </c>
      <c r="L248" t="s">
        <v>139</v>
      </c>
      <c r="M248" t="s">
        <v>284</v>
      </c>
      <c r="N248" t="s">
        <v>684</v>
      </c>
      <c r="O248">
        <v>1</v>
      </c>
      <c r="P248">
        <v>14.39</v>
      </c>
    </row>
    <row r="249" spans="4:16" hidden="1" x14ac:dyDescent="0.25">
      <c r="D249" t="s">
        <v>685</v>
      </c>
      <c r="E249" t="s">
        <v>135</v>
      </c>
      <c r="F249" t="s">
        <v>149</v>
      </c>
      <c r="G249" t="s">
        <v>163</v>
      </c>
      <c r="H249" t="s">
        <v>239</v>
      </c>
      <c r="I249" s="13">
        <v>39931</v>
      </c>
      <c r="J249">
        <v>14</v>
      </c>
      <c r="K249" t="s">
        <v>177</v>
      </c>
      <c r="L249" t="s">
        <v>139</v>
      </c>
      <c r="M249" t="s">
        <v>178</v>
      </c>
      <c r="N249" t="s">
        <v>686</v>
      </c>
      <c r="O249">
        <v>1</v>
      </c>
      <c r="P249">
        <v>14.37</v>
      </c>
    </row>
    <row r="250" spans="4:16" hidden="1" x14ac:dyDescent="0.25">
      <c r="D250" t="s">
        <v>685</v>
      </c>
      <c r="E250" t="s">
        <v>135</v>
      </c>
      <c r="F250" t="s">
        <v>149</v>
      </c>
      <c r="G250" t="s">
        <v>163</v>
      </c>
      <c r="H250" t="s">
        <v>239</v>
      </c>
      <c r="I250" s="13">
        <v>39931</v>
      </c>
      <c r="J250">
        <v>14</v>
      </c>
      <c r="K250" t="s">
        <v>177</v>
      </c>
      <c r="L250" t="s">
        <v>139</v>
      </c>
      <c r="M250" t="s">
        <v>178</v>
      </c>
      <c r="N250" t="s">
        <v>686</v>
      </c>
      <c r="O250">
        <v>1</v>
      </c>
      <c r="P250">
        <v>14.37</v>
      </c>
    </row>
    <row r="251" spans="4:16" hidden="1" x14ac:dyDescent="0.25">
      <c r="D251" t="s">
        <v>687</v>
      </c>
      <c r="E251" t="s">
        <v>135</v>
      </c>
      <c r="F251" t="s">
        <v>149</v>
      </c>
      <c r="G251" t="s">
        <v>688</v>
      </c>
      <c r="H251" t="s">
        <v>239</v>
      </c>
      <c r="I251" s="13">
        <v>39944</v>
      </c>
      <c r="J251">
        <v>14</v>
      </c>
      <c r="K251" t="s">
        <v>145</v>
      </c>
      <c r="L251" t="s">
        <v>139</v>
      </c>
      <c r="M251" t="s">
        <v>352</v>
      </c>
      <c r="N251" t="s">
        <v>689</v>
      </c>
      <c r="O251">
        <v>1</v>
      </c>
      <c r="P251">
        <v>14.33</v>
      </c>
    </row>
    <row r="252" spans="4:16" hidden="1" x14ac:dyDescent="0.25">
      <c r="D252" t="s">
        <v>690</v>
      </c>
      <c r="E252" t="s">
        <v>135</v>
      </c>
      <c r="F252" t="s">
        <v>149</v>
      </c>
      <c r="G252" t="s">
        <v>271</v>
      </c>
      <c r="H252" t="s">
        <v>239</v>
      </c>
      <c r="I252" s="13">
        <v>39952</v>
      </c>
      <c r="J252">
        <v>14</v>
      </c>
      <c r="K252" t="s">
        <v>177</v>
      </c>
      <c r="L252" t="s">
        <v>139</v>
      </c>
      <c r="M252" t="s">
        <v>207</v>
      </c>
      <c r="N252" t="s">
        <v>691</v>
      </c>
      <c r="O252">
        <v>1</v>
      </c>
      <c r="P252">
        <v>14.31</v>
      </c>
    </row>
    <row r="253" spans="4:16" hidden="1" x14ac:dyDescent="0.25">
      <c r="D253" t="s">
        <v>692</v>
      </c>
      <c r="E253" t="s">
        <v>135</v>
      </c>
      <c r="F253" t="s">
        <v>149</v>
      </c>
      <c r="G253" t="s">
        <v>271</v>
      </c>
      <c r="H253" t="s">
        <v>239</v>
      </c>
      <c r="I253" s="13">
        <v>39952</v>
      </c>
      <c r="J253">
        <v>14</v>
      </c>
      <c r="K253" t="s">
        <v>177</v>
      </c>
      <c r="L253" t="s">
        <v>139</v>
      </c>
      <c r="M253" t="s">
        <v>160</v>
      </c>
      <c r="N253" t="s">
        <v>693</v>
      </c>
      <c r="O253">
        <v>1</v>
      </c>
      <c r="P253">
        <v>14.31</v>
      </c>
    </row>
    <row r="254" spans="4:16" hidden="1" x14ac:dyDescent="0.25">
      <c r="D254" t="s">
        <v>694</v>
      </c>
      <c r="E254" t="s">
        <v>135</v>
      </c>
      <c r="F254" t="s">
        <v>149</v>
      </c>
      <c r="G254" t="s">
        <v>271</v>
      </c>
      <c r="H254" t="s">
        <v>239</v>
      </c>
      <c r="I254" s="13">
        <v>40016</v>
      </c>
      <c r="J254">
        <v>14</v>
      </c>
      <c r="K254" t="s">
        <v>145</v>
      </c>
      <c r="L254" t="s">
        <v>139</v>
      </c>
      <c r="M254" t="s">
        <v>193</v>
      </c>
      <c r="N254" t="s">
        <v>695</v>
      </c>
      <c r="O254">
        <v>1</v>
      </c>
      <c r="P254">
        <v>14.13</v>
      </c>
    </row>
    <row r="255" spans="4:16" hidden="1" x14ac:dyDescent="0.25">
      <c r="D255" t="s">
        <v>696</v>
      </c>
      <c r="E255" t="s">
        <v>135</v>
      </c>
      <c r="F255" t="s">
        <v>149</v>
      </c>
      <c r="G255" t="s">
        <v>271</v>
      </c>
      <c r="H255" t="s">
        <v>239</v>
      </c>
      <c r="I255" s="13">
        <v>40016</v>
      </c>
      <c r="J255">
        <v>14</v>
      </c>
      <c r="K255" t="s">
        <v>177</v>
      </c>
      <c r="L255" t="s">
        <v>139</v>
      </c>
      <c r="M255" t="s">
        <v>216</v>
      </c>
      <c r="N255" t="s">
        <v>697</v>
      </c>
      <c r="O255">
        <v>1</v>
      </c>
      <c r="P255">
        <v>14.13</v>
      </c>
    </row>
    <row r="256" spans="4:16" hidden="1" x14ac:dyDescent="0.25">
      <c r="D256" t="s">
        <v>698</v>
      </c>
      <c r="E256" t="s">
        <v>135</v>
      </c>
      <c r="F256" t="s">
        <v>149</v>
      </c>
      <c r="G256" t="s">
        <v>271</v>
      </c>
      <c r="H256" t="s">
        <v>239</v>
      </c>
      <c r="I256" s="13">
        <v>40017</v>
      </c>
      <c r="J256">
        <v>14</v>
      </c>
      <c r="K256" t="s">
        <v>177</v>
      </c>
      <c r="L256" t="s">
        <v>139</v>
      </c>
      <c r="M256" t="s">
        <v>216</v>
      </c>
      <c r="N256" t="s">
        <v>699</v>
      </c>
      <c r="O256">
        <v>1</v>
      </c>
      <c r="P256">
        <v>14.13</v>
      </c>
    </row>
    <row r="257" spans="4:16" hidden="1" x14ac:dyDescent="0.25">
      <c r="D257" t="s">
        <v>700</v>
      </c>
      <c r="E257" t="s">
        <v>135</v>
      </c>
      <c r="F257" t="s">
        <v>143</v>
      </c>
      <c r="G257" t="s">
        <v>144</v>
      </c>
      <c r="H257" t="s">
        <v>176</v>
      </c>
      <c r="I257" s="13">
        <v>40028</v>
      </c>
      <c r="J257">
        <v>14</v>
      </c>
      <c r="K257" t="s">
        <v>177</v>
      </c>
      <c r="L257" t="s">
        <v>139</v>
      </c>
      <c r="M257" t="s">
        <v>154</v>
      </c>
      <c r="N257" t="s">
        <v>701</v>
      </c>
      <c r="O257">
        <v>1</v>
      </c>
      <c r="P257">
        <v>14.1</v>
      </c>
    </row>
    <row r="258" spans="4:16" hidden="1" x14ac:dyDescent="0.25">
      <c r="D258" t="s">
        <v>702</v>
      </c>
      <c r="E258" t="s">
        <v>135</v>
      </c>
      <c r="F258" t="s">
        <v>149</v>
      </c>
      <c r="G258" t="s">
        <v>703</v>
      </c>
      <c r="H258" t="s">
        <v>176</v>
      </c>
      <c r="I258" s="13">
        <v>40038</v>
      </c>
      <c r="J258">
        <v>14</v>
      </c>
      <c r="K258" t="s">
        <v>138</v>
      </c>
      <c r="L258" t="s">
        <v>139</v>
      </c>
      <c r="M258" t="s">
        <v>647</v>
      </c>
      <c r="N258" t="s">
        <v>704</v>
      </c>
      <c r="O258">
        <v>1</v>
      </c>
      <c r="P258">
        <v>14.07</v>
      </c>
    </row>
    <row r="259" spans="4:16" hidden="1" x14ac:dyDescent="0.25">
      <c r="D259" t="s">
        <v>705</v>
      </c>
      <c r="E259" t="s">
        <v>135</v>
      </c>
      <c r="F259" t="s">
        <v>706</v>
      </c>
      <c r="G259" t="s">
        <v>707</v>
      </c>
      <c r="H259" t="s">
        <v>176</v>
      </c>
      <c r="I259" s="13">
        <v>40038</v>
      </c>
      <c r="J259">
        <v>14</v>
      </c>
      <c r="K259" t="s">
        <v>145</v>
      </c>
      <c r="L259" t="s">
        <v>139</v>
      </c>
      <c r="M259" t="s">
        <v>398</v>
      </c>
      <c r="N259" t="s">
        <v>708</v>
      </c>
      <c r="O259">
        <v>1</v>
      </c>
      <c r="P259">
        <v>14.07</v>
      </c>
    </row>
    <row r="260" spans="4:16" hidden="1" x14ac:dyDescent="0.25">
      <c r="D260" t="s">
        <v>709</v>
      </c>
      <c r="E260" t="s">
        <v>135</v>
      </c>
      <c r="F260" t="s">
        <v>149</v>
      </c>
      <c r="G260" t="s">
        <v>703</v>
      </c>
      <c r="H260" t="s">
        <v>176</v>
      </c>
      <c r="I260" s="13">
        <v>40038</v>
      </c>
      <c r="J260">
        <v>14</v>
      </c>
      <c r="K260" t="s">
        <v>138</v>
      </c>
      <c r="L260" t="s">
        <v>139</v>
      </c>
      <c r="M260" t="s">
        <v>647</v>
      </c>
      <c r="N260" t="s">
        <v>710</v>
      </c>
      <c r="O260">
        <v>1</v>
      </c>
      <c r="P260">
        <v>14.07</v>
      </c>
    </row>
    <row r="261" spans="4:16" hidden="1" x14ac:dyDescent="0.25">
      <c r="D261" t="s">
        <v>711</v>
      </c>
      <c r="E261" t="s">
        <v>135</v>
      </c>
      <c r="F261" t="s">
        <v>149</v>
      </c>
      <c r="G261" t="s">
        <v>295</v>
      </c>
      <c r="H261" t="s">
        <v>239</v>
      </c>
      <c r="I261" s="13">
        <v>40049</v>
      </c>
      <c r="J261">
        <v>14</v>
      </c>
      <c r="K261" t="s">
        <v>145</v>
      </c>
      <c r="L261" t="s">
        <v>139</v>
      </c>
      <c r="M261" t="s">
        <v>712</v>
      </c>
      <c r="N261" t="s">
        <v>713</v>
      </c>
      <c r="O261">
        <v>1</v>
      </c>
      <c r="P261">
        <v>14.04</v>
      </c>
    </row>
    <row r="262" spans="4:16" hidden="1" x14ac:dyDescent="0.25">
      <c r="D262" t="s">
        <v>714</v>
      </c>
      <c r="E262" t="s">
        <v>135</v>
      </c>
      <c r="F262" t="s">
        <v>149</v>
      </c>
      <c r="G262" t="s">
        <v>550</v>
      </c>
      <c r="H262" t="s">
        <v>239</v>
      </c>
      <c r="I262" s="13">
        <v>40060</v>
      </c>
      <c r="J262">
        <v>14</v>
      </c>
      <c r="K262" t="s">
        <v>177</v>
      </c>
      <c r="L262" t="s">
        <v>139</v>
      </c>
      <c r="M262" t="s">
        <v>398</v>
      </c>
      <c r="N262" t="s">
        <v>715</v>
      </c>
      <c r="O262">
        <v>1</v>
      </c>
      <c r="P262">
        <v>14.01</v>
      </c>
    </row>
    <row r="263" spans="4:16" hidden="1" x14ac:dyDescent="0.25">
      <c r="D263" t="s">
        <v>716</v>
      </c>
      <c r="E263" t="s">
        <v>135</v>
      </c>
      <c r="F263" t="s">
        <v>143</v>
      </c>
      <c r="G263" t="s">
        <v>144</v>
      </c>
      <c r="H263" t="s">
        <v>239</v>
      </c>
      <c r="I263" s="13">
        <v>40067</v>
      </c>
      <c r="J263">
        <v>14</v>
      </c>
      <c r="K263" t="s">
        <v>145</v>
      </c>
      <c r="L263" t="s">
        <v>139</v>
      </c>
      <c r="M263" t="s">
        <v>421</v>
      </c>
      <c r="N263" t="s">
        <v>717</v>
      </c>
      <c r="O263">
        <v>1</v>
      </c>
      <c r="P263">
        <v>14</v>
      </c>
    </row>
    <row r="264" spans="4:16" hidden="1" x14ac:dyDescent="0.25">
      <c r="D264" t="s">
        <v>718</v>
      </c>
      <c r="E264" t="s">
        <v>135</v>
      </c>
      <c r="F264" t="s">
        <v>143</v>
      </c>
      <c r="G264" t="s">
        <v>144</v>
      </c>
      <c r="H264" t="s">
        <v>239</v>
      </c>
      <c r="I264" s="13">
        <v>40072</v>
      </c>
      <c r="J264">
        <v>14</v>
      </c>
      <c r="K264" t="s">
        <v>145</v>
      </c>
      <c r="L264" t="s">
        <v>164</v>
      </c>
      <c r="M264" t="s">
        <v>421</v>
      </c>
      <c r="N264" t="s">
        <v>719</v>
      </c>
      <c r="O264">
        <v>1</v>
      </c>
      <c r="P264">
        <v>13.98</v>
      </c>
    </row>
    <row r="265" spans="4:16" hidden="1" x14ac:dyDescent="0.25">
      <c r="D265" t="s">
        <v>720</v>
      </c>
      <c r="E265" t="s">
        <v>135</v>
      </c>
      <c r="F265" t="s">
        <v>143</v>
      </c>
      <c r="G265" t="s">
        <v>144</v>
      </c>
      <c r="H265" t="s">
        <v>239</v>
      </c>
      <c r="I265" s="13">
        <v>40072</v>
      </c>
      <c r="J265">
        <v>14</v>
      </c>
      <c r="K265" t="s">
        <v>177</v>
      </c>
      <c r="L265" t="s">
        <v>139</v>
      </c>
      <c r="M265" t="s">
        <v>421</v>
      </c>
      <c r="N265" t="s">
        <v>721</v>
      </c>
      <c r="O265">
        <v>1</v>
      </c>
      <c r="P265">
        <v>13.98</v>
      </c>
    </row>
    <row r="266" spans="4:16" hidden="1" x14ac:dyDescent="0.25">
      <c r="D266" t="s">
        <v>722</v>
      </c>
      <c r="E266" t="s">
        <v>135</v>
      </c>
      <c r="F266" t="s">
        <v>143</v>
      </c>
      <c r="G266" t="s">
        <v>723</v>
      </c>
      <c r="H266" t="s">
        <v>239</v>
      </c>
      <c r="I266" s="13">
        <v>40072</v>
      </c>
      <c r="J266">
        <v>14</v>
      </c>
      <c r="K266" t="s">
        <v>177</v>
      </c>
      <c r="L266" t="s">
        <v>139</v>
      </c>
      <c r="M266" t="s">
        <v>421</v>
      </c>
      <c r="N266" t="s">
        <v>724</v>
      </c>
      <c r="O266">
        <v>1</v>
      </c>
      <c r="P266">
        <v>13.98</v>
      </c>
    </row>
    <row r="267" spans="4:16" hidden="1" x14ac:dyDescent="0.25">
      <c r="D267" t="s">
        <v>725</v>
      </c>
      <c r="E267" t="s">
        <v>135</v>
      </c>
      <c r="F267" t="s">
        <v>143</v>
      </c>
      <c r="G267" t="s">
        <v>144</v>
      </c>
      <c r="H267" t="s">
        <v>239</v>
      </c>
      <c r="I267" s="13">
        <v>40072</v>
      </c>
      <c r="J267">
        <v>14</v>
      </c>
      <c r="K267" t="s">
        <v>177</v>
      </c>
      <c r="L267" t="s">
        <v>139</v>
      </c>
      <c r="M267" t="s">
        <v>421</v>
      </c>
      <c r="N267" t="s">
        <v>726</v>
      </c>
      <c r="O267">
        <v>1</v>
      </c>
      <c r="P267">
        <v>13.98</v>
      </c>
    </row>
    <row r="268" spans="4:16" hidden="1" x14ac:dyDescent="0.25">
      <c r="D268" t="s">
        <v>727</v>
      </c>
      <c r="E268" t="s">
        <v>135</v>
      </c>
      <c r="F268" t="s">
        <v>143</v>
      </c>
      <c r="G268" t="s">
        <v>383</v>
      </c>
      <c r="H268" t="s">
        <v>239</v>
      </c>
      <c r="I268" s="13">
        <v>40203</v>
      </c>
      <c r="J268">
        <v>14</v>
      </c>
      <c r="K268" t="s">
        <v>145</v>
      </c>
      <c r="L268" t="s">
        <v>139</v>
      </c>
      <c r="M268" t="s">
        <v>352</v>
      </c>
      <c r="N268" t="s">
        <v>728</v>
      </c>
      <c r="O268">
        <v>1</v>
      </c>
      <c r="P268">
        <v>13.62</v>
      </c>
    </row>
    <row r="269" spans="4:16" hidden="1" x14ac:dyDescent="0.25">
      <c r="D269" t="s">
        <v>729</v>
      </c>
      <c r="E269" t="s">
        <v>135</v>
      </c>
      <c r="F269" t="s">
        <v>143</v>
      </c>
      <c r="G269" t="s">
        <v>383</v>
      </c>
      <c r="H269" t="s">
        <v>239</v>
      </c>
      <c r="I269" s="13">
        <v>40203</v>
      </c>
      <c r="J269">
        <v>14</v>
      </c>
      <c r="K269" t="s">
        <v>145</v>
      </c>
      <c r="L269" t="s">
        <v>139</v>
      </c>
      <c r="M269" t="s">
        <v>227</v>
      </c>
      <c r="N269" t="s">
        <v>730</v>
      </c>
      <c r="O269">
        <v>1</v>
      </c>
      <c r="P269">
        <v>13.62</v>
      </c>
    </row>
    <row r="270" spans="4:16" hidden="1" x14ac:dyDescent="0.25">
      <c r="D270" t="s">
        <v>731</v>
      </c>
      <c r="E270" t="s">
        <v>135</v>
      </c>
      <c r="F270" t="s">
        <v>149</v>
      </c>
      <c r="G270" t="s">
        <v>150</v>
      </c>
      <c r="H270" t="s">
        <v>239</v>
      </c>
      <c r="I270" s="13">
        <v>40238</v>
      </c>
      <c r="J270">
        <v>14</v>
      </c>
      <c r="K270" t="s">
        <v>177</v>
      </c>
      <c r="L270" t="s">
        <v>139</v>
      </c>
      <c r="M270" t="s">
        <v>170</v>
      </c>
      <c r="N270" t="s">
        <v>732</v>
      </c>
      <c r="O270">
        <v>1</v>
      </c>
      <c r="P270">
        <v>13.53</v>
      </c>
    </row>
    <row r="271" spans="4:16" hidden="1" x14ac:dyDescent="0.25">
      <c r="D271" t="s">
        <v>733</v>
      </c>
      <c r="E271" t="s">
        <v>135</v>
      </c>
      <c r="F271" t="s">
        <v>181</v>
      </c>
      <c r="G271" t="s">
        <v>182</v>
      </c>
      <c r="H271" t="s">
        <v>239</v>
      </c>
      <c r="I271" s="13">
        <v>40254</v>
      </c>
      <c r="J271">
        <v>13</v>
      </c>
      <c r="K271" t="s">
        <v>177</v>
      </c>
      <c r="L271" t="s">
        <v>139</v>
      </c>
      <c r="M271" t="s">
        <v>230</v>
      </c>
      <c r="N271" t="s">
        <v>734</v>
      </c>
      <c r="O271">
        <v>1</v>
      </c>
      <c r="P271">
        <v>13.48</v>
      </c>
    </row>
    <row r="272" spans="4:16" hidden="1" x14ac:dyDescent="0.25">
      <c r="D272" t="s">
        <v>735</v>
      </c>
      <c r="E272" t="s">
        <v>135</v>
      </c>
      <c r="F272" t="s">
        <v>181</v>
      </c>
      <c r="G272" t="s">
        <v>199</v>
      </c>
      <c r="H272" t="s">
        <v>239</v>
      </c>
      <c r="I272" s="13">
        <v>40254</v>
      </c>
      <c r="J272">
        <v>13</v>
      </c>
      <c r="K272" t="s">
        <v>177</v>
      </c>
      <c r="L272" t="s">
        <v>139</v>
      </c>
      <c r="M272" t="s">
        <v>230</v>
      </c>
      <c r="N272" t="s">
        <v>736</v>
      </c>
      <c r="O272">
        <v>1</v>
      </c>
      <c r="P272">
        <v>13.48</v>
      </c>
    </row>
    <row r="273" spans="4:16" hidden="1" x14ac:dyDescent="0.25">
      <c r="D273" t="s">
        <v>737</v>
      </c>
      <c r="E273" t="s">
        <v>135</v>
      </c>
      <c r="F273" t="s">
        <v>379</v>
      </c>
      <c r="G273" t="s">
        <v>380</v>
      </c>
      <c r="H273" t="s">
        <v>239</v>
      </c>
      <c r="I273" s="13">
        <v>40287</v>
      </c>
      <c r="J273">
        <v>13</v>
      </c>
      <c r="K273" t="s">
        <v>177</v>
      </c>
      <c r="L273" t="s">
        <v>139</v>
      </c>
      <c r="M273" t="s">
        <v>268</v>
      </c>
      <c r="N273" t="s">
        <v>738</v>
      </c>
      <c r="O273">
        <v>1</v>
      </c>
      <c r="P273">
        <v>13.39</v>
      </c>
    </row>
    <row r="274" spans="4:16" hidden="1" x14ac:dyDescent="0.25">
      <c r="D274" t="s">
        <v>739</v>
      </c>
      <c r="E274" t="s">
        <v>135</v>
      </c>
      <c r="F274" t="s">
        <v>181</v>
      </c>
      <c r="G274" t="s">
        <v>740</v>
      </c>
      <c r="H274" t="s">
        <v>239</v>
      </c>
      <c r="I274" s="13">
        <v>40332</v>
      </c>
      <c r="J274">
        <v>13</v>
      </c>
      <c r="K274" t="s">
        <v>177</v>
      </c>
      <c r="L274" t="s">
        <v>139</v>
      </c>
      <c r="M274" t="s">
        <v>227</v>
      </c>
      <c r="N274" t="s">
        <v>741</v>
      </c>
      <c r="O274">
        <v>1</v>
      </c>
      <c r="P274">
        <v>13.27</v>
      </c>
    </row>
    <row r="275" spans="4:16" hidden="1" x14ac:dyDescent="0.25">
      <c r="D275" t="s">
        <v>742</v>
      </c>
      <c r="E275" t="s">
        <v>135</v>
      </c>
      <c r="F275" t="s">
        <v>143</v>
      </c>
      <c r="G275" t="s">
        <v>611</v>
      </c>
      <c r="H275" t="s">
        <v>239</v>
      </c>
      <c r="I275" s="13">
        <v>40340</v>
      </c>
      <c r="J275">
        <v>13</v>
      </c>
      <c r="K275" t="s">
        <v>145</v>
      </c>
      <c r="L275" t="s">
        <v>139</v>
      </c>
      <c r="M275" t="s">
        <v>743</v>
      </c>
      <c r="N275" t="s">
        <v>744</v>
      </c>
      <c r="O275">
        <v>1</v>
      </c>
      <c r="P275">
        <v>13.25</v>
      </c>
    </row>
    <row r="276" spans="4:16" hidden="1" x14ac:dyDescent="0.25">
      <c r="D276" t="s">
        <v>745</v>
      </c>
      <c r="E276" t="s">
        <v>135</v>
      </c>
      <c r="F276" t="s">
        <v>149</v>
      </c>
      <c r="G276" t="s">
        <v>163</v>
      </c>
      <c r="H276" t="s">
        <v>239</v>
      </c>
      <c r="I276" s="13">
        <v>40393</v>
      </c>
      <c r="J276">
        <v>13</v>
      </c>
      <c r="K276" t="s">
        <v>177</v>
      </c>
      <c r="L276" t="s">
        <v>139</v>
      </c>
      <c r="M276" t="s">
        <v>355</v>
      </c>
      <c r="N276" t="s">
        <v>746</v>
      </c>
      <c r="O276">
        <v>1</v>
      </c>
      <c r="P276">
        <v>13.1</v>
      </c>
    </row>
    <row r="277" spans="4:16" hidden="1" x14ac:dyDescent="0.25">
      <c r="D277" t="s">
        <v>747</v>
      </c>
      <c r="E277" t="s">
        <v>135</v>
      </c>
      <c r="F277" t="s">
        <v>379</v>
      </c>
      <c r="G277" t="s">
        <v>380</v>
      </c>
      <c r="H277" t="s">
        <v>239</v>
      </c>
      <c r="I277" s="13">
        <v>40409</v>
      </c>
      <c r="J277">
        <v>13</v>
      </c>
      <c r="K277" t="s">
        <v>145</v>
      </c>
      <c r="L277" t="s">
        <v>139</v>
      </c>
      <c r="M277" t="s">
        <v>268</v>
      </c>
      <c r="N277" t="s">
        <v>748</v>
      </c>
      <c r="O277">
        <v>1</v>
      </c>
      <c r="P277">
        <v>13.06</v>
      </c>
    </row>
    <row r="278" spans="4:16" hidden="1" x14ac:dyDescent="0.25">
      <c r="D278" t="s">
        <v>747</v>
      </c>
      <c r="E278" t="s">
        <v>135</v>
      </c>
      <c r="F278" t="s">
        <v>379</v>
      </c>
      <c r="G278" t="s">
        <v>380</v>
      </c>
      <c r="H278" t="s">
        <v>239</v>
      </c>
      <c r="I278" s="13">
        <v>40409</v>
      </c>
      <c r="J278">
        <v>13</v>
      </c>
      <c r="K278" t="s">
        <v>145</v>
      </c>
      <c r="L278" t="s">
        <v>139</v>
      </c>
      <c r="M278" t="s">
        <v>268</v>
      </c>
      <c r="N278" t="s">
        <v>748</v>
      </c>
      <c r="O278">
        <v>1</v>
      </c>
      <c r="P278">
        <v>13.06</v>
      </c>
    </row>
    <row r="279" spans="4:16" hidden="1" x14ac:dyDescent="0.25">
      <c r="D279" t="s">
        <v>749</v>
      </c>
      <c r="E279" t="s">
        <v>135</v>
      </c>
      <c r="F279" t="s">
        <v>379</v>
      </c>
      <c r="G279" t="s">
        <v>380</v>
      </c>
      <c r="H279" t="s">
        <v>239</v>
      </c>
      <c r="I279" s="13">
        <v>40409</v>
      </c>
      <c r="J279">
        <v>13</v>
      </c>
      <c r="K279" t="s">
        <v>177</v>
      </c>
      <c r="L279" t="s">
        <v>139</v>
      </c>
      <c r="M279" t="s">
        <v>268</v>
      </c>
      <c r="N279" t="s">
        <v>750</v>
      </c>
      <c r="O279">
        <v>1</v>
      </c>
      <c r="P279">
        <v>13.06</v>
      </c>
    </row>
    <row r="280" spans="4:16" hidden="1" x14ac:dyDescent="0.25">
      <c r="D280" t="s">
        <v>751</v>
      </c>
      <c r="E280" t="s">
        <v>135</v>
      </c>
      <c r="F280" t="s">
        <v>379</v>
      </c>
      <c r="G280" t="s">
        <v>380</v>
      </c>
      <c r="H280" t="s">
        <v>239</v>
      </c>
      <c r="I280" s="13">
        <v>40409</v>
      </c>
      <c r="J280">
        <v>13</v>
      </c>
      <c r="K280" t="s">
        <v>177</v>
      </c>
      <c r="L280" t="s">
        <v>139</v>
      </c>
      <c r="M280" t="s">
        <v>268</v>
      </c>
      <c r="N280" t="s">
        <v>752</v>
      </c>
      <c r="O280">
        <v>1</v>
      </c>
      <c r="P280">
        <v>13.06</v>
      </c>
    </row>
    <row r="281" spans="4:16" hidden="1" x14ac:dyDescent="0.25">
      <c r="D281" t="s">
        <v>751</v>
      </c>
      <c r="E281" t="s">
        <v>135</v>
      </c>
      <c r="F281" t="s">
        <v>379</v>
      </c>
      <c r="G281" t="s">
        <v>380</v>
      </c>
      <c r="H281" t="s">
        <v>239</v>
      </c>
      <c r="I281" s="13">
        <v>40409</v>
      </c>
      <c r="J281">
        <v>13</v>
      </c>
      <c r="K281" t="s">
        <v>145</v>
      </c>
      <c r="L281" t="s">
        <v>139</v>
      </c>
      <c r="M281" t="s">
        <v>268</v>
      </c>
      <c r="N281" t="s">
        <v>752</v>
      </c>
      <c r="O281">
        <v>1</v>
      </c>
      <c r="P281">
        <v>13.06</v>
      </c>
    </row>
    <row r="282" spans="4:16" hidden="1" x14ac:dyDescent="0.25">
      <c r="D282" t="s">
        <v>751</v>
      </c>
      <c r="E282" t="s">
        <v>135</v>
      </c>
      <c r="F282" t="s">
        <v>379</v>
      </c>
      <c r="G282" t="s">
        <v>380</v>
      </c>
      <c r="H282" t="s">
        <v>239</v>
      </c>
      <c r="I282" s="13">
        <v>40409</v>
      </c>
      <c r="J282">
        <v>13</v>
      </c>
      <c r="K282" t="s">
        <v>138</v>
      </c>
      <c r="L282" t="s">
        <v>139</v>
      </c>
      <c r="M282" t="s">
        <v>268</v>
      </c>
      <c r="N282" t="s">
        <v>752</v>
      </c>
      <c r="O282">
        <v>1</v>
      </c>
      <c r="P282">
        <v>13.06</v>
      </c>
    </row>
    <row r="283" spans="4:16" hidden="1" x14ac:dyDescent="0.25">
      <c r="D283" t="s">
        <v>753</v>
      </c>
      <c r="E283" t="s">
        <v>135</v>
      </c>
      <c r="F283" t="s">
        <v>379</v>
      </c>
      <c r="G283" t="s">
        <v>380</v>
      </c>
      <c r="H283" t="s">
        <v>239</v>
      </c>
      <c r="I283" s="13">
        <v>40409</v>
      </c>
      <c r="J283">
        <v>13</v>
      </c>
      <c r="K283" t="s">
        <v>177</v>
      </c>
      <c r="L283" t="s">
        <v>139</v>
      </c>
      <c r="M283" t="s">
        <v>268</v>
      </c>
      <c r="N283" t="s">
        <v>754</v>
      </c>
      <c r="O283">
        <v>1</v>
      </c>
      <c r="P283">
        <v>13.06</v>
      </c>
    </row>
    <row r="284" spans="4:16" hidden="1" x14ac:dyDescent="0.25">
      <c r="D284" t="s">
        <v>755</v>
      </c>
      <c r="E284" t="s">
        <v>135</v>
      </c>
      <c r="F284" t="s">
        <v>379</v>
      </c>
      <c r="G284" t="s">
        <v>380</v>
      </c>
      <c r="H284" t="s">
        <v>239</v>
      </c>
      <c r="I284" s="13">
        <v>40409</v>
      </c>
      <c r="J284">
        <v>13</v>
      </c>
      <c r="K284" t="s">
        <v>177</v>
      </c>
      <c r="L284" t="s">
        <v>139</v>
      </c>
      <c r="M284" t="s">
        <v>268</v>
      </c>
      <c r="N284" t="s">
        <v>756</v>
      </c>
      <c r="O284">
        <v>1</v>
      </c>
      <c r="P284">
        <v>13.06</v>
      </c>
    </row>
    <row r="285" spans="4:16" hidden="1" x14ac:dyDescent="0.25">
      <c r="D285" t="s">
        <v>757</v>
      </c>
      <c r="E285" t="s">
        <v>135</v>
      </c>
      <c r="F285" t="s">
        <v>173</v>
      </c>
      <c r="G285" t="s">
        <v>688</v>
      </c>
      <c r="H285" t="s">
        <v>239</v>
      </c>
      <c r="I285" s="13">
        <v>40424</v>
      </c>
      <c r="J285">
        <v>13</v>
      </c>
      <c r="K285" t="s">
        <v>177</v>
      </c>
      <c r="L285" t="s">
        <v>139</v>
      </c>
      <c r="M285" t="s">
        <v>352</v>
      </c>
      <c r="N285" t="s">
        <v>758</v>
      </c>
      <c r="O285">
        <v>1</v>
      </c>
      <c r="P285">
        <v>13.02</v>
      </c>
    </row>
    <row r="286" spans="4:16" hidden="1" x14ac:dyDescent="0.25">
      <c r="D286" t="s">
        <v>759</v>
      </c>
      <c r="E286" t="s">
        <v>135</v>
      </c>
      <c r="F286" t="s">
        <v>149</v>
      </c>
      <c r="G286" t="s">
        <v>150</v>
      </c>
      <c r="H286" t="s">
        <v>239</v>
      </c>
      <c r="I286" s="13">
        <v>40429</v>
      </c>
      <c r="J286">
        <v>13</v>
      </c>
      <c r="K286" t="s">
        <v>177</v>
      </c>
      <c r="L286" t="s">
        <v>139</v>
      </c>
      <c r="M286" t="s">
        <v>284</v>
      </c>
      <c r="N286" t="s">
        <v>760</v>
      </c>
      <c r="O286">
        <v>1</v>
      </c>
      <c r="P286">
        <v>13</v>
      </c>
    </row>
    <row r="287" spans="4:16" hidden="1" x14ac:dyDescent="0.25">
      <c r="D287" t="s">
        <v>761</v>
      </c>
      <c r="E287" t="s">
        <v>135</v>
      </c>
      <c r="F287" t="s">
        <v>149</v>
      </c>
      <c r="G287" t="s">
        <v>163</v>
      </c>
      <c r="H287" t="s">
        <v>239</v>
      </c>
      <c r="I287" s="13">
        <v>40438</v>
      </c>
      <c r="J287">
        <v>13</v>
      </c>
      <c r="K287" t="s">
        <v>177</v>
      </c>
      <c r="L287" t="s">
        <v>139</v>
      </c>
      <c r="M287" t="s">
        <v>178</v>
      </c>
      <c r="N287" t="s">
        <v>762</v>
      </c>
      <c r="O287">
        <v>1</v>
      </c>
      <c r="P287">
        <v>12.98</v>
      </c>
    </row>
    <row r="288" spans="4:16" hidden="1" x14ac:dyDescent="0.25">
      <c r="D288" t="s">
        <v>761</v>
      </c>
      <c r="E288" t="s">
        <v>135</v>
      </c>
      <c r="F288" t="s">
        <v>149</v>
      </c>
      <c r="G288" t="s">
        <v>163</v>
      </c>
      <c r="H288" t="s">
        <v>239</v>
      </c>
      <c r="I288" s="13">
        <v>40438</v>
      </c>
      <c r="J288">
        <v>13</v>
      </c>
      <c r="K288" t="s">
        <v>177</v>
      </c>
      <c r="L288" t="s">
        <v>139</v>
      </c>
      <c r="M288" t="s">
        <v>178</v>
      </c>
      <c r="N288" t="s">
        <v>762</v>
      </c>
      <c r="O288">
        <v>1</v>
      </c>
      <c r="P288">
        <v>12.98</v>
      </c>
    </row>
    <row r="289" spans="4:16" hidden="1" x14ac:dyDescent="0.25">
      <c r="D289" t="s">
        <v>763</v>
      </c>
      <c r="E289" t="s">
        <v>135</v>
      </c>
      <c r="F289" t="s">
        <v>149</v>
      </c>
      <c r="G289" t="s">
        <v>150</v>
      </c>
      <c r="H289" t="s">
        <v>239</v>
      </c>
      <c r="I289" s="13">
        <v>40452</v>
      </c>
      <c r="J289">
        <v>13</v>
      </c>
      <c r="K289" t="s">
        <v>177</v>
      </c>
      <c r="L289" t="s">
        <v>139</v>
      </c>
      <c r="M289" t="s">
        <v>284</v>
      </c>
      <c r="N289" t="s">
        <v>764</v>
      </c>
      <c r="O289">
        <v>1</v>
      </c>
      <c r="P289">
        <v>12.94</v>
      </c>
    </row>
    <row r="290" spans="4:16" hidden="1" x14ac:dyDescent="0.25">
      <c r="D290" t="s">
        <v>765</v>
      </c>
      <c r="E290" t="s">
        <v>135</v>
      </c>
      <c r="F290" t="s">
        <v>149</v>
      </c>
      <c r="G290" t="s">
        <v>163</v>
      </c>
      <c r="H290" t="s">
        <v>239</v>
      </c>
      <c r="I290" s="13">
        <v>40452</v>
      </c>
      <c r="J290">
        <v>13</v>
      </c>
      <c r="K290" t="s">
        <v>145</v>
      </c>
      <c r="L290" t="s">
        <v>139</v>
      </c>
      <c r="M290" t="s">
        <v>165</v>
      </c>
      <c r="N290" t="s">
        <v>766</v>
      </c>
      <c r="O290">
        <v>1</v>
      </c>
      <c r="P290">
        <v>12.94</v>
      </c>
    </row>
    <row r="291" spans="4:16" hidden="1" x14ac:dyDescent="0.25">
      <c r="D291" t="s">
        <v>767</v>
      </c>
      <c r="E291" t="s">
        <v>135</v>
      </c>
      <c r="F291" t="s">
        <v>143</v>
      </c>
      <c r="G291" t="s">
        <v>144</v>
      </c>
      <c r="H291" t="s">
        <v>239</v>
      </c>
      <c r="I291" s="13">
        <v>40457</v>
      </c>
      <c r="J291">
        <v>13</v>
      </c>
      <c r="K291" t="s">
        <v>177</v>
      </c>
      <c r="L291" t="s">
        <v>139</v>
      </c>
      <c r="M291" t="s">
        <v>154</v>
      </c>
      <c r="N291" t="s">
        <v>768</v>
      </c>
      <c r="O291">
        <v>1</v>
      </c>
      <c r="P291">
        <v>12.93</v>
      </c>
    </row>
    <row r="292" spans="4:16" hidden="1" x14ac:dyDescent="0.25">
      <c r="D292" t="s">
        <v>769</v>
      </c>
      <c r="E292" t="s">
        <v>135</v>
      </c>
      <c r="F292" t="s">
        <v>379</v>
      </c>
      <c r="G292" t="s">
        <v>380</v>
      </c>
      <c r="H292" t="s">
        <v>239</v>
      </c>
      <c r="I292" s="13">
        <v>40507</v>
      </c>
      <c r="J292">
        <v>13</v>
      </c>
      <c r="K292" t="s">
        <v>177</v>
      </c>
      <c r="L292" t="s">
        <v>139</v>
      </c>
      <c r="M292" t="s">
        <v>268</v>
      </c>
      <c r="N292" t="s">
        <v>770</v>
      </c>
      <c r="O292">
        <v>1</v>
      </c>
      <c r="P292">
        <v>12.79</v>
      </c>
    </row>
    <row r="293" spans="4:16" hidden="1" x14ac:dyDescent="0.25">
      <c r="D293" t="s">
        <v>771</v>
      </c>
      <c r="E293" t="s">
        <v>135</v>
      </c>
      <c r="F293" t="s">
        <v>379</v>
      </c>
      <c r="G293" t="s">
        <v>380</v>
      </c>
      <c r="H293" t="s">
        <v>239</v>
      </c>
      <c r="I293" s="13">
        <v>40507</v>
      </c>
      <c r="J293">
        <v>13</v>
      </c>
      <c r="K293" t="s">
        <v>177</v>
      </c>
      <c r="L293" t="s">
        <v>139</v>
      </c>
      <c r="M293" t="s">
        <v>268</v>
      </c>
      <c r="N293" t="s">
        <v>772</v>
      </c>
      <c r="O293">
        <v>1</v>
      </c>
      <c r="P293">
        <v>12.79</v>
      </c>
    </row>
    <row r="294" spans="4:16" hidden="1" x14ac:dyDescent="0.25">
      <c r="D294" t="s">
        <v>773</v>
      </c>
      <c r="E294" t="s">
        <v>135</v>
      </c>
      <c r="F294" t="s">
        <v>379</v>
      </c>
      <c r="G294" t="s">
        <v>380</v>
      </c>
      <c r="H294" t="s">
        <v>239</v>
      </c>
      <c r="I294" s="13">
        <v>40507</v>
      </c>
      <c r="J294">
        <v>13</v>
      </c>
      <c r="K294" t="s">
        <v>177</v>
      </c>
      <c r="L294" t="s">
        <v>139</v>
      </c>
      <c r="M294" t="s">
        <v>268</v>
      </c>
      <c r="N294" t="s">
        <v>774</v>
      </c>
      <c r="O294">
        <v>1</v>
      </c>
      <c r="P294">
        <v>12.79</v>
      </c>
    </row>
    <row r="295" spans="4:16" hidden="1" x14ac:dyDescent="0.25">
      <c r="D295" t="s">
        <v>775</v>
      </c>
      <c r="E295" t="s">
        <v>135</v>
      </c>
      <c r="F295" t="s">
        <v>379</v>
      </c>
      <c r="G295" t="s">
        <v>380</v>
      </c>
      <c r="H295" t="s">
        <v>239</v>
      </c>
      <c r="I295" s="13">
        <v>40507</v>
      </c>
      <c r="J295">
        <v>13</v>
      </c>
      <c r="K295" t="s">
        <v>177</v>
      </c>
      <c r="L295" t="s">
        <v>139</v>
      </c>
      <c r="M295" t="s">
        <v>268</v>
      </c>
      <c r="N295" t="s">
        <v>776</v>
      </c>
      <c r="O295">
        <v>1</v>
      </c>
      <c r="P295">
        <v>12.79</v>
      </c>
    </row>
    <row r="296" spans="4:16" hidden="1" x14ac:dyDescent="0.25">
      <c r="D296" t="s">
        <v>777</v>
      </c>
      <c r="E296" t="s">
        <v>135</v>
      </c>
      <c r="F296" t="s">
        <v>149</v>
      </c>
      <c r="G296" t="s">
        <v>295</v>
      </c>
      <c r="H296" t="s">
        <v>239</v>
      </c>
      <c r="I296" s="13">
        <v>40533</v>
      </c>
      <c r="J296">
        <v>13</v>
      </c>
      <c r="K296" t="s">
        <v>177</v>
      </c>
      <c r="L296" t="s">
        <v>139</v>
      </c>
      <c r="M296" t="s">
        <v>151</v>
      </c>
      <c r="N296" t="s">
        <v>778</v>
      </c>
      <c r="O296">
        <v>1</v>
      </c>
      <c r="P296">
        <v>12.72</v>
      </c>
    </row>
    <row r="297" spans="4:16" hidden="1" x14ac:dyDescent="0.25">
      <c r="D297" t="s">
        <v>779</v>
      </c>
      <c r="E297" t="s">
        <v>135</v>
      </c>
      <c r="F297" t="s">
        <v>149</v>
      </c>
      <c r="G297" t="s">
        <v>163</v>
      </c>
      <c r="H297" t="s">
        <v>239</v>
      </c>
      <c r="I297" s="13">
        <v>40533</v>
      </c>
      <c r="J297">
        <v>13</v>
      </c>
      <c r="K297" t="s">
        <v>177</v>
      </c>
      <c r="L297" t="s">
        <v>139</v>
      </c>
      <c r="M297" t="s">
        <v>151</v>
      </c>
      <c r="N297" t="s">
        <v>780</v>
      </c>
      <c r="O297">
        <v>1</v>
      </c>
      <c r="P297">
        <v>12.72</v>
      </c>
    </row>
    <row r="298" spans="4:16" hidden="1" x14ac:dyDescent="0.25">
      <c r="D298" t="s">
        <v>781</v>
      </c>
      <c r="E298" t="s">
        <v>135</v>
      </c>
      <c r="F298" t="s">
        <v>379</v>
      </c>
      <c r="G298" t="s">
        <v>782</v>
      </c>
      <c r="H298" t="s">
        <v>239</v>
      </c>
      <c r="I298" s="13">
        <v>40535</v>
      </c>
      <c r="J298">
        <v>13</v>
      </c>
      <c r="K298" t="s">
        <v>177</v>
      </c>
      <c r="L298" t="s">
        <v>139</v>
      </c>
      <c r="M298" t="s">
        <v>316</v>
      </c>
      <c r="N298" t="s">
        <v>783</v>
      </c>
      <c r="O298">
        <v>1</v>
      </c>
      <c r="P298">
        <v>12.71</v>
      </c>
    </row>
    <row r="299" spans="4:16" hidden="1" x14ac:dyDescent="0.25">
      <c r="D299" t="s">
        <v>784</v>
      </c>
      <c r="E299" t="s">
        <v>135</v>
      </c>
      <c r="F299" t="s">
        <v>136</v>
      </c>
      <c r="G299" t="s">
        <v>199</v>
      </c>
      <c r="H299" t="s">
        <v>239</v>
      </c>
      <c r="I299" s="13">
        <v>40547</v>
      </c>
      <c r="J299">
        <v>13</v>
      </c>
      <c r="K299" t="s">
        <v>145</v>
      </c>
      <c r="L299" t="s">
        <v>139</v>
      </c>
      <c r="M299" t="s">
        <v>785</v>
      </c>
      <c r="N299" t="s">
        <v>786</v>
      </c>
      <c r="O299">
        <v>1</v>
      </c>
      <c r="P299">
        <v>12.68</v>
      </c>
    </row>
    <row r="300" spans="4:16" hidden="1" x14ac:dyDescent="0.25">
      <c r="D300" t="s">
        <v>787</v>
      </c>
      <c r="E300" t="s">
        <v>135</v>
      </c>
      <c r="F300" t="s">
        <v>136</v>
      </c>
      <c r="G300" t="s">
        <v>199</v>
      </c>
      <c r="H300" t="s">
        <v>239</v>
      </c>
      <c r="I300" s="13">
        <v>40553</v>
      </c>
      <c r="J300">
        <v>13</v>
      </c>
      <c r="K300" t="s">
        <v>177</v>
      </c>
      <c r="L300" t="s">
        <v>139</v>
      </c>
      <c r="M300" t="s">
        <v>268</v>
      </c>
      <c r="N300" t="s">
        <v>788</v>
      </c>
      <c r="O300">
        <v>1</v>
      </c>
      <c r="P300">
        <v>12.66</v>
      </c>
    </row>
    <row r="301" spans="4:16" hidden="1" x14ac:dyDescent="0.25">
      <c r="D301" t="s">
        <v>789</v>
      </c>
      <c r="E301" t="s">
        <v>135</v>
      </c>
      <c r="F301" t="s">
        <v>149</v>
      </c>
      <c r="G301" t="s">
        <v>150</v>
      </c>
      <c r="H301" t="s">
        <v>239</v>
      </c>
      <c r="I301" s="13">
        <v>40562</v>
      </c>
      <c r="J301">
        <v>13</v>
      </c>
      <c r="K301" t="s">
        <v>177</v>
      </c>
      <c r="L301" t="s">
        <v>139</v>
      </c>
      <c r="M301" t="s">
        <v>170</v>
      </c>
      <c r="N301" t="s">
        <v>790</v>
      </c>
      <c r="O301">
        <v>1</v>
      </c>
      <c r="P301">
        <v>12.64</v>
      </c>
    </row>
    <row r="302" spans="4:16" hidden="1" x14ac:dyDescent="0.25">
      <c r="D302" t="s">
        <v>791</v>
      </c>
      <c r="E302" t="s">
        <v>135</v>
      </c>
      <c r="F302" t="s">
        <v>181</v>
      </c>
      <c r="G302" t="s">
        <v>792</v>
      </c>
      <c r="H302" t="s">
        <v>239</v>
      </c>
      <c r="I302" s="13">
        <v>40620</v>
      </c>
      <c r="J302">
        <v>12</v>
      </c>
      <c r="K302" t="s">
        <v>177</v>
      </c>
      <c r="L302" t="s">
        <v>139</v>
      </c>
      <c r="M302" t="s">
        <v>230</v>
      </c>
      <c r="N302" t="s">
        <v>793</v>
      </c>
      <c r="O302">
        <v>1</v>
      </c>
      <c r="P302">
        <v>12.48</v>
      </c>
    </row>
    <row r="303" spans="4:16" hidden="1" x14ac:dyDescent="0.25">
      <c r="D303" t="s">
        <v>794</v>
      </c>
      <c r="E303" t="s">
        <v>135</v>
      </c>
      <c r="F303" t="s">
        <v>136</v>
      </c>
      <c r="G303" t="s">
        <v>795</v>
      </c>
      <c r="H303" t="s">
        <v>239</v>
      </c>
      <c r="I303" s="13">
        <v>40624</v>
      </c>
      <c r="J303">
        <v>12</v>
      </c>
      <c r="K303" t="s">
        <v>177</v>
      </c>
      <c r="L303" t="s">
        <v>139</v>
      </c>
      <c r="M303" t="s">
        <v>490</v>
      </c>
      <c r="N303" t="s">
        <v>796</v>
      </c>
      <c r="O303">
        <v>1</v>
      </c>
      <c r="P303">
        <v>12.47</v>
      </c>
    </row>
    <row r="304" spans="4:16" hidden="1" x14ac:dyDescent="0.25">
      <c r="D304" t="s">
        <v>797</v>
      </c>
      <c r="E304" t="s">
        <v>135</v>
      </c>
      <c r="F304" t="s">
        <v>181</v>
      </c>
      <c r="G304" t="s">
        <v>795</v>
      </c>
      <c r="H304" t="s">
        <v>239</v>
      </c>
      <c r="I304" s="13">
        <v>40632</v>
      </c>
      <c r="J304">
        <v>12</v>
      </c>
      <c r="K304" t="s">
        <v>177</v>
      </c>
      <c r="L304" t="s">
        <v>139</v>
      </c>
      <c r="M304" t="s">
        <v>452</v>
      </c>
      <c r="N304" t="s">
        <v>798</v>
      </c>
      <c r="O304">
        <v>1</v>
      </c>
      <c r="P304">
        <v>12.45</v>
      </c>
    </row>
    <row r="305" spans="4:16" hidden="1" x14ac:dyDescent="0.25">
      <c r="D305" t="s">
        <v>799</v>
      </c>
      <c r="E305" t="s">
        <v>135</v>
      </c>
      <c r="F305" t="s">
        <v>181</v>
      </c>
      <c r="G305" t="s">
        <v>795</v>
      </c>
      <c r="H305" t="s">
        <v>239</v>
      </c>
      <c r="I305" s="13">
        <v>40638</v>
      </c>
      <c r="J305">
        <v>12</v>
      </c>
      <c r="K305" t="s">
        <v>177</v>
      </c>
      <c r="L305" t="s">
        <v>164</v>
      </c>
      <c r="M305" t="s">
        <v>800</v>
      </c>
      <c r="N305" t="s">
        <v>801</v>
      </c>
      <c r="O305">
        <v>1</v>
      </c>
      <c r="P305">
        <v>12.43</v>
      </c>
    </row>
    <row r="306" spans="4:16" hidden="1" x14ac:dyDescent="0.25">
      <c r="D306" t="s">
        <v>802</v>
      </c>
      <c r="E306" t="s">
        <v>135</v>
      </c>
      <c r="F306" t="s">
        <v>181</v>
      </c>
      <c r="G306" t="s">
        <v>795</v>
      </c>
      <c r="H306" t="s">
        <v>239</v>
      </c>
      <c r="I306" s="13">
        <v>40638</v>
      </c>
      <c r="J306">
        <v>12</v>
      </c>
      <c r="K306" t="s">
        <v>145</v>
      </c>
      <c r="L306" t="s">
        <v>139</v>
      </c>
      <c r="M306" t="s">
        <v>800</v>
      </c>
      <c r="N306" t="s">
        <v>803</v>
      </c>
      <c r="O306">
        <v>1</v>
      </c>
      <c r="P306">
        <v>12.43</v>
      </c>
    </row>
    <row r="307" spans="4:16" hidden="1" x14ac:dyDescent="0.25">
      <c r="D307" t="s">
        <v>804</v>
      </c>
      <c r="E307" t="s">
        <v>135</v>
      </c>
      <c r="F307" t="s">
        <v>143</v>
      </c>
      <c r="G307" t="s">
        <v>144</v>
      </c>
      <c r="H307" t="s">
        <v>239</v>
      </c>
      <c r="I307" s="13">
        <v>40654</v>
      </c>
      <c r="J307">
        <v>12</v>
      </c>
      <c r="K307" t="s">
        <v>138</v>
      </c>
      <c r="L307" t="s">
        <v>139</v>
      </c>
      <c r="M307" t="s">
        <v>805</v>
      </c>
      <c r="N307" t="s">
        <v>806</v>
      </c>
      <c r="O307">
        <v>1</v>
      </c>
      <c r="P307">
        <v>12.39</v>
      </c>
    </row>
    <row r="308" spans="4:16" hidden="1" x14ac:dyDescent="0.25">
      <c r="D308" t="s">
        <v>807</v>
      </c>
      <c r="E308" t="s">
        <v>135</v>
      </c>
      <c r="F308" t="s">
        <v>143</v>
      </c>
      <c r="G308" t="s">
        <v>723</v>
      </c>
      <c r="H308" t="s">
        <v>239</v>
      </c>
      <c r="I308" s="13">
        <v>40654</v>
      </c>
      <c r="J308">
        <v>12</v>
      </c>
      <c r="K308" t="s">
        <v>145</v>
      </c>
      <c r="L308" t="s">
        <v>139</v>
      </c>
      <c r="M308" t="s">
        <v>805</v>
      </c>
      <c r="N308" t="s">
        <v>808</v>
      </c>
      <c r="O308">
        <v>1</v>
      </c>
      <c r="P308">
        <v>12.39</v>
      </c>
    </row>
    <row r="309" spans="4:16" hidden="1" x14ac:dyDescent="0.25">
      <c r="D309" t="s">
        <v>809</v>
      </c>
      <c r="E309" t="s">
        <v>135</v>
      </c>
      <c r="F309" t="s">
        <v>143</v>
      </c>
      <c r="G309" t="s">
        <v>308</v>
      </c>
      <c r="H309" t="s">
        <v>239</v>
      </c>
      <c r="I309" s="13">
        <v>40660</v>
      </c>
      <c r="J309">
        <v>12</v>
      </c>
      <c r="K309" t="s">
        <v>145</v>
      </c>
      <c r="L309" t="s">
        <v>139</v>
      </c>
      <c r="M309" t="s">
        <v>743</v>
      </c>
      <c r="N309" t="s">
        <v>810</v>
      </c>
      <c r="O309">
        <v>1</v>
      </c>
      <c r="P309">
        <v>12.37</v>
      </c>
    </row>
    <row r="310" spans="4:16" hidden="1" x14ac:dyDescent="0.25">
      <c r="D310" t="s">
        <v>811</v>
      </c>
      <c r="E310" t="s">
        <v>135</v>
      </c>
      <c r="F310" t="s">
        <v>143</v>
      </c>
      <c r="G310" t="s">
        <v>144</v>
      </c>
      <c r="H310" t="s">
        <v>239</v>
      </c>
      <c r="I310" s="13">
        <v>40667</v>
      </c>
      <c r="J310">
        <v>12</v>
      </c>
      <c r="K310" t="s">
        <v>138</v>
      </c>
      <c r="L310" t="s">
        <v>139</v>
      </c>
      <c r="M310" t="s">
        <v>805</v>
      </c>
      <c r="N310" t="s">
        <v>812</v>
      </c>
      <c r="O310">
        <v>1</v>
      </c>
      <c r="P310">
        <v>12.35</v>
      </c>
    </row>
    <row r="311" spans="4:16" hidden="1" x14ac:dyDescent="0.25">
      <c r="D311" t="s">
        <v>813</v>
      </c>
      <c r="E311" t="s">
        <v>135</v>
      </c>
      <c r="F311" t="s">
        <v>143</v>
      </c>
      <c r="G311" t="s">
        <v>144</v>
      </c>
      <c r="H311" t="s">
        <v>239</v>
      </c>
      <c r="I311" s="13">
        <v>40667</v>
      </c>
      <c r="J311">
        <v>12</v>
      </c>
      <c r="K311" t="s">
        <v>145</v>
      </c>
      <c r="L311" t="s">
        <v>139</v>
      </c>
      <c r="M311" t="s">
        <v>805</v>
      </c>
      <c r="N311" t="s">
        <v>814</v>
      </c>
      <c r="O311">
        <v>1</v>
      </c>
      <c r="P311">
        <v>12.35</v>
      </c>
    </row>
    <row r="312" spans="4:16" hidden="1" x14ac:dyDescent="0.25">
      <c r="D312" t="s">
        <v>815</v>
      </c>
      <c r="E312" t="s">
        <v>135</v>
      </c>
      <c r="F312" t="s">
        <v>143</v>
      </c>
      <c r="G312" t="s">
        <v>144</v>
      </c>
      <c r="H312" t="s">
        <v>239</v>
      </c>
      <c r="I312" s="13">
        <v>40673</v>
      </c>
      <c r="J312">
        <v>12</v>
      </c>
      <c r="K312" t="s">
        <v>145</v>
      </c>
      <c r="L312" t="s">
        <v>139</v>
      </c>
      <c r="M312" t="s">
        <v>805</v>
      </c>
      <c r="N312" t="s">
        <v>816</v>
      </c>
      <c r="O312">
        <v>1</v>
      </c>
      <c r="P312">
        <v>12.33</v>
      </c>
    </row>
    <row r="313" spans="4:16" hidden="1" x14ac:dyDescent="0.25">
      <c r="D313" t="s">
        <v>817</v>
      </c>
      <c r="E313" t="s">
        <v>135</v>
      </c>
      <c r="F313" t="s">
        <v>379</v>
      </c>
      <c r="G313" t="s">
        <v>782</v>
      </c>
      <c r="H313" t="s">
        <v>239</v>
      </c>
      <c r="I313" s="13">
        <v>40674</v>
      </c>
      <c r="J313">
        <v>12</v>
      </c>
      <c r="K313" t="s">
        <v>177</v>
      </c>
      <c r="L313" t="s">
        <v>139</v>
      </c>
      <c r="M313" t="s">
        <v>316</v>
      </c>
      <c r="N313" t="s">
        <v>818</v>
      </c>
      <c r="O313">
        <v>1</v>
      </c>
      <c r="P313">
        <v>12.33</v>
      </c>
    </row>
    <row r="314" spans="4:16" hidden="1" x14ac:dyDescent="0.25">
      <c r="D314" t="s">
        <v>819</v>
      </c>
      <c r="E314" t="s">
        <v>135</v>
      </c>
      <c r="F314" t="s">
        <v>143</v>
      </c>
      <c r="G314" t="s">
        <v>820</v>
      </c>
      <c r="H314" t="s">
        <v>239</v>
      </c>
      <c r="I314" s="13">
        <v>40702</v>
      </c>
      <c r="J314">
        <v>12</v>
      </c>
      <c r="K314" t="s">
        <v>145</v>
      </c>
      <c r="L314" t="s">
        <v>164</v>
      </c>
      <c r="M314" t="s">
        <v>468</v>
      </c>
      <c r="N314" t="s">
        <v>821</v>
      </c>
      <c r="O314">
        <v>1</v>
      </c>
      <c r="P314">
        <v>12.26</v>
      </c>
    </row>
    <row r="315" spans="4:16" hidden="1" x14ac:dyDescent="0.25">
      <c r="D315" t="s">
        <v>822</v>
      </c>
      <c r="E315" t="s">
        <v>135</v>
      </c>
      <c r="F315" t="s">
        <v>823</v>
      </c>
      <c r="G315" t="s">
        <v>824</v>
      </c>
      <c r="H315" t="s">
        <v>239</v>
      </c>
      <c r="I315" s="13">
        <v>40703</v>
      </c>
      <c r="J315">
        <v>12</v>
      </c>
      <c r="K315" t="s">
        <v>138</v>
      </c>
      <c r="L315" t="s">
        <v>139</v>
      </c>
      <c r="M315" t="s">
        <v>200</v>
      </c>
      <c r="N315" t="s">
        <v>825</v>
      </c>
      <c r="O315">
        <v>1</v>
      </c>
      <c r="P315">
        <v>12.25</v>
      </c>
    </row>
    <row r="316" spans="4:16" hidden="1" x14ac:dyDescent="0.25">
      <c r="D316" t="s">
        <v>826</v>
      </c>
      <c r="E316" t="s">
        <v>135</v>
      </c>
      <c r="F316" t="s">
        <v>149</v>
      </c>
      <c r="G316" t="s">
        <v>150</v>
      </c>
      <c r="H316" t="s">
        <v>239</v>
      </c>
      <c r="I316" s="13">
        <v>40715</v>
      </c>
      <c r="J316">
        <v>12</v>
      </c>
      <c r="K316" t="s">
        <v>177</v>
      </c>
      <c r="L316" t="s">
        <v>139</v>
      </c>
      <c r="M316" t="s">
        <v>316</v>
      </c>
      <c r="N316" t="s">
        <v>827</v>
      </c>
      <c r="O316">
        <v>1</v>
      </c>
      <c r="P316">
        <v>12.22</v>
      </c>
    </row>
    <row r="317" spans="4:16" hidden="1" x14ac:dyDescent="0.25">
      <c r="D317" t="s">
        <v>828</v>
      </c>
      <c r="E317" t="s">
        <v>135</v>
      </c>
      <c r="F317" t="s">
        <v>149</v>
      </c>
      <c r="G317" t="s">
        <v>150</v>
      </c>
      <c r="H317" t="s">
        <v>239</v>
      </c>
      <c r="I317" s="13">
        <v>40715</v>
      </c>
      <c r="J317">
        <v>12</v>
      </c>
      <c r="K317" t="s">
        <v>177</v>
      </c>
      <c r="L317" t="s">
        <v>139</v>
      </c>
      <c r="M317" t="s">
        <v>316</v>
      </c>
      <c r="N317" t="s">
        <v>829</v>
      </c>
      <c r="O317">
        <v>1</v>
      </c>
      <c r="P317">
        <v>12.22</v>
      </c>
    </row>
    <row r="318" spans="4:16" hidden="1" x14ac:dyDescent="0.25">
      <c r="D318" t="s">
        <v>830</v>
      </c>
      <c r="E318" t="s">
        <v>135</v>
      </c>
      <c r="F318" t="s">
        <v>149</v>
      </c>
      <c r="G318" t="s">
        <v>150</v>
      </c>
      <c r="H318" t="s">
        <v>239</v>
      </c>
      <c r="I318" s="13">
        <v>40715</v>
      </c>
      <c r="J318">
        <v>12</v>
      </c>
      <c r="K318" t="s">
        <v>177</v>
      </c>
      <c r="L318" t="s">
        <v>139</v>
      </c>
      <c r="M318" t="s">
        <v>316</v>
      </c>
      <c r="N318" t="s">
        <v>831</v>
      </c>
      <c r="O318">
        <v>1</v>
      </c>
      <c r="P318">
        <v>12.22</v>
      </c>
    </row>
    <row r="319" spans="4:16" hidden="1" x14ac:dyDescent="0.25">
      <c r="D319" t="s">
        <v>832</v>
      </c>
      <c r="E319" t="s">
        <v>135</v>
      </c>
      <c r="F319" t="s">
        <v>149</v>
      </c>
      <c r="G319" t="s">
        <v>150</v>
      </c>
      <c r="H319" t="s">
        <v>239</v>
      </c>
      <c r="I319" s="13">
        <v>40715</v>
      </c>
      <c r="J319">
        <v>12</v>
      </c>
      <c r="K319" t="s">
        <v>177</v>
      </c>
      <c r="L319" t="s">
        <v>139</v>
      </c>
      <c r="M319" t="s">
        <v>316</v>
      </c>
      <c r="N319" t="s">
        <v>833</v>
      </c>
      <c r="O319">
        <v>1</v>
      </c>
      <c r="P319">
        <v>12.22</v>
      </c>
    </row>
    <row r="320" spans="4:16" hidden="1" x14ac:dyDescent="0.25">
      <c r="D320" t="s">
        <v>834</v>
      </c>
      <c r="E320" t="s">
        <v>135</v>
      </c>
      <c r="F320" t="s">
        <v>143</v>
      </c>
      <c r="G320" t="s">
        <v>835</v>
      </c>
      <c r="H320" t="s">
        <v>239</v>
      </c>
      <c r="I320" s="13">
        <v>40752</v>
      </c>
      <c r="J320">
        <v>12</v>
      </c>
      <c r="K320" t="s">
        <v>145</v>
      </c>
      <c r="L320" t="s">
        <v>164</v>
      </c>
      <c r="M320" t="s">
        <v>805</v>
      </c>
      <c r="N320" t="s">
        <v>836</v>
      </c>
      <c r="O320">
        <v>1</v>
      </c>
      <c r="P320">
        <v>12.12</v>
      </c>
    </row>
    <row r="321" spans="4:16" hidden="1" x14ac:dyDescent="0.25">
      <c r="D321" t="s">
        <v>837</v>
      </c>
      <c r="E321" t="s">
        <v>135</v>
      </c>
      <c r="F321" t="s">
        <v>149</v>
      </c>
      <c r="G321" t="s">
        <v>688</v>
      </c>
      <c r="H321" t="s">
        <v>239</v>
      </c>
      <c r="I321" s="13">
        <v>40751</v>
      </c>
      <c r="J321">
        <v>12</v>
      </c>
      <c r="K321" t="s">
        <v>177</v>
      </c>
      <c r="L321" t="s">
        <v>139</v>
      </c>
      <c r="M321" t="s">
        <v>669</v>
      </c>
      <c r="N321" t="s">
        <v>838</v>
      </c>
      <c r="O321">
        <v>1</v>
      </c>
      <c r="P321">
        <v>12.12</v>
      </c>
    </row>
    <row r="322" spans="4:16" hidden="1" x14ac:dyDescent="0.25">
      <c r="D322" t="s">
        <v>839</v>
      </c>
      <c r="E322" t="s">
        <v>135</v>
      </c>
      <c r="F322" t="s">
        <v>143</v>
      </c>
      <c r="G322" t="s">
        <v>144</v>
      </c>
      <c r="H322" t="s">
        <v>239</v>
      </c>
      <c r="I322" s="13">
        <v>40752</v>
      </c>
      <c r="J322">
        <v>12</v>
      </c>
      <c r="K322" t="s">
        <v>177</v>
      </c>
      <c r="L322" t="s">
        <v>139</v>
      </c>
      <c r="M322" t="s">
        <v>805</v>
      </c>
      <c r="N322" t="s">
        <v>840</v>
      </c>
      <c r="O322">
        <v>1</v>
      </c>
      <c r="P322">
        <v>12.12</v>
      </c>
    </row>
    <row r="323" spans="4:16" hidden="1" x14ac:dyDescent="0.25">
      <c r="D323" t="s">
        <v>841</v>
      </c>
      <c r="E323" t="s">
        <v>135</v>
      </c>
      <c r="F323" t="s">
        <v>149</v>
      </c>
      <c r="G323" t="s">
        <v>163</v>
      </c>
      <c r="H323" t="s">
        <v>239</v>
      </c>
      <c r="I323" s="13">
        <v>40753</v>
      </c>
      <c r="J323">
        <v>12</v>
      </c>
      <c r="K323" t="s">
        <v>177</v>
      </c>
      <c r="L323" t="s">
        <v>139</v>
      </c>
      <c r="M323" t="s">
        <v>170</v>
      </c>
      <c r="N323" t="s">
        <v>842</v>
      </c>
      <c r="O323">
        <v>1</v>
      </c>
      <c r="P323">
        <v>12.12</v>
      </c>
    </row>
    <row r="324" spans="4:16" hidden="1" x14ac:dyDescent="0.25">
      <c r="D324" t="s">
        <v>843</v>
      </c>
      <c r="E324" t="s">
        <v>135</v>
      </c>
      <c r="F324" t="s">
        <v>143</v>
      </c>
      <c r="G324" t="s">
        <v>820</v>
      </c>
      <c r="H324" t="s">
        <v>239</v>
      </c>
      <c r="I324" s="13">
        <v>40765</v>
      </c>
      <c r="J324">
        <v>12</v>
      </c>
      <c r="K324" t="s">
        <v>177</v>
      </c>
      <c r="L324" t="s">
        <v>164</v>
      </c>
      <c r="M324" t="s">
        <v>468</v>
      </c>
      <c r="N324" t="s">
        <v>844</v>
      </c>
      <c r="O324">
        <v>1</v>
      </c>
      <c r="P324">
        <v>12.08</v>
      </c>
    </row>
    <row r="325" spans="4:16" hidden="1" x14ac:dyDescent="0.25">
      <c r="D325" t="s">
        <v>845</v>
      </c>
      <c r="E325" t="s">
        <v>135</v>
      </c>
      <c r="F325" t="s">
        <v>143</v>
      </c>
      <c r="G325" t="s">
        <v>835</v>
      </c>
      <c r="H325" t="s">
        <v>239</v>
      </c>
      <c r="I325" s="13">
        <v>40771</v>
      </c>
      <c r="J325">
        <v>12</v>
      </c>
      <c r="K325" t="s">
        <v>177</v>
      </c>
      <c r="L325" t="s">
        <v>139</v>
      </c>
      <c r="M325" t="s">
        <v>805</v>
      </c>
      <c r="N325" t="s">
        <v>846</v>
      </c>
      <c r="O325">
        <v>1</v>
      </c>
      <c r="P325">
        <v>12.07</v>
      </c>
    </row>
    <row r="326" spans="4:16" hidden="1" x14ac:dyDescent="0.25">
      <c r="D326" t="s">
        <v>847</v>
      </c>
      <c r="E326" t="s">
        <v>135</v>
      </c>
      <c r="F326" t="s">
        <v>379</v>
      </c>
      <c r="G326" t="s">
        <v>848</v>
      </c>
      <c r="H326" t="s">
        <v>239</v>
      </c>
      <c r="I326" s="13">
        <v>40773</v>
      </c>
      <c r="J326">
        <v>12</v>
      </c>
      <c r="K326" t="s">
        <v>177</v>
      </c>
      <c r="L326" t="s">
        <v>139</v>
      </c>
      <c r="M326" t="s">
        <v>647</v>
      </c>
      <c r="N326" t="s">
        <v>849</v>
      </c>
      <c r="O326">
        <v>1</v>
      </c>
      <c r="P326">
        <v>12.06</v>
      </c>
    </row>
    <row r="327" spans="4:16" hidden="1" x14ac:dyDescent="0.25">
      <c r="D327" t="s">
        <v>850</v>
      </c>
      <c r="E327" t="s">
        <v>135</v>
      </c>
      <c r="F327" t="s">
        <v>149</v>
      </c>
      <c r="G327" t="s">
        <v>150</v>
      </c>
      <c r="H327" t="s">
        <v>239</v>
      </c>
      <c r="I327" s="13">
        <v>40774</v>
      </c>
      <c r="J327">
        <v>12</v>
      </c>
      <c r="K327" t="s">
        <v>145</v>
      </c>
      <c r="L327" t="s">
        <v>139</v>
      </c>
      <c r="M327" t="s">
        <v>151</v>
      </c>
      <c r="N327" t="s">
        <v>851</v>
      </c>
      <c r="O327">
        <v>1</v>
      </c>
      <c r="P327">
        <v>12.06</v>
      </c>
    </row>
    <row r="328" spans="4:16" hidden="1" x14ac:dyDescent="0.25">
      <c r="D328" t="s">
        <v>850</v>
      </c>
      <c r="E328" t="s">
        <v>135</v>
      </c>
      <c r="F328" t="s">
        <v>149</v>
      </c>
      <c r="G328" t="s">
        <v>150</v>
      </c>
      <c r="H328" t="s">
        <v>239</v>
      </c>
      <c r="I328" s="13">
        <v>40774</v>
      </c>
      <c r="J328">
        <v>12</v>
      </c>
      <c r="K328" t="s">
        <v>145</v>
      </c>
      <c r="L328" t="s">
        <v>139</v>
      </c>
      <c r="M328" t="s">
        <v>151</v>
      </c>
      <c r="N328" t="s">
        <v>851</v>
      </c>
      <c r="O328">
        <v>1</v>
      </c>
      <c r="P328">
        <v>12.06</v>
      </c>
    </row>
    <row r="329" spans="4:16" hidden="1" x14ac:dyDescent="0.25">
      <c r="D329" t="s">
        <v>852</v>
      </c>
      <c r="E329" t="s">
        <v>135</v>
      </c>
      <c r="F329" t="s">
        <v>143</v>
      </c>
      <c r="G329" t="s">
        <v>611</v>
      </c>
      <c r="H329" t="s">
        <v>239</v>
      </c>
      <c r="I329" s="13">
        <v>40773</v>
      </c>
      <c r="J329">
        <v>12</v>
      </c>
      <c r="K329" t="s">
        <v>145</v>
      </c>
      <c r="L329" t="s">
        <v>139</v>
      </c>
      <c r="M329" t="s">
        <v>465</v>
      </c>
      <c r="N329" t="s">
        <v>853</v>
      </c>
      <c r="O329">
        <v>1</v>
      </c>
      <c r="P329">
        <v>12.06</v>
      </c>
    </row>
    <row r="330" spans="4:16" hidden="1" x14ac:dyDescent="0.25">
      <c r="D330" t="s">
        <v>854</v>
      </c>
      <c r="E330" t="s">
        <v>135</v>
      </c>
      <c r="F330" t="s">
        <v>379</v>
      </c>
      <c r="G330" t="s">
        <v>855</v>
      </c>
      <c r="H330" t="s">
        <v>239</v>
      </c>
      <c r="I330" s="13">
        <v>40772</v>
      </c>
      <c r="J330">
        <v>12</v>
      </c>
      <c r="K330" t="s">
        <v>145</v>
      </c>
      <c r="L330" t="s">
        <v>139</v>
      </c>
      <c r="M330" t="s">
        <v>856</v>
      </c>
      <c r="N330" t="s">
        <v>857</v>
      </c>
      <c r="O330">
        <v>1</v>
      </c>
      <c r="P330">
        <v>12.06</v>
      </c>
    </row>
    <row r="331" spans="4:16" hidden="1" x14ac:dyDescent="0.25">
      <c r="D331" t="s">
        <v>858</v>
      </c>
      <c r="E331" t="s">
        <v>135</v>
      </c>
      <c r="F331" t="s">
        <v>143</v>
      </c>
      <c r="G331" t="s">
        <v>611</v>
      </c>
      <c r="H331" t="s">
        <v>239</v>
      </c>
      <c r="I331" s="13">
        <v>40781</v>
      </c>
      <c r="J331">
        <v>12</v>
      </c>
      <c r="K331" t="s">
        <v>177</v>
      </c>
      <c r="L331" t="s">
        <v>164</v>
      </c>
      <c r="M331" t="s">
        <v>146</v>
      </c>
      <c r="N331" t="s">
        <v>859</v>
      </c>
      <c r="O331">
        <v>1</v>
      </c>
      <c r="P331">
        <v>12.04</v>
      </c>
    </row>
    <row r="332" spans="4:16" hidden="1" x14ac:dyDescent="0.25">
      <c r="D332" t="s">
        <v>860</v>
      </c>
      <c r="E332" t="s">
        <v>135</v>
      </c>
      <c r="F332" t="s">
        <v>149</v>
      </c>
      <c r="G332" t="s">
        <v>150</v>
      </c>
      <c r="H332" t="s">
        <v>239</v>
      </c>
      <c r="I332" s="13">
        <v>40781</v>
      </c>
      <c r="J332">
        <v>12</v>
      </c>
      <c r="K332" t="s">
        <v>177</v>
      </c>
      <c r="L332" t="s">
        <v>139</v>
      </c>
      <c r="M332" t="s">
        <v>165</v>
      </c>
      <c r="N332" t="s">
        <v>861</v>
      </c>
      <c r="O332">
        <v>1</v>
      </c>
      <c r="P332">
        <v>12.04</v>
      </c>
    </row>
    <row r="333" spans="4:16" hidden="1" x14ac:dyDescent="0.25">
      <c r="D333" t="s">
        <v>862</v>
      </c>
      <c r="E333" t="s">
        <v>135</v>
      </c>
      <c r="F333" t="s">
        <v>181</v>
      </c>
      <c r="G333" t="s">
        <v>181</v>
      </c>
      <c r="H333" t="s">
        <v>239</v>
      </c>
      <c r="I333" s="13">
        <v>40786</v>
      </c>
      <c r="J333">
        <v>12</v>
      </c>
      <c r="K333" t="s">
        <v>145</v>
      </c>
      <c r="L333" t="s">
        <v>139</v>
      </c>
      <c r="M333" t="s">
        <v>140</v>
      </c>
      <c r="N333" t="s">
        <v>863</v>
      </c>
      <c r="O333">
        <v>1</v>
      </c>
      <c r="P333">
        <v>12.03</v>
      </c>
    </row>
    <row r="334" spans="4:16" hidden="1" x14ac:dyDescent="0.25">
      <c r="D334" t="s">
        <v>864</v>
      </c>
      <c r="E334" t="s">
        <v>135</v>
      </c>
      <c r="F334" t="s">
        <v>149</v>
      </c>
      <c r="G334" t="s">
        <v>163</v>
      </c>
      <c r="H334" t="s">
        <v>239</v>
      </c>
      <c r="I334" s="13">
        <v>40793</v>
      </c>
      <c r="J334">
        <v>12</v>
      </c>
      <c r="K334" t="s">
        <v>177</v>
      </c>
      <c r="L334" t="s">
        <v>139</v>
      </c>
      <c r="M334" t="s">
        <v>178</v>
      </c>
      <c r="N334" t="s">
        <v>865</v>
      </c>
      <c r="O334">
        <v>1</v>
      </c>
      <c r="P334">
        <v>12.01</v>
      </c>
    </row>
    <row r="335" spans="4:16" hidden="1" x14ac:dyDescent="0.25">
      <c r="D335" t="s">
        <v>864</v>
      </c>
      <c r="E335" t="s">
        <v>135</v>
      </c>
      <c r="F335" t="s">
        <v>149</v>
      </c>
      <c r="G335" t="s">
        <v>163</v>
      </c>
      <c r="H335" t="s">
        <v>239</v>
      </c>
      <c r="I335" s="13">
        <v>40793</v>
      </c>
      <c r="J335">
        <v>12</v>
      </c>
      <c r="K335" t="s">
        <v>177</v>
      </c>
      <c r="L335" t="s">
        <v>139</v>
      </c>
      <c r="M335" t="s">
        <v>178</v>
      </c>
      <c r="N335" t="s">
        <v>865</v>
      </c>
      <c r="O335">
        <v>1</v>
      </c>
      <c r="P335">
        <v>12.01</v>
      </c>
    </row>
    <row r="336" spans="4:16" hidden="1" x14ac:dyDescent="0.25">
      <c r="D336" t="s">
        <v>866</v>
      </c>
      <c r="E336" t="s">
        <v>135</v>
      </c>
      <c r="F336" t="s">
        <v>149</v>
      </c>
      <c r="G336" t="s">
        <v>150</v>
      </c>
      <c r="H336" t="s">
        <v>239</v>
      </c>
      <c r="I336" s="13">
        <v>40800</v>
      </c>
      <c r="J336">
        <v>12</v>
      </c>
      <c r="K336" t="s">
        <v>177</v>
      </c>
      <c r="L336" t="s">
        <v>139</v>
      </c>
      <c r="M336" t="s">
        <v>154</v>
      </c>
      <c r="N336" t="s">
        <v>867</v>
      </c>
      <c r="O336">
        <v>1</v>
      </c>
      <c r="P336">
        <v>11.99</v>
      </c>
    </row>
    <row r="337" spans="4:16" hidden="1" x14ac:dyDescent="0.25">
      <c r="D337" t="s">
        <v>868</v>
      </c>
      <c r="E337" t="s">
        <v>135</v>
      </c>
      <c r="F337" t="s">
        <v>149</v>
      </c>
      <c r="G337" t="s">
        <v>688</v>
      </c>
      <c r="H337" t="s">
        <v>239</v>
      </c>
      <c r="I337" s="13">
        <v>40837</v>
      </c>
      <c r="J337">
        <v>12</v>
      </c>
      <c r="K337" t="s">
        <v>177</v>
      </c>
      <c r="L337" t="s">
        <v>139</v>
      </c>
      <c r="M337" t="s">
        <v>186</v>
      </c>
      <c r="N337" t="s">
        <v>869</v>
      </c>
      <c r="O337">
        <v>1</v>
      </c>
      <c r="P337">
        <v>11.89</v>
      </c>
    </row>
    <row r="338" spans="4:16" hidden="1" x14ac:dyDescent="0.25">
      <c r="D338" t="s">
        <v>870</v>
      </c>
      <c r="E338" t="s">
        <v>135</v>
      </c>
      <c r="F338" t="s">
        <v>149</v>
      </c>
      <c r="G338" t="s">
        <v>688</v>
      </c>
      <c r="H338" t="s">
        <v>239</v>
      </c>
      <c r="I338" s="13">
        <v>40837</v>
      </c>
      <c r="J338">
        <v>12</v>
      </c>
      <c r="K338" t="s">
        <v>177</v>
      </c>
      <c r="L338" t="s">
        <v>139</v>
      </c>
      <c r="M338" t="s">
        <v>186</v>
      </c>
      <c r="N338" t="s">
        <v>871</v>
      </c>
      <c r="O338">
        <v>1</v>
      </c>
      <c r="P338">
        <v>11.89</v>
      </c>
    </row>
    <row r="339" spans="4:16" hidden="1" x14ac:dyDescent="0.25">
      <c r="D339" t="s">
        <v>872</v>
      </c>
      <c r="E339" t="s">
        <v>135</v>
      </c>
      <c r="F339" t="s">
        <v>225</v>
      </c>
      <c r="G339" t="s">
        <v>873</v>
      </c>
      <c r="H339" t="s">
        <v>239</v>
      </c>
      <c r="I339" s="13">
        <v>40840</v>
      </c>
      <c r="J339">
        <v>12</v>
      </c>
      <c r="K339" t="s">
        <v>177</v>
      </c>
      <c r="L339" t="s">
        <v>139</v>
      </c>
      <c r="M339" t="s">
        <v>268</v>
      </c>
      <c r="N339" t="s">
        <v>874</v>
      </c>
      <c r="O339">
        <v>1</v>
      </c>
      <c r="P339">
        <v>11.88</v>
      </c>
    </row>
    <row r="340" spans="4:16" hidden="1" x14ac:dyDescent="0.25">
      <c r="D340" t="s">
        <v>875</v>
      </c>
      <c r="E340" t="s">
        <v>135</v>
      </c>
      <c r="F340" t="s">
        <v>149</v>
      </c>
      <c r="G340" t="s">
        <v>703</v>
      </c>
      <c r="H340" t="s">
        <v>239</v>
      </c>
      <c r="I340" s="13">
        <v>40898</v>
      </c>
      <c r="J340">
        <v>12</v>
      </c>
      <c r="K340" t="s">
        <v>177</v>
      </c>
      <c r="L340" t="s">
        <v>139</v>
      </c>
      <c r="M340" t="s">
        <v>647</v>
      </c>
      <c r="N340" t="s">
        <v>876</v>
      </c>
      <c r="O340">
        <v>1</v>
      </c>
      <c r="P340">
        <v>11.72</v>
      </c>
    </row>
    <row r="341" spans="4:16" hidden="1" x14ac:dyDescent="0.25">
      <c r="D341" t="s">
        <v>877</v>
      </c>
      <c r="E341" t="s">
        <v>135</v>
      </c>
      <c r="F341" t="s">
        <v>225</v>
      </c>
      <c r="G341" t="s">
        <v>873</v>
      </c>
      <c r="H341" t="s">
        <v>239</v>
      </c>
      <c r="I341" s="13">
        <v>40911</v>
      </c>
      <c r="J341">
        <v>12</v>
      </c>
      <c r="K341" t="s">
        <v>177</v>
      </c>
      <c r="L341" t="s">
        <v>139</v>
      </c>
      <c r="M341" t="s">
        <v>268</v>
      </c>
      <c r="N341" t="s">
        <v>878</v>
      </c>
      <c r="O341">
        <v>1</v>
      </c>
      <c r="P341">
        <v>11.68</v>
      </c>
    </row>
    <row r="342" spans="4:16" hidden="1" x14ac:dyDescent="0.25">
      <c r="D342" t="s">
        <v>879</v>
      </c>
      <c r="E342" t="s">
        <v>135</v>
      </c>
      <c r="F342" t="s">
        <v>143</v>
      </c>
      <c r="G342" t="s">
        <v>144</v>
      </c>
      <c r="H342" t="s">
        <v>239</v>
      </c>
      <c r="I342" s="13">
        <v>40912</v>
      </c>
      <c r="J342">
        <v>12</v>
      </c>
      <c r="K342" t="s">
        <v>177</v>
      </c>
      <c r="L342" t="s">
        <v>139</v>
      </c>
      <c r="M342" t="s">
        <v>669</v>
      </c>
      <c r="N342" t="s">
        <v>880</v>
      </c>
      <c r="O342">
        <v>1</v>
      </c>
      <c r="P342">
        <v>11.68</v>
      </c>
    </row>
    <row r="343" spans="4:16" hidden="1" x14ac:dyDescent="0.25">
      <c r="D343" t="s">
        <v>881</v>
      </c>
      <c r="E343" t="s">
        <v>135</v>
      </c>
      <c r="F343" t="s">
        <v>181</v>
      </c>
      <c r="G343" t="s">
        <v>882</v>
      </c>
      <c r="H343" t="s">
        <v>239</v>
      </c>
      <c r="I343" s="13">
        <v>40919</v>
      </c>
      <c r="J343">
        <v>12</v>
      </c>
      <c r="K343" t="s">
        <v>177</v>
      </c>
      <c r="L343" t="s">
        <v>139</v>
      </c>
      <c r="M343" t="s">
        <v>146</v>
      </c>
      <c r="N343" t="s">
        <v>883</v>
      </c>
      <c r="O343">
        <v>1</v>
      </c>
      <c r="P343">
        <v>11.66</v>
      </c>
    </row>
    <row r="344" spans="4:16" hidden="1" x14ac:dyDescent="0.25">
      <c r="D344" t="s">
        <v>884</v>
      </c>
      <c r="E344" t="s">
        <v>135</v>
      </c>
      <c r="F344" t="s">
        <v>149</v>
      </c>
      <c r="G344" t="s">
        <v>150</v>
      </c>
      <c r="H344" t="s">
        <v>239</v>
      </c>
      <c r="I344" s="13">
        <v>40935</v>
      </c>
      <c r="J344">
        <v>12</v>
      </c>
      <c r="K344" t="s">
        <v>177</v>
      </c>
      <c r="L344" t="s">
        <v>139</v>
      </c>
      <c r="M344" t="s">
        <v>669</v>
      </c>
      <c r="N344" t="s">
        <v>885</v>
      </c>
      <c r="O344">
        <v>1</v>
      </c>
      <c r="P344">
        <v>11.62</v>
      </c>
    </row>
    <row r="345" spans="4:16" hidden="1" x14ac:dyDescent="0.25">
      <c r="D345" t="s">
        <v>886</v>
      </c>
      <c r="E345" t="s">
        <v>135</v>
      </c>
      <c r="F345" t="s">
        <v>149</v>
      </c>
      <c r="G345" t="s">
        <v>150</v>
      </c>
      <c r="H345" t="s">
        <v>239</v>
      </c>
      <c r="I345" s="13">
        <v>40939</v>
      </c>
      <c r="J345">
        <v>12</v>
      </c>
      <c r="K345" t="s">
        <v>177</v>
      </c>
      <c r="L345" t="s">
        <v>139</v>
      </c>
      <c r="M345" t="s">
        <v>284</v>
      </c>
      <c r="N345" t="s">
        <v>887</v>
      </c>
      <c r="O345">
        <v>1</v>
      </c>
      <c r="P345">
        <v>11.61</v>
      </c>
    </row>
    <row r="346" spans="4:16" hidden="1" x14ac:dyDescent="0.25">
      <c r="D346" t="s">
        <v>888</v>
      </c>
      <c r="E346" t="s">
        <v>135</v>
      </c>
      <c r="F346" t="s">
        <v>181</v>
      </c>
      <c r="G346" t="s">
        <v>795</v>
      </c>
      <c r="H346" t="s">
        <v>239</v>
      </c>
      <c r="I346" s="13">
        <v>40967</v>
      </c>
      <c r="J346">
        <v>12</v>
      </c>
      <c r="K346" t="s">
        <v>145</v>
      </c>
      <c r="L346" t="s">
        <v>139</v>
      </c>
      <c r="M346" t="s">
        <v>196</v>
      </c>
      <c r="N346" t="s">
        <v>889</v>
      </c>
      <c r="O346">
        <v>1</v>
      </c>
      <c r="P346">
        <v>11.53</v>
      </c>
    </row>
    <row r="347" spans="4:16" hidden="1" x14ac:dyDescent="0.25">
      <c r="D347" t="s">
        <v>890</v>
      </c>
      <c r="E347" t="s">
        <v>135</v>
      </c>
      <c r="F347" t="s">
        <v>149</v>
      </c>
      <c r="G347" t="s">
        <v>150</v>
      </c>
      <c r="H347" t="s">
        <v>239</v>
      </c>
      <c r="I347" s="13">
        <v>40969</v>
      </c>
      <c r="J347">
        <v>12</v>
      </c>
      <c r="K347" t="s">
        <v>145</v>
      </c>
      <c r="L347" t="s">
        <v>139</v>
      </c>
      <c r="M347" t="s">
        <v>372</v>
      </c>
      <c r="N347" t="s">
        <v>891</v>
      </c>
      <c r="O347">
        <v>1</v>
      </c>
      <c r="P347">
        <v>11.52</v>
      </c>
    </row>
    <row r="348" spans="4:16" hidden="1" x14ac:dyDescent="0.25">
      <c r="D348" t="s">
        <v>892</v>
      </c>
      <c r="E348" t="s">
        <v>135</v>
      </c>
      <c r="F348" t="s">
        <v>143</v>
      </c>
      <c r="G348" t="s">
        <v>893</v>
      </c>
      <c r="H348" t="s">
        <v>239</v>
      </c>
      <c r="I348" s="13">
        <v>41052</v>
      </c>
      <c r="J348">
        <v>11</v>
      </c>
      <c r="K348" t="s">
        <v>177</v>
      </c>
      <c r="L348" t="s">
        <v>139</v>
      </c>
      <c r="M348" t="s">
        <v>154</v>
      </c>
      <c r="N348" t="s">
        <v>894</v>
      </c>
      <c r="O348">
        <v>1</v>
      </c>
      <c r="P348">
        <v>11.3</v>
      </c>
    </row>
    <row r="349" spans="4:16" hidden="1" x14ac:dyDescent="0.25">
      <c r="D349" t="s">
        <v>895</v>
      </c>
      <c r="E349" t="s">
        <v>135</v>
      </c>
      <c r="F349" t="s">
        <v>379</v>
      </c>
      <c r="G349" t="s">
        <v>848</v>
      </c>
      <c r="H349" t="s">
        <v>239</v>
      </c>
      <c r="I349" s="13">
        <v>41066</v>
      </c>
      <c r="J349">
        <v>11</v>
      </c>
      <c r="K349" t="s">
        <v>177</v>
      </c>
      <c r="L349" t="s">
        <v>139</v>
      </c>
      <c r="M349" t="s">
        <v>647</v>
      </c>
      <c r="N349" t="s">
        <v>896</v>
      </c>
      <c r="O349">
        <v>1</v>
      </c>
      <c r="P349">
        <v>11.26</v>
      </c>
    </row>
    <row r="350" spans="4:16" hidden="1" x14ac:dyDescent="0.25">
      <c r="D350" t="s">
        <v>897</v>
      </c>
      <c r="E350" t="s">
        <v>135</v>
      </c>
      <c r="F350" t="s">
        <v>379</v>
      </c>
      <c r="G350" t="s">
        <v>848</v>
      </c>
      <c r="H350" t="s">
        <v>239</v>
      </c>
      <c r="I350" s="13">
        <v>41066</v>
      </c>
      <c r="J350">
        <v>11</v>
      </c>
      <c r="K350" t="s">
        <v>177</v>
      </c>
      <c r="L350" t="s">
        <v>139</v>
      </c>
      <c r="M350" t="s">
        <v>647</v>
      </c>
      <c r="N350" t="s">
        <v>898</v>
      </c>
      <c r="O350">
        <v>1</v>
      </c>
      <c r="P350">
        <v>11.26</v>
      </c>
    </row>
    <row r="351" spans="4:16" hidden="1" x14ac:dyDescent="0.25">
      <c r="D351" t="s">
        <v>899</v>
      </c>
      <c r="E351" t="s">
        <v>135</v>
      </c>
      <c r="F351" t="s">
        <v>149</v>
      </c>
      <c r="G351" t="s">
        <v>150</v>
      </c>
      <c r="H351" t="s">
        <v>239</v>
      </c>
      <c r="I351" s="13">
        <v>41080</v>
      </c>
      <c r="J351">
        <v>11</v>
      </c>
      <c r="K351" t="s">
        <v>177</v>
      </c>
      <c r="L351" t="s">
        <v>139</v>
      </c>
      <c r="M351" t="s">
        <v>284</v>
      </c>
      <c r="N351" t="s">
        <v>900</v>
      </c>
      <c r="O351">
        <v>1</v>
      </c>
      <c r="P351">
        <v>11.22</v>
      </c>
    </row>
    <row r="352" spans="4:16" hidden="1" x14ac:dyDescent="0.25">
      <c r="D352" t="s">
        <v>901</v>
      </c>
      <c r="E352" t="s">
        <v>135</v>
      </c>
      <c r="F352" t="s">
        <v>149</v>
      </c>
      <c r="G352" t="s">
        <v>150</v>
      </c>
      <c r="H352" t="s">
        <v>239</v>
      </c>
      <c r="I352" s="13">
        <v>41117</v>
      </c>
      <c r="J352">
        <v>11</v>
      </c>
      <c r="K352" t="s">
        <v>177</v>
      </c>
      <c r="L352" t="s">
        <v>139</v>
      </c>
      <c r="M352" t="s">
        <v>355</v>
      </c>
      <c r="N352" t="s">
        <v>902</v>
      </c>
      <c r="O352">
        <v>1</v>
      </c>
      <c r="P352">
        <v>11.12</v>
      </c>
    </row>
    <row r="353" spans="4:16" hidden="1" x14ac:dyDescent="0.25">
      <c r="D353" t="s">
        <v>903</v>
      </c>
      <c r="E353" t="s">
        <v>135</v>
      </c>
      <c r="F353" t="s">
        <v>904</v>
      </c>
      <c r="G353" t="s">
        <v>905</v>
      </c>
      <c r="H353" t="s">
        <v>239</v>
      </c>
      <c r="I353" s="13">
        <v>41129</v>
      </c>
      <c r="J353">
        <v>11</v>
      </c>
      <c r="K353" t="s">
        <v>157</v>
      </c>
      <c r="L353" t="s">
        <v>906</v>
      </c>
      <c r="M353" t="s">
        <v>907</v>
      </c>
      <c r="N353" t="s">
        <v>908</v>
      </c>
      <c r="O353">
        <v>1</v>
      </c>
      <c r="P353">
        <v>11.09</v>
      </c>
    </row>
    <row r="354" spans="4:16" hidden="1" x14ac:dyDescent="0.25">
      <c r="D354" t="s">
        <v>903</v>
      </c>
      <c r="E354" t="s">
        <v>135</v>
      </c>
      <c r="F354" t="s">
        <v>143</v>
      </c>
      <c r="G354" t="s">
        <v>909</v>
      </c>
      <c r="H354" t="s">
        <v>239</v>
      </c>
      <c r="I354" s="13">
        <v>41129</v>
      </c>
      <c r="J354">
        <v>11</v>
      </c>
      <c r="K354" t="s">
        <v>145</v>
      </c>
      <c r="L354" t="s">
        <v>139</v>
      </c>
      <c r="M354" t="s">
        <v>907</v>
      </c>
      <c r="N354" t="s">
        <v>908</v>
      </c>
      <c r="O354">
        <v>1</v>
      </c>
      <c r="P354">
        <v>11.09</v>
      </c>
    </row>
    <row r="355" spans="4:16" hidden="1" x14ac:dyDescent="0.25">
      <c r="D355" t="s">
        <v>910</v>
      </c>
      <c r="E355" t="s">
        <v>135</v>
      </c>
      <c r="F355" t="s">
        <v>143</v>
      </c>
      <c r="G355" t="s">
        <v>909</v>
      </c>
      <c r="H355" t="s">
        <v>239</v>
      </c>
      <c r="I355" s="13">
        <v>41127</v>
      </c>
      <c r="J355">
        <v>11</v>
      </c>
      <c r="K355" t="s">
        <v>177</v>
      </c>
      <c r="L355" t="s">
        <v>139</v>
      </c>
      <c r="M355" t="s">
        <v>355</v>
      </c>
      <c r="N355" t="s">
        <v>911</v>
      </c>
      <c r="O355">
        <v>1</v>
      </c>
      <c r="P355">
        <v>11.09</v>
      </c>
    </row>
    <row r="356" spans="4:16" hidden="1" x14ac:dyDescent="0.25">
      <c r="D356" t="s">
        <v>912</v>
      </c>
      <c r="E356" t="s">
        <v>135</v>
      </c>
      <c r="F356" t="s">
        <v>136</v>
      </c>
      <c r="G356" t="s">
        <v>795</v>
      </c>
      <c r="H356" t="s">
        <v>239</v>
      </c>
      <c r="I356" s="13">
        <v>41131</v>
      </c>
      <c r="J356">
        <v>11</v>
      </c>
      <c r="K356" t="s">
        <v>145</v>
      </c>
      <c r="L356" t="s">
        <v>139</v>
      </c>
      <c r="M356" t="s">
        <v>913</v>
      </c>
      <c r="N356" t="s">
        <v>914</v>
      </c>
      <c r="O356">
        <v>1</v>
      </c>
      <c r="P356">
        <v>11.08</v>
      </c>
    </row>
    <row r="357" spans="4:16" hidden="1" x14ac:dyDescent="0.25">
      <c r="D357" t="s">
        <v>915</v>
      </c>
      <c r="E357" t="s">
        <v>135</v>
      </c>
      <c r="F357" t="s">
        <v>149</v>
      </c>
      <c r="G357" t="s">
        <v>150</v>
      </c>
      <c r="H357" t="s">
        <v>239</v>
      </c>
      <c r="I357" s="13">
        <v>41138</v>
      </c>
      <c r="J357">
        <v>11</v>
      </c>
      <c r="K357" t="s">
        <v>177</v>
      </c>
      <c r="L357" t="s">
        <v>139</v>
      </c>
      <c r="M357" t="s">
        <v>154</v>
      </c>
      <c r="N357" t="s">
        <v>916</v>
      </c>
      <c r="O357">
        <v>1</v>
      </c>
      <c r="P357">
        <v>11.06</v>
      </c>
    </row>
    <row r="358" spans="4:16" hidden="1" x14ac:dyDescent="0.25">
      <c r="D358" t="s">
        <v>917</v>
      </c>
      <c r="E358" t="s">
        <v>135</v>
      </c>
      <c r="F358" t="s">
        <v>181</v>
      </c>
      <c r="G358" t="s">
        <v>181</v>
      </c>
      <c r="H358" t="s">
        <v>239</v>
      </c>
      <c r="I358" s="13">
        <v>41141</v>
      </c>
      <c r="J358">
        <v>11</v>
      </c>
      <c r="K358" t="s">
        <v>177</v>
      </c>
      <c r="L358" t="s">
        <v>139</v>
      </c>
      <c r="M358" t="s">
        <v>391</v>
      </c>
      <c r="N358" t="s">
        <v>918</v>
      </c>
      <c r="O358">
        <v>1</v>
      </c>
      <c r="P358">
        <v>11.05</v>
      </c>
    </row>
    <row r="359" spans="4:16" hidden="1" x14ac:dyDescent="0.25">
      <c r="D359" t="s">
        <v>919</v>
      </c>
      <c r="E359" t="s">
        <v>135</v>
      </c>
      <c r="F359" t="s">
        <v>181</v>
      </c>
      <c r="G359" t="s">
        <v>181</v>
      </c>
      <c r="H359" t="s">
        <v>239</v>
      </c>
      <c r="I359" s="13">
        <v>41141</v>
      </c>
      <c r="J359">
        <v>11</v>
      </c>
      <c r="K359" t="s">
        <v>177</v>
      </c>
      <c r="L359" t="s">
        <v>139</v>
      </c>
      <c r="M359" t="s">
        <v>391</v>
      </c>
      <c r="N359" t="s">
        <v>920</v>
      </c>
      <c r="O359">
        <v>1</v>
      </c>
      <c r="P359">
        <v>11.05</v>
      </c>
    </row>
    <row r="360" spans="4:16" hidden="1" x14ac:dyDescent="0.25">
      <c r="D360" t="s">
        <v>921</v>
      </c>
      <c r="E360" t="s">
        <v>135</v>
      </c>
      <c r="F360" t="s">
        <v>181</v>
      </c>
      <c r="G360" t="s">
        <v>181</v>
      </c>
      <c r="H360" t="s">
        <v>239</v>
      </c>
      <c r="I360" s="13">
        <v>41141</v>
      </c>
      <c r="J360">
        <v>11</v>
      </c>
      <c r="K360" t="s">
        <v>177</v>
      </c>
      <c r="L360" t="s">
        <v>139</v>
      </c>
      <c r="M360" t="s">
        <v>391</v>
      </c>
      <c r="N360" t="s">
        <v>922</v>
      </c>
      <c r="O360">
        <v>1</v>
      </c>
      <c r="P360">
        <v>11.05</v>
      </c>
    </row>
    <row r="361" spans="4:16" hidden="1" x14ac:dyDescent="0.25">
      <c r="D361" t="s">
        <v>923</v>
      </c>
      <c r="E361" t="s">
        <v>135</v>
      </c>
      <c r="F361" t="s">
        <v>181</v>
      </c>
      <c r="G361" t="s">
        <v>181</v>
      </c>
      <c r="H361" t="s">
        <v>239</v>
      </c>
      <c r="I361" s="13">
        <v>41141</v>
      </c>
      <c r="J361">
        <v>11</v>
      </c>
      <c r="K361" t="s">
        <v>177</v>
      </c>
      <c r="L361" t="s">
        <v>139</v>
      </c>
      <c r="M361" t="s">
        <v>391</v>
      </c>
      <c r="N361" t="s">
        <v>924</v>
      </c>
      <c r="O361">
        <v>1</v>
      </c>
      <c r="P361">
        <v>11.05</v>
      </c>
    </row>
    <row r="362" spans="4:16" hidden="1" x14ac:dyDescent="0.25">
      <c r="D362" t="s">
        <v>925</v>
      </c>
      <c r="E362" t="s">
        <v>135</v>
      </c>
      <c r="F362" t="s">
        <v>149</v>
      </c>
      <c r="G362" t="s">
        <v>150</v>
      </c>
      <c r="H362" t="s">
        <v>239</v>
      </c>
      <c r="I362" s="13">
        <v>41145</v>
      </c>
      <c r="J362">
        <v>11</v>
      </c>
      <c r="K362" t="s">
        <v>177</v>
      </c>
      <c r="L362" t="s">
        <v>139</v>
      </c>
      <c r="M362" t="s">
        <v>386</v>
      </c>
      <c r="N362" t="s">
        <v>926</v>
      </c>
      <c r="O362">
        <v>1</v>
      </c>
      <c r="P362">
        <v>11.04</v>
      </c>
    </row>
    <row r="363" spans="4:16" hidden="1" x14ac:dyDescent="0.25">
      <c r="D363" t="s">
        <v>927</v>
      </c>
      <c r="E363" t="s">
        <v>135</v>
      </c>
      <c r="F363" t="s">
        <v>143</v>
      </c>
      <c r="G363" t="s">
        <v>909</v>
      </c>
      <c r="H363" t="s">
        <v>239</v>
      </c>
      <c r="I363" s="13">
        <v>41145</v>
      </c>
      <c r="J363">
        <v>11</v>
      </c>
      <c r="K363" t="s">
        <v>177</v>
      </c>
      <c r="L363" t="s">
        <v>139</v>
      </c>
      <c r="M363" t="s">
        <v>907</v>
      </c>
      <c r="N363" t="s">
        <v>928</v>
      </c>
      <c r="O363">
        <v>1</v>
      </c>
      <c r="P363">
        <v>11.04</v>
      </c>
    </row>
    <row r="364" spans="4:16" hidden="1" x14ac:dyDescent="0.25">
      <c r="D364" t="s">
        <v>929</v>
      </c>
      <c r="E364" t="s">
        <v>135</v>
      </c>
      <c r="F364" t="s">
        <v>149</v>
      </c>
      <c r="G364" t="s">
        <v>150</v>
      </c>
      <c r="H364" t="s">
        <v>239</v>
      </c>
      <c r="I364" s="13">
        <v>41145</v>
      </c>
      <c r="J364">
        <v>11</v>
      </c>
      <c r="K364" t="s">
        <v>177</v>
      </c>
      <c r="L364" t="s">
        <v>139</v>
      </c>
      <c r="M364" t="s">
        <v>386</v>
      </c>
      <c r="N364" t="s">
        <v>930</v>
      </c>
      <c r="O364">
        <v>1</v>
      </c>
      <c r="P364">
        <v>11.04</v>
      </c>
    </row>
    <row r="365" spans="4:16" hidden="1" x14ac:dyDescent="0.25">
      <c r="D365" t="s">
        <v>931</v>
      </c>
      <c r="E365" t="s">
        <v>135</v>
      </c>
      <c r="F365" t="s">
        <v>143</v>
      </c>
      <c r="G365" t="s">
        <v>909</v>
      </c>
      <c r="H365" t="s">
        <v>239</v>
      </c>
      <c r="I365" s="13">
        <v>41145</v>
      </c>
      <c r="J365">
        <v>11</v>
      </c>
      <c r="K365" t="s">
        <v>145</v>
      </c>
      <c r="L365" t="s">
        <v>139</v>
      </c>
      <c r="M365" t="s">
        <v>907</v>
      </c>
      <c r="N365" t="s">
        <v>932</v>
      </c>
      <c r="O365">
        <v>1</v>
      </c>
      <c r="P365">
        <v>11.04</v>
      </c>
    </row>
    <row r="366" spans="4:16" hidden="1" x14ac:dyDescent="0.25">
      <c r="D366" t="s">
        <v>933</v>
      </c>
      <c r="E366" t="s">
        <v>135</v>
      </c>
      <c r="F366" t="s">
        <v>143</v>
      </c>
      <c r="G366" t="s">
        <v>909</v>
      </c>
      <c r="H366" t="s">
        <v>239</v>
      </c>
      <c r="I366" s="13">
        <v>41145</v>
      </c>
      <c r="J366">
        <v>11</v>
      </c>
      <c r="K366" t="s">
        <v>177</v>
      </c>
      <c r="L366" t="s">
        <v>139</v>
      </c>
      <c r="M366" t="s">
        <v>154</v>
      </c>
      <c r="N366" t="s">
        <v>934</v>
      </c>
      <c r="O366">
        <v>1</v>
      </c>
      <c r="P366">
        <v>11.04</v>
      </c>
    </row>
    <row r="367" spans="4:16" hidden="1" x14ac:dyDescent="0.25">
      <c r="D367" t="s">
        <v>935</v>
      </c>
      <c r="E367" t="s">
        <v>135</v>
      </c>
      <c r="F367" t="s">
        <v>181</v>
      </c>
      <c r="G367" t="s">
        <v>795</v>
      </c>
      <c r="H367" t="s">
        <v>239</v>
      </c>
      <c r="I367" s="13">
        <v>41148</v>
      </c>
      <c r="J367">
        <v>11</v>
      </c>
      <c r="K367" t="s">
        <v>177</v>
      </c>
      <c r="L367" t="s">
        <v>139</v>
      </c>
      <c r="M367" t="s">
        <v>372</v>
      </c>
      <c r="N367" t="s">
        <v>936</v>
      </c>
      <c r="O367">
        <v>1</v>
      </c>
      <c r="P367">
        <v>11.03</v>
      </c>
    </row>
    <row r="368" spans="4:16" hidden="1" x14ac:dyDescent="0.25">
      <c r="D368" t="s">
        <v>937</v>
      </c>
      <c r="E368" t="s">
        <v>135</v>
      </c>
      <c r="F368" t="s">
        <v>143</v>
      </c>
      <c r="G368" t="s">
        <v>938</v>
      </c>
      <c r="H368" t="s">
        <v>239</v>
      </c>
      <c r="I368" s="13">
        <v>41162</v>
      </c>
      <c r="J368">
        <v>11</v>
      </c>
      <c r="K368" t="s">
        <v>145</v>
      </c>
      <c r="L368" t="s">
        <v>139</v>
      </c>
      <c r="M368" t="s">
        <v>596</v>
      </c>
      <c r="N368" t="s">
        <v>939</v>
      </c>
      <c r="O368">
        <v>1</v>
      </c>
      <c r="P368">
        <v>11</v>
      </c>
    </row>
    <row r="369" spans="4:16" hidden="1" x14ac:dyDescent="0.25">
      <c r="D369" t="s">
        <v>937</v>
      </c>
      <c r="E369" t="s">
        <v>135</v>
      </c>
      <c r="F369" t="s">
        <v>143</v>
      </c>
      <c r="G369" t="s">
        <v>938</v>
      </c>
      <c r="H369" t="s">
        <v>239</v>
      </c>
      <c r="I369" s="13">
        <v>41162</v>
      </c>
      <c r="J369">
        <v>11</v>
      </c>
      <c r="K369" t="s">
        <v>177</v>
      </c>
      <c r="L369" t="s">
        <v>139</v>
      </c>
      <c r="M369" t="s">
        <v>596</v>
      </c>
      <c r="N369" t="s">
        <v>939</v>
      </c>
      <c r="O369">
        <v>1</v>
      </c>
      <c r="P369">
        <v>11</v>
      </c>
    </row>
    <row r="370" spans="4:16" hidden="1" x14ac:dyDescent="0.25">
      <c r="D370" t="s">
        <v>940</v>
      </c>
      <c r="E370" t="s">
        <v>135</v>
      </c>
      <c r="F370" t="s">
        <v>143</v>
      </c>
      <c r="G370" t="s">
        <v>611</v>
      </c>
      <c r="H370" t="s">
        <v>239</v>
      </c>
      <c r="I370" s="13">
        <v>41178</v>
      </c>
      <c r="J370">
        <v>11</v>
      </c>
      <c r="K370" t="s">
        <v>145</v>
      </c>
      <c r="L370" t="s">
        <v>139</v>
      </c>
      <c r="M370" t="s">
        <v>907</v>
      </c>
      <c r="N370" t="s">
        <v>941</v>
      </c>
      <c r="O370">
        <v>1</v>
      </c>
      <c r="P370">
        <v>10.95</v>
      </c>
    </row>
    <row r="371" spans="4:16" hidden="1" x14ac:dyDescent="0.25">
      <c r="D371" t="s">
        <v>942</v>
      </c>
      <c r="E371" t="s">
        <v>135</v>
      </c>
      <c r="F371" t="s">
        <v>181</v>
      </c>
      <c r="G371" t="s">
        <v>795</v>
      </c>
      <c r="H371" t="s">
        <v>239</v>
      </c>
      <c r="I371" s="13">
        <v>41178</v>
      </c>
      <c r="J371">
        <v>11</v>
      </c>
      <c r="K371" t="s">
        <v>177</v>
      </c>
      <c r="L371" t="s">
        <v>139</v>
      </c>
      <c r="M371" t="s">
        <v>372</v>
      </c>
      <c r="N371" t="s">
        <v>943</v>
      </c>
      <c r="O371">
        <v>1</v>
      </c>
      <c r="P371">
        <v>10.95</v>
      </c>
    </row>
    <row r="372" spans="4:16" hidden="1" x14ac:dyDescent="0.25">
      <c r="D372" t="s">
        <v>944</v>
      </c>
      <c r="E372" t="s">
        <v>135</v>
      </c>
      <c r="F372" t="s">
        <v>379</v>
      </c>
      <c r="G372" t="s">
        <v>855</v>
      </c>
      <c r="H372" t="s">
        <v>239</v>
      </c>
      <c r="I372" s="13">
        <v>41190</v>
      </c>
      <c r="J372">
        <v>11</v>
      </c>
      <c r="K372" t="s">
        <v>145</v>
      </c>
      <c r="L372" t="s">
        <v>139</v>
      </c>
      <c r="M372" t="s">
        <v>945</v>
      </c>
      <c r="N372" t="s">
        <v>946</v>
      </c>
      <c r="O372">
        <v>1</v>
      </c>
      <c r="P372">
        <v>10.92</v>
      </c>
    </row>
    <row r="373" spans="4:16" hidden="1" x14ac:dyDescent="0.25">
      <c r="D373" t="s">
        <v>947</v>
      </c>
      <c r="E373" t="s">
        <v>135</v>
      </c>
      <c r="F373" t="s">
        <v>379</v>
      </c>
      <c r="G373" t="s">
        <v>855</v>
      </c>
      <c r="H373" t="s">
        <v>239</v>
      </c>
      <c r="I373" s="13">
        <v>41190</v>
      </c>
      <c r="J373">
        <v>11</v>
      </c>
      <c r="K373" t="s">
        <v>145</v>
      </c>
      <c r="L373" t="s">
        <v>139</v>
      </c>
      <c r="M373" t="s">
        <v>945</v>
      </c>
      <c r="N373" t="s">
        <v>948</v>
      </c>
      <c r="O373">
        <v>1</v>
      </c>
      <c r="P373">
        <v>10.92</v>
      </c>
    </row>
    <row r="374" spans="4:16" hidden="1" x14ac:dyDescent="0.25">
      <c r="D374" t="s">
        <v>949</v>
      </c>
      <c r="E374" t="s">
        <v>135</v>
      </c>
      <c r="F374" t="s">
        <v>143</v>
      </c>
      <c r="G374" t="s">
        <v>950</v>
      </c>
      <c r="H374" t="s">
        <v>239</v>
      </c>
      <c r="I374" s="13">
        <v>41199</v>
      </c>
      <c r="J374">
        <v>11</v>
      </c>
      <c r="K374" t="s">
        <v>177</v>
      </c>
      <c r="L374" t="s">
        <v>139</v>
      </c>
      <c r="M374" t="s">
        <v>421</v>
      </c>
      <c r="N374" t="s">
        <v>951</v>
      </c>
      <c r="O374">
        <v>1</v>
      </c>
      <c r="P374">
        <v>10.89</v>
      </c>
    </row>
    <row r="375" spans="4:16" hidden="1" x14ac:dyDescent="0.25">
      <c r="D375" t="s">
        <v>952</v>
      </c>
      <c r="E375" t="s">
        <v>135</v>
      </c>
      <c r="F375" t="s">
        <v>143</v>
      </c>
      <c r="G375" t="s">
        <v>938</v>
      </c>
      <c r="H375" t="s">
        <v>239</v>
      </c>
      <c r="I375" s="13">
        <v>41205</v>
      </c>
      <c r="J375">
        <v>11</v>
      </c>
      <c r="K375" t="s">
        <v>177</v>
      </c>
      <c r="L375" t="s">
        <v>139</v>
      </c>
      <c r="M375" t="s">
        <v>227</v>
      </c>
      <c r="N375" t="s">
        <v>953</v>
      </c>
      <c r="O375">
        <v>1</v>
      </c>
      <c r="P375">
        <v>10.88</v>
      </c>
    </row>
    <row r="376" spans="4:16" hidden="1" x14ac:dyDescent="0.25">
      <c r="D376" t="s">
        <v>954</v>
      </c>
      <c r="E376" t="s">
        <v>135</v>
      </c>
      <c r="F376" t="s">
        <v>136</v>
      </c>
      <c r="G376" t="s">
        <v>795</v>
      </c>
      <c r="H376" t="s">
        <v>239</v>
      </c>
      <c r="I376" s="13">
        <v>41221</v>
      </c>
      <c r="J376">
        <v>11</v>
      </c>
      <c r="K376" t="s">
        <v>177</v>
      </c>
      <c r="L376" t="s">
        <v>139</v>
      </c>
      <c r="M376" t="s">
        <v>490</v>
      </c>
      <c r="N376" t="s">
        <v>955</v>
      </c>
      <c r="O376">
        <v>1</v>
      </c>
      <c r="P376">
        <v>10.83</v>
      </c>
    </row>
    <row r="377" spans="4:16" hidden="1" x14ac:dyDescent="0.25">
      <c r="D377" t="s">
        <v>956</v>
      </c>
      <c r="E377" t="s">
        <v>135</v>
      </c>
      <c r="F377" t="s">
        <v>143</v>
      </c>
      <c r="G377" t="s">
        <v>611</v>
      </c>
      <c r="H377" t="s">
        <v>239</v>
      </c>
      <c r="I377" s="13">
        <v>41234</v>
      </c>
      <c r="J377">
        <v>11</v>
      </c>
      <c r="K377" t="s">
        <v>177</v>
      </c>
      <c r="L377" t="s">
        <v>139</v>
      </c>
      <c r="M377" t="s">
        <v>907</v>
      </c>
      <c r="N377" t="s">
        <v>957</v>
      </c>
      <c r="O377">
        <v>1</v>
      </c>
      <c r="P377">
        <v>10.8</v>
      </c>
    </row>
    <row r="378" spans="4:16" hidden="1" x14ac:dyDescent="0.25">
      <c r="D378" t="s">
        <v>958</v>
      </c>
      <c r="E378" t="s">
        <v>135</v>
      </c>
      <c r="F378" t="s">
        <v>143</v>
      </c>
      <c r="G378" t="s">
        <v>611</v>
      </c>
      <c r="H378" t="s">
        <v>239</v>
      </c>
      <c r="I378" s="13">
        <v>41234</v>
      </c>
      <c r="J378">
        <v>11</v>
      </c>
      <c r="K378" t="s">
        <v>177</v>
      </c>
      <c r="L378" t="s">
        <v>139</v>
      </c>
      <c r="M378" t="s">
        <v>154</v>
      </c>
      <c r="N378" t="s">
        <v>959</v>
      </c>
      <c r="O378">
        <v>1</v>
      </c>
      <c r="P378">
        <v>10.8</v>
      </c>
    </row>
    <row r="379" spans="4:16" hidden="1" x14ac:dyDescent="0.25">
      <c r="D379" t="s">
        <v>960</v>
      </c>
      <c r="E379" t="s">
        <v>135</v>
      </c>
      <c r="F379" t="s">
        <v>143</v>
      </c>
      <c r="G379" t="s">
        <v>611</v>
      </c>
      <c r="H379" t="s">
        <v>239</v>
      </c>
      <c r="I379" s="13">
        <v>41243</v>
      </c>
      <c r="J379">
        <v>11</v>
      </c>
      <c r="K379" t="s">
        <v>177</v>
      </c>
      <c r="L379" t="s">
        <v>139</v>
      </c>
      <c r="M379" t="s">
        <v>154</v>
      </c>
      <c r="N379" t="s">
        <v>961</v>
      </c>
      <c r="O379">
        <v>1</v>
      </c>
      <c r="P379">
        <v>10.77</v>
      </c>
    </row>
    <row r="380" spans="4:16" hidden="1" x14ac:dyDescent="0.25">
      <c r="D380" t="s">
        <v>962</v>
      </c>
      <c r="E380" t="s">
        <v>135</v>
      </c>
      <c r="F380" t="s">
        <v>149</v>
      </c>
      <c r="G380" t="s">
        <v>150</v>
      </c>
      <c r="H380" t="s">
        <v>239</v>
      </c>
      <c r="I380" s="13">
        <v>41278</v>
      </c>
      <c r="J380">
        <v>11</v>
      </c>
      <c r="K380" t="s">
        <v>145</v>
      </c>
      <c r="L380" t="s">
        <v>139</v>
      </c>
      <c r="M380" t="s">
        <v>509</v>
      </c>
      <c r="N380" t="s">
        <v>963</v>
      </c>
      <c r="O380">
        <v>1</v>
      </c>
      <c r="P380">
        <v>10.68</v>
      </c>
    </row>
    <row r="381" spans="4:16" hidden="1" x14ac:dyDescent="0.25">
      <c r="D381" t="s">
        <v>964</v>
      </c>
      <c r="E381" t="s">
        <v>135</v>
      </c>
      <c r="F381" t="s">
        <v>149</v>
      </c>
      <c r="G381" t="s">
        <v>150</v>
      </c>
      <c r="H381" t="s">
        <v>239</v>
      </c>
      <c r="I381" s="13">
        <v>41288</v>
      </c>
      <c r="J381">
        <v>11</v>
      </c>
      <c r="K381" t="s">
        <v>177</v>
      </c>
      <c r="L381" t="s">
        <v>139</v>
      </c>
      <c r="M381" t="s">
        <v>965</v>
      </c>
      <c r="N381" t="s">
        <v>966</v>
      </c>
      <c r="O381">
        <v>1</v>
      </c>
      <c r="P381">
        <v>10.65</v>
      </c>
    </row>
    <row r="382" spans="4:16" hidden="1" x14ac:dyDescent="0.25">
      <c r="D382" t="s">
        <v>967</v>
      </c>
      <c r="E382" t="s">
        <v>135</v>
      </c>
      <c r="F382" t="s">
        <v>181</v>
      </c>
      <c r="G382" t="s">
        <v>795</v>
      </c>
      <c r="H382" t="s">
        <v>239</v>
      </c>
      <c r="I382" s="13">
        <v>41334</v>
      </c>
      <c r="J382">
        <v>11</v>
      </c>
      <c r="K382" t="s">
        <v>177</v>
      </c>
      <c r="L382" t="s">
        <v>139</v>
      </c>
      <c r="M382" t="s">
        <v>372</v>
      </c>
      <c r="N382" t="s">
        <v>968</v>
      </c>
      <c r="O382">
        <v>1</v>
      </c>
      <c r="P382">
        <v>10.52</v>
      </c>
    </row>
    <row r="383" spans="4:16" hidden="1" x14ac:dyDescent="0.25">
      <c r="D383" t="s">
        <v>969</v>
      </c>
      <c r="E383" t="s">
        <v>135</v>
      </c>
      <c r="F383" t="s">
        <v>379</v>
      </c>
      <c r="G383" t="s">
        <v>380</v>
      </c>
      <c r="H383" t="s">
        <v>239</v>
      </c>
      <c r="I383" s="13">
        <v>41361</v>
      </c>
      <c r="J383">
        <v>10</v>
      </c>
      <c r="K383" t="s">
        <v>177</v>
      </c>
      <c r="L383" t="s">
        <v>139</v>
      </c>
      <c r="M383" t="s">
        <v>647</v>
      </c>
      <c r="N383" t="s">
        <v>970</v>
      </c>
      <c r="O383">
        <v>1</v>
      </c>
      <c r="P383">
        <v>10.45</v>
      </c>
    </row>
    <row r="384" spans="4:16" hidden="1" x14ac:dyDescent="0.25">
      <c r="D384" t="s">
        <v>971</v>
      </c>
      <c r="E384" t="s">
        <v>135</v>
      </c>
      <c r="F384" t="s">
        <v>379</v>
      </c>
      <c r="G384" t="s">
        <v>380</v>
      </c>
      <c r="H384" t="s">
        <v>239</v>
      </c>
      <c r="I384" s="13">
        <v>41361</v>
      </c>
      <c r="J384">
        <v>10</v>
      </c>
      <c r="K384" t="s">
        <v>177</v>
      </c>
      <c r="L384" t="s">
        <v>139</v>
      </c>
      <c r="M384" t="s">
        <v>647</v>
      </c>
      <c r="N384" t="s">
        <v>972</v>
      </c>
      <c r="O384">
        <v>1</v>
      </c>
      <c r="P384">
        <v>10.45</v>
      </c>
    </row>
    <row r="385" spans="4:16" hidden="1" x14ac:dyDescent="0.25">
      <c r="D385" t="s">
        <v>973</v>
      </c>
      <c r="E385" t="s">
        <v>135</v>
      </c>
      <c r="F385" t="s">
        <v>379</v>
      </c>
      <c r="G385" t="s">
        <v>380</v>
      </c>
      <c r="H385" t="s">
        <v>239</v>
      </c>
      <c r="I385" s="13">
        <v>41361</v>
      </c>
      <c r="J385">
        <v>10</v>
      </c>
      <c r="K385" t="s">
        <v>177</v>
      </c>
      <c r="L385" t="s">
        <v>139</v>
      </c>
      <c r="M385" t="s">
        <v>647</v>
      </c>
      <c r="N385" t="s">
        <v>974</v>
      </c>
      <c r="O385">
        <v>1</v>
      </c>
      <c r="P385">
        <v>10.45</v>
      </c>
    </row>
    <row r="386" spans="4:16" hidden="1" x14ac:dyDescent="0.25">
      <c r="D386" t="s">
        <v>975</v>
      </c>
      <c r="E386" t="s">
        <v>135</v>
      </c>
      <c r="F386" t="s">
        <v>379</v>
      </c>
      <c r="G386" t="s">
        <v>976</v>
      </c>
      <c r="H386" t="s">
        <v>239</v>
      </c>
      <c r="I386" s="13">
        <v>41369</v>
      </c>
      <c r="J386">
        <v>10</v>
      </c>
      <c r="K386" t="s">
        <v>157</v>
      </c>
      <c r="L386" t="s">
        <v>977</v>
      </c>
      <c r="M386" t="s">
        <v>268</v>
      </c>
      <c r="N386" t="s">
        <v>978</v>
      </c>
      <c r="O386">
        <v>1</v>
      </c>
      <c r="P386">
        <v>10.43</v>
      </c>
    </row>
    <row r="387" spans="4:16" hidden="1" x14ac:dyDescent="0.25">
      <c r="D387" t="s">
        <v>979</v>
      </c>
      <c r="E387" t="s">
        <v>135</v>
      </c>
      <c r="F387" t="s">
        <v>149</v>
      </c>
      <c r="G387" t="s">
        <v>150</v>
      </c>
      <c r="H387" t="s">
        <v>239</v>
      </c>
      <c r="I387" s="13">
        <v>41387</v>
      </c>
      <c r="J387">
        <v>10</v>
      </c>
      <c r="K387" t="s">
        <v>138</v>
      </c>
      <c r="L387" t="s">
        <v>139</v>
      </c>
      <c r="M387" t="s">
        <v>316</v>
      </c>
      <c r="N387" t="s">
        <v>980</v>
      </c>
      <c r="O387">
        <v>1</v>
      </c>
      <c r="P387">
        <v>10.38</v>
      </c>
    </row>
    <row r="388" spans="4:16" hidden="1" x14ac:dyDescent="0.25">
      <c r="D388" t="s">
        <v>981</v>
      </c>
      <c r="E388" t="s">
        <v>135</v>
      </c>
      <c r="F388" t="s">
        <v>181</v>
      </c>
      <c r="G388" t="s">
        <v>795</v>
      </c>
      <c r="H388" t="s">
        <v>239</v>
      </c>
      <c r="I388" s="13">
        <v>41389</v>
      </c>
      <c r="J388">
        <v>10</v>
      </c>
      <c r="K388" t="s">
        <v>145</v>
      </c>
      <c r="L388" t="s">
        <v>139</v>
      </c>
      <c r="M388" t="s">
        <v>982</v>
      </c>
      <c r="N388" t="s">
        <v>983</v>
      </c>
      <c r="O388">
        <v>1</v>
      </c>
      <c r="P388">
        <v>10.37</v>
      </c>
    </row>
    <row r="389" spans="4:16" hidden="1" x14ac:dyDescent="0.25">
      <c r="D389" t="s">
        <v>984</v>
      </c>
      <c r="E389" t="s">
        <v>135</v>
      </c>
      <c r="F389" t="s">
        <v>149</v>
      </c>
      <c r="G389" t="s">
        <v>150</v>
      </c>
      <c r="H389" t="s">
        <v>239</v>
      </c>
      <c r="I389" s="13">
        <v>41393</v>
      </c>
      <c r="J389">
        <v>10</v>
      </c>
      <c r="K389" t="s">
        <v>138</v>
      </c>
      <c r="L389" t="s">
        <v>139</v>
      </c>
      <c r="M389" t="s">
        <v>316</v>
      </c>
      <c r="N389" t="s">
        <v>985</v>
      </c>
      <c r="O389">
        <v>1</v>
      </c>
      <c r="P389">
        <v>10.36</v>
      </c>
    </row>
    <row r="390" spans="4:16" hidden="1" x14ac:dyDescent="0.25">
      <c r="D390" t="s">
        <v>986</v>
      </c>
      <c r="E390" t="s">
        <v>135</v>
      </c>
      <c r="F390" t="s">
        <v>143</v>
      </c>
      <c r="G390" t="s">
        <v>308</v>
      </c>
      <c r="H390" t="s">
        <v>239</v>
      </c>
      <c r="I390" s="13">
        <v>41393</v>
      </c>
      <c r="J390">
        <v>10</v>
      </c>
      <c r="K390" t="s">
        <v>177</v>
      </c>
      <c r="L390" t="s">
        <v>139</v>
      </c>
      <c r="M390" t="s">
        <v>264</v>
      </c>
      <c r="N390" t="s">
        <v>987</v>
      </c>
      <c r="O390">
        <v>1</v>
      </c>
      <c r="P390">
        <v>10.36</v>
      </c>
    </row>
    <row r="391" spans="4:16" hidden="1" x14ac:dyDescent="0.25">
      <c r="D391" t="s">
        <v>988</v>
      </c>
      <c r="E391" t="s">
        <v>135</v>
      </c>
      <c r="F391" t="s">
        <v>143</v>
      </c>
      <c r="G391" t="s">
        <v>989</v>
      </c>
      <c r="H391" t="s">
        <v>239</v>
      </c>
      <c r="I391" s="13">
        <v>41400</v>
      </c>
      <c r="J391">
        <v>10</v>
      </c>
      <c r="K391" t="s">
        <v>177</v>
      </c>
      <c r="L391" t="s">
        <v>139</v>
      </c>
      <c r="M391" t="s">
        <v>320</v>
      </c>
      <c r="N391" t="s">
        <v>990</v>
      </c>
      <c r="O391">
        <v>1</v>
      </c>
      <c r="P391">
        <v>10.34</v>
      </c>
    </row>
    <row r="392" spans="4:16" hidden="1" x14ac:dyDescent="0.25">
      <c r="D392" t="s">
        <v>991</v>
      </c>
      <c r="E392" t="s">
        <v>135</v>
      </c>
      <c r="F392" t="s">
        <v>143</v>
      </c>
      <c r="G392" t="s">
        <v>989</v>
      </c>
      <c r="H392" t="s">
        <v>239</v>
      </c>
      <c r="I392" s="13">
        <v>41400</v>
      </c>
      <c r="J392">
        <v>10</v>
      </c>
      <c r="K392" t="s">
        <v>177</v>
      </c>
      <c r="L392" t="s">
        <v>139</v>
      </c>
      <c r="M392" t="s">
        <v>264</v>
      </c>
      <c r="N392" t="s">
        <v>992</v>
      </c>
      <c r="O392">
        <v>1</v>
      </c>
      <c r="P392">
        <v>10.34</v>
      </c>
    </row>
    <row r="393" spans="4:16" hidden="1" x14ac:dyDescent="0.25">
      <c r="D393" t="s">
        <v>993</v>
      </c>
      <c r="E393" t="s">
        <v>135</v>
      </c>
      <c r="F393" t="s">
        <v>143</v>
      </c>
      <c r="G393" t="s">
        <v>989</v>
      </c>
      <c r="H393" t="s">
        <v>239</v>
      </c>
      <c r="I393" s="13">
        <v>41411</v>
      </c>
      <c r="J393">
        <v>10</v>
      </c>
      <c r="K393" t="s">
        <v>145</v>
      </c>
      <c r="L393" t="s">
        <v>139</v>
      </c>
      <c r="M393" t="s">
        <v>320</v>
      </c>
      <c r="N393" t="s">
        <v>994</v>
      </c>
      <c r="O393">
        <v>1</v>
      </c>
      <c r="P393">
        <v>10.31</v>
      </c>
    </row>
    <row r="394" spans="4:16" hidden="1" x14ac:dyDescent="0.25">
      <c r="D394" t="s">
        <v>995</v>
      </c>
      <c r="E394" t="s">
        <v>135</v>
      </c>
      <c r="F394" t="s">
        <v>181</v>
      </c>
      <c r="G394" t="s">
        <v>996</v>
      </c>
      <c r="H394" t="s">
        <v>239</v>
      </c>
      <c r="I394" s="13">
        <v>41418</v>
      </c>
      <c r="J394">
        <v>10</v>
      </c>
      <c r="K394" t="s">
        <v>177</v>
      </c>
      <c r="L394" t="s">
        <v>139</v>
      </c>
      <c r="M394" t="s">
        <v>146</v>
      </c>
      <c r="N394" t="s">
        <v>997</v>
      </c>
      <c r="O394">
        <v>1</v>
      </c>
      <c r="P394">
        <v>10.29</v>
      </c>
    </row>
    <row r="395" spans="4:16" hidden="1" x14ac:dyDescent="0.25">
      <c r="D395" t="s">
        <v>998</v>
      </c>
      <c r="E395" t="s">
        <v>135</v>
      </c>
      <c r="F395" t="s">
        <v>181</v>
      </c>
      <c r="G395" t="s">
        <v>795</v>
      </c>
      <c r="H395" t="s">
        <v>239</v>
      </c>
      <c r="I395" s="13">
        <v>41423</v>
      </c>
      <c r="J395">
        <v>10</v>
      </c>
      <c r="K395" t="s">
        <v>177</v>
      </c>
      <c r="L395" t="s">
        <v>139</v>
      </c>
      <c r="M395" t="s">
        <v>352</v>
      </c>
      <c r="N395" t="s">
        <v>999</v>
      </c>
      <c r="O395">
        <v>1</v>
      </c>
      <c r="P395">
        <v>10.28</v>
      </c>
    </row>
    <row r="396" spans="4:16" hidden="1" x14ac:dyDescent="0.25">
      <c r="D396" t="s">
        <v>1000</v>
      </c>
      <c r="E396" t="s">
        <v>135</v>
      </c>
      <c r="F396" t="s">
        <v>181</v>
      </c>
      <c r="G396" t="s">
        <v>795</v>
      </c>
      <c r="H396" t="s">
        <v>239</v>
      </c>
      <c r="I396" s="13">
        <v>41423</v>
      </c>
      <c r="J396">
        <v>10</v>
      </c>
      <c r="K396" t="s">
        <v>145</v>
      </c>
      <c r="L396" t="s">
        <v>139</v>
      </c>
      <c r="M396" t="s">
        <v>240</v>
      </c>
      <c r="N396" t="s">
        <v>1001</v>
      </c>
      <c r="O396">
        <v>1</v>
      </c>
      <c r="P396">
        <v>10.28</v>
      </c>
    </row>
    <row r="397" spans="4:16" hidden="1" x14ac:dyDescent="0.25">
      <c r="D397" t="s">
        <v>1002</v>
      </c>
      <c r="E397" t="s">
        <v>135</v>
      </c>
      <c r="F397" t="s">
        <v>181</v>
      </c>
      <c r="G397" t="s">
        <v>795</v>
      </c>
      <c r="H397" t="s">
        <v>239</v>
      </c>
      <c r="I397" s="13">
        <v>41423</v>
      </c>
      <c r="J397">
        <v>10</v>
      </c>
      <c r="K397" t="s">
        <v>177</v>
      </c>
      <c r="L397" t="s">
        <v>139</v>
      </c>
      <c r="M397" t="s">
        <v>240</v>
      </c>
      <c r="N397" t="s">
        <v>1003</v>
      </c>
      <c r="O397">
        <v>1</v>
      </c>
      <c r="P397">
        <v>10.28</v>
      </c>
    </row>
    <row r="398" spans="4:16" hidden="1" x14ac:dyDescent="0.25">
      <c r="D398" t="s">
        <v>1004</v>
      </c>
      <c r="E398" t="s">
        <v>135</v>
      </c>
      <c r="F398" t="s">
        <v>181</v>
      </c>
      <c r="G398" t="s">
        <v>795</v>
      </c>
      <c r="H398" t="s">
        <v>239</v>
      </c>
      <c r="I398" s="13">
        <v>41423</v>
      </c>
      <c r="J398">
        <v>10</v>
      </c>
      <c r="K398" t="s">
        <v>145</v>
      </c>
      <c r="L398" t="s">
        <v>139</v>
      </c>
      <c r="M398" t="s">
        <v>913</v>
      </c>
      <c r="N398" t="s">
        <v>1005</v>
      </c>
      <c r="O398">
        <v>1</v>
      </c>
      <c r="P398">
        <v>10.28</v>
      </c>
    </row>
    <row r="399" spans="4:16" hidden="1" x14ac:dyDescent="0.25">
      <c r="D399" t="s">
        <v>1006</v>
      </c>
      <c r="E399" t="s">
        <v>135</v>
      </c>
      <c r="F399" t="s">
        <v>181</v>
      </c>
      <c r="G399" t="s">
        <v>795</v>
      </c>
      <c r="H399" t="s">
        <v>239</v>
      </c>
      <c r="I399" s="13">
        <v>41423</v>
      </c>
      <c r="J399">
        <v>10</v>
      </c>
      <c r="K399" t="s">
        <v>177</v>
      </c>
      <c r="L399" t="s">
        <v>139</v>
      </c>
      <c r="M399" t="s">
        <v>352</v>
      </c>
      <c r="N399" t="s">
        <v>1007</v>
      </c>
      <c r="O399">
        <v>1</v>
      </c>
      <c r="P399">
        <v>10.28</v>
      </c>
    </row>
    <row r="400" spans="4:16" hidden="1" x14ac:dyDescent="0.25">
      <c r="D400" t="s">
        <v>1008</v>
      </c>
      <c r="E400" t="s">
        <v>135</v>
      </c>
      <c r="F400" t="s">
        <v>181</v>
      </c>
      <c r="G400" t="s">
        <v>795</v>
      </c>
      <c r="H400" t="s">
        <v>239</v>
      </c>
      <c r="I400" s="13">
        <v>41425</v>
      </c>
      <c r="J400">
        <v>10</v>
      </c>
      <c r="K400" t="s">
        <v>177</v>
      </c>
      <c r="L400" t="s">
        <v>139</v>
      </c>
      <c r="M400" t="s">
        <v>146</v>
      </c>
      <c r="N400" t="s">
        <v>1009</v>
      </c>
      <c r="O400">
        <v>1</v>
      </c>
      <c r="P400">
        <v>10.27</v>
      </c>
    </row>
    <row r="401" spans="4:16" hidden="1" x14ac:dyDescent="0.25">
      <c r="D401" t="s">
        <v>1010</v>
      </c>
      <c r="E401" t="s">
        <v>135</v>
      </c>
      <c r="F401" t="s">
        <v>181</v>
      </c>
      <c r="G401" t="s">
        <v>795</v>
      </c>
      <c r="H401" t="s">
        <v>239</v>
      </c>
      <c r="I401" s="13">
        <v>41425</v>
      </c>
      <c r="J401">
        <v>10</v>
      </c>
      <c r="K401" t="s">
        <v>177</v>
      </c>
      <c r="L401" t="s">
        <v>139</v>
      </c>
      <c r="M401" t="s">
        <v>240</v>
      </c>
      <c r="N401" t="s">
        <v>1011</v>
      </c>
      <c r="O401">
        <v>1</v>
      </c>
      <c r="P401">
        <v>10.27</v>
      </c>
    </row>
    <row r="402" spans="4:16" hidden="1" x14ac:dyDescent="0.25">
      <c r="D402" t="s">
        <v>1012</v>
      </c>
      <c r="E402" t="s">
        <v>135</v>
      </c>
      <c r="F402" t="s">
        <v>181</v>
      </c>
      <c r="G402" t="s">
        <v>795</v>
      </c>
      <c r="H402" t="s">
        <v>239</v>
      </c>
      <c r="I402" s="13">
        <v>41425</v>
      </c>
      <c r="J402">
        <v>10</v>
      </c>
      <c r="K402" t="s">
        <v>177</v>
      </c>
      <c r="L402" t="s">
        <v>139</v>
      </c>
      <c r="M402" t="s">
        <v>284</v>
      </c>
      <c r="N402" t="s">
        <v>1013</v>
      </c>
      <c r="O402">
        <v>1</v>
      </c>
      <c r="P402">
        <v>10.27</v>
      </c>
    </row>
    <row r="403" spans="4:16" hidden="1" x14ac:dyDescent="0.25">
      <c r="D403" t="s">
        <v>1014</v>
      </c>
      <c r="E403" t="s">
        <v>135</v>
      </c>
      <c r="F403" t="s">
        <v>181</v>
      </c>
      <c r="G403" t="s">
        <v>996</v>
      </c>
      <c r="H403" t="s">
        <v>239</v>
      </c>
      <c r="I403" s="13">
        <v>41425</v>
      </c>
      <c r="J403">
        <v>10</v>
      </c>
      <c r="K403" t="s">
        <v>177</v>
      </c>
      <c r="L403" t="s">
        <v>139</v>
      </c>
      <c r="M403" t="s">
        <v>146</v>
      </c>
      <c r="N403" t="s">
        <v>1015</v>
      </c>
      <c r="O403">
        <v>1</v>
      </c>
      <c r="P403">
        <v>10.27</v>
      </c>
    </row>
    <row r="404" spans="4:16" hidden="1" x14ac:dyDescent="0.25">
      <c r="D404" t="s">
        <v>1016</v>
      </c>
      <c r="E404" t="s">
        <v>135</v>
      </c>
      <c r="F404" t="s">
        <v>181</v>
      </c>
      <c r="G404" t="s">
        <v>795</v>
      </c>
      <c r="H404" t="s">
        <v>239</v>
      </c>
      <c r="I404" s="13">
        <v>41425</v>
      </c>
      <c r="J404">
        <v>10</v>
      </c>
      <c r="K404" t="s">
        <v>177</v>
      </c>
      <c r="L404" t="s">
        <v>139</v>
      </c>
      <c r="M404" t="s">
        <v>146</v>
      </c>
      <c r="N404" t="s">
        <v>1017</v>
      </c>
      <c r="O404">
        <v>1</v>
      </c>
      <c r="P404">
        <v>10.27</v>
      </c>
    </row>
    <row r="405" spans="4:16" hidden="1" x14ac:dyDescent="0.25">
      <c r="D405" t="s">
        <v>1018</v>
      </c>
      <c r="E405" t="s">
        <v>135</v>
      </c>
      <c r="F405" t="s">
        <v>136</v>
      </c>
      <c r="G405" t="s">
        <v>795</v>
      </c>
      <c r="H405" t="s">
        <v>239</v>
      </c>
      <c r="I405" s="13">
        <v>41437</v>
      </c>
      <c r="J405">
        <v>10</v>
      </c>
      <c r="K405" t="s">
        <v>177</v>
      </c>
      <c r="L405" t="s">
        <v>139</v>
      </c>
      <c r="M405" t="s">
        <v>490</v>
      </c>
      <c r="N405" t="s">
        <v>1019</v>
      </c>
      <c r="O405">
        <v>1</v>
      </c>
      <c r="P405">
        <v>10.24</v>
      </c>
    </row>
    <row r="406" spans="4:16" hidden="1" x14ac:dyDescent="0.25">
      <c r="D406" t="s">
        <v>1020</v>
      </c>
      <c r="E406" t="s">
        <v>135</v>
      </c>
      <c r="F406" t="s">
        <v>136</v>
      </c>
      <c r="G406" t="s">
        <v>795</v>
      </c>
      <c r="H406" t="s">
        <v>239</v>
      </c>
      <c r="I406" s="13">
        <v>41437</v>
      </c>
      <c r="J406">
        <v>10</v>
      </c>
      <c r="K406" t="s">
        <v>177</v>
      </c>
      <c r="L406" t="s">
        <v>139</v>
      </c>
      <c r="M406" t="s">
        <v>490</v>
      </c>
      <c r="N406" t="s">
        <v>1021</v>
      </c>
      <c r="O406">
        <v>1</v>
      </c>
      <c r="P406">
        <v>10.24</v>
      </c>
    </row>
    <row r="407" spans="4:16" hidden="1" x14ac:dyDescent="0.25">
      <c r="D407" t="s">
        <v>1022</v>
      </c>
      <c r="E407" t="s">
        <v>135</v>
      </c>
      <c r="F407" t="s">
        <v>149</v>
      </c>
      <c r="G407" t="s">
        <v>150</v>
      </c>
      <c r="H407" t="s">
        <v>239</v>
      </c>
      <c r="I407" s="13">
        <v>41458</v>
      </c>
      <c r="J407">
        <v>10</v>
      </c>
      <c r="K407" t="s">
        <v>177</v>
      </c>
      <c r="L407" t="s">
        <v>139</v>
      </c>
      <c r="M407" t="s">
        <v>856</v>
      </c>
      <c r="N407" t="s">
        <v>1023</v>
      </c>
      <c r="O407">
        <v>1</v>
      </c>
      <c r="P407">
        <v>10.18</v>
      </c>
    </row>
    <row r="408" spans="4:16" hidden="1" x14ac:dyDescent="0.25">
      <c r="D408" t="s">
        <v>1024</v>
      </c>
      <c r="E408" t="s">
        <v>135</v>
      </c>
      <c r="F408" t="s">
        <v>379</v>
      </c>
      <c r="G408" t="s">
        <v>782</v>
      </c>
      <c r="H408" t="s">
        <v>239</v>
      </c>
      <c r="I408" s="13">
        <v>41467</v>
      </c>
      <c r="J408">
        <v>10</v>
      </c>
      <c r="K408" t="s">
        <v>177</v>
      </c>
      <c r="L408" t="s">
        <v>164</v>
      </c>
      <c r="M408" t="s">
        <v>945</v>
      </c>
      <c r="N408" t="s">
        <v>1025</v>
      </c>
      <c r="O408">
        <v>1</v>
      </c>
      <c r="P408">
        <v>10.16</v>
      </c>
    </row>
    <row r="409" spans="4:16" hidden="1" x14ac:dyDescent="0.25">
      <c r="D409" t="s">
        <v>1026</v>
      </c>
      <c r="E409" t="s">
        <v>135</v>
      </c>
      <c r="F409" t="s">
        <v>379</v>
      </c>
      <c r="G409" t="s">
        <v>782</v>
      </c>
      <c r="H409" t="s">
        <v>239</v>
      </c>
      <c r="I409" s="13">
        <v>41467</v>
      </c>
      <c r="J409">
        <v>10</v>
      </c>
      <c r="K409" t="s">
        <v>157</v>
      </c>
      <c r="L409" t="s">
        <v>164</v>
      </c>
      <c r="M409" t="s">
        <v>1027</v>
      </c>
      <c r="N409" t="s">
        <v>1028</v>
      </c>
      <c r="O409">
        <v>1</v>
      </c>
      <c r="P409">
        <v>10.16</v>
      </c>
    </row>
    <row r="410" spans="4:16" hidden="1" x14ac:dyDescent="0.25">
      <c r="D410" t="s">
        <v>1029</v>
      </c>
      <c r="E410" t="s">
        <v>135</v>
      </c>
      <c r="F410" t="s">
        <v>379</v>
      </c>
      <c r="G410" t="s">
        <v>782</v>
      </c>
      <c r="H410" t="s">
        <v>239</v>
      </c>
      <c r="I410" s="13">
        <v>41467</v>
      </c>
      <c r="J410">
        <v>10</v>
      </c>
      <c r="K410" t="s">
        <v>177</v>
      </c>
      <c r="L410" t="s">
        <v>164</v>
      </c>
      <c r="M410" t="s">
        <v>945</v>
      </c>
      <c r="N410" t="s">
        <v>1030</v>
      </c>
      <c r="O410">
        <v>1</v>
      </c>
      <c r="P410">
        <v>10.16</v>
      </c>
    </row>
    <row r="411" spans="4:16" hidden="1" x14ac:dyDescent="0.25">
      <c r="D411" t="s">
        <v>1031</v>
      </c>
      <c r="E411" t="s">
        <v>135</v>
      </c>
      <c r="F411" t="s">
        <v>379</v>
      </c>
      <c r="G411" t="s">
        <v>782</v>
      </c>
      <c r="H411" t="s">
        <v>239</v>
      </c>
      <c r="I411" s="13">
        <v>41467</v>
      </c>
      <c r="J411">
        <v>10</v>
      </c>
      <c r="K411" t="s">
        <v>145</v>
      </c>
      <c r="L411" t="s">
        <v>139</v>
      </c>
      <c r="M411" t="s">
        <v>1027</v>
      </c>
      <c r="N411" t="s">
        <v>1032</v>
      </c>
      <c r="O411">
        <v>1</v>
      </c>
      <c r="P411">
        <v>10.16</v>
      </c>
    </row>
    <row r="412" spans="4:16" hidden="1" x14ac:dyDescent="0.25">
      <c r="D412" t="s">
        <v>1033</v>
      </c>
      <c r="E412" t="s">
        <v>135</v>
      </c>
      <c r="F412" t="s">
        <v>379</v>
      </c>
      <c r="G412" t="s">
        <v>782</v>
      </c>
      <c r="H412" t="s">
        <v>239</v>
      </c>
      <c r="I412" s="13">
        <v>41467</v>
      </c>
      <c r="J412">
        <v>10</v>
      </c>
      <c r="K412" t="s">
        <v>145</v>
      </c>
      <c r="L412" t="s">
        <v>139</v>
      </c>
      <c r="M412" t="s">
        <v>1034</v>
      </c>
      <c r="N412" t="s">
        <v>1035</v>
      </c>
      <c r="O412">
        <v>1</v>
      </c>
      <c r="P412">
        <v>10.16</v>
      </c>
    </row>
    <row r="413" spans="4:16" hidden="1" x14ac:dyDescent="0.25">
      <c r="D413" t="s">
        <v>1036</v>
      </c>
      <c r="E413" t="s">
        <v>135</v>
      </c>
      <c r="F413" t="s">
        <v>379</v>
      </c>
      <c r="G413" t="s">
        <v>782</v>
      </c>
      <c r="H413" t="s">
        <v>239</v>
      </c>
      <c r="I413" s="13">
        <v>41467</v>
      </c>
      <c r="J413">
        <v>10</v>
      </c>
      <c r="K413" t="s">
        <v>177</v>
      </c>
      <c r="L413" t="s">
        <v>139</v>
      </c>
      <c r="M413" t="s">
        <v>468</v>
      </c>
      <c r="N413" t="s">
        <v>1037</v>
      </c>
      <c r="O413">
        <v>1</v>
      </c>
      <c r="P413">
        <v>10.16</v>
      </c>
    </row>
    <row r="414" spans="4:16" hidden="1" x14ac:dyDescent="0.25">
      <c r="D414" t="s">
        <v>1038</v>
      </c>
      <c r="E414" t="s">
        <v>135</v>
      </c>
      <c r="F414" t="s">
        <v>379</v>
      </c>
      <c r="G414" t="s">
        <v>782</v>
      </c>
      <c r="H414" t="s">
        <v>239</v>
      </c>
      <c r="I414" s="13">
        <v>41470</v>
      </c>
      <c r="J414">
        <v>10</v>
      </c>
      <c r="K414" t="s">
        <v>177</v>
      </c>
      <c r="L414" t="s">
        <v>139</v>
      </c>
      <c r="M414" t="s">
        <v>268</v>
      </c>
      <c r="N414" t="s">
        <v>1039</v>
      </c>
      <c r="O414">
        <v>1</v>
      </c>
      <c r="P414">
        <v>10.15</v>
      </c>
    </row>
    <row r="415" spans="4:16" hidden="1" x14ac:dyDescent="0.25">
      <c r="D415" t="s">
        <v>1040</v>
      </c>
      <c r="E415" t="s">
        <v>135</v>
      </c>
      <c r="F415" t="s">
        <v>379</v>
      </c>
      <c r="G415" t="s">
        <v>1041</v>
      </c>
      <c r="H415" t="s">
        <v>239</v>
      </c>
      <c r="I415" s="13">
        <v>41470</v>
      </c>
      <c r="J415">
        <v>10</v>
      </c>
      <c r="K415" t="s">
        <v>145</v>
      </c>
      <c r="L415" t="s">
        <v>139</v>
      </c>
      <c r="M415" t="s">
        <v>555</v>
      </c>
      <c r="N415" t="s">
        <v>1042</v>
      </c>
      <c r="O415">
        <v>1</v>
      </c>
      <c r="P415">
        <v>10.15</v>
      </c>
    </row>
    <row r="416" spans="4:16" hidden="1" x14ac:dyDescent="0.25">
      <c r="D416" t="s">
        <v>1043</v>
      </c>
      <c r="E416" t="s">
        <v>135</v>
      </c>
      <c r="F416" t="s">
        <v>379</v>
      </c>
      <c r="G416" t="s">
        <v>782</v>
      </c>
      <c r="H416" t="s">
        <v>239</v>
      </c>
      <c r="I416" s="13">
        <v>41470</v>
      </c>
      <c r="J416">
        <v>10</v>
      </c>
      <c r="K416" t="s">
        <v>145</v>
      </c>
      <c r="L416" t="s">
        <v>139</v>
      </c>
      <c r="M416" t="s">
        <v>398</v>
      </c>
      <c r="N416" t="s">
        <v>1044</v>
      </c>
      <c r="O416">
        <v>1</v>
      </c>
      <c r="P416">
        <v>10.15</v>
      </c>
    </row>
    <row r="417" spans="4:16" hidden="1" x14ac:dyDescent="0.25">
      <c r="D417" t="s">
        <v>1045</v>
      </c>
      <c r="E417" t="s">
        <v>135</v>
      </c>
      <c r="F417" t="s">
        <v>379</v>
      </c>
      <c r="G417" t="s">
        <v>782</v>
      </c>
      <c r="H417" t="s">
        <v>239</v>
      </c>
      <c r="I417" s="13">
        <v>41470</v>
      </c>
      <c r="J417">
        <v>10</v>
      </c>
      <c r="K417" t="s">
        <v>145</v>
      </c>
      <c r="L417" t="s">
        <v>139</v>
      </c>
      <c r="M417" t="s">
        <v>268</v>
      </c>
      <c r="N417" t="s">
        <v>1046</v>
      </c>
      <c r="O417">
        <v>1</v>
      </c>
      <c r="P417">
        <v>10.15</v>
      </c>
    </row>
    <row r="418" spans="4:16" hidden="1" x14ac:dyDescent="0.25">
      <c r="D418" t="s">
        <v>1045</v>
      </c>
      <c r="E418" t="s">
        <v>135</v>
      </c>
      <c r="F418" t="s">
        <v>379</v>
      </c>
      <c r="G418" t="s">
        <v>782</v>
      </c>
      <c r="H418" t="s">
        <v>239</v>
      </c>
      <c r="I418" s="13">
        <v>41470</v>
      </c>
      <c r="J418">
        <v>10</v>
      </c>
      <c r="K418" t="s">
        <v>138</v>
      </c>
      <c r="L418" t="s">
        <v>139</v>
      </c>
      <c r="M418" t="s">
        <v>268</v>
      </c>
      <c r="N418" t="s">
        <v>1046</v>
      </c>
      <c r="O418">
        <v>1</v>
      </c>
      <c r="P418">
        <v>10.15</v>
      </c>
    </row>
    <row r="419" spans="4:16" hidden="1" x14ac:dyDescent="0.25">
      <c r="D419" t="s">
        <v>1047</v>
      </c>
      <c r="E419" t="s">
        <v>135</v>
      </c>
      <c r="F419" t="s">
        <v>143</v>
      </c>
      <c r="G419" t="s">
        <v>989</v>
      </c>
      <c r="H419" t="s">
        <v>239</v>
      </c>
      <c r="I419" s="13">
        <v>41484</v>
      </c>
      <c r="J419">
        <v>10</v>
      </c>
      <c r="K419" t="s">
        <v>177</v>
      </c>
      <c r="L419" t="s">
        <v>139</v>
      </c>
      <c r="M419" t="s">
        <v>320</v>
      </c>
      <c r="N419" t="s">
        <v>1048</v>
      </c>
      <c r="O419">
        <v>1</v>
      </c>
      <c r="P419">
        <v>10.11</v>
      </c>
    </row>
    <row r="420" spans="4:16" hidden="1" x14ac:dyDescent="0.25">
      <c r="D420" t="s">
        <v>1049</v>
      </c>
      <c r="E420" t="s">
        <v>135</v>
      </c>
      <c r="F420" t="s">
        <v>143</v>
      </c>
      <c r="G420" t="s">
        <v>267</v>
      </c>
      <c r="H420" t="s">
        <v>239</v>
      </c>
      <c r="I420" s="13">
        <v>41486</v>
      </c>
      <c r="J420">
        <v>10</v>
      </c>
      <c r="K420" t="s">
        <v>177</v>
      </c>
      <c r="L420" t="s">
        <v>139</v>
      </c>
      <c r="M420" t="s">
        <v>264</v>
      </c>
      <c r="N420" t="s">
        <v>1050</v>
      </c>
      <c r="O420">
        <v>1</v>
      </c>
      <c r="P420">
        <v>10.11</v>
      </c>
    </row>
    <row r="421" spans="4:16" hidden="1" x14ac:dyDescent="0.25">
      <c r="D421" t="s">
        <v>1051</v>
      </c>
      <c r="E421" t="s">
        <v>135</v>
      </c>
      <c r="F421" t="s">
        <v>143</v>
      </c>
      <c r="G421" t="s">
        <v>143</v>
      </c>
      <c r="H421" t="s">
        <v>239</v>
      </c>
      <c r="I421" s="13">
        <v>41486</v>
      </c>
      <c r="J421">
        <v>10</v>
      </c>
      <c r="K421" t="s">
        <v>177</v>
      </c>
      <c r="L421" t="s">
        <v>139</v>
      </c>
      <c r="M421" t="s">
        <v>200</v>
      </c>
      <c r="N421" t="s">
        <v>1052</v>
      </c>
      <c r="O421">
        <v>1</v>
      </c>
      <c r="P421">
        <v>10.11</v>
      </c>
    </row>
    <row r="422" spans="4:16" hidden="1" x14ac:dyDescent="0.25">
      <c r="D422" t="s">
        <v>1053</v>
      </c>
      <c r="E422" t="s">
        <v>135</v>
      </c>
      <c r="F422" t="s">
        <v>143</v>
      </c>
      <c r="G422" t="s">
        <v>1054</v>
      </c>
      <c r="H422" t="s">
        <v>239</v>
      </c>
      <c r="I422" s="13">
        <v>41486</v>
      </c>
      <c r="J422">
        <v>10</v>
      </c>
      <c r="K422" t="s">
        <v>177</v>
      </c>
      <c r="L422" t="s">
        <v>139</v>
      </c>
      <c r="M422" t="s">
        <v>264</v>
      </c>
      <c r="N422" t="s">
        <v>1055</v>
      </c>
      <c r="O422">
        <v>1</v>
      </c>
      <c r="P422">
        <v>10.11</v>
      </c>
    </row>
    <row r="423" spans="4:16" hidden="1" x14ac:dyDescent="0.25">
      <c r="D423" t="s">
        <v>1056</v>
      </c>
      <c r="E423" t="s">
        <v>135</v>
      </c>
      <c r="F423" t="s">
        <v>143</v>
      </c>
      <c r="G423" t="s">
        <v>989</v>
      </c>
      <c r="H423" t="s">
        <v>239</v>
      </c>
      <c r="I423" s="13">
        <v>41486</v>
      </c>
      <c r="J423">
        <v>10</v>
      </c>
      <c r="K423" t="s">
        <v>177</v>
      </c>
      <c r="L423" t="s">
        <v>139</v>
      </c>
      <c r="M423" t="s">
        <v>264</v>
      </c>
      <c r="N423" t="s">
        <v>1057</v>
      </c>
      <c r="O423">
        <v>1</v>
      </c>
      <c r="P423">
        <v>10.11</v>
      </c>
    </row>
    <row r="424" spans="4:16" hidden="1" x14ac:dyDescent="0.25">
      <c r="D424" t="s">
        <v>1058</v>
      </c>
      <c r="E424" t="s">
        <v>135</v>
      </c>
      <c r="F424" t="s">
        <v>143</v>
      </c>
      <c r="G424" t="s">
        <v>989</v>
      </c>
      <c r="H424" t="s">
        <v>239</v>
      </c>
      <c r="I424" s="13">
        <v>41484</v>
      </c>
      <c r="J424">
        <v>10</v>
      </c>
      <c r="K424" t="s">
        <v>177</v>
      </c>
      <c r="L424" t="s">
        <v>139</v>
      </c>
      <c r="M424" t="s">
        <v>320</v>
      </c>
      <c r="N424" t="s">
        <v>1059</v>
      </c>
      <c r="O424">
        <v>1</v>
      </c>
      <c r="P424">
        <v>10.11</v>
      </c>
    </row>
    <row r="425" spans="4:16" hidden="1" x14ac:dyDescent="0.25">
      <c r="D425" t="s">
        <v>1060</v>
      </c>
      <c r="E425" t="s">
        <v>135</v>
      </c>
      <c r="F425" t="s">
        <v>143</v>
      </c>
      <c r="G425" t="s">
        <v>143</v>
      </c>
      <c r="H425" t="s">
        <v>239</v>
      </c>
      <c r="I425" s="13">
        <v>41486</v>
      </c>
      <c r="J425">
        <v>10</v>
      </c>
      <c r="K425" t="s">
        <v>177</v>
      </c>
      <c r="L425" t="s">
        <v>139</v>
      </c>
      <c r="M425" t="s">
        <v>200</v>
      </c>
      <c r="N425" t="s">
        <v>1061</v>
      </c>
      <c r="O425">
        <v>1</v>
      </c>
      <c r="P425">
        <v>10.11</v>
      </c>
    </row>
    <row r="426" spans="4:16" hidden="1" x14ac:dyDescent="0.25">
      <c r="D426" t="s">
        <v>1062</v>
      </c>
      <c r="E426" t="s">
        <v>135</v>
      </c>
      <c r="F426" t="s">
        <v>143</v>
      </c>
      <c r="G426" t="s">
        <v>938</v>
      </c>
      <c r="H426" t="s">
        <v>239</v>
      </c>
      <c r="I426" s="13">
        <v>41486</v>
      </c>
      <c r="J426">
        <v>10</v>
      </c>
      <c r="K426" t="s">
        <v>177</v>
      </c>
      <c r="L426" t="s">
        <v>139</v>
      </c>
      <c r="M426" t="s">
        <v>596</v>
      </c>
      <c r="N426" t="s">
        <v>1063</v>
      </c>
      <c r="O426">
        <v>1</v>
      </c>
      <c r="P426">
        <v>10.11</v>
      </c>
    </row>
    <row r="427" spans="4:16" hidden="1" x14ac:dyDescent="0.25">
      <c r="D427" t="s">
        <v>1064</v>
      </c>
      <c r="E427" t="s">
        <v>135</v>
      </c>
      <c r="F427" t="s">
        <v>143</v>
      </c>
      <c r="G427" t="s">
        <v>938</v>
      </c>
      <c r="H427" t="s">
        <v>239</v>
      </c>
      <c r="I427" s="13">
        <v>41486</v>
      </c>
      <c r="J427">
        <v>10</v>
      </c>
      <c r="K427" t="s">
        <v>177</v>
      </c>
      <c r="L427" t="s">
        <v>139</v>
      </c>
      <c r="M427" t="s">
        <v>596</v>
      </c>
      <c r="N427" t="s">
        <v>1065</v>
      </c>
      <c r="O427">
        <v>1</v>
      </c>
      <c r="P427">
        <v>10.11</v>
      </c>
    </row>
    <row r="428" spans="4:16" hidden="1" x14ac:dyDescent="0.25">
      <c r="D428" t="s">
        <v>1066</v>
      </c>
      <c r="E428" t="s">
        <v>135</v>
      </c>
      <c r="F428" t="s">
        <v>143</v>
      </c>
      <c r="G428" t="s">
        <v>938</v>
      </c>
      <c r="H428" t="s">
        <v>239</v>
      </c>
      <c r="I428" s="13">
        <v>41486</v>
      </c>
      <c r="J428">
        <v>10</v>
      </c>
      <c r="K428" t="s">
        <v>177</v>
      </c>
      <c r="L428" t="s">
        <v>139</v>
      </c>
      <c r="M428" t="s">
        <v>596</v>
      </c>
      <c r="N428" t="s">
        <v>1067</v>
      </c>
      <c r="O428">
        <v>1</v>
      </c>
      <c r="P428">
        <v>10.11</v>
      </c>
    </row>
    <row r="429" spans="4:16" hidden="1" x14ac:dyDescent="0.25">
      <c r="D429" t="s">
        <v>1068</v>
      </c>
      <c r="E429" t="s">
        <v>135</v>
      </c>
      <c r="F429" t="s">
        <v>143</v>
      </c>
      <c r="G429" t="s">
        <v>308</v>
      </c>
      <c r="H429" t="s">
        <v>239</v>
      </c>
      <c r="I429" s="13">
        <v>41486</v>
      </c>
      <c r="J429">
        <v>10</v>
      </c>
      <c r="K429" t="s">
        <v>177</v>
      </c>
      <c r="L429" t="s">
        <v>139</v>
      </c>
      <c r="M429" t="s">
        <v>200</v>
      </c>
      <c r="N429" t="s">
        <v>1069</v>
      </c>
      <c r="O429">
        <v>1</v>
      </c>
      <c r="P429">
        <v>10.11</v>
      </c>
    </row>
    <row r="430" spans="4:16" hidden="1" x14ac:dyDescent="0.25">
      <c r="D430" t="s">
        <v>1070</v>
      </c>
      <c r="E430" t="s">
        <v>135</v>
      </c>
      <c r="F430" t="s">
        <v>143</v>
      </c>
      <c r="G430" t="s">
        <v>308</v>
      </c>
      <c r="H430" t="s">
        <v>239</v>
      </c>
      <c r="I430" s="13">
        <v>41486</v>
      </c>
      <c r="J430">
        <v>10</v>
      </c>
      <c r="K430" t="s">
        <v>177</v>
      </c>
      <c r="L430" t="s">
        <v>139</v>
      </c>
      <c r="M430" t="s">
        <v>261</v>
      </c>
      <c r="N430" t="s">
        <v>1071</v>
      </c>
      <c r="O430">
        <v>1</v>
      </c>
      <c r="P430">
        <v>10.11</v>
      </c>
    </row>
    <row r="431" spans="4:16" hidden="1" x14ac:dyDescent="0.25">
      <c r="D431" t="s">
        <v>1072</v>
      </c>
      <c r="E431" t="s">
        <v>135</v>
      </c>
      <c r="F431" t="s">
        <v>379</v>
      </c>
      <c r="G431" t="s">
        <v>782</v>
      </c>
      <c r="H431" t="s">
        <v>239</v>
      </c>
      <c r="I431" s="13">
        <v>41487</v>
      </c>
      <c r="J431">
        <v>10</v>
      </c>
      <c r="K431" t="s">
        <v>177</v>
      </c>
      <c r="L431" t="s">
        <v>139</v>
      </c>
      <c r="M431" t="s">
        <v>1034</v>
      </c>
      <c r="N431" t="s">
        <v>1073</v>
      </c>
      <c r="O431">
        <v>1</v>
      </c>
      <c r="P431">
        <v>10.1</v>
      </c>
    </row>
    <row r="432" spans="4:16" hidden="1" x14ac:dyDescent="0.25">
      <c r="D432" t="s">
        <v>1074</v>
      </c>
      <c r="E432" t="s">
        <v>135</v>
      </c>
      <c r="F432" t="s">
        <v>181</v>
      </c>
      <c r="G432" t="s">
        <v>1075</v>
      </c>
      <c r="H432" t="s">
        <v>239</v>
      </c>
      <c r="I432" s="13">
        <v>41493</v>
      </c>
      <c r="J432">
        <v>10</v>
      </c>
      <c r="K432" t="s">
        <v>177</v>
      </c>
      <c r="L432" t="s">
        <v>139</v>
      </c>
      <c r="M432" t="s">
        <v>465</v>
      </c>
      <c r="N432" t="s">
        <v>1076</v>
      </c>
      <c r="O432">
        <v>1</v>
      </c>
      <c r="P432">
        <v>10.09</v>
      </c>
    </row>
    <row r="433" spans="4:16" hidden="1" x14ac:dyDescent="0.25">
      <c r="D433" t="s">
        <v>1077</v>
      </c>
      <c r="E433" t="s">
        <v>135</v>
      </c>
      <c r="F433" t="s">
        <v>181</v>
      </c>
      <c r="G433" t="s">
        <v>1075</v>
      </c>
      <c r="H433" t="s">
        <v>239</v>
      </c>
      <c r="I433" s="13">
        <v>41493</v>
      </c>
      <c r="J433">
        <v>10</v>
      </c>
      <c r="K433" t="s">
        <v>177</v>
      </c>
      <c r="L433" t="s">
        <v>139</v>
      </c>
      <c r="M433" t="s">
        <v>465</v>
      </c>
      <c r="N433" t="s">
        <v>1078</v>
      </c>
      <c r="O433">
        <v>1</v>
      </c>
      <c r="P433">
        <v>10.09</v>
      </c>
    </row>
    <row r="434" spans="4:16" hidden="1" x14ac:dyDescent="0.25">
      <c r="D434" t="s">
        <v>1079</v>
      </c>
      <c r="E434" t="s">
        <v>135</v>
      </c>
      <c r="F434" t="s">
        <v>379</v>
      </c>
      <c r="G434" t="s">
        <v>782</v>
      </c>
      <c r="H434" t="s">
        <v>239</v>
      </c>
      <c r="I434" s="13">
        <v>41508</v>
      </c>
      <c r="J434">
        <v>10</v>
      </c>
      <c r="K434" t="s">
        <v>145</v>
      </c>
      <c r="L434" t="s">
        <v>139</v>
      </c>
      <c r="M434" t="s">
        <v>398</v>
      </c>
      <c r="N434" t="s">
        <v>1080</v>
      </c>
      <c r="O434">
        <v>1</v>
      </c>
      <c r="P434">
        <v>10.050000000000001</v>
      </c>
    </row>
    <row r="435" spans="4:16" hidden="1" x14ac:dyDescent="0.25">
      <c r="D435" t="s">
        <v>1081</v>
      </c>
      <c r="E435" t="s">
        <v>135</v>
      </c>
      <c r="F435" t="s">
        <v>143</v>
      </c>
      <c r="G435" t="s">
        <v>143</v>
      </c>
      <c r="H435" t="s">
        <v>239</v>
      </c>
      <c r="I435" s="13">
        <v>41507</v>
      </c>
      <c r="J435">
        <v>10</v>
      </c>
      <c r="K435" t="s">
        <v>177</v>
      </c>
      <c r="L435" t="s">
        <v>139</v>
      </c>
      <c r="M435" t="s">
        <v>200</v>
      </c>
      <c r="N435" t="s">
        <v>1082</v>
      </c>
      <c r="O435">
        <v>1</v>
      </c>
      <c r="P435">
        <v>10.050000000000001</v>
      </c>
    </row>
    <row r="436" spans="4:16" hidden="1" x14ac:dyDescent="0.25">
      <c r="D436" t="s">
        <v>1083</v>
      </c>
      <c r="E436" t="s">
        <v>135</v>
      </c>
      <c r="F436" t="s">
        <v>143</v>
      </c>
      <c r="G436" t="s">
        <v>989</v>
      </c>
      <c r="H436" t="s">
        <v>239</v>
      </c>
      <c r="I436" s="13">
        <v>41507</v>
      </c>
      <c r="J436">
        <v>10</v>
      </c>
      <c r="K436" t="s">
        <v>177</v>
      </c>
      <c r="L436" t="s">
        <v>139</v>
      </c>
      <c r="M436" t="s">
        <v>154</v>
      </c>
      <c r="N436" t="s">
        <v>1084</v>
      </c>
      <c r="O436">
        <v>1</v>
      </c>
      <c r="P436">
        <v>10.050000000000001</v>
      </c>
    </row>
    <row r="437" spans="4:16" hidden="1" x14ac:dyDescent="0.25">
      <c r="D437" t="s">
        <v>1085</v>
      </c>
      <c r="E437" t="s">
        <v>135</v>
      </c>
      <c r="F437" t="s">
        <v>143</v>
      </c>
      <c r="G437" t="s">
        <v>308</v>
      </c>
      <c r="H437" t="s">
        <v>239</v>
      </c>
      <c r="I437" s="13">
        <v>41507</v>
      </c>
      <c r="J437">
        <v>10</v>
      </c>
      <c r="K437" t="s">
        <v>177</v>
      </c>
      <c r="L437" t="s">
        <v>139</v>
      </c>
      <c r="M437" t="s">
        <v>264</v>
      </c>
      <c r="N437" t="s">
        <v>1086</v>
      </c>
      <c r="O437">
        <v>1</v>
      </c>
      <c r="P437">
        <v>10.050000000000001</v>
      </c>
    </row>
    <row r="438" spans="4:16" hidden="1" x14ac:dyDescent="0.25">
      <c r="D438" t="s">
        <v>1087</v>
      </c>
      <c r="E438" t="s">
        <v>135</v>
      </c>
      <c r="F438" t="s">
        <v>143</v>
      </c>
      <c r="G438" t="s">
        <v>1088</v>
      </c>
      <c r="H438" t="s">
        <v>239</v>
      </c>
      <c r="I438" s="13">
        <v>41514</v>
      </c>
      <c r="J438">
        <v>10</v>
      </c>
      <c r="K438" t="s">
        <v>145</v>
      </c>
      <c r="L438" t="s">
        <v>139</v>
      </c>
      <c r="M438" t="s">
        <v>743</v>
      </c>
      <c r="N438" t="s">
        <v>1089</v>
      </c>
      <c r="O438">
        <v>1</v>
      </c>
      <c r="P438">
        <v>10.029999999999999</v>
      </c>
    </row>
    <row r="439" spans="4:16" hidden="1" x14ac:dyDescent="0.25">
      <c r="D439" t="s">
        <v>1090</v>
      </c>
      <c r="E439" t="s">
        <v>135</v>
      </c>
      <c r="F439" t="s">
        <v>149</v>
      </c>
      <c r="G439" t="s">
        <v>688</v>
      </c>
      <c r="H439" t="s">
        <v>239</v>
      </c>
      <c r="I439" s="13">
        <v>41514</v>
      </c>
      <c r="J439">
        <v>10</v>
      </c>
      <c r="K439" t="s">
        <v>177</v>
      </c>
      <c r="L439" t="s">
        <v>139</v>
      </c>
      <c r="M439" t="s">
        <v>509</v>
      </c>
      <c r="N439" t="s">
        <v>1091</v>
      </c>
      <c r="O439">
        <v>1</v>
      </c>
      <c r="P439">
        <v>10.029999999999999</v>
      </c>
    </row>
    <row r="440" spans="4:16" hidden="1" x14ac:dyDescent="0.25">
      <c r="D440" t="s">
        <v>1092</v>
      </c>
      <c r="E440" t="s">
        <v>135</v>
      </c>
      <c r="F440" t="s">
        <v>143</v>
      </c>
      <c r="G440" t="s">
        <v>308</v>
      </c>
      <c r="H440" t="s">
        <v>239</v>
      </c>
      <c r="I440" s="13">
        <v>41514</v>
      </c>
      <c r="J440">
        <v>10</v>
      </c>
      <c r="K440" t="s">
        <v>177</v>
      </c>
      <c r="L440" t="s">
        <v>139</v>
      </c>
      <c r="M440" t="s">
        <v>200</v>
      </c>
      <c r="N440" t="s">
        <v>1093</v>
      </c>
      <c r="O440">
        <v>1</v>
      </c>
      <c r="P440">
        <v>10.029999999999999</v>
      </c>
    </row>
    <row r="441" spans="4:16" hidden="1" x14ac:dyDescent="0.25">
      <c r="D441" t="s">
        <v>1094</v>
      </c>
      <c r="E441" t="s">
        <v>135</v>
      </c>
      <c r="F441" t="s">
        <v>379</v>
      </c>
      <c r="G441" t="s">
        <v>1041</v>
      </c>
      <c r="H441" t="s">
        <v>239</v>
      </c>
      <c r="I441" s="13">
        <v>41523</v>
      </c>
      <c r="J441">
        <v>10</v>
      </c>
      <c r="K441" t="s">
        <v>177</v>
      </c>
      <c r="L441" t="s">
        <v>139</v>
      </c>
      <c r="M441" t="s">
        <v>805</v>
      </c>
      <c r="N441" t="s">
        <v>1095</v>
      </c>
      <c r="O441">
        <v>1</v>
      </c>
      <c r="P441">
        <v>10.01</v>
      </c>
    </row>
    <row r="442" spans="4:16" hidden="1" x14ac:dyDescent="0.25">
      <c r="D442" t="s">
        <v>1096</v>
      </c>
      <c r="E442" t="s">
        <v>135</v>
      </c>
      <c r="F442" t="s">
        <v>143</v>
      </c>
      <c r="G442" t="s">
        <v>308</v>
      </c>
      <c r="H442" t="s">
        <v>239</v>
      </c>
      <c r="I442" s="13">
        <v>41521</v>
      </c>
      <c r="J442">
        <v>10</v>
      </c>
      <c r="K442" t="s">
        <v>145</v>
      </c>
      <c r="L442" t="s">
        <v>139</v>
      </c>
      <c r="M442" t="s">
        <v>264</v>
      </c>
      <c r="N442" t="s">
        <v>1097</v>
      </c>
      <c r="O442">
        <v>1</v>
      </c>
      <c r="P442">
        <v>10.01</v>
      </c>
    </row>
    <row r="443" spans="4:16" hidden="1" x14ac:dyDescent="0.25">
      <c r="D443" t="s">
        <v>1098</v>
      </c>
      <c r="E443" t="s">
        <v>135</v>
      </c>
      <c r="F443" t="s">
        <v>143</v>
      </c>
      <c r="G443" t="s">
        <v>143</v>
      </c>
      <c r="H443" t="s">
        <v>239</v>
      </c>
      <c r="I443" s="13">
        <v>41521</v>
      </c>
      <c r="J443">
        <v>10</v>
      </c>
      <c r="K443" t="s">
        <v>177</v>
      </c>
      <c r="L443" t="s">
        <v>139</v>
      </c>
      <c r="M443" t="s">
        <v>200</v>
      </c>
      <c r="N443" t="s">
        <v>1099</v>
      </c>
      <c r="O443">
        <v>1</v>
      </c>
      <c r="P443">
        <v>10.01</v>
      </c>
    </row>
    <row r="444" spans="4:16" hidden="1" x14ac:dyDescent="0.25">
      <c r="D444" t="s">
        <v>1100</v>
      </c>
      <c r="E444" t="s">
        <v>135</v>
      </c>
      <c r="F444" t="s">
        <v>143</v>
      </c>
      <c r="G444" t="s">
        <v>143</v>
      </c>
      <c r="H444" t="s">
        <v>239</v>
      </c>
      <c r="I444" s="13">
        <v>41521</v>
      </c>
      <c r="J444">
        <v>10</v>
      </c>
      <c r="K444" t="s">
        <v>177</v>
      </c>
      <c r="L444" t="s">
        <v>139</v>
      </c>
      <c r="M444" t="s">
        <v>200</v>
      </c>
      <c r="N444" t="s">
        <v>1101</v>
      </c>
      <c r="O444">
        <v>1</v>
      </c>
      <c r="P444">
        <v>10.01</v>
      </c>
    </row>
    <row r="445" spans="4:16" hidden="1" x14ac:dyDescent="0.25">
      <c r="D445" t="s">
        <v>1102</v>
      </c>
      <c r="E445" t="s">
        <v>135</v>
      </c>
      <c r="F445" t="s">
        <v>143</v>
      </c>
      <c r="G445" t="s">
        <v>143</v>
      </c>
      <c r="H445" t="s">
        <v>239</v>
      </c>
      <c r="I445" s="13">
        <v>41521</v>
      </c>
      <c r="J445">
        <v>10</v>
      </c>
      <c r="K445" t="s">
        <v>177</v>
      </c>
      <c r="L445" t="s">
        <v>139</v>
      </c>
      <c r="M445" t="s">
        <v>200</v>
      </c>
      <c r="N445" t="s">
        <v>1103</v>
      </c>
      <c r="O445">
        <v>1</v>
      </c>
      <c r="P445">
        <v>10.01</v>
      </c>
    </row>
    <row r="446" spans="4:16" hidden="1" x14ac:dyDescent="0.25">
      <c r="D446" t="s">
        <v>1104</v>
      </c>
      <c r="E446" t="s">
        <v>135</v>
      </c>
      <c r="F446" t="s">
        <v>143</v>
      </c>
      <c r="G446" t="s">
        <v>143</v>
      </c>
      <c r="H446" t="s">
        <v>239</v>
      </c>
      <c r="I446" s="13">
        <v>41521</v>
      </c>
      <c r="J446">
        <v>10</v>
      </c>
      <c r="K446" t="s">
        <v>177</v>
      </c>
      <c r="L446" t="s">
        <v>139</v>
      </c>
      <c r="M446" t="s">
        <v>200</v>
      </c>
      <c r="N446" t="s">
        <v>1105</v>
      </c>
      <c r="O446">
        <v>1</v>
      </c>
      <c r="P446">
        <v>10.01</v>
      </c>
    </row>
    <row r="447" spans="4:16" hidden="1" x14ac:dyDescent="0.25">
      <c r="D447" t="s">
        <v>1106</v>
      </c>
      <c r="E447" t="s">
        <v>135</v>
      </c>
      <c r="F447" t="s">
        <v>143</v>
      </c>
      <c r="G447" t="s">
        <v>143</v>
      </c>
      <c r="H447" t="s">
        <v>239</v>
      </c>
      <c r="I447" s="13">
        <v>41521</v>
      </c>
      <c r="J447">
        <v>10</v>
      </c>
      <c r="K447" t="s">
        <v>177</v>
      </c>
      <c r="L447" t="s">
        <v>139</v>
      </c>
      <c r="M447" t="s">
        <v>200</v>
      </c>
      <c r="N447" t="s">
        <v>1107</v>
      </c>
      <c r="O447">
        <v>1</v>
      </c>
      <c r="P447">
        <v>10.01</v>
      </c>
    </row>
    <row r="448" spans="4:16" hidden="1" x14ac:dyDescent="0.25">
      <c r="D448" t="s">
        <v>1108</v>
      </c>
      <c r="E448" t="s">
        <v>135</v>
      </c>
      <c r="F448" t="s">
        <v>143</v>
      </c>
      <c r="G448" t="s">
        <v>1109</v>
      </c>
      <c r="H448" t="s">
        <v>239</v>
      </c>
      <c r="I448" s="13">
        <v>41521</v>
      </c>
      <c r="J448">
        <v>10</v>
      </c>
      <c r="K448" t="s">
        <v>177</v>
      </c>
      <c r="L448" t="s">
        <v>139</v>
      </c>
      <c r="M448" t="s">
        <v>743</v>
      </c>
      <c r="N448" t="s">
        <v>1110</v>
      </c>
      <c r="O448">
        <v>1</v>
      </c>
      <c r="P448">
        <v>10.01</v>
      </c>
    </row>
    <row r="449" spans="4:16" hidden="1" x14ac:dyDescent="0.25">
      <c r="D449" t="s">
        <v>1111</v>
      </c>
      <c r="E449" t="s">
        <v>135</v>
      </c>
      <c r="F449" t="s">
        <v>379</v>
      </c>
      <c r="G449" t="s">
        <v>1112</v>
      </c>
      <c r="H449" t="s">
        <v>239</v>
      </c>
      <c r="I449" s="13">
        <v>41523</v>
      </c>
      <c r="J449">
        <v>10</v>
      </c>
      <c r="K449" t="s">
        <v>177</v>
      </c>
      <c r="L449" t="s">
        <v>139</v>
      </c>
      <c r="M449" t="s">
        <v>805</v>
      </c>
      <c r="N449" t="s">
        <v>1113</v>
      </c>
      <c r="O449">
        <v>1</v>
      </c>
      <c r="P449">
        <v>10.01</v>
      </c>
    </row>
    <row r="450" spans="4:16" hidden="1" x14ac:dyDescent="0.25">
      <c r="D450" t="s">
        <v>1114</v>
      </c>
      <c r="E450" t="s">
        <v>135</v>
      </c>
      <c r="F450" t="s">
        <v>379</v>
      </c>
      <c r="G450" t="s">
        <v>1041</v>
      </c>
      <c r="H450" t="s">
        <v>239</v>
      </c>
      <c r="I450" s="13">
        <v>41523</v>
      </c>
      <c r="J450">
        <v>10</v>
      </c>
      <c r="K450" t="s">
        <v>177</v>
      </c>
      <c r="L450" t="s">
        <v>139</v>
      </c>
      <c r="M450" t="s">
        <v>805</v>
      </c>
      <c r="N450" t="s">
        <v>1115</v>
      </c>
      <c r="O450">
        <v>1</v>
      </c>
      <c r="P450">
        <v>10.01</v>
      </c>
    </row>
    <row r="451" spans="4:16" hidden="1" x14ac:dyDescent="0.25">
      <c r="D451" t="s">
        <v>1116</v>
      </c>
      <c r="E451" t="s">
        <v>135</v>
      </c>
      <c r="F451" t="s">
        <v>181</v>
      </c>
      <c r="G451" t="s">
        <v>795</v>
      </c>
      <c r="H451" t="s">
        <v>239</v>
      </c>
      <c r="I451" s="13">
        <v>41523</v>
      </c>
      <c r="J451">
        <v>10</v>
      </c>
      <c r="K451" t="s">
        <v>177</v>
      </c>
      <c r="L451" t="s">
        <v>139</v>
      </c>
      <c r="M451" t="s">
        <v>146</v>
      </c>
      <c r="N451" t="s">
        <v>1117</v>
      </c>
      <c r="O451">
        <v>1</v>
      </c>
      <c r="P451">
        <v>10.01</v>
      </c>
    </row>
    <row r="452" spans="4:16" hidden="1" x14ac:dyDescent="0.25">
      <c r="D452" t="s">
        <v>1118</v>
      </c>
      <c r="E452" t="s">
        <v>135</v>
      </c>
      <c r="F452" t="s">
        <v>149</v>
      </c>
      <c r="G452" t="s">
        <v>150</v>
      </c>
      <c r="H452" t="s">
        <v>239</v>
      </c>
      <c r="I452" s="13">
        <v>41526</v>
      </c>
      <c r="J452">
        <v>10</v>
      </c>
      <c r="K452" t="s">
        <v>177</v>
      </c>
      <c r="L452" t="s">
        <v>139</v>
      </c>
      <c r="M452" t="s">
        <v>170</v>
      </c>
      <c r="N452" t="s">
        <v>1119</v>
      </c>
      <c r="O452">
        <v>1</v>
      </c>
      <c r="P452">
        <v>10</v>
      </c>
    </row>
    <row r="453" spans="4:16" hidden="1" x14ac:dyDescent="0.25">
      <c r="D453" t="s">
        <v>1120</v>
      </c>
      <c r="E453" t="s">
        <v>135</v>
      </c>
      <c r="F453" t="s">
        <v>149</v>
      </c>
      <c r="G453" t="s">
        <v>150</v>
      </c>
      <c r="H453" t="s">
        <v>239</v>
      </c>
      <c r="I453" s="13">
        <v>41526</v>
      </c>
      <c r="J453">
        <v>10</v>
      </c>
      <c r="K453" t="s">
        <v>177</v>
      </c>
      <c r="L453" t="s">
        <v>139</v>
      </c>
      <c r="M453" t="s">
        <v>170</v>
      </c>
      <c r="N453" t="s">
        <v>1121</v>
      </c>
      <c r="O453">
        <v>1</v>
      </c>
      <c r="P453">
        <v>10</v>
      </c>
    </row>
    <row r="454" spans="4:16" hidden="1" x14ac:dyDescent="0.25">
      <c r="D454" t="s">
        <v>1122</v>
      </c>
      <c r="E454" t="s">
        <v>135</v>
      </c>
      <c r="F454" t="s">
        <v>149</v>
      </c>
      <c r="G454" t="s">
        <v>150</v>
      </c>
      <c r="H454" t="s">
        <v>239</v>
      </c>
      <c r="I454" s="13">
        <v>41526</v>
      </c>
      <c r="J454">
        <v>10</v>
      </c>
      <c r="K454" t="s">
        <v>177</v>
      </c>
      <c r="L454" t="s">
        <v>139</v>
      </c>
      <c r="M454" t="s">
        <v>170</v>
      </c>
      <c r="N454" t="s">
        <v>1123</v>
      </c>
      <c r="O454">
        <v>1</v>
      </c>
      <c r="P454">
        <v>10</v>
      </c>
    </row>
    <row r="455" spans="4:16" hidden="1" x14ac:dyDescent="0.25">
      <c r="D455" t="s">
        <v>1124</v>
      </c>
      <c r="E455" t="s">
        <v>135</v>
      </c>
      <c r="F455" t="s">
        <v>149</v>
      </c>
      <c r="G455" t="s">
        <v>271</v>
      </c>
      <c r="H455" t="s">
        <v>239</v>
      </c>
      <c r="I455" s="13">
        <v>41526</v>
      </c>
      <c r="J455">
        <v>10</v>
      </c>
      <c r="K455" t="s">
        <v>177</v>
      </c>
      <c r="L455" t="s">
        <v>139</v>
      </c>
      <c r="M455" t="s">
        <v>170</v>
      </c>
      <c r="N455" t="s">
        <v>1125</v>
      </c>
      <c r="O455">
        <v>1</v>
      </c>
      <c r="P455">
        <v>10</v>
      </c>
    </row>
    <row r="456" spans="4:16" hidden="1" x14ac:dyDescent="0.25">
      <c r="D456" t="s">
        <v>1126</v>
      </c>
      <c r="E456" t="s">
        <v>135</v>
      </c>
      <c r="F456" t="s">
        <v>379</v>
      </c>
      <c r="G456" t="s">
        <v>1041</v>
      </c>
      <c r="H456" t="s">
        <v>239</v>
      </c>
      <c r="I456" s="13">
        <v>41528</v>
      </c>
      <c r="J456">
        <v>10</v>
      </c>
      <c r="K456" t="s">
        <v>177</v>
      </c>
      <c r="L456" t="s">
        <v>139</v>
      </c>
      <c r="M456" t="s">
        <v>647</v>
      </c>
      <c r="N456" t="s">
        <v>1127</v>
      </c>
      <c r="O456">
        <v>1</v>
      </c>
      <c r="P456">
        <v>9.99</v>
      </c>
    </row>
    <row r="457" spans="4:16" hidden="1" x14ac:dyDescent="0.25">
      <c r="D457" t="s">
        <v>1128</v>
      </c>
      <c r="E457" t="s">
        <v>135</v>
      </c>
      <c r="F457" t="s">
        <v>379</v>
      </c>
      <c r="G457" t="s">
        <v>1041</v>
      </c>
      <c r="H457" t="s">
        <v>239</v>
      </c>
      <c r="I457" s="13">
        <v>41528</v>
      </c>
      <c r="J457">
        <v>10</v>
      </c>
      <c r="K457" t="s">
        <v>145</v>
      </c>
      <c r="L457" t="s">
        <v>139</v>
      </c>
      <c r="M457" t="s">
        <v>647</v>
      </c>
      <c r="N457" t="s">
        <v>1129</v>
      </c>
      <c r="O457">
        <v>1</v>
      </c>
      <c r="P457">
        <v>9.99</v>
      </c>
    </row>
    <row r="458" spans="4:16" hidden="1" x14ac:dyDescent="0.25">
      <c r="D458" t="s">
        <v>1130</v>
      </c>
      <c r="E458" t="s">
        <v>135</v>
      </c>
      <c r="F458" t="s">
        <v>149</v>
      </c>
      <c r="G458" t="s">
        <v>150</v>
      </c>
      <c r="H458" t="s">
        <v>239</v>
      </c>
      <c r="I458" s="13">
        <v>41535</v>
      </c>
      <c r="J458">
        <v>10</v>
      </c>
      <c r="K458" t="s">
        <v>145</v>
      </c>
      <c r="L458" t="s">
        <v>139</v>
      </c>
      <c r="M458" t="s">
        <v>151</v>
      </c>
      <c r="N458" t="s">
        <v>1131</v>
      </c>
      <c r="O458">
        <v>1</v>
      </c>
      <c r="P458">
        <v>9.9700000000000006</v>
      </c>
    </row>
    <row r="459" spans="4:16" hidden="1" x14ac:dyDescent="0.25">
      <c r="D459" t="s">
        <v>1132</v>
      </c>
      <c r="E459" t="s">
        <v>135</v>
      </c>
      <c r="F459" t="s">
        <v>379</v>
      </c>
      <c r="G459" t="s">
        <v>1041</v>
      </c>
      <c r="H459" t="s">
        <v>239</v>
      </c>
      <c r="I459" s="13">
        <v>41537</v>
      </c>
      <c r="J459">
        <v>10</v>
      </c>
      <c r="K459" t="s">
        <v>177</v>
      </c>
      <c r="L459" t="s">
        <v>139</v>
      </c>
      <c r="M459" t="s">
        <v>805</v>
      </c>
      <c r="N459" t="s">
        <v>1133</v>
      </c>
      <c r="O459">
        <v>1</v>
      </c>
      <c r="P459">
        <v>9.9700000000000006</v>
      </c>
    </row>
    <row r="460" spans="4:16" hidden="1" x14ac:dyDescent="0.25">
      <c r="D460" t="s">
        <v>1134</v>
      </c>
      <c r="E460" t="s">
        <v>135</v>
      </c>
      <c r="F460" t="s">
        <v>149</v>
      </c>
      <c r="G460" t="s">
        <v>150</v>
      </c>
      <c r="H460" t="s">
        <v>239</v>
      </c>
      <c r="I460" s="13">
        <v>41535</v>
      </c>
      <c r="J460">
        <v>10</v>
      </c>
      <c r="K460" t="s">
        <v>145</v>
      </c>
      <c r="L460" t="s">
        <v>139</v>
      </c>
      <c r="M460" t="s">
        <v>151</v>
      </c>
      <c r="N460" t="s">
        <v>1135</v>
      </c>
      <c r="O460">
        <v>1</v>
      </c>
      <c r="P460">
        <v>9.9700000000000006</v>
      </c>
    </row>
    <row r="461" spans="4:16" hidden="1" x14ac:dyDescent="0.25">
      <c r="D461" t="s">
        <v>1136</v>
      </c>
      <c r="E461" t="s">
        <v>135</v>
      </c>
      <c r="F461" t="s">
        <v>149</v>
      </c>
      <c r="G461" t="s">
        <v>150</v>
      </c>
      <c r="H461" t="s">
        <v>239</v>
      </c>
      <c r="I461" s="13">
        <v>41537</v>
      </c>
      <c r="J461">
        <v>10</v>
      </c>
      <c r="K461" t="s">
        <v>145</v>
      </c>
      <c r="L461" t="s">
        <v>139</v>
      </c>
      <c r="M461" t="s">
        <v>170</v>
      </c>
      <c r="N461" t="s">
        <v>1137</v>
      </c>
      <c r="O461">
        <v>1</v>
      </c>
      <c r="P461">
        <v>9.9700000000000006</v>
      </c>
    </row>
    <row r="462" spans="4:16" hidden="1" x14ac:dyDescent="0.25">
      <c r="D462" t="s">
        <v>1138</v>
      </c>
      <c r="E462" t="s">
        <v>135</v>
      </c>
      <c r="F462" t="s">
        <v>149</v>
      </c>
      <c r="G462" t="s">
        <v>271</v>
      </c>
      <c r="H462" t="s">
        <v>239</v>
      </c>
      <c r="I462" s="13">
        <v>41537</v>
      </c>
      <c r="J462">
        <v>10</v>
      </c>
      <c r="K462" t="s">
        <v>145</v>
      </c>
      <c r="L462" t="s">
        <v>139</v>
      </c>
      <c r="M462" t="s">
        <v>170</v>
      </c>
      <c r="N462" t="s">
        <v>1139</v>
      </c>
      <c r="O462">
        <v>1</v>
      </c>
      <c r="P462">
        <v>9.9700000000000006</v>
      </c>
    </row>
    <row r="463" spans="4:16" hidden="1" x14ac:dyDescent="0.25">
      <c r="D463" t="s">
        <v>1140</v>
      </c>
      <c r="E463" t="s">
        <v>135</v>
      </c>
      <c r="F463" t="s">
        <v>379</v>
      </c>
      <c r="G463" t="s">
        <v>1041</v>
      </c>
      <c r="H463" t="s">
        <v>239</v>
      </c>
      <c r="I463" s="13">
        <v>41537</v>
      </c>
      <c r="J463">
        <v>10</v>
      </c>
      <c r="K463" t="s">
        <v>177</v>
      </c>
      <c r="L463" t="s">
        <v>139</v>
      </c>
      <c r="M463" t="s">
        <v>805</v>
      </c>
      <c r="N463" t="s">
        <v>1141</v>
      </c>
      <c r="O463">
        <v>1</v>
      </c>
      <c r="P463">
        <v>9.9700000000000006</v>
      </c>
    </row>
    <row r="464" spans="4:16" hidden="1" x14ac:dyDescent="0.25">
      <c r="D464" t="s">
        <v>1142</v>
      </c>
      <c r="E464" t="s">
        <v>135</v>
      </c>
      <c r="F464" t="s">
        <v>143</v>
      </c>
      <c r="G464" t="s">
        <v>143</v>
      </c>
      <c r="H464" t="s">
        <v>239</v>
      </c>
      <c r="I464" s="13">
        <v>41542</v>
      </c>
      <c r="J464">
        <v>10</v>
      </c>
      <c r="K464" t="s">
        <v>177</v>
      </c>
      <c r="L464" t="s">
        <v>139</v>
      </c>
      <c r="M464" t="s">
        <v>261</v>
      </c>
      <c r="N464" t="s">
        <v>1143</v>
      </c>
      <c r="O464">
        <v>1</v>
      </c>
      <c r="P464">
        <v>9.9499999999999993</v>
      </c>
    </row>
    <row r="465" spans="4:16" hidden="1" x14ac:dyDescent="0.25">
      <c r="D465" t="s">
        <v>1144</v>
      </c>
      <c r="E465" t="s">
        <v>135</v>
      </c>
      <c r="F465" t="s">
        <v>143</v>
      </c>
      <c r="G465" t="s">
        <v>143</v>
      </c>
      <c r="H465" t="s">
        <v>239</v>
      </c>
      <c r="I465" s="13">
        <v>41542</v>
      </c>
      <c r="J465">
        <v>10</v>
      </c>
      <c r="K465" t="s">
        <v>177</v>
      </c>
      <c r="L465" t="s">
        <v>139</v>
      </c>
      <c r="M465" t="s">
        <v>200</v>
      </c>
      <c r="N465" t="s">
        <v>1145</v>
      </c>
      <c r="O465">
        <v>1</v>
      </c>
      <c r="P465">
        <v>9.9499999999999993</v>
      </c>
    </row>
    <row r="466" spans="4:16" hidden="1" x14ac:dyDescent="0.25">
      <c r="D466" t="s">
        <v>1146</v>
      </c>
      <c r="E466" t="s">
        <v>135</v>
      </c>
      <c r="F466" t="s">
        <v>143</v>
      </c>
      <c r="G466" t="s">
        <v>143</v>
      </c>
      <c r="H466" t="s">
        <v>239</v>
      </c>
      <c r="I466" s="13">
        <v>41542</v>
      </c>
      <c r="J466">
        <v>10</v>
      </c>
      <c r="K466" t="s">
        <v>177</v>
      </c>
      <c r="L466" t="s">
        <v>139</v>
      </c>
      <c r="M466" t="s">
        <v>200</v>
      </c>
      <c r="N466" t="s">
        <v>1147</v>
      </c>
      <c r="O466">
        <v>1</v>
      </c>
      <c r="P466">
        <v>9.9499999999999993</v>
      </c>
    </row>
    <row r="467" spans="4:16" hidden="1" x14ac:dyDescent="0.25">
      <c r="D467" t="s">
        <v>1148</v>
      </c>
      <c r="E467" t="s">
        <v>135</v>
      </c>
      <c r="F467" t="s">
        <v>143</v>
      </c>
      <c r="G467" t="s">
        <v>143</v>
      </c>
      <c r="H467" t="s">
        <v>239</v>
      </c>
      <c r="I467" s="13">
        <v>41542</v>
      </c>
      <c r="J467">
        <v>10</v>
      </c>
      <c r="K467" t="s">
        <v>177</v>
      </c>
      <c r="L467" t="s">
        <v>139</v>
      </c>
      <c r="M467" t="s">
        <v>261</v>
      </c>
      <c r="N467" t="s">
        <v>1149</v>
      </c>
      <c r="O467">
        <v>1</v>
      </c>
      <c r="P467">
        <v>9.9499999999999993</v>
      </c>
    </row>
    <row r="468" spans="4:16" hidden="1" x14ac:dyDescent="0.25">
      <c r="D468" t="s">
        <v>1150</v>
      </c>
      <c r="E468" t="s">
        <v>135</v>
      </c>
      <c r="F468" t="s">
        <v>143</v>
      </c>
      <c r="G468" t="s">
        <v>143</v>
      </c>
      <c r="H468" t="s">
        <v>239</v>
      </c>
      <c r="I468" s="13">
        <v>41542</v>
      </c>
      <c r="J468">
        <v>10</v>
      </c>
      <c r="K468" t="s">
        <v>177</v>
      </c>
      <c r="L468" t="s">
        <v>139</v>
      </c>
      <c r="M468" t="s">
        <v>261</v>
      </c>
      <c r="N468" t="s">
        <v>1151</v>
      </c>
      <c r="O468">
        <v>1</v>
      </c>
      <c r="P468">
        <v>9.9499999999999993</v>
      </c>
    </row>
    <row r="469" spans="4:16" hidden="1" x14ac:dyDescent="0.25">
      <c r="D469" t="s">
        <v>1152</v>
      </c>
      <c r="E469" t="s">
        <v>135</v>
      </c>
      <c r="F469" t="s">
        <v>149</v>
      </c>
      <c r="G469" t="s">
        <v>150</v>
      </c>
      <c r="H469" t="s">
        <v>239</v>
      </c>
      <c r="I469" s="13">
        <v>41542</v>
      </c>
      <c r="J469">
        <v>10</v>
      </c>
      <c r="K469" t="s">
        <v>177</v>
      </c>
      <c r="L469" t="s">
        <v>139</v>
      </c>
      <c r="M469" t="s">
        <v>170</v>
      </c>
      <c r="N469" t="s">
        <v>1153</v>
      </c>
      <c r="O469">
        <v>1</v>
      </c>
      <c r="P469">
        <v>9.9499999999999993</v>
      </c>
    </row>
    <row r="470" spans="4:16" hidden="1" x14ac:dyDescent="0.25">
      <c r="D470" t="s">
        <v>1154</v>
      </c>
      <c r="E470" t="s">
        <v>135</v>
      </c>
      <c r="F470" t="s">
        <v>149</v>
      </c>
      <c r="G470" t="s">
        <v>150</v>
      </c>
      <c r="H470" t="s">
        <v>239</v>
      </c>
      <c r="I470" s="13">
        <v>41543</v>
      </c>
      <c r="J470">
        <v>10</v>
      </c>
      <c r="K470" t="s">
        <v>177</v>
      </c>
      <c r="L470" t="s">
        <v>139</v>
      </c>
      <c r="M470" t="s">
        <v>965</v>
      </c>
      <c r="N470" t="s">
        <v>1155</v>
      </c>
      <c r="O470">
        <v>1</v>
      </c>
      <c r="P470">
        <v>9.9499999999999993</v>
      </c>
    </row>
    <row r="471" spans="4:16" hidden="1" x14ac:dyDescent="0.25">
      <c r="D471" t="s">
        <v>1156</v>
      </c>
      <c r="E471" t="s">
        <v>135</v>
      </c>
      <c r="F471" t="s">
        <v>149</v>
      </c>
      <c r="G471" t="s">
        <v>150</v>
      </c>
      <c r="H471" t="s">
        <v>239</v>
      </c>
      <c r="I471" s="13">
        <v>41551</v>
      </c>
      <c r="J471">
        <v>10</v>
      </c>
      <c r="K471" t="s">
        <v>177</v>
      </c>
      <c r="L471" t="s">
        <v>139</v>
      </c>
      <c r="M471" t="s">
        <v>154</v>
      </c>
      <c r="N471" t="s">
        <v>1157</v>
      </c>
      <c r="O471">
        <v>1</v>
      </c>
      <c r="P471">
        <v>9.93</v>
      </c>
    </row>
    <row r="472" spans="4:16" hidden="1" x14ac:dyDescent="0.25">
      <c r="D472" t="s">
        <v>1158</v>
      </c>
      <c r="E472" t="s">
        <v>135</v>
      </c>
      <c r="F472" t="s">
        <v>379</v>
      </c>
      <c r="G472" t="s">
        <v>1112</v>
      </c>
      <c r="H472" t="s">
        <v>239</v>
      </c>
      <c r="I472" s="13">
        <v>41550</v>
      </c>
      <c r="J472">
        <v>10</v>
      </c>
      <c r="K472" t="s">
        <v>177</v>
      </c>
      <c r="L472" t="s">
        <v>139</v>
      </c>
      <c r="M472" t="s">
        <v>647</v>
      </c>
      <c r="N472" t="s">
        <v>1159</v>
      </c>
      <c r="O472">
        <v>1</v>
      </c>
      <c r="P472">
        <v>9.93</v>
      </c>
    </row>
    <row r="473" spans="4:16" hidden="1" x14ac:dyDescent="0.25">
      <c r="D473" t="s">
        <v>1160</v>
      </c>
      <c r="E473" t="s">
        <v>135</v>
      </c>
      <c r="F473" t="s">
        <v>379</v>
      </c>
      <c r="G473" t="s">
        <v>1112</v>
      </c>
      <c r="H473" t="s">
        <v>239</v>
      </c>
      <c r="I473" s="13">
        <v>41556</v>
      </c>
      <c r="J473">
        <v>10</v>
      </c>
      <c r="K473" t="s">
        <v>177</v>
      </c>
      <c r="L473" t="s">
        <v>139</v>
      </c>
      <c r="M473" t="s">
        <v>647</v>
      </c>
      <c r="N473" t="s">
        <v>1161</v>
      </c>
      <c r="O473">
        <v>1</v>
      </c>
      <c r="P473">
        <v>9.92</v>
      </c>
    </row>
    <row r="474" spans="4:16" hidden="1" x14ac:dyDescent="0.25">
      <c r="D474" t="s">
        <v>1162</v>
      </c>
      <c r="E474" t="s">
        <v>135</v>
      </c>
      <c r="F474" t="s">
        <v>149</v>
      </c>
      <c r="G474" t="s">
        <v>150</v>
      </c>
      <c r="H474" t="s">
        <v>239</v>
      </c>
      <c r="I474" s="13">
        <v>41554</v>
      </c>
      <c r="J474">
        <v>10</v>
      </c>
      <c r="K474" t="s">
        <v>177</v>
      </c>
      <c r="L474" t="s">
        <v>139</v>
      </c>
      <c r="M474" t="s">
        <v>170</v>
      </c>
      <c r="N474" t="s">
        <v>1163</v>
      </c>
      <c r="O474">
        <v>1</v>
      </c>
      <c r="P474">
        <v>9.92</v>
      </c>
    </row>
    <row r="475" spans="4:16" hidden="1" x14ac:dyDescent="0.25">
      <c r="D475" t="s">
        <v>1164</v>
      </c>
      <c r="E475" t="s">
        <v>135</v>
      </c>
      <c r="F475" t="s">
        <v>379</v>
      </c>
      <c r="G475" t="s">
        <v>1112</v>
      </c>
      <c r="H475" t="s">
        <v>239</v>
      </c>
      <c r="I475" s="13">
        <v>41556</v>
      </c>
      <c r="J475">
        <v>10</v>
      </c>
      <c r="K475" t="s">
        <v>177</v>
      </c>
      <c r="L475" t="s">
        <v>139</v>
      </c>
      <c r="M475" t="s">
        <v>647</v>
      </c>
      <c r="N475" t="s">
        <v>1165</v>
      </c>
      <c r="O475">
        <v>1</v>
      </c>
      <c r="P475">
        <v>9.92</v>
      </c>
    </row>
    <row r="476" spans="4:16" hidden="1" x14ac:dyDescent="0.25">
      <c r="D476" t="s">
        <v>1166</v>
      </c>
      <c r="E476" t="s">
        <v>135</v>
      </c>
      <c r="F476" t="s">
        <v>149</v>
      </c>
      <c r="G476" t="s">
        <v>271</v>
      </c>
      <c r="H476" t="s">
        <v>239</v>
      </c>
      <c r="I476" s="13">
        <v>41556</v>
      </c>
      <c r="J476">
        <v>10</v>
      </c>
      <c r="K476" t="s">
        <v>177</v>
      </c>
      <c r="L476" t="s">
        <v>139</v>
      </c>
      <c r="M476" t="s">
        <v>165</v>
      </c>
      <c r="N476" t="s">
        <v>1167</v>
      </c>
      <c r="O476">
        <v>1</v>
      </c>
      <c r="P476">
        <v>9.92</v>
      </c>
    </row>
    <row r="477" spans="4:16" hidden="1" x14ac:dyDescent="0.25">
      <c r="D477" t="s">
        <v>1168</v>
      </c>
      <c r="E477" t="s">
        <v>135</v>
      </c>
      <c r="F477" t="s">
        <v>149</v>
      </c>
      <c r="G477" t="s">
        <v>271</v>
      </c>
      <c r="H477" t="s">
        <v>239</v>
      </c>
      <c r="I477" s="13">
        <v>41556</v>
      </c>
      <c r="J477">
        <v>10</v>
      </c>
      <c r="K477" t="s">
        <v>177</v>
      </c>
      <c r="L477" t="s">
        <v>139</v>
      </c>
      <c r="M477" t="s">
        <v>165</v>
      </c>
      <c r="N477" t="s">
        <v>1169</v>
      </c>
      <c r="O477">
        <v>1</v>
      </c>
      <c r="P477">
        <v>9.92</v>
      </c>
    </row>
    <row r="478" spans="4:16" hidden="1" x14ac:dyDescent="0.25">
      <c r="D478" t="s">
        <v>1170</v>
      </c>
      <c r="E478" t="s">
        <v>135</v>
      </c>
      <c r="F478" t="s">
        <v>149</v>
      </c>
      <c r="G478" t="s">
        <v>271</v>
      </c>
      <c r="H478" t="s">
        <v>239</v>
      </c>
      <c r="I478" s="13">
        <v>41556</v>
      </c>
      <c r="J478">
        <v>10</v>
      </c>
      <c r="K478" t="s">
        <v>177</v>
      </c>
      <c r="L478" t="s">
        <v>139</v>
      </c>
      <c r="M478" t="s">
        <v>165</v>
      </c>
      <c r="N478" t="s">
        <v>1171</v>
      </c>
      <c r="O478">
        <v>1</v>
      </c>
      <c r="P478">
        <v>9.92</v>
      </c>
    </row>
    <row r="479" spans="4:16" hidden="1" x14ac:dyDescent="0.25">
      <c r="D479" t="s">
        <v>1172</v>
      </c>
      <c r="E479" t="s">
        <v>135</v>
      </c>
      <c r="F479" t="s">
        <v>379</v>
      </c>
      <c r="G479" t="s">
        <v>1041</v>
      </c>
      <c r="H479" t="s">
        <v>239</v>
      </c>
      <c r="I479" s="13">
        <v>41556</v>
      </c>
      <c r="J479">
        <v>10</v>
      </c>
      <c r="K479" t="s">
        <v>177</v>
      </c>
      <c r="L479" t="s">
        <v>139</v>
      </c>
      <c r="M479" t="s">
        <v>805</v>
      </c>
      <c r="N479" t="s">
        <v>1173</v>
      </c>
      <c r="O479">
        <v>1</v>
      </c>
      <c r="P479">
        <v>9.92</v>
      </c>
    </row>
    <row r="480" spans="4:16" hidden="1" x14ac:dyDescent="0.25">
      <c r="D480" t="s">
        <v>1174</v>
      </c>
      <c r="E480" t="s">
        <v>135</v>
      </c>
      <c r="F480" t="s">
        <v>149</v>
      </c>
      <c r="G480" t="s">
        <v>150</v>
      </c>
      <c r="H480" t="s">
        <v>239</v>
      </c>
      <c r="I480" s="13">
        <v>41554</v>
      </c>
      <c r="J480">
        <v>10</v>
      </c>
      <c r="K480" t="s">
        <v>177</v>
      </c>
      <c r="L480" t="s">
        <v>139</v>
      </c>
      <c r="M480" t="s">
        <v>170</v>
      </c>
      <c r="N480" t="s">
        <v>1175</v>
      </c>
      <c r="O480">
        <v>1</v>
      </c>
      <c r="P480">
        <v>9.92</v>
      </c>
    </row>
    <row r="481" spans="4:16" hidden="1" x14ac:dyDescent="0.25">
      <c r="D481" t="s">
        <v>1176</v>
      </c>
      <c r="E481" t="s">
        <v>135</v>
      </c>
      <c r="F481" t="s">
        <v>379</v>
      </c>
      <c r="G481" t="s">
        <v>1112</v>
      </c>
      <c r="H481" t="s">
        <v>239</v>
      </c>
      <c r="I481" s="13">
        <v>41556</v>
      </c>
      <c r="J481">
        <v>10</v>
      </c>
      <c r="K481" t="s">
        <v>177</v>
      </c>
      <c r="L481" t="s">
        <v>139</v>
      </c>
      <c r="M481" t="s">
        <v>647</v>
      </c>
      <c r="N481" t="s">
        <v>1177</v>
      </c>
      <c r="O481">
        <v>1</v>
      </c>
      <c r="P481">
        <v>9.92</v>
      </c>
    </row>
    <row r="482" spans="4:16" hidden="1" x14ac:dyDescent="0.25">
      <c r="D482" t="s">
        <v>1178</v>
      </c>
      <c r="E482" t="s">
        <v>135</v>
      </c>
      <c r="F482" t="s">
        <v>149</v>
      </c>
      <c r="G482" t="s">
        <v>150</v>
      </c>
      <c r="H482" t="s">
        <v>239</v>
      </c>
      <c r="I482" s="13">
        <v>41554</v>
      </c>
      <c r="J482">
        <v>10</v>
      </c>
      <c r="K482" t="s">
        <v>177</v>
      </c>
      <c r="L482" t="s">
        <v>139</v>
      </c>
      <c r="M482" t="s">
        <v>151</v>
      </c>
      <c r="N482" t="s">
        <v>1179</v>
      </c>
      <c r="O482">
        <v>1</v>
      </c>
      <c r="P482">
        <v>9.92</v>
      </c>
    </row>
    <row r="483" spans="4:16" hidden="1" x14ac:dyDescent="0.25">
      <c r="D483" t="s">
        <v>1180</v>
      </c>
      <c r="E483" t="s">
        <v>135</v>
      </c>
      <c r="F483" t="s">
        <v>173</v>
      </c>
      <c r="G483" t="s">
        <v>150</v>
      </c>
      <c r="H483" t="s">
        <v>239</v>
      </c>
      <c r="I483" s="13">
        <v>41554</v>
      </c>
      <c r="J483">
        <v>10</v>
      </c>
      <c r="K483" t="s">
        <v>177</v>
      </c>
      <c r="L483" t="s">
        <v>139</v>
      </c>
      <c r="M483" t="s">
        <v>170</v>
      </c>
      <c r="N483" t="s">
        <v>1181</v>
      </c>
      <c r="O483">
        <v>1</v>
      </c>
      <c r="P483">
        <v>9.92</v>
      </c>
    </row>
    <row r="484" spans="4:16" hidden="1" x14ac:dyDescent="0.25">
      <c r="D484" t="s">
        <v>1182</v>
      </c>
      <c r="E484" t="s">
        <v>135</v>
      </c>
      <c r="F484" t="s">
        <v>379</v>
      </c>
      <c r="G484" t="s">
        <v>1041</v>
      </c>
      <c r="H484" t="s">
        <v>239</v>
      </c>
      <c r="I484" s="13">
        <v>41556</v>
      </c>
      <c r="J484">
        <v>10</v>
      </c>
      <c r="K484" t="s">
        <v>177</v>
      </c>
      <c r="L484" t="s">
        <v>139</v>
      </c>
      <c r="M484" t="s">
        <v>805</v>
      </c>
      <c r="N484" t="s">
        <v>1183</v>
      </c>
      <c r="O484">
        <v>1</v>
      </c>
      <c r="P484">
        <v>9.92</v>
      </c>
    </row>
    <row r="485" spans="4:16" hidden="1" x14ac:dyDescent="0.25">
      <c r="D485" t="s">
        <v>1184</v>
      </c>
      <c r="E485" t="s">
        <v>135</v>
      </c>
      <c r="F485" t="s">
        <v>149</v>
      </c>
      <c r="G485" t="s">
        <v>150</v>
      </c>
      <c r="H485" t="s">
        <v>239</v>
      </c>
      <c r="I485" s="13">
        <v>41554</v>
      </c>
      <c r="J485">
        <v>10</v>
      </c>
      <c r="K485" t="s">
        <v>177</v>
      </c>
      <c r="L485" t="s">
        <v>139</v>
      </c>
      <c r="M485" t="s">
        <v>170</v>
      </c>
      <c r="N485" t="s">
        <v>1185</v>
      </c>
      <c r="O485">
        <v>1</v>
      </c>
      <c r="P485">
        <v>9.92</v>
      </c>
    </row>
    <row r="486" spans="4:16" hidden="1" x14ac:dyDescent="0.25">
      <c r="D486" t="s">
        <v>1186</v>
      </c>
      <c r="E486" t="s">
        <v>135</v>
      </c>
      <c r="F486" t="s">
        <v>181</v>
      </c>
      <c r="G486" t="s">
        <v>795</v>
      </c>
      <c r="H486" t="s">
        <v>239</v>
      </c>
      <c r="I486" s="13">
        <v>41558</v>
      </c>
      <c r="J486">
        <v>10</v>
      </c>
      <c r="K486" t="s">
        <v>145</v>
      </c>
      <c r="L486" t="s">
        <v>139</v>
      </c>
      <c r="M486" t="s">
        <v>913</v>
      </c>
      <c r="N486" t="s">
        <v>1187</v>
      </c>
      <c r="O486">
        <v>1</v>
      </c>
      <c r="P486">
        <v>9.91</v>
      </c>
    </row>
    <row r="487" spans="4:16" hidden="1" x14ac:dyDescent="0.25">
      <c r="D487" t="s">
        <v>1188</v>
      </c>
      <c r="E487" t="s">
        <v>135</v>
      </c>
      <c r="F487" t="s">
        <v>181</v>
      </c>
      <c r="G487" t="s">
        <v>795</v>
      </c>
      <c r="H487" t="s">
        <v>239</v>
      </c>
      <c r="I487" s="13">
        <v>41558</v>
      </c>
      <c r="J487">
        <v>10</v>
      </c>
      <c r="K487" t="s">
        <v>145</v>
      </c>
      <c r="L487" t="s">
        <v>139</v>
      </c>
      <c r="M487" t="s">
        <v>1189</v>
      </c>
      <c r="N487" t="s">
        <v>1190</v>
      </c>
      <c r="O487">
        <v>1</v>
      </c>
      <c r="P487">
        <v>9.91</v>
      </c>
    </row>
    <row r="488" spans="4:16" hidden="1" x14ac:dyDescent="0.25">
      <c r="D488" t="s">
        <v>1191</v>
      </c>
      <c r="E488" t="s">
        <v>135</v>
      </c>
      <c r="F488" t="s">
        <v>181</v>
      </c>
      <c r="G488" t="s">
        <v>795</v>
      </c>
      <c r="H488" t="s">
        <v>239</v>
      </c>
      <c r="I488" s="13">
        <v>41558</v>
      </c>
      <c r="J488">
        <v>10</v>
      </c>
      <c r="K488" t="s">
        <v>177</v>
      </c>
      <c r="L488" t="s">
        <v>139</v>
      </c>
      <c r="M488" t="s">
        <v>982</v>
      </c>
      <c r="N488" t="s">
        <v>1192</v>
      </c>
      <c r="O488">
        <v>1</v>
      </c>
      <c r="P488">
        <v>9.91</v>
      </c>
    </row>
    <row r="489" spans="4:16" hidden="1" x14ac:dyDescent="0.25">
      <c r="D489" t="s">
        <v>1193</v>
      </c>
      <c r="E489" t="s">
        <v>135</v>
      </c>
      <c r="F489" t="s">
        <v>181</v>
      </c>
      <c r="G489" t="s">
        <v>795</v>
      </c>
      <c r="H489" t="s">
        <v>239</v>
      </c>
      <c r="I489" s="13">
        <v>41558</v>
      </c>
      <c r="J489">
        <v>10</v>
      </c>
      <c r="K489" t="s">
        <v>177</v>
      </c>
      <c r="L489" t="s">
        <v>139</v>
      </c>
      <c r="M489" t="s">
        <v>1189</v>
      </c>
      <c r="N489" t="s">
        <v>1194</v>
      </c>
      <c r="O489">
        <v>1</v>
      </c>
      <c r="P489">
        <v>9.91</v>
      </c>
    </row>
    <row r="490" spans="4:16" hidden="1" x14ac:dyDescent="0.25">
      <c r="D490" t="s">
        <v>1195</v>
      </c>
      <c r="E490" t="s">
        <v>135</v>
      </c>
      <c r="F490" t="s">
        <v>181</v>
      </c>
      <c r="G490" t="s">
        <v>795</v>
      </c>
      <c r="H490" t="s">
        <v>239</v>
      </c>
      <c r="I490" s="13">
        <v>41558</v>
      </c>
      <c r="J490">
        <v>10</v>
      </c>
      <c r="K490" t="s">
        <v>177</v>
      </c>
      <c r="L490" t="s">
        <v>139</v>
      </c>
      <c r="M490" t="s">
        <v>1189</v>
      </c>
      <c r="N490" t="s">
        <v>1196</v>
      </c>
      <c r="O490">
        <v>1</v>
      </c>
      <c r="P490">
        <v>9.91</v>
      </c>
    </row>
    <row r="491" spans="4:16" hidden="1" x14ac:dyDescent="0.25">
      <c r="D491" t="s">
        <v>1197</v>
      </c>
      <c r="E491" t="s">
        <v>135</v>
      </c>
      <c r="F491" t="s">
        <v>181</v>
      </c>
      <c r="G491" t="s">
        <v>795</v>
      </c>
      <c r="H491" t="s">
        <v>239</v>
      </c>
      <c r="I491" s="13">
        <v>41558</v>
      </c>
      <c r="J491">
        <v>10</v>
      </c>
      <c r="K491" t="s">
        <v>177</v>
      </c>
      <c r="L491" t="s">
        <v>139</v>
      </c>
      <c r="M491" t="s">
        <v>982</v>
      </c>
      <c r="N491" t="s">
        <v>1198</v>
      </c>
      <c r="O491">
        <v>1</v>
      </c>
      <c r="P491">
        <v>9.91</v>
      </c>
    </row>
    <row r="492" spans="4:16" hidden="1" x14ac:dyDescent="0.25">
      <c r="D492" t="s">
        <v>1199</v>
      </c>
      <c r="E492" t="s">
        <v>135</v>
      </c>
      <c r="F492" t="s">
        <v>181</v>
      </c>
      <c r="G492" t="s">
        <v>795</v>
      </c>
      <c r="H492" t="s">
        <v>239</v>
      </c>
      <c r="I492" s="13">
        <v>41558</v>
      </c>
      <c r="J492">
        <v>10</v>
      </c>
      <c r="K492" t="s">
        <v>177</v>
      </c>
      <c r="L492" t="s">
        <v>139</v>
      </c>
      <c r="M492" t="s">
        <v>982</v>
      </c>
      <c r="N492" t="s">
        <v>1200</v>
      </c>
      <c r="O492">
        <v>1</v>
      </c>
      <c r="P492">
        <v>9.91</v>
      </c>
    </row>
    <row r="493" spans="4:16" hidden="1" x14ac:dyDescent="0.25">
      <c r="D493" t="s">
        <v>1201</v>
      </c>
      <c r="E493" t="s">
        <v>135</v>
      </c>
      <c r="F493" t="s">
        <v>181</v>
      </c>
      <c r="G493" t="s">
        <v>795</v>
      </c>
      <c r="H493" t="s">
        <v>239</v>
      </c>
      <c r="I493" s="13">
        <v>41558</v>
      </c>
      <c r="J493">
        <v>10</v>
      </c>
      <c r="K493" t="s">
        <v>145</v>
      </c>
      <c r="L493" t="s">
        <v>139</v>
      </c>
      <c r="M493" t="s">
        <v>1189</v>
      </c>
      <c r="N493" t="s">
        <v>1202</v>
      </c>
      <c r="O493">
        <v>1</v>
      </c>
      <c r="P493">
        <v>9.91</v>
      </c>
    </row>
    <row r="494" spans="4:16" hidden="1" x14ac:dyDescent="0.25">
      <c r="D494" t="s">
        <v>1203</v>
      </c>
      <c r="E494" t="s">
        <v>135</v>
      </c>
      <c r="F494" t="s">
        <v>379</v>
      </c>
      <c r="G494" t="s">
        <v>380</v>
      </c>
      <c r="H494" t="s">
        <v>239</v>
      </c>
      <c r="I494" s="13">
        <v>41564</v>
      </c>
      <c r="J494">
        <v>10</v>
      </c>
      <c r="K494" t="s">
        <v>177</v>
      </c>
      <c r="L494" t="s">
        <v>139</v>
      </c>
      <c r="M494" t="s">
        <v>268</v>
      </c>
      <c r="N494" t="s">
        <v>1204</v>
      </c>
      <c r="O494">
        <v>1</v>
      </c>
      <c r="P494">
        <v>9.89</v>
      </c>
    </row>
    <row r="495" spans="4:16" hidden="1" x14ac:dyDescent="0.25">
      <c r="D495" t="s">
        <v>1205</v>
      </c>
      <c r="E495" t="s">
        <v>135</v>
      </c>
      <c r="F495" t="s">
        <v>379</v>
      </c>
      <c r="G495" t="s">
        <v>380</v>
      </c>
      <c r="H495" t="s">
        <v>239</v>
      </c>
      <c r="I495" s="13">
        <v>41564</v>
      </c>
      <c r="J495">
        <v>10</v>
      </c>
      <c r="K495" t="s">
        <v>145</v>
      </c>
      <c r="L495" t="s">
        <v>139</v>
      </c>
      <c r="M495" t="s">
        <v>268</v>
      </c>
      <c r="N495" t="s">
        <v>1206</v>
      </c>
      <c r="O495">
        <v>1</v>
      </c>
      <c r="P495">
        <v>9.89</v>
      </c>
    </row>
    <row r="496" spans="4:16" hidden="1" x14ac:dyDescent="0.25">
      <c r="D496" t="s">
        <v>1205</v>
      </c>
      <c r="E496" t="s">
        <v>135</v>
      </c>
      <c r="F496" t="s">
        <v>379</v>
      </c>
      <c r="G496" t="s">
        <v>380</v>
      </c>
      <c r="H496" t="s">
        <v>239</v>
      </c>
      <c r="I496" s="13">
        <v>41564</v>
      </c>
      <c r="J496">
        <v>10</v>
      </c>
      <c r="K496" t="s">
        <v>177</v>
      </c>
      <c r="L496" t="s">
        <v>139</v>
      </c>
      <c r="M496" t="s">
        <v>268</v>
      </c>
      <c r="N496" t="s">
        <v>1206</v>
      </c>
      <c r="O496">
        <v>1</v>
      </c>
      <c r="P496">
        <v>9.89</v>
      </c>
    </row>
    <row r="497" spans="4:16" hidden="1" x14ac:dyDescent="0.25">
      <c r="D497" t="s">
        <v>1207</v>
      </c>
      <c r="E497" t="s">
        <v>135</v>
      </c>
      <c r="F497" t="s">
        <v>379</v>
      </c>
      <c r="G497" t="s">
        <v>380</v>
      </c>
      <c r="H497" t="s">
        <v>239</v>
      </c>
      <c r="I497" s="13">
        <v>41564</v>
      </c>
      <c r="J497">
        <v>10</v>
      </c>
      <c r="K497" t="s">
        <v>177</v>
      </c>
      <c r="L497" t="s">
        <v>139</v>
      </c>
      <c r="M497" t="s">
        <v>268</v>
      </c>
      <c r="N497" t="s">
        <v>1208</v>
      </c>
      <c r="O497">
        <v>1</v>
      </c>
      <c r="P497">
        <v>9.89</v>
      </c>
    </row>
    <row r="498" spans="4:16" hidden="1" x14ac:dyDescent="0.25">
      <c r="D498" t="s">
        <v>1209</v>
      </c>
      <c r="E498" t="s">
        <v>135</v>
      </c>
      <c r="F498" t="s">
        <v>379</v>
      </c>
      <c r="G498" t="s">
        <v>380</v>
      </c>
      <c r="H498" t="s">
        <v>239</v>
      </c>
      <c r="I498" s="13">
        <v>41564</v>
      </c>
      <c r="J498">
        <v>10</v>
      </c>
      <c r="K498" t="s">
        <v>177</v>
      </c>
      <c r="L498" t="s">
        <v>139</v>
      </c>
      <c r="M498" t="s">
        <v>268</v>
      </c>
      <c r="N498" t="s">
        <v>1210</v>
      </c>
      <c r="O498">
        <v>1</v>
      </c>
      <c r="P498">
        <v>9.89</v>
      </c>
    </row>
    <row r="499" spans="4:16" hidden="1" x14ac:dyDescent="0.25">
      <c r="D499" t="s">
        <v>1211</v>
      </c>
      <c r="E499" t="s">
        <v>135</v>
      </c>
      <c r="F499" t="s">
        <v>181</v>
      </c>
      <c r="G499" t="s">
        <v>795</v>
      </c>
      <c r="H499" t="s">
        <v>239</v>
      </c>
      <c r="I499" s="13">
        <v>41568</v>
      </c>
      <c r="J499">
        <v>10</v>
      </c>
      <c r="K499" t="s">
        <v>177</v>
      </c>
      <c r="L499" t="s">
        <v>139</v>
      </c>
      <c r="M499" t="s">
        <v>227</v>
      </c>
      <c r="N499" t="s">
        <v>1212</v>
      </c>
      <c r="O499">
        <v>1</v>
      </c>
      <c r="P499">
        <v>9.8800000000000008</v>
      </c>
    </row>
    <row r="500" spans="4:16" hidden="1" x14ac:dyDescent="0.25">
      <c r="D500" t="s">
        <v>1213</v>
      </c>
      <c r="E500" t="s">
        <v>135</v>
      </c>
      <c r="F500" t="s">
        <v>379</v>
      </c>
      <c r="G500" t="s">
        <v>379</v>
      </c>
      <c r="H500" t="s">
        <v>239</v>
      </c>
      <c r="I500" s="13">
        <v>41571</v>
      </c>
      <c r="J500">
        <v>10</v>
      </c>
      <c r="K500" t="s">
        <v>177</v>
      </c>
      <c r="L500" t="s">
        <v>139</v>
      </c>
      <c r="M500" t="s">
        <v>183</v>
      </c>
      <c r="N500" t="s">
        <v>1214</v>
      </c>
      <c r="O500">
        <v>1</v>
      </c>
      <c r="P500">
        <v>9.8699999999999992</v>
      </c>
    </row>
    <row r="501" spans="4:16" hidden="1" x14ac:dyDescent="0.25">
      <c r="D501" t="s">
        <v>1215</v>
      </c>
      <c r="E501" t="s">
        <v>135</v>
      </c>
      <c r="F501" t="s">
        <v>379</v>
      </c>
      <c r="G501" t="s">
        <v>379</v>
      </c>
      <c r="H501" t="s">
        <v>239</v>
      </c>
      <c r="I501" s="13">
        <v>41575</v>
      </c>
      <c r="J501">
        <v>10</v>
      </c>
      <c r="K501" t="s">
        <v>177</v>
      </c>
      <c r="L501" t="s">
        <v>139</v>
      </c>
      <c r="M501" t="s">
        <v>316</v>
      </c>
      <c r="N501" t="s">
        <v>1216</v>
      </c>
      <c r="O501">
        <v>1</v>
      </c>
      <c r="P501">
        <v>9.86</v>
      </c>
    </row>
    <row r="502" spans="4:16" x14ac:dyDescent="0.25">
      <c r="D502" t="s">
        <v>1217</v>
      </c>
      <c r="E502" t="s">
        <v>135</v>
      </c>
      <c r="F502" t="s">
        <v>181</v>
      </c>
      <c r="G502" t="s">
        <v>795</v>
      </c>
      <c r="H502" t="s">
        <v>1218</v>
      </c>
      <c r="I502" s="13">
        <v>41577</v>
      </c>
      <c r="J502">
        <v>10</v>
      </c>
      <c r="K502" t="s">
        <v>177</v>
      </c>
      <c r="L502" t="s">
        <v>139</v>
      </c>
      <c r="M502" t="s">
        <v>785</v>
      </c>
      <c r="N502" t="s">
        <v>1219</v>
      </c>
      <c r="O502">
        <v>1</v>
      </c>
      <c r="P502">
        <v>9.86</v>
      </c>
    </row>
    <row r="503" spans="4:16" hidden="1" x14ac:dyDescent="0.25">
      <c r="D503" t="s">
        <v>1220</v>
      </c>
      <c r="E503" t="s">
        <v>135</v>
      </c>
      <c r="F503" t="s">
        <v>379</v>
      </c>
      <c r="G503" t="s">
        <v>782</v>
      </c>
      <c r="H503" t="s">
        <v>239</v>
      </c>
      <c r="I503" s="13">
        <v>41582</v>
      </c>
      <c r="J503">
        <v>10</v>
      </c>
      <c r="K503" t="s">
        <v>177</v>
      </c>
      <c r="L503" t="s">
        <v>164</v>
      </c>
      <c r="M503" t="s">
        <v>945</v>
      </c>
      <c r="N503" t="s">
        <v>1221</v>
      </c>
      <c r="O503">
        <v>1</v>
      </c>
      <c r="P503">
        <v>9.84</v>
      </c>
    </row>
    <row r="504" spans="4:16" hidden="1" x14ac:dyDescent="0.25">
      <c r="D504" t="s">
        <v>1222</v>
      </c>
      <c r="E504" t="s">
        <v>135</v>
      </c>
      <c r="F504" t="s">
        <v>181</v>
      </c>
      <c r="G504" t="s">
        <v>795</v>
      </c>
      <c r="H504" t="s">
        <v>239</v>
      </c>
      <c r="I504" s="13">
        <v>41584</v>
      </c>
      <c r="J504">
        <v>10</v>
      </c>
      <c r="K504" t="s">
        <v>177</v>
      </c>
      <c r="L504" t="s">
        <v>139</v>
      </c>
      <c r="M504" t="s">
        <v>372</v>
      </c>
      <c r="N504" t="s">
        <v>1223</v>
      </c>
      <c r="O504">
        <v>1</v>
      </c>
      <c r="P504">
        <v>9.84</v>
      </c>
    </row>
    <row r="505" spans="4:16" hidden="1" x14ac:dyDescent="0.25">
      <c r="D505" t="s">
        <v>1224</v>
      </c>
      <c r="E505" t="s">
        <v>135</v>
      </c>
      <c r="F505" t="s">
        <v>379</v>
      </c>
      <c r="G505" t="s">
        <v>1041</v>
      </c>
      <c r="H505" t="s">
        <v>239</v>
      </c>
      <c r="I505" s="13">
        <v>41584</v>
      </c>
      <c r="J505">
        <v>10</v>
      </c>
      <c r="K505" t="s">
        <v>177</v>
      </c>
      <c r="L505" t="s">
        <v>139</v>
      </c>
      <c r="M505" t="s">
        <v>805</v>
      </c>
      <c r="N505" t="s">
        <v>1225</v>
      </c>
      <c r="O505">
        <v>1</v>
      </c>
      <c r="P505">
        <v>9.84</v>
      </c>
    </row>
    <row r="506" spans="4:16" hidden="1" x14ac:dyDescent="0.25">
      <c r="D506" t="s">
        <v>1226</v>
      </c>
      <c r="E506" t="s">
        <v>135</v>
      </c>
      <c r="F506" t="s">
        <v>181</v>
      </c>
      <c r="G506" t="s">
        <v>795</v>
      </c>
      <c r="H506" t="s">
        <v>239</v>
      </c>
      <c r="I506" s="13">
        <v>41582</v>
      </c>
      <c r="J506">
        <v>10</v>
      </c>
      <c r="K506" t="s">
        <v>145</v>
      </c>
      <c r="L506" t="s">
        <v>139</v>
      </c>
      <c r="M506" t="s">
        <v>240</v>
      </c>
      <c r="N506" t="s">
        <v>1227</v>
      </c>
      <c r="O506">
        <v>1</v>
      </c>
      <c r="P506">
        <v>9.84</v>
      </c>
    </row>
    <row r="507" spans="4:16" hidden="1" x14ac:dyDescent="0.25">
      <c r="D507" t="s">
        <v>1228</v>
      </c>
      <c r="E507" t="s">
        <v>135</v>
      </c>
      <c r="F507" t="s">
        <v>181</v>
      </c>
      <c r="G507" t="s">
        <v>795</v>
      </c>
      <c r="H507" t="s">
        <v>239</v>
      </c>
      <c r="I507" s="13">
        <v>41584</v>
      </c>
      <c r="J507">
        <v>10</v>
      </c>
      <c r="K507" t="s">
        <v>145</v>
      </c>
      <c r="L507" t="s">
        <v>139</v>
      </c>
      <c r="M507" t="s">
        <v>372</v>
      </c>
      <c r="N507" t="s">
        <v>1229</v>
      </c>
      <c r="O507">
        <v>1</v>
      </c>
      <c r="P507">
        <v>9.84</v>
      </c>
    </row>
    <row r="508" spans="4:16" hidden="1" x14ac:dyDescent="0.25">
      <c r="D508" t="s">
        <v>1230</v>
      </c>
      <c r="E508" t="s">
        <v>135</v>
      </c>
      <c r="F508" t="s">
        <v>379</v>
      </c>
      <c r="G508" t="s">
        <v>1041</v>
      </c>
      <c r="H508" t="s">
        <v>239</v>
      </c>
      <c r="I508" s="13">
        <v>41584</v>
      </c>
      <c r="J508">
        <v>10</v>
      </c>
      <c r="K508" t="s">
        <v>177</v>
      </c>
      <c r="L508" t="s">
        <v>139</v>
      </c>
      <c r="M508" t="s">
        <v>805</v>
      </c>
      <c r="N508" t="s">
        <v>1231</v>
      </c>
      <c r="O508">
        <v>1</v>
      </c>
      <c r="P508">
        <v>9.84</v>
      </c>
    </row>
    <row r="509" spans="4:16" hidden="1" x14ac:dyDescent="0.25">
      <c r="D509" t="s">
        <v>1232</v>
      </c>
      <c r="E509" t="s">
        <v>135</v>
      </c>
      <c r="F509" t="s">
        <v>149</v>
      </c>
      <c r="G509" t="s">
        <v>150</v>
      </c>
      <c r="H509" t="s">
        <v>239</v>
      </c>
      <c r="I509" s="13">
        <v>41582</v>
      </c>
      <c r="J509">
        <v>10</v>
      </c>
      <c r="K509" t="s">
        <v>177</v>
      </c>
      <c r="L509" t="s">
        <v>139</v>
      </c>
      <c r="M509" t="s">
        <v>1233</v>
      </c>
      <c r="N509" t="s">
        <v>1234</v>
      </c>
      <c r="O509">
        <v>1</v>
      </c>
      <c r="P509">
        <v>9.84</v>
      </c>
    </row>
    <row r="510" spans="4:16" hidden="1" x14ac:dyDescent="0.25">
      <c r="D510" t="s">
        <v>1235</v>
      </c>
      <c r="E510" t="s">
        <v>135</v>
      </c>
      <c r="F510" t="s">
        <v>181</v>
      </c>
      <c r="G510" t="s">
        <v>795</v>
      </c>
      <c r="H510" t="s">
        <v>239</v>
      </c>
      <c r="I510" s="13">
        <v>41584</v>
      </c>
      <c r="J510">
        <v>10</v>
      </c>
      <c r="K510" t="s">
        <v>177</v>
      </c>
      <c r="L510" t="s">
        <v>139</v>
      </c>
      <c r="M510" t="s">
        <v>372</v>
      </c>
      <c r="N510" t="s">
        <v>1236</v>
      </c>
      <c r="O510">
        <v>1</v>
      </c>
      <c r="P510">
        <v>9.84</v>
      </c>
    </row>
    <row r="511" spans="4:16" hidden="1" x14ac:dyDescent="0.25">
      <c r="D511" t="s">
        <v>1237</v>
      </c>
      <c r="E511" t="s">
        <v>135</v>
      </c>
      <c r="F511" t="s">
        <v>379</v>
      </c>
      <c r="G511" t="s">
        <v>1041</v>
      </c>
      <c r="H511" t="s">
        <v>239</v>
      </c>
      <c r="I511" s="13">
        <v>41584</v>
      </c>
      <c r="J511">
        <v>10</v>
      </c>
      <c r="K511" t="s">
        <v>177</v>
      </c>
      <c r="L511" t="s">
        <v>139</v>
      </c>
      <c r="M511" t="s">
        <v>805</v>
      </c>
      <c r="N511" t="s">
        <v>1238</v>
      </c>
      <c r="O511">
        <v>1</v>
      </c>
      <c r="P511">
        <v>9.84</v>
      </c>
    </row>
    <row r="512" spans="4:16" hidden="1" x14ac:dyDescent="0.25">
      <c r="D512" t="s">
        <v>1239</v>
      </c>
      <c r="E512" t="s">
        <v>135</v>
      </c>
      <c r="F512" t="s">
        <v>379</v>
      </c>
      <c r="G512" t="s">
        <v>1041</v>
      </c>
      <c r="H512" t="s">
        <v>239</v>
      </c>
      <c r="I512" s="13">
        <v>41584</v>
      </c>
      <c r="J512">
        <v>10</v>
      </c>
      <c r="K512" t="s">
        <v>177</v>
      </c>
      <c r="L512" t="s">
        <v>139</v>
      </c>
      <c r="M512" t="s">
        <v>805</v>
      </c>
      <c r="N512" t="s">
        <v>1240</v>
      </c>
      <c r="O512">
        <v>1</v>
      </c>
      <c r="P512">
        <v>9.84</v>
      </c>
    </row>
    <row r="513" spans="4:16" hidden="1" x14ac:dyDescent="0.25">
      <c r="D513" t="s">
        <v>1241</v>
      </c>
      <c r="E513" t="s">
        <v>135</v>
      </c>
      <c r="F513" t="s">
        <v>379</v>
      </c>
      <c r="G513" t="s">
        <v>1041</v>
      </c>
      <c r="H513" t="s">
        <v>239</v>
      </c>
      <c r="I513" s="13">
        <v>41584</v>
      </c>
      <c r="J513">
        <v>10</v>
      </c>
      <c r="K513" t="s">
        <v>177</v>
      </c>
      <c r="L513" t="s">
        <v>139</v>
      </c>
      <c r="M513" t="s">
        <v>805</v>
      </c>
      <c r="N513" t="s">
        <v>1242</v>
      </c>
      <c r="O513">
        <v>1</v>
      </c>
      <c r="P513">
        <v>9.84</v>
      </c>
    </row>
    <row r="514" spans="4:16" hidden="1" x14ac:dyDescent="0.25">
      <c r="D514" t="s">
        <v>1243</v>
      </c>
      <c r="E514" t="s">
        <v>135</v>
      </c>
      <c r="F514" t="s">
        <v>379</v>
      </c>
      <c r="G514" t="s">
        <v>1244</v>
      </c>
      <c r="H514" t="s">
        <v>239</v>
      </c>
      <c r="I514" s="13">
        <v>41584</v>
      </c>
      <c r="J514">
        <v>10</v>
      </c>
      <c r="K514" t="s">
        <v>177</v>
      </c>
      <c r="L514" t="s">
        <v>139</v>
      </c>
      <c r="M514" t="s">
        <v>398</v>
      </c>
      <c r="N514" t="s">
        <v>1245</v>
      </c>
      <c r="O514">
        <v>1</v>
      </c>
      <c r="P514">
        <v>9.84</v>
      </c>
    </row>
    <row r="515" spans="4:16" hidden="1" x14ac:dyDescent="0.25">
      <c r="D515" t="s">
        <v>1246</v>
      </c>
      <c r="E515" t="s">
        <v>135</v>
      </c>
      <c r="F515" t="s">
        <v>1247</v>
      </c>
      <c r="G515" t="s">
        <v>905</v>
      </c>
      <c r="H515" t="s">
        <v>239</v>
      </c>
      <c r="I515" s="13">
        <v>41582</v>
      </c>
      <c r="J515">
        <v>10</v>
      </c>
      <c r="K515" t="s">
        <v>177</v>
      </c>
      <c r="L515" t="s">
        <v>139</v>
      </c>
      <c r="M515" t="s">
        <v>945</v>
      </c>
      <c r="N515" t="s">
        <v>1248</v>
      </c>
      <c r="O515">
        <v>1</v>
      </c>
      <c r="P515">
        <v>9.84</v>
      </c>
    </row>
    <row r="516" spans="4:16" hidden="1" x14ac:dyDescent="0.25">
      <c r="D516" t="s">
        <v>1249</v>
      </c>
      <c r="E516" t="s">
        <v>135</v>
      </c>
      <c r="F516" t="s">
        <v>379</v>
      </c>
      <c r="G516" t="s">
        <v>782</v>
      </c>
      <c r="H516" t="s">
        <v>239</v>
      </c>
      <c r="I516" s="13">
        <v>41582</v>
      </c>
      <c r="J516">
        <v>10</v>
      </c>
      <c r="K516" t="s">
        <v>177</v>
      </c>
      <c r="L516" t="s">
        <v>139</v>
      </c>
      <c r="M516" t="s">
        <v>468</v>
      </c>
      <c r="N516" t="s">
        <v>1250</v>
      </c>
      <c r="O516">
        <v>1</v>
      </c>
      <c r="P516">
        <v>9.84</v>
      </c>
    </row>
    <row r="517" spans="4:16" hidden="1" x14ac:dyDescent="0.25">
      <c r="D517" t="s">
        <v>1251</v>
      </c>
      <c r="E517" t="s">
        <v>135</v>
      </c>
      <c r="F517" t="s">
        <v>379</v>
      </c>
      <c r="G517" t="s">
        <v>1252</v>
      </c>
      <c r="H517" t="s">
        <v>239</v>
      </c>
      <c r="I517" s="13">
        <v>41586</v>
      </c>
      <c r="J517">
        <v>10</v>
      </c>
      <c r="K517" t="s">
        <v>177</v>
      </c>
      <c r="L517" t="s">
        <v>139</v>
      </c>
      <c r="M517" t="s">
        <v>183</v>
      </c>
      <c r="N517" t="s">
        <v>1253</v>
      </c>
      <c r="O517">
        <v>1</v>
      </c>
      <c r="P517">
        <v>9.83</v>
      </c>
    </row>
    <row r="518" spans="4:16" hidden="1" x14ac:dyDescent="0.25">
      <c r="D518" t="s">
        <v>1254</v>
      </c>
      <c r="E518" t="s">
        <v>135</v>
      </c>
      <c r="F518" t="s">
        <v>149</v>
      </c>
      <c r="G518" t="s">
        <v>150</v>
      </c>
      <c r="H518" t="s">
        <v>239</v>
      </c>
      <c r="I518" s="13">
        <v>41586</v>
      </c>
      <c r="J518">
        <v>10</v>
      </c>
      <c r="K518" t="s">
        <v>177</v>
      </c>
      <c r="L518" t="s">
        <v>139</v>
      </c>
      <c r="M518" t="s">
        <v>186</v>
      </c>
      <c r="N518" t="s">
        <v>1255</v>
      </c>
      <c r="O518">
        <v>1</v>
      </c>
      <c r="P518">
        <v>9.83</v>
      </c>
    </row>
    <row r="519" spans="4:16" hidden="1" x14ac:dyDescent="0.25">
      <c r="D519" t="s">
        <v>1256</v>
      </c>
      <c r="E519" t="s">
        <v>135</v>
      </c>
      <c r="F519" t="s">
        <v>149</v>
      </c>
      <c r="G519" t="s">
        <v>688</v>
      </c>
      <c r="H519" t="s">
        <v>239</v>
      </c>
      <c r="I519" s="13">
        <v>41586</v>
      </c>
      <c r="J519">
        <v>10</v>
      </c>
      <c r="K519" t="s">
        <v>177</v>
      </c>
      <c r="L519" t="s">
        <v>139</v>
      </c>
      <c r="M519" t="s">
        <v>186</v>
      </c>
      <c r="N519" t="s">
        <v>1257</v>
      </c>
      <c r="O519">
        <v>1</v>
      </c>
      <c r="P519">
        <v>9.83</v>
      </c>
    </row>
    <row r="520" spans="4:16" hidden="1" x14ac:dyDescent="0.25">
      <c r="D520" t="s">
        <v>1258</v>
      </c>
      <c r="E520" t="s">
        <v>135</v>
      </c>
      <c r="F520" t="s">
        <v>181</v>
      </c>
      <c r="G520" t="s">
        <v>795</v>
      </c>
      <c r="H520" t="s">
        <v>239</v>
      </c>
      <c r="I520" s="13">
        <v>41586</v>
      </c>
      <c r="J520">
        <v>10</v>
      </c>
      <c r="K520" t="s">
        <v>177</v>
      </c>
      <c r="L520" t="s">
        <v>139</v>
      </c>
      <c r="M520" t="s">
        <v>284</v>
      </c>
      <c r="N520" t="s">
        <v>1259</v>
      </c>
      <c r="O520">
        <v>1</v>
      </c>
      <c r="P520">
        <v>9.83</v>
      </c>
    </row>
    <row r="521" spans="4:16" hidden="1" x14ac:dyDescent="0.25">
      <c r="D521" t="s">
        <v>1260</v>
      </c>
      <c r="E521" t="s">
        <v>135</v>
      </c>
      <c r="F521" t="s">
        <v>379</v>
      </c>
      <c r="G521" t="s">
        <v>1252</v>
      </c>
      <c r="H521" t="s">
        <v>239</v>
      </c>
      <c r="I521" s="13">
        <v>41586</v>
      </c>
      <c r="J521">
        <v>10</v>
      </c>
      <c r="K521" t="s">
        <v>177</v>
      </c>
      <c r="L521" t="s">
        <v>139</v>
      </c>
      <c r="M521" t="s">
        <v>647</v>
      </c>
      <c r="N521" t="s">
        <v>1261</v>
      </c>
      <c r="O521">
        <v>1</v>
      </c>
      <c r="P521">
        <v>9.83</v>
      </c>
    </row>
    <row r="522" spans="4:16" hidden="1" x14ac:dyDescent="0.25">
      <c r="D522" t="s">
        <v>1262</v>
      </c>
      <c r="E522" t="s">
        <v>135</v>
      </c>
      <c r="F522" t="s">
        <v>181</v>
      </c>
      <c r="G522" t="s">
        <v>181</v>
      </c>
      <c r="H522" t="s">
        <v>239</v>
      </c>
      <c r="I522" s="13">
        <v>41586</v>
      </c>
      <c r="J522">
        <v>10</v>
      </c>
      <c r="K522" t="s">
        <v>177</v>
      </c>
      <c r="L522" t="s">
        <v>139</v>
      </c>
      <c r="M522" t="s">
        <v>140</v>
      </c>
      <c r="N522" t="s">
        <v>1263</v>
      </c>
      <c r="O522">
        <v>1</v>
      </c>
      <c r="P522">
        <v>9.83</v>
      </c>
    </row>
    <row r="523" spans="4:16" hidden="1" x14ac:dyDescent="0.25">
      <c r="D523" t="s">
        <v>1264</v>
      </c>
      <c r="E523" t="s">
        <v>135</v>
      </c>
      <c r="F523" t="s">
        <v>143</v>
      </c>
      <c r="G523" t="s">
        <v>1054</v>
      </c>
      <c r="H523" t="s">
        <v>239</v>
      </c>
      <c r="I523" s="13">
        <v>41591</v>
      </c>
      <c r="J523">
        <v>10</v>
      </c>
      <c r="K523" t="s">
        <v>177</v>
      </c>
      <c r="L523" t="s">
        <v>139</v>
      </c>
      <c r="M523" t="s">
        <v>264</v>
      </c>
      <c r="N523" t="s">
        <v>1265</v>
      </c>
      <c r="O523">
        <v>1</v>
      </c>
      <c r="P523">
        <v>9.82</v>
      </c>
    </row>
    <row r="524" spans="4:16" hidden="1" x14ac:dyDescent="0.25">
      <c r="D524" t="s">
        <v>1266</v>
      </c>
      <c r="E524" t="s">
        <v>135</v>
      </c>
      <c r="F524" t="s">
        <v>379</v>
      </c>
      <c r="G524" t="s">
        <v>782</v>
      </c>
      <c r="H524" t="s">
        <v>239</v>
      </c>
      <c r="I524" s="13">
        <v>41593</v>
      </c>
      <c r="J524">
        <v>10</v>
      </c>
      <c r="K524" t="s">
        <v>177</v>
      </c>
      <c r="L524" t="s">
        <v>139</v>
      </c>
      <c r="M524" t="s">
        <v>268</v>
      </c>
      <c r="N524" t="s">
        <v>1267</v>
      </c>
      <c r="O524">
        <v>1</v>
      </c>
      <c r="P524">
        <v>9.81</v>
      </c>
    </row>
    <row r="525" spans="4:16" hidden="1" x14ac:dyDescent="0.25">
      <c r="D525" t="s">
        <v>1268</v>
      </c>
      <c r="E525" t="s">
        <v>135</v>
      </c>
      <c r="F525" t="s">
        <v>379</v>
      </c>
      <c r="G525" t="s">
        <v>1252</v>
      </c>
      <c r="H525" t="s">
        <v>239</v>
      </c>
      <c r="I525" s="13">
        <v>41596</v>
      </c>
      <c r="J525">
        <v>10</v>
      </c>
      <c r="K525" t="s">
        <v>177</v>
      </c>
      <c r="L525" t="s">
        <v>139</v>
      </c>
      <c r="M525" t="s">
        <v>183</v>
      </c>
      <c r="N525" t="s">
        <v>1269</v>
      </c>
      <c r="O525">
        <v>1</v>
      </c>
      <c r="P525">
        <v>9.81</v>
      </c>
    </row>
    <row r="526" spans="4:16" hidden="1" x14ac:dyDescent="0.25">
      <c r="D526" t="s">
        <v>1270</v>
      </c>
      <c r="E526" t="s">
        <v>135</v>
      </c>
      <c r="F526" t="s">
        <v>379</v>
      </c>
      <c r="G526" t="s">
        <v>380</v>
      </c>
      <c r="H526" t="s">
        <v>239</v>
      </c>
      <c r="I526" s="13">
        <v>41593</v>
      </c>
      <c r="J526">
        <v>10</v>
      </c>
      <c r="K526" t="s">
        <v>177</v>
      </c>
      <c r="L526" t="s">
        <v>139</v>
      </c>
      <c r="M526" t="s">
        <v>268</v>
      </c>
      <c r="N526" t="s">
        <v>1271</v>
      </c>
      <c r="O526">
        <v>1</v>
      </c>
      <c r="P526">
        <v>9.81</v>
      </c>
    </row>
    <row r="527" spans="4:16" hidden="1" x14ac:dyDescent="0.25">
      <c r="D527" t="s">
        <v>1272</v>
      </c>
      <c r="E527" t="s">
        <v>135</v>
      </c>
      <c r="F527" t="s">
        <v>1273</v>
      </c>
      <c r="G527" t="s">
        <v>380</v>
      </c>
      <c r="H527" t="s">
        <v>239</v>
      </c>
      <c r="I527" s="13">
        <v>41593</v>
      </c>
      <c r="J527">
        <v>10</v>
      </c>
      <c r="K527" t="s">
        <v>177</v>
      </c>
      <c r="L527" t="s">
        <v>139</v>
      </c>
      <c r="M527" t="s">
        <v>268</v>
      </c>
      <c r="N527" t="s">
        <v>1274</v>
      </c>
      <c r="O527">
        <v>1</v>
      </c>
      <c r="P527">
        <v>9.81</v>
      </c>
    </row>
    <row r="528" spans="4:16" hidden="1" x14ac:dyDescent="0.25">
      <c r="D528" t="s">
        <v>1272</v>
      </c>
      <c r="E528" t="s">
        <v>135</v>
      </c>
      <c r="F528" t="s">
        <v>1273</v>
      </c>
      <c r="G528" t="s">
        <v>380</v>
      </c>
      <c r="H528" t="s">
        <v>239</v>
      </c>
      <c r="I528" s="13">
        <v>41593</v>
      </c>
      <c r="J528">
        <v>10</v>
      </c>
      <c r="K528" t="s">
        <v>145</v>
      </c>
      <c r="L528" t="s">
        <v>139</v>
      </c>
      <c r="M528" t="s">
        <v>268</v>
      </c>
      <c r="N528" t="s">
        <v>1274</v>
      </c>
      <c r="O528">
        <v>1</v>
      </c>
      <c r="P528">
        <v>9.81</v>
      </c>
    </row>
    <row r="529" spans="4:16" hidden="1" x14ac:dyDescent="0.25">
      <c r="D529" t="s">
        <v>1275</v>
      </c>
      <c r="E529" t="s">
        <v>135</v>
      </c>
      <c r="F529" t="s">
        <v>379</v>
      </c>
      <c r="G529" t="s">
        <v>380</v>
      </c>
      <c r="H529" t="s">
        <v>239</v>
      </c>
      <c r="I529" s="13">
        <v>41593</v>
      </c>
      <c r="J529">
        <v>10</v>
      </c>
      <c r="K529" t="s">
        <v>177</v>
      </c>
      <c r="L529" t="s">
        <v>139</v>
      </c>
      <c r="M529" t="s">
        <v>268</v>
      </c>
      <c r="N529" t="s">
        <v>1276</v>
      </c>
      <c r="O529">
        <v>1</v>
      </c>
      <c r="P529">
        <v>9.81</v>
      </c>
    </row>
    <row r="530" spans="4:16" hidden="1" x14ac:dyDescent="0.25">
      <c r="D530" t="s">
        <v>1277</v>
      </c>
      <c r="E530" t="s">
        <v>135</v>
      </c>
      <c r="F530" t="s">
        <v>143</v>
      </c>
      <c r="G530" t="s">
        <v>611</v>
      </c>
      <c r="H530" t="s">
        <v>239</v>
      </c>
      <c r="I530" s="13">
        <v>41599</v>
      </c>
      <c r="J530">
        <v>10</v>
      </c>
      <c r="K530" t="s">
        <v>177</v>
      </c>
      <c r="L530" t="s">
        <v>139</v>
      </c>
      <c r="M530" t="s">
        <v>316</v>
      </c>
      <c r="N530" t="s">
        <v>1278</v>
      </c>
      <c r="O530">
        <v>1</v>
      </c>
      <c r="P530">
        <v>9.8000000000000007</v>
      </c>
    </row>
    <row r="531" spans="4:16" hidden="1" x14ac:dyDescent="0.25">
      <c r="D531" t="s">
        <v>1279</v>
      </c>
      <c r="E531" t="s">
        <v>135</v>
      </c>
      <c r="F531" t="s">
        <v>379</v>
      </c>
      <c r="G531" t="s">
        <v>782</v>
      </c>
      <c r="H531" t="s">
        <v>239</v>
      </c>
      <c r="I531" s="13">
        <v>41600</v>
      </c>
      <c r="J531">
        <v>10</v>
      </c>
      <c r="K531" t="s">
        <v>177</v>
      </c>
      <c r="L531" t="s">
        <v>139</v>
      </c>
      <c r="M531" t="s">
        <v>1233</v>
      </c>
      <c r="N531" t="s">
        <v>1280</v>
      </c>
      <c r="O531">
        <v>1</v>
      </c>
      <c r="P531">
        <v>9.8000000000000007</v>
      </c>
    </row>
    <row r="532" spans="4:16" hidden="1" x14ac:dyDescent="0.25">
      <c r="D532" t="s">
        <v>1281</v>
      </c>
      <c r="E532" t="s">
        <v>135</v>
      </c>
      <c r="F532" t="s">
        <v>143</v>
      </c>
      <c r="G532" t="s">
        <v>1282</v>
      </c>
      <c r="H532" t="s">
        <v>239</v>
      </c>
      <c r="I532" s="13">
        <v>41604</v>
      </c>
      <c r="J532">
        <v>10</v>
      </c>
      <c r="K532" t="s">
        <v>145</v>
      </c>
      <c r="L532" t="s">
        <v>164</v>
      </c>
      <c r="M532" t="s">
        <v>712</v>
      </c>
      <c r="N532" t="s">
        <v>1283</v>
      </c>
      <c r="O532">
        <v>1</v>
      </c>
      <c r="P532">
        <v>9.7799999999999994</v>
      </c>
    </row>
    <row r="533" spans="4:16" hidden="1" x14ac:dyDescent="0.25">
      <c r="D533" t="s">
        <v>1284</v>
      </c>
      <c r="E533" t="s">
        <v>135</v>
      </c>
      <c r="F533" t="s">
        <v>379</v>
      </c>
      <c r="G533" t="s">
        <v>782</v>
      </c>
      <c r="H533" t="s">
        <v>239</v>
      </c>
      <c r="I533" s="13">
        <v>41606</v>
      </c>
      <c r="J533">
        <v>10</v>
      </c>
      <c r="K533" t="s">
        <v>177</v>
      </c>
      <c r="L533" t="s">
        <v>139</v>
      </c>
      <c r="M533" t="s">
        <v>204</v>
      </c>
      <c r="N533" t="s">
        <v>1285</v>
      </c>
      <c r="O533">
        <v>1</v>
      </c>
      <c r="P533">
        <v>9.7799999999999994</v>
      </c>
    </row>
    <row r="534" spans="4:16" hidden="1" x14ac:dyDescent="0.25">
      <c r="D534" t="s">
        <v>1286</v>
      </c>
      <c r="E534" t="s">
        <v>135</v>
      </c>
      <c r="F534" t="s">
        <v>379</v>
      </c>
      <c r="G534" t="s">
        <v>1252</v>
      </c>
      <c r="H534" t="s">
        <v>239</v>
      </c>
      <c r="I534" s="13">
        <v>41604</v>
      </c>
      <c r="J534">
        <v>10</v>
      </c>
      <c r="K534" t="s">
        <v>177</v>
      </c>
      <c r="L534" t="s">
        <v>139</v>
      </c>
      <c r="M534" t="s">
        <v>183</v>
      </c>
      <c r="N534" t="s">
        <v>1287</v>
      </c>
      <c r="O534">
        <v>1</v>
      </c>
      <c r="P534">
        <v>9.7799999999999994</v>
      </c>
    </row>
    <row r="535" spans="4:16" x14ac:dyDescent="0.25">
      <c r="D535" t="s">
        <v>1288</v>
      </c>
      <c r="E535" t="s">
        <v>135</v>
      </c>
      <c r="F535" t="s">
        <v>656</v>
      </c>
      <c r="G535" t="s">
        <v>656</v>
      </c>
      <c r="H535" t="s">
        <v>1218</v>
      </c>
      <c r="I535" s="13">
        <v>41610</v>
      </c>
      <c r="J535">
        <v>10</v>
      </c>
      <c r="K535" t="s">
        <v>177</v>
      </c>
      <c r="L535" t="s">
        <v>139</v>
      </c>
      <c r="M535" t="s">
        <v>140</v>
      </c>
      <c r="N535" t="s">
        <v>1289</v>
      </c>
      <c r="O535">
        <v>1</v>
      </c>
      <c r="P535">
        <v>9.77</v>
      </c>
    </row>
    <row r="536" spans="4:16" hidden="1" x14ac:dyDescent="0.25">
      <c r="D536" t="s">
        <v>1290</v>
      </c>
      <c r="E536" t="s">
        <v>135</v>
      </c>
      <c r="F536" t="s">
        <v>149</v>
      </c>
      <c r="G536" t="s">
        <v>150</v>
      </c>
      <c r="H536" t="s">
        <v>239</v>
      </c>
      <c r="I536" s="13">
        <v>41614</v>
      </c>
      <c r="J536">
        <v>10</v>
      </c>
      <c r="K536" t="s">
        <v>177</v>
      </c>
      <c r="L536" t="s">
        <v>139</v>
      </c>
      <c r="M536" t="s">
        <v>431</v>
      </c>
      <c r="N536" t="s">
        <v>1291</v>
      </c>
      <c r="O536">
        <v>1</v>
      </c>
      <c r="P536">
        <v>9.76</v>
      </c>
    </row>
    <row r="537" spans="4:16" hidden="1" x14ac:dyDescent="0.25">
      <c r="D537" t="s">
        <v>1292</v>
      </c>
      <c r="E537" t="s">
        <v>135</v>
      </c>
      <c r="F537" t="s">
        <v>173</v>
      </c>
      <c r="G537" t="s">
        <v>150</v>
      </c>
      <c r="H537" t="s">
        <v>239</v>
      </c>
      <c r="I537" s="13">
        <v>41614</v>
      </c>
      <c r="J537">
        <v>10</v>
      </c>
      <c r="K537" t="s">
        <v>145</v>
      </c>
      <c r="L537" t="s">
        <v>139</v>
      </c>
      <c r="M537" t="s">
        <v>431</v>
      </c>
      <c r="N537" t="s">
        <v>1293</v>
      </c>
      <c r="O537">
        <v>1</v>
      </c>
      <c r="P537">
        <v>9.76</v>
      </c>
    </row>
    <row r="538" spans="4:16" hidden="1" x14ac:dyDescent="0.25">
      <c r="D538" t="s">
        <v>1294</v>
      </c>
      <c r="E538" t="s">
        <v>135</v>
      </c>
      <c r="F538" t="s">
        <v>149</v>
      </c>
      <c r="G538" t="s">
        <v>1295</v>
      </c>
      <c r="H538" t="s">
        <v>239</v>
      </c>
      <c r="I538" s="13">
        <v>41614</v>
      </c>
      <c r="J538">
        <v>10</v>
      </c>
      <c r="K538" t="s">
        <v>177</v>
      </c>
      <c r="L538" t="s">
        <v>139</v>
      </c>
      <c r="M538" t="s">
        <v>1296</v>
      </c>
      <c r="N538" t="s">
        <v>1297</v>
      </c>
      <c r="O538">
        <v>1</v>
      </c>
      <c r="P538">
        <v>9.76</v>
      </c>
    </row>
    <row r="539" spans="4:16" hidden="1" x14ac:dyDescent="0.25">
      <c r="D539" t="s">
        <v>1298</v>
      </c>
      <c r="E539" t="s">
        <v>135</v>
      </c>
      <c r="F539" t="s">
        <v>149</v>
      </c>
      <c r="G539" t="s">
        <v>149</v>
      </c>
      <c r="H539" t="s">
        <v>239</v>
      </c>
      <c r="I539" s="13">
        <v>41614</v>
      </c>
      <c r="J539">
        <v>10</v>
      </c>
      <c r="K539" t="s">
        <v>145</v>
      </c>
      <c r="L539" t="s">
        <v>139</v>
      </c>
      <c r="M539" t="s">
        <v>1296</v>
      </c>
      <c r="N539" t="s">
        <v>1299</v>
      </c>
      <c r="O539">
        <v>1</v>
      </c>
      <c r="P539">
        <v>9.76</v>
      </c>
    </row>
    <row r="540" spans="4:16" hidden="1" x14ac:dyDescent="0.25">
      <c r="D540" t="s">
        <v>1298</v>
      </c>
      <c r="E540" t="s">
        <v>135</v>
      </c>
      <c r="F540" t="s">
        <v>149</v>
      </c>
      <c r="G540" t="s">
        <v>149</v>
      </c>
      <c r="H540" t="s">
        <v>239</v>
      </c>
      <c r="I540" s="13">
        <v>41614</v>
      </c>
      <c r="J540">
        <v>10</v>
      </c>
      <c r="K540" t="s">
        <v>145</v>
      </c>
      <c r="L540" t="s">
        <v>139</v>
      </c>
      <c r="M540" t="s">
        <v>1296</v>
      </c>
      <c r="N540" t="s">
        <v>1299</v>
      </c>
      <c r="O540">
        <v>1</v>
      </c>
      <c r="P540">
        <v>9.76</v>
      </c>
    </row>
    <row r="541" spans="4:16" hidden="1" x14ac:dyDescent="0.25">
      <c r="D541" t="s">
        <v>1300</v>
      </c>
      <c r="E541" t="s">
        <v>135</v>
      </c>
      <c r="F541" t="s">
        <v>181</v>
      </c>
      <c r="G541" t="s">
        <v>795</v>
      </c>
      <c r="H541" t="s">
        <v>239</v>
      </c>
      <c r="I541" s="13">
        <v>41611</v>
      </c>
      <c r="J541">
        <v>10</v>
      </c>
      <c r="K541" t="s">
        <v>177</v>
      </c>
      <c r="L541" t="s">
        <v>139</v>
      </c>
      <c r="M541" t="s">
        <v>1189</v>
      </c>
      <c r="N541" t="s">
        <v>1301</v>
      </c>
      <c r="O541">
        <v>1</v>
      </c>
      <c r="P541">
        <v>9.76</v>
      </c>
    </row>
    <row r="542" spans="4:16" hidden="1" x14ac:dyDescent="0.25">
      <c r="D542" t="s">
        <v>1302</v>
      </c>
      <c r="E542" t="s">
        <v>135</v>
      </c>
      <c r="F542" t="s">
        <v>181</v>
      </c>
      <c r="G542" t="s">
        <v>795</v>
      </c>
      <c r="H542" t="s">
        <v>239</v>
      </c>
      <c r="I542" s="13">
        <v>41612</v>
      </c>
      <c r="J542">
        <v>10</v>
      </c>
      <c r="K542" t="s">
        <v>177</v>
      </c>
      <c r="L542" t="s">
        <v>139</v>
      </c>
      <c r="M542" t="s">
        <v>391</v>
      </c>
      <c r="N542" t="s">
        <v>1303</v>
      </c>
      <c r="O542">
        <v>1</v>
      </c>
      <c r="P542">
        <v>9.76</v>
      </c>
    </row>
    <row r="543" spans="4:16" hidden="1" x14ac:dyDescent="0.25">
      <c r="D543" t="s">
        <v>1304</v>
      </c>
      <c r="E543" t="s">
        <v>135</v>
      </c>
      <c r="F543" t="s">
        <v>149</v>
      </c>
      <c r="G543" t="s">
        <v>150</v>
      </c>
      <c r="H543" t="s">
        <v>239</v>
      </c>
      <c r="I543" s="13">
        <v>41613</v>
      </c>
      <c r="J543">
        <v>10</v>
      </c>
      <c r="K543" t="s">
        <v>145</v>
      </c>
      <c r="L543" t="s">
        <v>139</v>
      </c>
      <c r="M543" t="s">
        <v>785</v>
      </c>
      <c r="N543" t="s">
        <v>1305</v>
      </c>
      <c r="O543">
        <v>1</v>
      </c>
      <c r="P543">
        <v>9.76</v>
      </c>
    </row>
    <row r="544" spans="4:16" hidden="1" x14ac:dyDescent="0.25">
      <c r="D544" t="s">
        <v>1306</v>
      </c>
      <c r="E544" t="s">
        <v>135</v>
      </c>
      <c r="F544" t="s">
        <v>181</v>
      </c>
      <c r="G544" t="s">
        <v>795</v>
      </c>
      <c r="H544" t="s">
        <v>239</v>
      </c>
      <c r="I544" s="13">
        <v>41611</v>
      </c>
      <c r="J544">
        <v>10</v>
      </c>
      <c r="K544" t="s">
        <v>177</v>
      </c>
      <c r="L544" t="s">
        <v>139</v>
      </c>
      <c r="M544" t="s">
        <v>982</v>
      </c>
      <c r="N544" t="s">
        <v>1307</v>
      </c>
      <c r="O544">
        <v>1</v>
      </c>
      <c r="P544">
        <v>9.76</v>
      </c>
    </row>
    <row r="545" spans="4:16" hidden="1" x14ac:dyDescent="0.25">
      <c r="D545" t="s">
        <v>1308</v>
      </c>
      <c r="E545" t="s">
        <v>135</v>
      </c>
      <c r="F545" t="s">
        <v>181</v>
      </c>
      <c r="G545" t="s">
        <v>795</v>
      </c>
      <c r="H545" t="s">
        <v>239</v>
      </c>
      <c r="I545" s="13">
        <v>41620</v>
      </c>
      <c r="J545">
        <v>10</v>
      </c>
      <c r="K545" t="s">
        <v>177</v>
      </c>
      <c r="L545" t="s">
        <v>139</v>
      </c>
      <c r="M545" t="s">
        <v>785</v>
      </c>
      <c r="N545" t="s">
        <v>1309</v>
      </c>
      <c r="O545">
        <v>1</v>
      </c>
      <c r="P545">
        <v>9.74</v>
      </c>
    </row>
    <row r="546" spans="4:16" hidden="1" x14ac:dyDescent="0.25">
      <c r="D546" t="s">
        <v>1310</v>
      </c>
      <c r="E546" t="s">
        <v>135</v>
      </c>
      <c r="F546" t="s">
        <v>143</v>
      </c>
      <c r="G546" t="s">
        <v>1311</v>
      </c>
      <c r="H546" t="s">
        <v>239</v>
      </c>
      <c r="I546" s="13">
        <v>41628</v>
      </c>
      <c r="J546">
        <v>10</v>
      </c>
      <c r="K546" t="s">
        <v>145</v>
      </c>
      <c r="L546" t="s">
        <v>139</v>
      </c>
      <c r="M546" t="s">
        <v>712</v>
      </c>
      <c r="N546" t="s">
        <v>1312</v>
      </c>
      <c r="O546">
        <v>1</v>
      </c>
      <c r="P546">
        <v>9.7200000000000006</v>
      </c>
    </row>
    <row r="547" spans="4:16" hidden="1" x14ac:dyDescent="0.25">
      <c r="D547" t="s">
        <v>1313</v>
      </c>
      <c r="E547" t="s">
        <v>135</v>
      </c>
      <c r="F547" t="s">
        <v>149</v>
      </c>
      <c r="G547" t="s">
        <v>150</v>
      </c>
      <c r="H547" t="s">
        <v>239</v>
      </c>
      <c r="I547" s="13">
        <v>41631</v>
      </c>
      <c r="J547">
        <v>10</v>
      </c>
      <c r="K547" t="s">
        <v>177</v>
      </c>
      <c r="L547" t="s">
        <v>139</v>
      </c>
      <c r="M547" t="s">
        <v>193</v>
      </c>
      <c r="N547" t="s">
        <v>1314</v>
      </c>
      <c r="O547">
        <v>1</v>
      </c>
      <c r="P547">
        <v>9.7100000000000009</v>
      </c>
    </row>
    <row r="548" spans="4:16" hidden="1" x14ac:dyDescent="0.25">
      <c r="D548" t="s">
        <v>1315</v>
      </c>
      <c r="E548" t="s">
        <v>135</v>
      </c>
      <c r="F548" t="s">
        <v>149</v>
      </c>
      <c r="G548" t="s">
        <v>150</v>
      </c>
      <c r="H548" t="s">
        <v>239</v>
      </c>
      <c r="I548" s="13">
        <v>41631</v>
      </c>
      <c r="J548">
        <v>10</v>
      </c>
      <c r="K548" t="s">
        <v>177</v>
      </c>
      <c r="L548" t="s">
        <v>139</v>
      </c>
      <c r="M548" t="s">
        <v>193</v>
      </c>
      <c r="N548" t="s">
        <v>1316</v>
      </c>
      <c r="O548">
        <v>1</v>
      </c>
      <c r="P548">
        <v>9.7100000000000009</v>
      </c>
    </row>
    <row r="549" spans="4:16" hidden="1" x14ac:dyDescent="0.25">
      <c r="D549" t="s">
        <v>1317</v>
      </c>
      <c r="E549" t="s">
        <v>135</v>
      </c>
      <c r="F549" t="s">
        <v>379</v>
      </c>
      <c r="G549" t="s">
        <v>1041</v>
      </c>
      <c r="H549" t="s">
        <v>239</v>
      </c>
      <c r="I549" s="13">
        <v>41646</v>
      </c>
      <c r="J549">
        <v>10</v>
      </c>
      <c r="K549" t="s">
        <v>177</v>
      </c>
      <c r="L549" t="s">
        <v>139</v>
      </c>
      <c r="M549" t="s">
        <v>805</v>
      </c>
      <c r="N549" t="s">
        <v>1318</v>
      </c>
      <c r="O549">
        <v>1</v>
      </c>
      <c r="P549">
        <v>9.67</v>
      </c>
    </row>
    <row r="550" spans="4:16" hidden="1" x14ac:dyDescent="0.25">
      <c r="D550" t="s">
        <v>1319</v>
      </c>
      <c r="E550" t="s">
        <v>135</v>
      </c>
      <c r="F550" t="s">
        <v>379</v>
      </c>
      <c r="G550" t="s">
        <v>1041</v>
      </c>
      <c r="H550" t="s">
        <v>239</v>
      </c>
      <c r="I550" s="13">
        <v>41646</v>
      </c>
      <c r="J550">
        <v>10</v>
      </c>
      <c r="K550" t="s">
        <v>177</v>
      </c>
      <c r="L550" t="s">
        <v>139</v>
      </c>
      <c r="M550" t="s">
        <v>805</v>
      </c>
      <c r="N550" t="s">
        <v>1320</v>
      </c>
      <c r="O550">
        <v>1</v>
      </c>
      <c r="P550">
        <v>9.67</v>
      </c>
    </row>
    <row r="551" spans="4:16" hidden="1" x14ac:dyDescent="0.25">
      <c r="D551" t="s">
        <v>1321</v>
      </c>
      <c r="E551" t="s">
        <v>135</v>
      </c>
      <c r="F551" t="s">
        <v>379</v>
      </c>
      <c r="G551" t="s">
        <v>1041</v>
      </c>
      <c r="H551" t="s">
        <v>239</v>
      </c>
      <c r="I551" s="13">
        <v>41646</v>
      </c>
      <c r="J551">
        <v>10</v>
      </c>
      <c r="K551" t="s">
        <v>177</v>
      </c>
      <c r="L551" t="s">
        <v>139</v>
      </c>
      <c r="M551" t="s">
        <v>555</v>
      </c>
      <c r="N551" t="s">
        <v>1322</v>
      </c>
      <c r="O551">
        <v>1</v>
      </c>
      <c r="P551">
        <v>9.67</v>
      </c>
    </row>
    <row r="552" spans="4:16" hidden="1" x14ac:dyDescent="0.25">
      <c r="D552" t="s">
        <v>1323</v>
      </c>
      <c r="E552" t="s">
        <v>135</v>
      </c>
      <c r="F552" t="s">
        <v>379</v>
      </c>
      <c r="G552" t="s">
        <v>1041</v>
      </c>
      <c r="H552" t="s">
        <v>239</v>
      </c>
      <c r="I552" s="13">
        <v>41646</v>
      </c>
      <c r="J552">
        <v>10</v>
      </c>
      <c r="K552" t="s">
        <v>177</v>
      </c>
      <c r="L552" t="s">
        <v>139</v>
      </c>
      <c r="M552" t="s">
        <v>805</v>
      </c>
      <c r="N552" t="s">
        <v>1324</v>
      </c>
      <c r="O552">
        <v>1</v>
      </c>
      <c r="P552">
        <v>9.67</v>
      </c>
    </row>
    <row r="553" spans="4:16" hidden="1" x14ac:dyDescent="0.25">
      <c r="D553" t="s">
        <v>1325</v>
      </c>
      <c r="E553" t="s">
        <v>135</v>
      </c>
      <c r="F553" t="s">
        <v>181</v>
      </c>
      <c r="G553" t="s">
        <v>1326</v>
      </c>
      <c r="H553" t="s">
        <v>239</v>
      </c>
      <c r="I553" s="13">
        <v>41652</v>
      </c>
      <c r="J553">
        <v>10</v>
      </c>
      <c r="K553" t="s">
        <v>177</v>
      </c>
      <c r="L553" t="s">
        <v>139</v>
      </c>
      <c r="M553" t="s">
        <v>227</v>
      </c>
      <c r="N553" t="s">
        <v>1327</v>
      </c>
      <c r="O553">
        <v>1</v>
      </c>
      <c r="P553">
        <v>9.65</v>
      </c>
    </row>
    <row r="554" spans="4:16" hidden="1" x14ac:dyDescent="0.25">
      <c r="D554" t="s">
        <v>1328</v>
      </c>
      <c r="E554" t="s">
        <v>135</v>
      </c>
      <c r="F554" t="s">
        <v>181</v>
      </c>
      <c r="G554" t="s">
        <v>1075</v>
      </c>
      <c r="H554" t="s">
        <v>239</v>
      </c>
      <c r="I554" s="13">
        <v>41662</v>
      </c>
      <c r="J554">
        <v>10</v>
      </c>
      <c r="K554" t="s">
        <v>177</v>
      </c>
      <c r="L554" t="s">
        <v>139</v>
      </c>
      <c r="M554" t="s">
        <v>465</v>
      </c>
      <c r="N554" t="s">
        <v>1329</v>
      </c>
      <c r="O554">
        <v>1</v>
      </c>
      <c r="P554">
        <v>9.6300000000000008</v>
      </c>
    </row>
    <row r="555" spans="4:16" hidden="1" x14ac:dyDescent="0.25">
      <c r="D555" t="s">
        <v>1330</v>
      </c>
      <c r="E555" t="s">
        <v>135</v>
      </c>
      <c r="F555" t="s">
        <v>656</v>
      </c>
      <c r="G555" t="s">
        <v>656</v>
      </c>
      <c r="H555" t="s">
        <v>239</v>
      </c>
      <c r="I555" s="13">
        <v>41695</v>
      </c>
      <c r="J555">
        <v>10</v>
      </c>
      <c r="K555" t="s">
        <v>177</v>
      </c>
      <c r="L555" t="s">
        <v>139</v>
      </c>
      <c r="M555" t="s">
        <v>183</v>
      </c>
      <c r="N555" t="s">
        <v>1331</v>
      </c>
      <c r="O555">
        <v>1</v>
      </c>
      <c r="P555">
        <v>9.5299999999999994</v>
      </c>
    </row>
    <row r="556" spans="4:16" x14ac:dyDescent="0.25">
      <c r="D556" t="s">
        <v>1332</v>
      </c>
      <c r="E556" t="s">
        <v>135</v>
      </c>
      <c r="F556" t="s">
        <v>143</v>
      </c>
      <c r="G556" t="s">
        <v>143</v>
      </c>
      <c r="H556" t="s">
        <v>1218</v>
      </c>
      <c r="I556" s="13">
        <v>41715</v>
      </c>
      <c r="J556">
        <v>9</v>
      </c>
      <c r="K556" t="s">
        <v>177</v>
      </c>
      <c r="L556" t="s">
        <v>139</v>
      </c>
      <c r="M556" t="s">
        <v>261</v>
      </c>
      <c r="N556" t="s">
        <v>1333</v>
      </c>
      <c r="O556">
        <v>1</v>
      </c>
      <c r="P556">
        <v>9.48</v>
      </c>
    </row>
    <row r="557" spans="4:16" x14ac:dyDescent="0.25">
      <c r="D557" t="s">
        <v>1334</v>
      </c>
      <c r="E557" t="s">
        <v>135</v>
      </c>
      <c r="F557" t="s">
        <v>143</v>
      </c>
      <c r="G557" t="s">
        <v>1109</v>
      </c>
      <c r="H557" t="s">
        <v>1218</v>
      </c>
      <c r="I557" s="13">
        <v>41717</v>
      </c>
      <c r="J557">
        <v>9</v>
      </c>
      <c r="K557" t="s">
        <v>177</v>
      </c>
      <c r="L557" t="s">
        <v>139</v>
      </c>
      <c r="M557" t="s">
        <v>743</v>
      </c>
      <c r="N557" t="s">
        <v>1335</v>
      </c>
      <c r="O557">
        <v>1</v>
      </c>
      <c r="P557">
        <v>9.4700000000000006</v>
      </c>
    </row>
    <row r="558" spans="4:16" x14ac:dyDescent="0.25">
      <c r="D558" t="s">
        <v>1336</v>
      </c>
      <c r="E558" t="s">
        <v>135</v>
      </c>
      <c r="F558" t="s">
        <v>656</v>
      </c>
      <c r="G558" t="s">
        <v>656</v>
      </c>
      <c r="H558" t="s">
        <v>1218</v>
      </c>
      <c r="I558" s="13">
        <v>41724</v>
      </c>
      <c r="J558">
        <v>9</v>
      </c>
      <c r="K558" t="s">
        <v>177</v>
      </c>
      <c r="L558" t="s">
        <v>139</v>
      </c>
      <c r="M558" t="s">
        <v>140</v>
      </c>
      <c r="N558" t="s">
        <v>1337</v>
      </c>
      <c r="O558">
        <v>1</v>
      </c>
      <c r="P558">
        <v>9.4600000000000009</v>
      </c>
    </row>
    <row r="559" spans="4:16" x14ac:dyDescent="0.25">
      <c r="D559" t="s">
        <v>1338</v>
      </c>
      <c r="E559" t="s">
        <v>135</v>
      </c>
      <c r="F559" t="s">
        <v>656</v>
      </c>
      <c r="G559" t="s">
        <v>795</v>
      </c>
      <c r="H559" t="s">
        <v>1218</v>
      </c>
      <c r="I559" s="13">
        <v>41724</v>
      </c>
      <c r="J559">
        <v>9</v>
      </c>
      <c r="K559" t="s">
        <v>177</v>
      </c>
      <c r="L559" t="s">
        <v>139</v>
      </c>
      <c r="M559" t="s">
        <v>227</v>
      </c>
      <c r="N559" t="s">
        <v>1339</v>
      </c>
      <c r="O559">
        <v>1</v>
      </c>
      <c r="P559">
        <v>9.4600000000000009</v>
      </c>
    </row>
    <row r="560" spans="4:16" x14ac:dyDescent="0.25">
      <c r="D560" t="s">
        <v>1340</v>
      </c>
      <c r="E560" t="s">
        <v>135</v>
      </c>
      <c r="F560" t="s">
        <v>656</v>
      </c>
      <c r="G560" t="s">
        <v>1341</v>
      </c>
      <c r="H560" t="s">
        <v>1218</v>
      </c>
      <c r="I560" s="13">
        <v>41724</v>
      </c>
      <c r="J560">
        <v>9</v>
      </c>
      <c r="K560" t="s">
        <v>177</v>
      </c>
      <c r="L560" t="s">
        <v>139</v>
      </c>
      <c r="M560" t="s">
        <v>913</v>
      </c>
      <c r="N560" t="s">
        <v>1342</v>
      </c>
      <c r="O560">
        <v>1</v>
      </c>
      <c r="P560">
        <v>9.4600000000000009</v>
      </c>
    </row>
    <row r="561" spans="4:16" x14ac:dyDescent="0.25">
      <c r="D561" t="s">
        <v>1343</v>
      </c>
      <c r="E561" t="s">
        <v>135</v>
      </c>
      <c r="F561" t="s">
        <v>656</v>
      </c>
      <c r="G561" t="s">
        <v>1341</v>
      </c>
      <c r="H561" t="s">
        <v>1218</v>
      </c>
      <c r="I561" s="13">
        <v>41724</v>
      </c>
      <c r="J561">
        <v>9</v>
      </c>
      <c r="K561" t="s">
        <v>177</v>
      </c>
      <c r="L561" t="s">
        <v>139</v>
      </c>
      <c r="M561" t="s">
        <v>222</v>
      </c>
      <c r="N561" t="s">
        <v>1344</v>
      </c>
      <c r="O561">
        <v>1</v>
      </c>
      <c r="P561">
        <v>9.4600000000000009</v>
      </c>
    </row>
    <row r="562" spans="4:16" x14ac:dyDescent="0.25">
      <c r="D562" t="s">
        <v>1345</v>
      </c>
      <c r="E562" t="s">
        <v>135</v>
      </c>
      <c r="F562" t="s">
        <v>656</v>
      </c>
      <c r="G562" t="s">
        <v>1341</v>
      </c>
      <c r="H562" t="s">
        <v>1218</v>
      </c>
      <c r="I562" s="13">
        <v>41724</v>
      </c>
      <c r="J562">
        <v>9</v>
      </c>
      <c r="K562" t="s">
        <v>177</v>
      </c>
      <c r="L562" t="s">
        <v>139</v>
      </c>
      <c r="M562" t="s">
        <v>222</v>
      </c>
      <c r="N562" t="s">
        <v>1346</v>
      </c>
      <c r="O562">
        <v>1</v>
      </c>
      <c r="P562">
        <v>9.4600000000000009</v>
      </c>
    </row>
    <row r="563" spans="4:16" x14ac:dyDescent="0.25">
      <c r="D563" t="s">
        <v>1347</v>
      </c>
      <c r="E563" t="s">
        <v>135</v>
      </c>
      <c r="F563" t="s">
        <v>656</v>
      </c>
      <c r="G563" t="s">
        <v>1348</v>
      </c>
      <c r="H563" t="s">
        <v>1218</v>
      </c>
      <c r="I563" s="13">
        <v>41724</v>
      </c>
      <c r="J563">
        <v>9</v>
      </c>
      <c r="K563" t="s">
        <v>177</v>
      </c>
      <c r="L563" t="s">
        <v>139</v>
      </c>
      <c r="M563" t="s">
        <v>227</v>
      </c>
      <c r="N563" t="s">
        <v>1349</v>
      </c>
      <c r="O563">
        <v>1</v>
      </c>
      <c r="P563">
        <v>9.4600000000000009</v>
      </c>
    </row>
    <row r="564" spans="4:16" x14ac:dyDescent="0.25">
      <c r="D564" t="s">
        <v>1350</v>
      </c>
      <c r="E564" t="s">
        <v>135</v>
      </c>
      <c r="F564" t="s">
        <v>656</v>
      </c>
      <c r="G564" t="s">
        <v>1341</v>
      </c>
      <c r="H564" t="s">
        <v>1218</v>
      </c>
      <c r="I564" s="13">
        <v>41724</v>
      </c>
      <c r="J564">
        <v>9</v>
      </c>
      <c r="K564" t="s">
        <v>177</v>
      </c>
      <c r="L564" t="s">
        <v>139</v>
      </c>
      <c r="M564" t="s">
        <v>146</v>
      </c>
      <c r="N564" t="s">
        <v>1351</v>
      </c>
      <c r="O564">
        <v>1</v>
      </c>
      <c r="P564">
        <v>9.4600000000000009</v>
      </c>
    </row>
    <row r="565" spans="4:16" x14ac:dyDescent="0.25">
      <c r="D565" t="s">
        <v>1352</v>
      </c>
      <c r="E565" t="s">
        <v>135</v>
      </c>
      <c r="F565" t="s">
        <v>656</v>
      </c>
      <c r="G565" t="s">
        <v>1341</v>
      </c>
      <c r="H565" t="s">
        <v>1218</v>
      </c>
      <c r="I565" s="13">
        <v>41724</v>
      </c>
      <c r="J565">
        <v>9</v>
      </c>
      <c r="K565" t="s">
        <v>177</v>
      </c>
      <c r="L565" t="s">
        <v>139</v>
      </c>
      <c r="M565" t="s">
        <v>222</v>
      </c>
      <c r="N565" t="s">
        <v>1353</v>
      </c>
      <c r="O565">
        <v>1</v>
      </c>
      <c r="P565">
        <v>9.4600000000000009</v>
      </c>
    </row>
    <row r="566" spans="4:16" x14ac:dyDescent="0.25">
      <c r="D566" t="s">
        <v>1354</v>
      </c>
      <c r="E566" t="s">
        <v>135</v>
      </c>
      <c r="F566" t="s">
        <v>656</v>
      </c>
      <c r="G566" t="s">
        <v>1341</v>
      </c>
      <c r="H566" t="s">
        <v>1218</v>
      </c>
      <c r="I566" s="13">
        <v>41724</v>
      </c>
      <c r="J566">
        <v>9</v>
      </c>
      <c r="K566" t="s">
        <v>177</v>
      </c>
      <c r="L566" t="s">
        <v>139</v>
      </c>
      <c r="M566" t="s">
        <v>146</v>
      </c>
      <c r="N566" t="s">
        <v>1355</v>
      </c>
      <c r="O566">
        <v>1</v>
      </c>
      <c r="P566">
        <v>9.4600000000000009</v>
      </c>
    </row>
    <row r="567" spans="4:16" x14ac:dyDescent="0.25">
      <c r="D567" t="s">
        <v>1356</v>
      </c>
      <c r="E567" t="s">
        <v>135</v>
      </c>
      <c r="F567" t="s">
        <v>656</v>
      </c>
      <c r="G567" t="s">
        <v>1341</v>
      </c>
      <c r="H567" t="s">
        <v>1218</v>
      </c>
      <c r="I567" s="13">
        <v>41725</v>
      </c>
      <c r="J567">
        <v>9</v>
      </c>
      <c r="K567" t="s">
        <v>177</v>
      </c>
      <c r="L567" t="s">
        <v>139</v>
      </c>
      <c r="M567" t="s">
        <v>146</v>
      </c>
      <c r="N567" t="s">
        <v>1357</v>
      </c>
      <c r="O567">
        <v>1</v>
      </c>
      <c r="P567">
        <v>9.4499999999999993</v>
      </c>
    </row>
    <row r="568" spans="4:16" x14ac:dyDescent="0.25">
      <c r="D568" t="s">
        <v>1358</v>
      </c>
      <c r="E568" t="s">
        <v>135</v>
      </c>
      <c r="F568" t="s">
        <v>143</v>
      </c>
      <c r="G568" t="s">
        <v>989</v>
      </c>
      <c r="H568" t="s">
        <v>1218</v>
      </c>
      <c r="I568" s="13">
        <v>41810</v>
      </c>
      <c r="J568">
        <v>9</v>
      </c>
      <c r="K568" t="s">
        <v>177</v>
      </c>
      <c r="L568" t="s">
        <v>139</v>
      </c>
      <c r="M568" t="s">
        <v>320</v>
      </c>
      <c r="N568" t="s">
        <v>1359</v>
      </c>
      <c r="O568">
        <v>1</v>
      </c>
      <c r="P568">
        <v>9.2200000000000006</v>
      </c>
    </row>
    <row r="569" spans="4:16" x14ac:dyDescent="0.25">
      <c r="D569" t="s">
        <v>1360</v>
      </c>
      <c r="E569" t="s">
        <v>135</v>
      </c>
      <c r="F569" t="s">
        <v>149</v>
      </c>
      <c r="G569" t="s">
        <v>150</v>
      </c>
      <c r="H569" t="s">
        <v>1218</v>
      </c>
      <c r="I569" s="13">
        <v>41814</v>
      </c>
      <c r="J569">
        <v>9</v>
      </c>
      <c r="K569" t="s">
        <v>177</v>
      </c>
      <c r="L569" t="s">
        <v>139</v>
      </c>
      <c r="M569" t="s">
        <v>1361</v>
      </c>
      <c r="N569" t="s">
        <v>1362</v>
      </c>
      <c r="O569">
        <v>1</v>
      </c>
      <c r="P569">
        <v>9.2100000000000009</v>
      </c>
    </row>
    <row r="570" spans="4:16" x14ac:dyDescent="0.25">
      <c r="D570" t="s">
        <v>1363</v>
      </c>
      <c r="E570" t="s">
        <v>135</v>
      </c>
      <c r="F570" t="s">
        <v>149</v>
      </c>
      <c r="G570" t="s">
        <v>149</v>
      </c>
      <c r="H570" t="s">
        <v>1218</v>
      </c>
      <c r="I570" s="13">
        <v>41814</v>
      </c>
      <c r="J570">
        <v>9</v>
      </c>
      <c r="K570" t="s">
        <v>177</v>
      </c>
      <c r="L570" t="s">
        <v>139</v>
      </c>
      <c r="M570" t="s">
        <v>1361</v>
      </c>
      <c r="N570" t="s">
        <v>1364</v>
      </c>
      <c r="O570">
        <v>1</v>
      </c>
      <c r="P570">
        <v>9.2100000000000009</v>
      </c>
    </row>
    <row r="571" spans="4:16" x14ac:dyDescent="0.25">
      <c r="D571" t="s">
        <v>1365</v>
      </c>
      <c r="E571" t="s">
        <v>135</v>
      </c>
      <c r="F571" t="s">
        <v>149</v>
      </c>
      <c r="G571" t="s">
        <v>150</v>
      </c>
      <c r="H571" t="s">
        <v>1218</v>
      </c>
      <c r="I571" s="13">
        <v>41814</v>
      </c>
      <c r="J571">
        <v>9</v>
      </c>
      <c r="K571" t="s">
        <v>177</v>
      </c>
      <c r="L571" t="s">
        <v>139</v>
      </c>
      <c r="M571" t="s">
        <v>452</v>
      </c>
      <c r="N571" t="s">
        <v>1366</v>
      </c>
      <c r="O571">
        <v>1</v>
      </c>
      <c r="P571">
        <v>9.2100000000000009</v>
      </c>
    </row>
    <row r="572" spans="4:16" x14ac:dyDescent="0.25">
      <c r="D572" t="s">
        <v>1367</v>
      </c>
      <c r="E572" t="s">
        <v>135</v>
      </c>
      <c r="F572" t="s">
        <v>143</v>
      </c>
      <c r="G572" t="s">
        <v>143</v>
      </c>
      <c r="H572" t="s">
        <v>1218</v>
      </c>
      <c r="I572" s="13">
        <v>41817</v>
      </c>
      <c r="J572">
        <v>9</v>
      </c>
      <c r="K572" t="s">
        <v>177</v>
      </c>
      <c r="L572" t="s">
        <v>139</v>
      </c>
      <c r="M572" t="s">
        <v>200</v>
      </c>
      <c r="N572" t="s">
        <v>1368</v>
      </c>
      <c r="O572">
        <v>1</v>
      </c>
      <c r="P572">
        <v>9.1999999999999993</v>
      </c>
    </row>
    <row r="573" spans="4:16" x14ac:dyDescent="0.25">
      <c r="D573" t="s">
        <v>1369</v>
      </c>
      <c r="E573" t="s">
        <v>135</v>
      </c>
      <c r="F573" t="s">
        <v>143</v>
      </c>
      <c r="G573" t="s">
        <v>143</v>
      </c>
      <c r="H573" t="s">
        <v>1218</v>
      </c>
      <c r="I573" s="13">
        <v>41817</v>
      </c>
      <c r="J573">
        <v>9</v>
      </c>
      <c r="K573" t="s">
        <v>177</v>
      </c>
      <c r="L573" t="s">
        <v>139</v>
      </c>
      <c r="M573" t="s">
        <v>200</v>
      </c>
      <c r="N573" t="s">
        <v>1370</v>
      </c>
      <c r="O573">
        <v>1</v>
      </c>
      <c r="P573">
        <v>9.1999999999999993</v>
      </c>
    </row>
    <row r="574" spans="4:16" x14ac:dyDescent="0.25">
      <c r="D574" t="s">
        <v>1371</v>
      </c>
      <c r="E574" t="s">
        <v>135</v>
      </c>
      <c r="F574" t="s">
        <v>379</v>
      </c>
      <c r="G574" t="s">
        <v>782</v>
      </c>
      <c r="H574" t="s">
        <v>1218</v>
      </c>
      <c r="I574" s="13">
        <v>41821</v>
      </c>
      <c r="J574">
        <v>9</v>
      </c>
      <c r="K574" t="s">
        <v>177</v>
      </c>
      <c r="L574" t="s">
        <v>139</v>
      </c>
      <c r="M574" t="s">
        <v>1027</v>
      </c>
      <c r="N574" t="s">
        <v>1372</v>
      </c>
      <c r="O574">
        <v>1</v>
      </c>
      <c r="P574">
        <v>9.19</v>
      </c>
    </row>
    <row r="575" spans="4:16" x14ac:dyDescent="0.25">
      <c r="D575" t="s">
        <v>1371</v>
      </c>
      <c r="E575" t="s">
        <v>135</v>
      </c>
      <c r="F575" t="s">
        <v>379</v>
      </c>
      <c r="G575" t="s">
        <v>782</v>
      </c>
      <c r="H575" t="s">
        <v>1218</v>
      </c>
      <c r="I575" s="13">
        <v>41821</v>
      </c>
      <c r="J575">
        <v>9</v>
      </c>
      <c r="K575" t="s">
        <v>145</v>
      </c>
      <c r="L575" t="s">
        <v>139</v>
      </c>
      <c r="M575" t="s">
        <v>1027</v>
      </c>
      <c r="N575" t="s">
        <v>1372</v>
      </c>
      <c r="O575">
        <v>1</v>
      </c>
      <c r="P575">
        <v>9.19</v>
      </c>
    </row>
    <row r="576" spans="4:16" x14ac:dyDescent="0.25">
      <c r="D576" t="s">
        <v>1373</v>
      </c>
      <c r="E576" t="s">
        <v>135</v>
      </c>
      <c r="F576" t="s">
        <v>149</v>
      </c>
      <c r="G576" t="s">
        <v>150</v>
      </c>
      <c r="H576" t="s">
        <v>1218</v>
      </c>
      <c r="I576" s="13">
        <v>41870</v>
      </c>
      <c r="J576">
        <v>9</v>
      </c>
      <c r="K576" t="s">
        <v>177</v>
      </c>
      <c r="L576" t="s">
        <v>139</v>
      </c>
      <c r="M576" t="s">
        <v>1361</v>
      </c>
      <c r="N576" t="s">
        <v>1374</v>
      </c>
      <c r="O576">
        <v>1</v>
      </c>
      <c r="P576">
        <v>9.06</v>
      </c>
    </row>
    <row r="577" spans="4:16" x14ac:dyDescent="0.25">
      <c r="D577" t="s">
        <v>1375</v>
      </c>
      <c r="E577" t="s">
        <v>135</v>
      </c>
      <c r="F577" t="s">
        <v>149</v>
      </c>
      <c r="G577" t="s">
        <v>150</v>
      </c>
      <c r="H577" t="s">
        <v>1218</v>
      </c>
      <c r="I577" s="13">
        <v>41870</v>
      </c>
      <c r="J577">
        <v>9</v>
      </c>
      <c r="K577" t="s">
        <v>177</v>
      </c>
      <c r="L577" t="s">
        <v>139</v>
      </c>
      <c r="M577" t="s">
        <v>1361</v>
      </c>
      <c r="N577" t="s">
        <v>1376</v>
      </c>
      <c r="O577">
        <v>1</v>
      </c>
      <c r="P577">
        <v>9.06</v>
      </c>
    </row>
    <row r="578" spans="4:16" x14ac:dyDescent="0.25">
      <c r="D578" t="s">
        <v>1377</v>
      </c>
      <c r="E578" t="s">
        <v>135</v>
      </c>
      <c r="F578" t="s">
        <v>149</v>
      </c>
      <c r="G578" t="s">
        <v>150</v>
      </c>
      <c r="H578" t="s">
        <v>1218</v>
      </c>
      <c r="I578" s="13">
        <v>41870</v>
      </c>
      <c r="J578">
        <v>9</v>
      </c>
      <c r="K578" t="s">
        <v>177</v>
      </c>
      <c r="L578" t="s">
        <v>139</v>
      </c>
      <c r="M578" t="s">
        <v>1361</v>
      </c>
      <c r="N578" t="s">
        <v>1378</v>
      </c>
      <c r="O578">
        <v>1</v>
      </c>
      <c r="P578">
        <v>9.06</v>
      </c>
    </row>
    <row r="579" spans="4:16" x14ac:dyDescent="0.25">
      <c r="D579" t="s">
        <v>1379</v>
      </c>
      <c r="E579" t="s">
        <v>135</v>
      </c>
      <c r="F579" t="s">
        <v>149</v>
      </c>
      <c r="G579" t="s">
        <v>150</v>
      </c>
      <c r="H579" t="s">
        <v>1218</v>
      </c>
      <c r="I579" s="13">
        <v>41870</v>
      </c>
      <c r="J579">
        <v>9</v>
      </c>
      <c r="K579" t="s">
        <v>177</v>
      </c>
      <c r="L579" t="s">
        <v>139</v>
      </c>
      <c r="M579" t="s">
        <v>1361</v>
      </c>
      <c r="N579" t="s">
        <v>1380</v>
      </c>
      <c r="O579">
        <v>1</v>
      </c>
      <c r="P579">
        <v>9.06</v>
      </c>
    </row>
    <row r="580" spans="4:16" x14ac:dyDescent="0.25">
      <c r="D580" t="s">
        <v>1381</v>
      </c>
      <c r="E580" t="s">
        <v>135</v>
      </c>
      <c r="F580" t="s">
        <v>656</v>
      </c>
      <c r="G580" t="s">
        <v>1382</v>
      </c>
      <c r="H580" t="s">
        <v>1218</v>
      </c>
      <c r="I580" s="13">
        <v>41871</v>
      </c>
      <c r="J580">
        <v>9</v>
      </c>
      <c r="K580" t="s">
        <v>177</v>
      </c>
      <c r="L580" t="s">
        <v>139</v>
      </c>
      <c r="M580" t="s">
        <v>140</v>
      </c>
      <c r="N580" t="s">
        <v>1383</v>
      </c>
      <c r="O580">
        <v>1</v>
      </c>
      <c r="P580">
        <v>9.0500000000000007</v>
      </c>
    </row>
    <row r="581" spans="4:16" x14ac:dyDescent="0.25">
      <c r="D581" t="s">
        <v>1384</v>
      </c>
      <c r="E581" t="s">
        <v>135</v>
      </c>
      <c r="F581" t="s">
        <v>656</v>
      </c>
      <c r="G581" t="s">
        <v>1382</v>
      </c>
      <c r="H581" t="s">
        <v>1218</v>
      </c>
      <c r="I581" s="13">
        <v>41871</v>
      </c>
      <c r="J581">
        <v>9</v>
      </c>
      <c r="K581" t="s">
        <v>145</v>
      </c>
      <c r="L581" t="s">
        <v>139</v>
      </c>
      <c r="M581" t="s">
        <v>386</v>
      </c>
      <c r="N581" t="s">
        <v>1385</v>
      </c>
      <c r="O581">
        <v>1</v>
      </c>
      <c r="P581">
        <v>9.0500000000000007</v>
      </c>
    </row>
    <row r="582" spans="4:16" x14ac:dyDescent="0.25">
      <c r="D582" t="s">
        <v>1386</v>
      </c>
      <c r="E582" t="s">
        <v>135</v>
      </c>
      <c r="F582" t="s">
        <v>656</v>
      </c>
      <c r="G582" t="s">
        <v>1382</v>
      </c>
      <c r="H582" t="s">
        <v>1218</v>
      </c>
      <c r="I582" s="13">
        <v>41871</v>
      </c>
      <c r="J582">
        <v>9</v>
      </c>
      <c r="K582" t="s">
        <v>145</v>
      </c>
      <c r="L582" t="s">
        <v>139</v>
      </c>
      <c r="M582" t="s">
        <v>386</v>
      </c>
      <c r="N582" t="s">
        <v>1387</v>
      </c>
      <c r="O582">
        <v>1</v>
      </c>
      <c r="P582">
        <v>9.0500000000000007</v>
      </c>
    </row>
    <row r="583" spans="4:16" x14ac:dyDescent="0.25">
      <c r="D583" t="s">
        <v>1388</v>
      </c>
      <c r="E583" t="s">
        <v>135</v>
      </c>
      <c r="F583" t="s">
        <v>656</v>
      </c>
      <c r="G583" t="s">
        <v>1382</v>
      </c>
      <c r="H583" t="s">
        <v>1218</v>
      </c>
      <c r="I583" s="13">
        <v>41871</v>
      </c>
      <c r="J583">
        <v>9</v>
      </c>
      <c r="K583" t="s">
        <v>177</v>
      </c>
      <c r="L583" t="s">
        <v>139</v>
      </c>
      <c r="M583" t="s">
        <v>140</v>
      </c>
      <c r="N583" t="s">
        <v>1389</v>
      </c>
      <c r="O583">
        <v>1</v>
      </c>
      <c r="P583">
        <v>9.0500000000000007</v>
      </c>
    </row>
    <row r="584" spans="4:16" x14ac:dyDescent="0.25">
      <c r="D584" t="s">
        <v>1390</v>
      </c>
      <c r="E584" t="s">
        <v>135</v>
      </c>
      <c r="F584" t="s">
        <v>656</v>
      </c>
      <c r="G584" t="s">
        <v>1382</v>
      </c>
      <c r="H584" t="s">
        <v>1218</v>
      </c>
      <c r="I584" s="13">
        <v>41871</v>
      </c>
      <c r="J584">
        <v>9</v>
      </c>
      <c r="K584" t="s">
        <v>145</v>
      </c>
      <c r="L584" t="s">
        <v>139</v>
      </c>
      <c r="M584" t="s">
        <v>386</v>
      </c>
      <c r="N584" t="s">
        <v>1391</v>
      </c>
      <c r="O584">
        <v>1</v>
      </c>
      <c r="P584">
        <v>9.0500000000000007</v>
      </c>
    </row>
    <row r="585" spans="4:16" x14ac:dyDescent="0.25">
      <c r="D585" t="s">
        <v>1392</v>
      </c>
      <c r="E585" t="s">
        <v>135</v>
      </c>
      <c r="F585" t="s">
        <v>143</v>
      </c>
      <c r="G585" t="s">
        <v>143</v>
      </c>
      <c r="H585" t="s">
        <v>1218</v>
      </c>
      <c r="I585" s="13">
        <v>41871</v>
      </c>
      <c r="J585">
        <v>9</v>
      </c>
      <c r="K585" t="s">
        <v>177</v>
      </c>
      <c r="L585" t="s">
        <v>139</v>
      </c>
      <c r="M585" t="s">
        <v>200</v>
      </c>
      <c r="N585" t="s">
        <v>1393</v>
      </c>
      <c r="O585">
        <v>1</v>
      </c>
      <c r="P585">
        <v>9.0500000000000007</v>
      </c>
    </row>
    <row r="586" spans="4:16" x14ac:dyDescent="0.25">
      <c r="D586" t="s">
        <v>1394</v>
      </c>
      <c r="E586" t="s">
        <v>135</v>
      </c>
      <c r="F586" t="s">
        <v>143</v>
      </c>
      <c r="G586" t="s">
        <v>611</v>
      </c>
      <c r="H586" t="s">
        <v>1218</v>
      </c>
      <c r="I586" s="13">
        <v>41871</v>
      </c>
      <c r="J586">
        <v>9</v>
      </c>
      <c r="K586" t="s">
        <v>177</v>
      </c>
      <c r="L586" t="s">
        <v>139</v>
      </c>
      <c r="M586" t="s">
        <v>154</v>
      </c>
      <c r="N586" t="s">
        <v>1395</v>
      </c>
      <c r="O586">
        <v>1</v>
      </c>
      <c r="P586">
        <v>9.0500000000000007</v>
      </c>
    </row>
    <row r="587" spans="4:16" x14ac:dyDescent="0.25">
      <c r="D587" t="s">
        <v>1396</v>
      </c>
      <c r="E587" t="s">
        <v>135</v>
      </c>
      <c r="F587" t="s">
        <v>143</v>
      </c>
      <c r="G587" t="s">
        <v>611</v>
      </c>
      <c r="H587" t="s">
        <v>1218</v>
      </c>
      <c r="I587" s="13">
        <v>41884</v>
      </c>
      <c r="J587">
        <v>9</v>
      </c>
      <c r="K587" t="s">
        <v>177</v>
      </c>
      <c r="L587" t="s">
        <v>139</v>
      </c>
      <c r="M587" t="s">
        <v>268</v>
      </c>
      <c r="N587" t="s">
        <v>1397</v>
      </c>
      <c r="O587">
        <v>1</v>
      </c>
      <c r="P587">
        <v>9.02</v>
      </c>
    </row>
    <row r="588" spans="4:16" x14ac:dyDescent="0.25">
      <c r="D588" t="s">
        <v>1398</v>
      </c>
      <c r="E588" t="s">
        <v>135</v>
      </c>
      <c r="F588" t="s">
        <v>379</v>
      </c>
      <c r="G588" t="s">
        <v>782</v>
      </c>
      <c r="H588" t="s">
        <v>1218</v>
      </c>
      <c r="I588" s="13">
        <v>41885</v>
      </c>
      <c r="J588">
        <v>9</v>
      </c>
      <c r="K588" t="s">
        <v>177</v>
      </c>
      <c r="L588" t="s">
        <v>139</v>
      </c>
      <c r="M588" t="s">
        <v>268</v>
      </c>
      <c r="N588" t="s">
        <v>1399</v>
      </c>
      <c r="O588">
        <v>1</v>
      </c>
      <c r="P588">
        <v>9.01</v>
      </c>
    </row>
    <row r="589" spans="4:16" x14ac:dyDescent="0.25">
      <c r="D589" t="s">
        <v>1400</v>
      </c>
      <c r="E589" t="s">
        <v>135</v>
      </c>
      <c r="F589" t="s">
        <v>379</v>
      </c>
      <c r="G589" t="s">
        <v>379</v>
      </c>
      <c r="H589" t="s">
        <v>1218</v>
      </c>
      <c r="I589" s="13">
        <v>41885</v>
      </c>
      <c r="J589">
        <v>9</v>
      </c>
      <c r="K589" t="s">
        <v>177</v>
      </c>
      <c r="L589" t="s">
        <v>139</v>
      </c>
      <c r="M589" t="s">
        <v>268</v>
      </c>
      <c r="N589" t="s">
        <v>1401</v>
      </c>
      <c r="O589">
        <v>1</v>
      </c>
      <c r="P589">
        <v>9.01</v>
      </c>
    </row>
    <row r="590" spans="4:16" x14ac:dyDescent="0.25">
      <c r="D590" t="s">
        <v>1402</v>
      </c>
      <c r="E590" t="s">
        <v>135</v>
      </c>
      <c r="F590" t="s">
        <v>379</v>
      </c>
      <c r="G590" t="s">
        <v>782</v>
      </c>
      <c r="H590" t="s">
        <v>1218</v>
      </c>
      <c r="I590" s="13">
        <v>41885</v>
      </c>
      <c r="J590">
        <v>9</v>
      </c>
      <c r="K590" t="s">
        <v>177</v>
      </c>
      <c r="L590" t="s">
        <v>139</v>
      </c>
      <c r="M590" t="s">
        <v>268</v>
      </c>
      <c r="N590" t="s">
        <v>1403</v>
      </c>
      <c r="O590">
        <v>1</v>
      </c>
      <c r="P590">
        <v>9.01</v>
      </c>
    </row>
    <row r="591" spans="4:16" x14ac:dyDescent="0.25">
      <c r="D591" t="s">
        <v>1404</v>
      </c>
      <c r="E591" t="s">
        <v>135</v>
      </c>
      <c r="F591" t="s">
        <v>143</v>
      </c>
      <c r="G591" t="s">
        <v>938</v>
      </c>
      <c r="H591" t="s">
        <v>1218</v>
      </c>
      <c r="I591" s="13">
        <v>41893</v>
      </c>
      <c r="J591">
        <v>9</v>
      </c>
      <c r="K591" t="s">
        <v>177</v>
      </c>
      <c r="L591" t="s">
        <v>139</v>
      </c>
      <c r="M591" t="s">
        <v>596</v>
      </c>
      <c r="N591" t="s">
        <v>1405</v>
      </c>
      <c r="O591">
        <v>1</v>
      </c>
      <c r="P591">
        <v>8.99</v>
      </c>
    </row>
    <row r="592" spans="4:16" hidden="1" x14ac:dyDescent="0.25">
      <c r="D592" t="s">
        <v>1406</v>
      </c>
      <c r="E592" t="s">
        <v>135</v>
      </c>
      <c r="F592" t="s">
        <v>379</v>
      </c>
      <c r="G592" t="s">
        <v>1252</v>
      </c>
      <c r="H592" t="s">
        <v>239</v>
      </c>
      <c r="I592" s="13">
        <v>41897</v>
      </c>
      <c r="J592">
        <v>9</v>
      </c>
      <c r="K592" t="s">
        <v>177</v>
      </c>
      <c r="L592" t="s">
        <v>139</v>
      </c>
      <c r="M592" t="s">
        <v>183</v>
      </c>
      <c r="N592" t="s">
        <v>1407</v>
      </c>
      <c r="O592">
        <v>1</v>
      </c>
      <c r="P592">
        <v>8.98</v>
      </c>
    </row>
    <row r="593" spans="4:16" hidden="1" x14ac:dyDescent="0.25">
      <c r="D593" t="s">
        <v>1408</v>
      </c>
      <c r="E593" t="s">
        <v>135</v>
      </c>
      <c r="F593" t="s">
        <v>181</v>
      </c>
      <c r="G593" t="s">
        <v>795</v>
      </c>
      <c r="H593" t="s">
        <v>239</v>
      </c>
      <c r="I593" s="13">
        <v>41904</v>
      </c>
      <c r="J593">
        <v>9</v>
      </c>
      <c r="K593" t="s">
        <v>177</v>
      </c>
      <c r="L593" t="s">
        <v>139</v>
      </c>
      <c r="M593" t="s">
        <v>398</v>
      </c>
      <c r="N593" t="s">
        <v>1409</v>
      </c>
      <c r="O593">
        <v>1</v>
      </c>
      <c r="P593">
        <v>8.9600000000000009</v>
      </c>
    </row>
    <row r="594" spans="4:16" hidden="1" x14ac:dyDescent="0.25">
      <c r="D594" t="s">
        <v>1410</v>
      </c>
      <c r="E594" t="s">
        <v>135</v>
      </c>
      <c r="F594" t="s">
        <v>181</v>
      </c>
      <c r="G594" t="s">
        <v>795</v>
      </c>
      <c r="H594" t="s">
        <v>239</v>
      </c>
      <c r="I594" s="13">
        <v>41904</v>
      </c>
      <c r="J594">
        <v>9</v>
      </c>
      <c r="K594" t="s">
        <v>177</v>
      </c>
      <c r="L594" t="s">
        <v>139</v>
      </c>
      <c r="M594" t="s">
        <v>398</v>
      </c>
      <c r="N594" t="s">
        <v>1411</v>
      </c>
      <c r="O594">
        <v>1</v>
      </c>
      <c r="P594">
        <v>8.9600000000000009</v>
      </c>
    </row>
    <row r="595" spans="4:16" x14ac:dyDescent="0.25">
      <c r="D595" t="s">
        <v>1412</v>
      </c>
      <c r="E595" t="s">
        <v>135</v>
      </c>
      <c r="F595" t="s">
        <v>149</v>
      </c>
      <c r="G595" t="s">
        <v>150</v>
      </c>
      <c r="H595" t="s">
        <v>1218</v>
      </c>
      <c r="I595" s="13">
        <v>41908</v>
      </c>
      <c r="J595">
        <v>9</v>
      </c>
      <c r="K595" t="s">
        <v>177</v>
      </c>
      <c r="L595" t="s">
        <v>139</v>
      </c>
      <c r="M595" t="s">
        <v>170</v>
      </c>
      <c r="N595" t="s">
        <v>1413</v>
      </c>
      <c r="O595">
        <v>1</v>
      </c>
      <c r="P595">
        <v>8.9499999999999993</v>
      </c>
    </row>
    <row r="596" spans="4:16" x14ac:dyDescent="0.25">
      <c r="D596" t="s">
        <v>1414</v>
      </c>
      <c r="E596" t="s">
        <v>135</v>
      </c>
      <c r="F596" t="s">
        <v>149</v>
      </c>
      <c r="G596" t="s">
        <v>150</v>
      </c>
      <c r="H596" t="s">
        <v>1218</v>
      </c>
      <c r="I596" s="13">
        <v>41908</v>
      </c>
      <c r="J596">
        <v>9</v>
      </c>
      <c r="K596" t="s">
        <v>177</v>
      </c>
      <c r="L596" t="s">
        <v>139</v>
      </c>
      <c r="M596" t="s">
        <v>170</v>
      </c>
      <c r="N596" t="s">
        <v>1415</v>
      </c>
      <c r="O596">
        <v>1</v>
      </c>
      <c r="P596">
        <v>8.9499999999999993</v>
      </c>
    </row>
    <row r="597" spans="4:16" x14ac:dyDescent="0.25">
      <c r="D597" t="s">
        <v>1416</v>
      </c>
      <c r="E597" t="s">
        <v>135</v>
      </c>
      <c r="F597" t="s">
        <v>149</v>
      </c>
      <c r="G597" t="s">
        <v>149</v>
      </c>
      <c r="H597" t="s">
        <v>1218</v>
      </c>
      <c r="I597" s="13">
        <v>41920</v>
      </c>
      <c r="J597">
        <v>9</v>
      </c>
      <c r="K597" t="s">
        <v>177</v>
      </c>
      <c r="L597" t="s">
        <v>139</v>
      </c>
      <c r="M597" t="s">
        <v>170</v>
      </c>
      <c r="N597" t="s">
        <v>1417</v>
      </c>
      <c r="O597">
        <v>1</v>
      </c>
      <c r="P597">
        <v>8.92</v>
      </c>
    </row>
    <row r="598" spans="4:16" x14ac:dyDescent="0.25">
      <c r="D598" t="s">
        <v>1418</v>
      </c>
      <c r="E598" t="s">
        <v>135</v>
      </c>
      <c r="F598" t="s">
        <v>149</v>
      </c>
      <c r="G598" t="s">
        <v>149</v>
      </c>
      <c r="H598" t="s">
        <v>1218</v>
      </c>
      <c r="I598" s="13">
        <v>41920</v>
      </c>
      <c r="J598">
        <v>9</v>
      </c>
      <c r="K598" t="s">
        <v>177</v>
      </c>
      <c r="L598" t="s">
        <v>139</v>
      </c>
      <c r="M598" t="s">
        <v>170</v>
      </c>
      <c r="N598" t="s">
        <v>1419</v>
      </c>
      <c r="O598">
        <v>1</v>
      </c>
      <c r="P598">
        <v>8.92</v>
      </c>
    </row>
    <row r="599" spans="4:16" x14ac:dyDescent="0.25">
      <c r="D599" t="s">
        <v>1420</v>
      </c>
      <c r="E599" t="s">
        <v>135</v>
      </c>
      <c r="F599" t="s">
        <v>149</v>
      </c>
      <c r="G599" t="s">
        <v>149</v>
      </c>
      <c r="H599" t="s">
        <v>1218</v>
      </c>
      <c r="I599" s="13">
        <v>41920</v>
      </c>
      <c r="J599">
        <v>9</v>
      </c>
      <c r="K599" t="s">
        <v>177</v>
      </c>
      <c r="L599" t="s">
        <v>139</v>
      </c>
      <c r="M599" t="s">
        <v>170</v>
      </c>
      <c r="N599" t="s">
        <v>1421</v>
      </c>
      <c r="O599">
        <v>1</v>
      </c>
      <c r="P599">
        <v>8.92</v>
      </c>
    </row>
    <row r="600" spans="4:16" x14ac:dyDescent="0.25">
      <c r="D600" t="s">
        <v>1422</v>
      </c>
      <c r="E600" t="s">
        <v>135</v>
      </c>
      <c r="F600" t="s">
        <v>143</v>
      </c>
      <c r="G600" t="s">
        <v>144</v>
      </c>
      <c r="H600" t="s">
        <v>1218</v>
      </c>
      <c r="I600" s="13">
        <v>41936</v>
      </c>
      <c r="J600">
        <v>9</v>
      </c>
      <c r="K600" t="s">
        <v>177</v>
      </c>
      <c r="L600" t="s">
        <v>139</v>
      </c>
      <c r="M600" t="s">
        <v>264</v>
      </c>
      <c r="N600" t="s">
        <v>1423</v>
      </c>
      <c r="O600">
        <v>1</v>
      </c>
      <c r="P600">
        <v>8.8699999999999992</v>
      </c>
    </row>
    <row r="601" spans="4:16" x14ac:dyDescent="0.25">
      <c r="D601" t="s">
        <v>1424</v>
      </c>
      <c r="E601" t="s">
        <v>135</v>
      </c>
      <c r="F601" t="s">
        <v>149</v>
      </c>
      <c r="G601" t="s">
        <v>150</v>
      </c>
      <c r="H601" t="s">
        <v>1218</v>
      </c>
      <c r="I601" s="13">
        <v>41957</v>
      </c>
      <c r="J601">
        <v>9</v>
      </c>
      <c r="K601" t="s">
        <v>177</v>
      </c>
      <c r="L601" t="s">
        <v>139</v>
      </c>
      <c r="M601" t="s">
        <v>170</v>
      </c>
      <c r="N601" t="s">
        <v>1425</v>
      </c>
      <c r="O601">
        <v>1</v>
      </c>
      <c r="P601">
        <v>8.82</v>
      </c>
    </row>
    <row r="602" spans="4:16" hidden="1" x14ac:dyDescent="0.25">
      <c r="D602" t="s">
        <v>1426</v>
      </c>
      <c r="E602" t="s">
        <v>135</v>
      </c>
      <c r="F602" t="s">
        <v>1427</v>
      </c>
      <c r="G602" t="s">
        <v>795</v>
      </c>
      <c r="H602" t="s">
        <v>239</v>
      </c>
      <c r="I602" s="13">
        <v>41968</v>
      </c>
      <c r="J602">
        <v>9</v>
      </c>
      <c r="K602" t="s">
        <v>177</v>
      </c>
      <c r="L602" t="s">
        <v>139</v>
      </c>
      <c r="M602" t="s">
        <v>490</v>
      </c>
      <c r="N602" t="s">
        <v>1428</v>
      </c>
      <c r="O602">
        <v>1</v>
      </c>
      <c r="P602">
        <v>8.7899999999999991</v>
      </c>
    </row>
    <row r="603" spans="4:16" x14ac:dyDescent="0.25">
      <c r="D603" t="s">
        <v>1429</v>
      </c>
      <c r="E603" t="s">
        <v>135</v>
      </c>
      <c r="F603" t="s">
        <v>181</v>
      </c>
      <c r="G603" t="s">
        <v>795</v>
      </c>
      <c r="H603" t="s">
        <v>1218</v>
      </c>
      <c r="I603" s="13">
        <v>41969</v>
      </c>
      <c r="J603">
        <v>9</v>
      </c>
      <c r="K603" t="s">
        <v>177</v>
      </c>
      <c r="L603" t="s">
        <v>139</v>
      </c>
      <c r="M603" t="s">
        <v>1430</v>
      </c>
      <c r="N603" t="s">
        <v>1431</v>
      </c>
      <c r="O603">
        <v>1</v>
      </c>
      <c r="P603">
        <v>8.7799999999999994</v>
      </c>
    </row>
    <row r="604" spans="4:16" x14ac:dyDescent="0.25">
      <c r="D604" t="s">
        <v>1432</v>
      </c>
      <c r="E604" t="s">
        <v>135</v>
      </c>
      <c r="F604" t="s">
        <v>181</v>
      </c>
      <c r="G604" t="s">
        <v>181</v>
      </c>
      <c r="H604" t="s">
        <v>1218</v>
      </c>
      <c r="I604" s="13">
        <v>41969</v>
      </c>
      <c r="J604">
        <v>9</v>
      </c>
      <c r="K604" t="s">
        <v>177</v>
      </c>
      <c r="L604" t="s">
        <v>139</v>
      </c>
      <c r="M604" t="s">
        <v>1430</v>
      </c>
      <c r="N604" t="s">
        <v>1433</v>
      </c>
      <c r="O604">
        <v>1</v>
      </c>
      <c r="P604">
        <v>8.7799999999999994</v>
      </c>
    </row>
    <row r="605" spans="4:16" x14ac:dyDescent="0.25">
      <c r="D605" t="s">
        <v>1434</v>
      </c>
      <c r="E605" t="s">
        <v>135</v>
      </c>
      <c r="F605" t="s">
        <v>181</v>
      </c>
      <c r="G605" t="s">
        <v>181</v>
      </c>
      <c r="H605" t="s">
        <v>1218</v>
      </c>
      <c r="I605" s="13">
        <v>41969</v>
      </c>
      <c r="J605">
        <v>9</v>
      </c>
      <c r="K605" t="s">
        <v>177</v>
      </c>
      <c r="L605" t="s">
        <v>139</v>
      </c>
      <c r="M605" t="s">
        <v>1430</v>
      </c>
      <c r="N605" t="s">
        <v>1435</v>
      </c>
      <c r="O605">
        <v>1</v>
      </c>
      <c r="P605">
        <v>8.7799999999999994</v>
      </c>
    </row>
    <row r="606" spans="4:16" x14ac:dyDescent="0.25">
      <c r="D606" t="s">
        <v>1436</v>
      </c>
      <c r="E606" t="s">
        <v>135</v>
      </c>
      <c r="F606" t="s">
        <v>181</v>
      </c>
      <c r="G606" t="s">
        <v>795</v>
      </c>
      <c r="H606" t="s">
        <v>1218</v>
      </c>
      <c r="I606" s="13">
        <v>41969</v>
      </c>
      <c r="J606">
        <v>9</v>
      </c>
      <c r="K606" t="s">
        <v>145</v>
      </c>
      <c r="L606" t="s">
        <v>139</v>
      </c>
      <c r="M606" t="s">
        <v>1430</v>
      </c>
      <c r="N606" t="s">
        <v>1437</v>
      </c>
      <c r="O606">
        <v>1</v>
      </c>
      <c r="P606">
        <v>8.7799999999999994</v>
      </c>
    </row>
    <row r="607" spans="4:16" x14ac:dyDescent="0.25">
      <c r="D607" t="s">
        <v>1438</v>
      </c>
      <c r="E607" t="s">
        <v>135</v>
      </c>
      <c r="F607" t="s">
        <v>181</v>
      </c>
      <c r="G607" t="s">
        <v>795</v>
      </c>
      <c r="H607" t="s">
        <v>1218</v>
      </c>
      <c r="I607" s="13">
        <v>41969</v>
      </c>
      <c r="J607">
        <v>9</v>
      </c>
      <c r="K607" t="s">
        <v>177</v>
      </c>
      <c r="L607" t="s">
        <v>139</v>
      </c>
      <c r="M607" t="s">
        <v>1430</v>
      </c>
      <c r="N607" t="s">
        <v>1439</v>
      </c>
      <c r="O607">
        <v>1</v>
      </c>
      <c r="P607">
        <v>8.7799999999999994</v>
      </c>
    </row>
    <row r="608" spans="4:16" x14ac:dyDescent="0.25">
      <c r="D608" t="s">
        <v>1440</v>
      </c>
      <c r="E608" t="s">
        <v>135</v>
      </c>
      <c r="F608" t="s">
        <v>656</v>
      </c>
      <c r="G608" t="s">
        <v>1441</v>
      </c>
      <c r="H608" t="s">
        <v>1218</v>
      </c>
      <c r="I608" s="13">
        <v>41975</v>
      </c>
      <c r="J608">
        <v>9</v>
      </c>
      <c r="K608" t="s">
        <v>177</v>
      </c>
      <c r="L608" t="s">
        <v>139</v>
      </c>
      <c r="M608" t="s">
        <v>913</v>
      </c>
      <c r="N608" t="s">
        <v>1442</v>
      </c>
      <c r="O608">
        <v>1</v>
      </c>
      <c r="P608">
        <v>8.77</v>
      </c>
    </row>
    <row r="609" spans="4:16" x14ac:dyDescent="0.25">
      <c r="D609" t="s">
        <v>1443</v>
      </c>
      <c r="E609" t="s">
        <v>135</v>
      </c>
      <c r="F609" t="s">
        <v>656</v>
      </c>
      <c r="G609" t="s">
        <v>1441</v>
      </c>
      <c r="H609" t="s">
        <v>1218</v>
      </c>
      <c r="I609" s="13">
        <v>41975</v>
      </c>
      <c r="J609">
        <v>9</v>
      </c>
      <c r="K609" t="s">
        <v>177</v>
      </c>
      <c r="L609" t="s">
        <v>139</v>
      </c>
      <c r="M609" t="s">
        <v>240</v>
      </c>
      <c r="N609" t="s">
        <v>1444</v>
      </c>
      <c r="O609">
        <v>1</v>
      </c>
      <c r="P609">
        <v>8.77</v>
      </c>
    </row>
    <row r="610" spans="4:16" x14ac:dyDescent="0.25">
      <c r="D610" t="s">
        <v>1445</v>
      </c>
      <c r="E610" t="s">
        <v>135</v>
      </c>
      <c r="F610" t="s">
        <v>1446</v>
      </c>
      <c r="G610" t="s">
        <v>1382</v>
      </c>
      <c r="H610" t="s">
        <v>1218</v>
      </c>
      <c r="I610" s="13">
        <v>41975</v>
      </c>
      <c r="J610">
        <v>9</v>
      </c>
      <c r="K610" t="s">
        <v>177</v>
      </c>
      <c r="L610" t="s">
        <v>139</v>
      </c>
      <c r="M610" t="s">
        <v>227</v>
      </c>
      <c r="N610" t="s">
        <v>1447</v>
      </c>
      <c r="O610">
        <v>1</v>
      </c>
      <c r="P610">
        <v>8.77</v>
      </c>
    </row>
    <row r="611" spans="4:16" x14ac:dyDescent="0.25">
      <c r="D611" t="s">
        <v>1448</v>
      </c>
      <c r="E611" t="s">
        <v>135</v>
      </c>
      <c r="F611" t="s">
        <v>656</v>
      </c>
      <c r="G611" t="s">
        <v>1441</v>
      </c>
      <c r="H611" t="s">
        <v>1218</v>
      </c>
      <c r="I611" s="13">
        <v>41975</v>
      </c>
      <c r="J611">
        <v>9</v>
      </c>
      <c r="K611" t="s">
        <v>177</v>
      </c>
      <c r="L611" t="s">
        <v>139</v>
      </c>
      <c r="M611" t="s">
        <v>372</v>
      </c>
      <c r="N611" t="s">
        <v>1449</v>
      </c>
      <c r="O611">
        <v>1</v>
      </c>
      <c r="P611">
        <v>8.77</v>
      </c>
    </row>
    <row r="612" spans="4:16" x14ac:dyDescent="0.25">
      <c r="D612" t="s">
        <v>1450</v>
      </c>
      <c r="E612" t="s">
        <v>135</v>
      </c>
      <c r="F612" t="s">
        <v>1446</v>
      </c>
      <c r="G612" t="s">
        <v>1382</v>
      </c>
      <c r="H612" t="s">
        <v>1218</v>
      </c>
      <c r="I612" s="13">
        <v>41975</v>
      </c>
      <c r="J612">
        <v>9</v>
      </c>
      <c r="K612" t="s">
        <v>177</v>
      </c>
      <c r="L612" t="s">
        <v>139</v>
      </c>
      <c r="M612" t="s">
        <v>421</v>
      </c>
      <c r="N612" t="s">
        <v>1451</v>
      </c>
      <c r="O612">
        <v>1</v>
      </c>
      <c r="P612">
        <v>8.77</v>
      </c>
    </row>
    <row r="613" spans="4:16" x14ac:dyDescent="0.25">
      <c r="D613" t="s">
        <v>1452</v>
      </c>
      <c r="E613" t="s">
        <v>135</v>
      </c>
      <c r="F613" t="s">
        <v>656</v>
      </c>
      <c r="G613" t="s">
        <v>1441</v>
      </c>
      <c r="H613" t="s">
        <v>1218</v>
      </c>
      <c r="I613" s="13">
        <v>41975</v>
      </c>
      <c r="J613">
        <v>9</v>
      </c>
      <c r="K613" t="s">
        <v>177</v>
      </c>
      <c r="L613" t="s">
        <v>139</v>
      </c>
      <c r="M613" t="s">
        <v>222</v>
      </c>
      <c r="N613" t="s">
        <v>1453</v>
      </c>
      <c r="O613">
        <v>1</v>
      </c>
      <c r="P613">
        <v>8.77</v>
      </c>
    </row>
    <row r="614" spans="4:16" x14ac:dyDescent="0.25">
      <c r="D614" t="s">
        <v>1454</v>
      </c>
      <c r="E614" t="s">
        <v>135</v>
      </c>
      <c r="F614" t="s">
        <v>1446</v>
      </c>
      <c r="G614" t="s">
        <v>1382</v>
      </c>
      <c r="H614" t="s">
        <v>1218</v>
      </c>
      <c r="I614" s="13">
        <v>41975</v>
      </c>
      <c r="J614">
        <v>9</v>
      </c>
      <c r="K614" t="s">
        <v>177</v>
      </c>
      <c r="L614" t="s">
        <v>139</v>
      </c>
      <c r="M614" t="s">
        <v>386</v>
      </c>
      <c r="N614" t="s">
        <v>1455</v>
      </c>
      <c r="O614">
        <v>1</v>
      </c>
      <c r="P614">
        <v>8.77</v>
      </c>
    </row>
    <row r="615" spans="4:16" x14ac:dyDescent="0.25">
      <c r="D615" t="s">
        <v>1456</v>
      </c>
      <c r="E615" t="s">
        <v>135</v>
      </c>
      <c r="F615" t="s">
        <v>656</v>
      </c>
      <c r="G615" t="s">
        <v>1457</v>
      </c>
      <c r="H615" t="s">
        <v>1218</v>
      </c>
      <c r="I615" s="13">
        <v>41975</v>
      </c>
      <c r="J615">
        <v>9</v>
      </c>
      <c r="K615" t="s">
        <v>177</v>
      </c>
      <c r="L615" t="s">
        <v>139</v>
      </c>
      <c r="M615" t="s">
        <v>146</v>
      </c>
      <c r="N615" t="s">
        <v>1458</v>
      </c>
      <c r="O615">
        <v>1</v>
      </c>
      <c r="P615">
        <v>8.77</v>
      </c>
    </row>
    <row r="616" spans="4:16" x14ac:dyDescent="0.25">
      <c r="D616" t="s">
        <v>1459</v>
      </c>
      <c r="E616" t="s">
        <v>135</v>
      </c>
      <c r="F616" t="s">
        <v>1446</v>
      </c>
      <c r="G616" t="s">
        <v>1441</v>
      </c>
      <c r="H616" t="s">
        <v>1218</v>
      </c>
      <c r="I616" s="13">
        <v>41975</v>
      </c>
      <c r="J616">
        <v>9</v>
      </c>
      <c r="K616" t="s">
        <v>177</v>
      </c>
      <c r="L616" t="s">
        <v>139</v>
      </c>
      <c r="M616" t="s">
        <v>352</v>
      </c>
      <c r="N616" t="s">
        <v>1460</v>
      </c>
      <c r="O616">
        <v>1</v>
      </c>
      <c r="P616">
        <v>8.77</v>
      </c>
    </row>
    <row r="617" spans="4:16" x14ac:dyDescent="0.25">
      <c r="D617" t="s">
        <v>1461</v>
      </c>
      <c r="E617" t="s">
        <v>135</v>
      </c>
      <c r="F617" t="s">
        <v>1446</v>
      </c>
      <c r="G617" t="s">
        <v>1382</v>
      </c>
      <c r="H617" t="s">
        <v>1218</v>
      </c>
      <c r="I617" s="13">
        <v>41975</v>
      </c>
      <c r="J617">
        <v>9</v>
      </c>
      <c r="K617" t="s">
        <v>177</v>
      </c>
      <c r="L617" t="s">
        <v>139</v>
      </c>
      <c r="M617" t="s">
        <v>227</v>
      </c>
      <c r="N617" t="s">
        <v>1462</v>
      </c>
      <c r="O617">
        <v>1</v>
      </c>
      <c r="P617">
        <v>8.77</v>
      </c>
    </row>
    <row r="618" spans="4:16" x14ac:dyDescent="0.25">
      <c r="D618" t="s">
        <v>1463</v>
      </c>
      <c r="E618" t="s">
        <v>135</v>
      </c>
      <c r="F618" t="s">
        <v>656</v>
      </c>
      <c r="G618" t="s">
        <v>1441</v>
      </c>
      <c r="H618" t="s">
        <v>1218</v>
      </c>
      <c r="I618" s="13">
        <v>41975</v>
      </c>
      <c r="J618">
        <v>9</v>
      </c>
      <c r="K618" t="s">
        <v>145</v>
      </c>
      <c r="L618" t="s">
        <v>139</v>
      </c>
      <c r="M618" t="s">
        <v>490</v>
      </c>
      <c r="N618" t="s">
        <v>1464</v>
      </c>
      <c r="O618">
        <v>1</v>
      </c>
      <c r="P618">
        <v>8.77</v>
      </c>
    </row>
    <row r="619" spans="4:16" x14ac:dyDescent="0.25">
      <c r="D619" t="s">
        <v>1465</v>
      </c>
      <c r="E619" t="s">
        <v>135</v>
      </c>
      <c r="F619" t="s">
        <v>143</v>
      </c>
      <c r="G619" t="s">
        <v>308</v>
      </c>
      <c r="H619" t="s">
        <v>1218</v>
      </c>
      <c r="I619" s="13">
        <v>41976</v>
      </c>
      <c r="J619">
        <v>9</v>
      </c>
      <c r="K619" t="s">
        <v>177</v>
      </c>
      <c r="L619" t="s">
        <v>139</v>
      </c>
      <c r="M619" t="s">
        <v>264</v>
      </c>
      <c r="N619" t="s">
        <v>1466</v>
      </c>
      <c r="O619">
        <v>1</v>
      </c>
      <c r="P619">
        <v>8.76</v>
      </c>
    </row>
    <row r="620" spans="4:16" x14ac:dyDescent="0.25">
      <c r="D620" t="s">
        <v>1467</v>
      </c>
      <c r="E620" t="s">
        <v>135</v>
      </c>
      <c r="F620" t="s">
        <v>143</v>
      </c>
      <c r="G620" t="s">
        <v>143</v>
      </c>
      <c r="H620" t="s">
        <v>1218</v>
      </c>
      <c r="I620" s="13">
        <v>41976</v>
      </c>
      <c r="J620">
        <v>9</v>
      </c>
      <c r="K620" t="s">
        <v>177</v>
      </c>
      <c r="L620" t="s">
        <v>139</v>
      </c>
      <c r="M620" t="s">
        <v>261</v>
      </c>
      <c r="N620" t="s">
        <v>1468</v>
      </c>
      <c r="O620">
        <v>1</v>
      </c>
      <c r="P620">
        <v>8.76</v>
      </c>
    </row>
    <row r="621" spans="4:16" x14ac:dyDescent="0.25">
      <c r="D621" t="s">
        <v>1469</v>
      </c>
      <c r="E621" t="s">
        <v>135</v>
      </c>
      <c r="F621" t="s">
        <v>1446</v>
      </c>
      <c r="G621" t="s">
        <v>1457</v>
      </c>
      <c r="H621" t="s">
        <v>1218</v>
      </c>
      <c r="I621" s="13">
        <v>41981</v>
      </c>
      <c r="J621">
        <v>9</v>
      </c>
      <c r="K621" t="s">
        <v>177</v>
      </c>
      <c r="L621" t="s">
        <v>139</v>
      </c>
      <c r="M621" t="s">
        <v>284</v>
      </c>
      <c r="N621" t="s">
        <v>1470</v>
      </c>
      <c r="O621">
        <v>1</v>
      </c>
      <c r="P621">
        <v>8.75</v>
      </c>
    </row>
    <row r="622" spans="4:16" x14ac:dyDescent="0.25">
      <c r="D622" t="s">
        <v>1471</v>
      </c>
      <c r="E622" t="s">
        <v>135</v>
      </c>
      <c r="F622" t="s">
        <v>656</v>
      </c>
      <c r="G622" t="s">
        <v>1457</v>
      </c>
      <c r="H622" t="s">
        <v>1218</v>
      </c>
      <c r="I622" s="13">
        <v>41981</v>
      </c>
      <c r="J622">
        <v>9</v>
      </c>
      <c r="K622" t="s">
        <v>177</v>
      </c>
      <c r="L622" t="s">
        <v>139</v>
      </c>
      <c r="M622" t="s">
        <v>284</v>
      </c>
      <c r="N622" t="s">
        <v>1472</v>
      </c>
      <c r="O622">
        <v>1</v>
      </c>
      <c r="P622">
        <v>8.75</v>
      </c>
    </row>
    <row r="623" spans="4:16" x14ac:dyDescent="0.25">
      <c r="D623" t="s">
        <v>1473</v>
      </c>
      <c r="E623" t="s">
        <v>135</v>
      </c>
      <c r="F623" t="s">
        <v>181</v>
      </c>
      <c r="G623" t="s">
        <v>181</v>
      </c>
      <c r="H623" t="s">
        <v>1218</v>
      </c>
      <c r="I623" s="13">
        <v>41983</v>
      </c>
      <c r="J623">
        <v>9</v>
      </c>
      <c r="K623" t="s">
        <v>177</v>
      </c>
      <c r="L623" t="s">
        <v>139</v>
      </c>
      <c r="M623" t="s">
        <v>391</v>
      </c>
      <c r="N623" t="s">
        <v>1474</v>
      </c>
      <c r="O623">
        <v>1</v>
      </c>
      <c r="P623">
        <v>8.75</v>
      </c>
    </row>
    <row r="624" spans="4:16" x14ac:dyDescent="0.25">
      <c r="D624" t="s">
        <v>1475</v>
      </c>
      <c r="E624" t="s">
        <v>135</v>
      </c>
      <c r="F624" t="s">
        <v>173</v>
      </c>
      <c r="G624" t="s">
        <v>150</v>
      </c>
      <c r="H624" t="s">
        <v>1218</v>
      </c>
      <c r="I624" s="13">
        <v>41990</v>
      </c>
      <c r="J624">
        <v>9</v>
      </c>
      <c r="K624" t="s">
        <v>177</v>
      </c>
      <c r="L624" t="s">
        <v>139</v>
      </c>
      <c r="M624" t="s">
        <v>170</v>
      </c>
      <c r="N624" t="s">
        <v>1476</v>
      </c>
      <c r="O624">
        <v>1</v>
      </c>
      <c r="P624">
        <v>8.73</v>
      </c>
    </row>
    <row r="625" spans="4:16" x14ac:dyDescent="0.25">
      <c r="D625" t="s">
        <v>1477</v>
      </c>
      <c r="E625" t="s">
        <v>135</v>
      </c>
      <c r="F625" t="s">
        <v>656</v>
      </c>
      <c r="G625" t="s">
        <v>1441</v>
      </c>
      <c r="H625" t="s">
        <v>1218</v>
      </c>
      <c r="I625" s="13">
        <v>41988</v>
      </c>
      <c r="J625">
        <v>9</v>
      </c>
      <c r="K625" t="s">
        <v>177</v>
      </c>
      <c r="L625" t="s">
        <v>139</v>
      </c>
      <c r="M625" t="s">
        <v>982</v>
      </c>
      <c r="N625" t="s">
        <v>1478</v>
      </c>
      <c r="O625">
        <v>1</v>
      </c>
      <c r="P625">
        <v>8.73</v>
      </c>
    </row>
    <row r="626" spans="4:16" x14ac:dyDescent="0.25">
      <c r="D626" t="s">
        <v>1479</v>
      </c>
      <c r="E626" t="s">
        <v>135</v>
      </c>
      <c r="F626" t="s">
        <v>656</v>
      </c>
      <c r="G626" t="s">
        <v>1441</v>
      </c>
      <c r="H626" t="s">
        <v>1218</v>
      </c>
      <c r="I626" s="13">
        <v>42003</v>
      </c>
      <c r="J626">
        <v>9</v>
      </c>
      <c r="K626" t="s">
        <v>177</v>
      </c>
      <c r="L626" t="s">
        <v>139</v>
      </c>
      <c r="M626" t="s">
        <v>240</v>
      </c>
      <c r="N626" t="s">
        <v>1480</v>
      </c>
      <c r="O626">
        <v>1</v>
      </c>
      <c r="P626">
        <v>8.69</v>
      </c>
    </row>
    <row r="627" spans="4:16" x14ac:dyDescent="0.25">
      <c r="D627" t="s">
        <v>1481</v>
      </c>
      <c r="E627" t="s">
        <v>135</v>
      </c>
      <c r="F627" t="s">
        <v>656</v>
      </c>
      <c r="G627" t="s">
        <v>1382</v>
      </c>
      <c r="H627" t="s">
        <v>1218</v>
      </c>
      <c r="I627" s="13">
        <v>42003</v>
      </c>
      <c r="J627">
        <v>9</v>
      </c>
      <c r="K627" t="s">
        <v>177</v>
      </c>
      <c r="L627" t="s">
        <v>139</v>
      </c>
      <c r="M627" t="s">
        <v>284</v>
      </c>
      <c r="N627" t="s">
        <v>1482</v>
      </c>
      <c r="O627">
        <v>1</v>
      </c>
      <c r="P627">
        <v>8.69</v>
      </c>
    </row>
    <row r="628" spans="4:16" x14ac:dyDescent="0.25">
      <c r="D628" t="s">
        <v>1483</v>
      </c>
      <c r="E628" t="s">
        <v>135</v>
      </c>
      <c r="F628" t="s">
        <v>656</v>
      </c>
      <c r="G628" t="s">
        <v>1457</v>
      </c>
      <c r="H628" t="s">
        <v>1218</v>
      </c>
      <c r="I628" s="13">
        <v>42003</v>
      </c>
      <c r="J628">
        <v>9</v>
      </c>
      <c r="K628" t="s">
        <v>177</v>
      </c>
      <c r="L628" t="s">
        <v>139</v>
      </c>
      <c r="M628" t="s">
        <v>146</v>
      </c>
      <c r="N628" t="s">
        <v>1484</v>
      </c>
      <c r="O628">
        <v>1</v>
      </c>
      <c r="P628">
        <v>8.69</v>
      </c>
    </row>
    <row r="629" spans="4:16" x14ac:dyDescent="0.25">
      <c r="D629" t="s">
        <v>1485</v>
      </c>
      <c r="E629" t="s">
        <v>135</v>
      </c>
      <c r="F629" t="s">
        <v>656</v>
      </c>
      <c r="G629" t="s">
        <v>1441</v>
      </c>
      <c r="H629" t="s">
        <v>1218</v>
      </c>
      <c r="I629" s="13">
        <v>42003</v>
      </c>
      <c r="J629">
        <v>9</v>
      </c>
      <c r="K629" t="s">
        <v>177</v>
      </c>
      <c r="L629" t="s">
        <v>139</v>
      </c>
      <c r="M629" t="s">
        <v>982</v>
      </c>
      <c r="N629" t="s">
        <v>1486</v>
      </c>
      <c r="O629">
        <v>1</v>
      </c>
      <c r="P629">
        <v>8.69</v>
      </c>
    </row>
    <row r="630" spans="4:16" x14ac:dyDescent="0.25">
      <c r="D630" t="s">
        <v>1487</v>
      </c>
      <c r="E630" t="s">
        <v>135</v>
      </c>
      <c r="F630" t="s">
        <v>656</v>
      </c>
      <c r="G630" t="s">
        <v>1382</v>
      </c>
      <c r="H630" t="s">
        <v>1218</v>
      </c>
      <c r="I630" s="13">
        <v>42012</v>
      </c>
      <c r="J630">
        <v>9</v>
      </c>
      <c r="K630" t="s">
        <v>177</v>
      </c>
      <c r="L630" t="s">
        <v>139</v>
      </c>
      <c r="M630" t="s">
        <v>193</v>
      </c>
      <c r="N630" t="s">
        <v>1488</v>
      </c>
      <c r="O630">
        <v>1</v>
      </c>
      <c r="P630">
        <v>8.67</v>
      </c>
    </row>
    <row r="631" spans="4:16" x14ac:dyDescent="0.25">
      <c r="D631" t="s">
        <v>1489</v>
      </c>
      <c r="E631" t="s">
        <v>135</v>
      </c>
      <c r="F631" t="s">
        <v>656</v>
      </c>
      <c r="G631" t="s">
        <v>1382</v>
      </c>
      <c r="H631" t="s">
        <v>1218</v>
      </c>
      <c r="I631" s="13">
        <v>42012</v>
      </c>
      <c r="J631">
        <v>9</v>
      </c>
      <c r="K631" t="s">
        <v>177</v>
      </c>
      <c r="L631" t="s">
        <v>139</v>
      </c>
      <c r="M631" t="s">
        <v>193</v>
      </c>
      <c r="N631" t="s">
        <v>1490</v>
      </c>
      <c r="O631">
        <v>1</v>
      </c>
      <c r="P631">
        <v>8.67</v>
      </c>
    </row>
    <row r="632" spans="4:16" x14ac:dyDescent="0.25">
      <c r="D632" t="s">
        <v>1491</v>
      </c>
      <c r="E632" t="s">
        <v>135</v>
      </c>
      <c r="F632" t="s">
        <v>656</v>
      </c>
      <c r="G632" t="s">
        <v>1382</v>
      </c>
      <c r="H632" t="s">
        <v>1218</v>
      </c>
      <c r="I632" s="13">
        <v>42012</v>
      </c>
      <c r="J632">
        <v>9</v>
      </c>
      <c r="K632" t="s">
        <v>177</v>
      </c>
      <c r="L632" t="s">
        <v>139</v>
      </c>
      <c r="M632" t="s">
        <v>216</v>
      </c>
      <c r="N632" t="s">
        <v>1492</v>
      </c>
      <c r="O632">
        <v>1</v>
      </c>
      <c r="P632">
        <v>8.67</v>
      </c>
    </row>
    <row r="633" spans="4:16" x14ac:dyDescent="0.25">
      <c r="D633" t="s">
        <v>1493</v>
      </c>
      <c r="E633" t="s">
        <v>135</v>
      </c>
      <c r="F633" t="s">
        <v>656</v>
      </c>
      <c r="G633" t="s">
        <v>1457</v>
      </c>
      <c r="H633" t="s">
        <v>1218</v>
      </c>
      <c r="I633" s="13">
        <v>42012</v>
      </c>
      <c r="J633">
        <v>9</v>
      </c>
      <c r="K633" t="s">
        <v>177</v>
      </c>
      <c r="L633" t="s">
        <v>139</v>
      </c>
      <c r="M633" t="s">
        <v>193</v>
      </c>
      <c r="N633" t="s">
        <v>1494</v>
      </c>
      <c r="O633">
        <v>1</v>
      </c>
      <c r="P633">
        <v>8.67</v>
      </c>
    </row>
    <row r="634" spans="4:16" x14ac:dyDescent="0.25">
      <c r="D634" t="s">
        <v>1495</v>
      </c>
      <c r="E634" t="s">
        <v>135</v>
      </c>
      <c r="F634" t="s">
        <v>656</v>
      </c>
      <c r="G634" t="s">
        <v>1382</v>
      </c>
      <c r="H634" t="s">
        <v>1218</v>
      </c>
      <c r="I634" s="13">
        <v>42012</v>
      </c>
      <c r="J634">
        <v>9</v>
      </c>
      <c r="K634" t="s">
        <v>177</v>
      </c>
      <c r="L634" t="s">
        <v>139</v>
      </c>
      <c r="M634" t="s">
        <v>189</v>
      </c>
      <c r="N634" t="s">
        <v>1496</v>
      </c>
      <c r="O634">
        <v>1</v>
      </c>
      <c r="P634">
        <v>8.67</v>
      </c>
    </row>
    <row r="635" spans="4:16" x14ac:dyDescent="0.25">
      <c r="D635" t="s">
        <v>1497</v>
      </c>
      <c r="E635" t="s">
        <v>135</v>
      </c>
      <c r="F635" t="s">
        <v>656</v>
      </c>
      <c r="G635" t="s">
        <v>1382</v>
      </c>
      <c r="H635" t="s">
        <v>1218</v>
      </c>
      <c r="I635" s="13">
        <v>42012</v>
      </c>
      <c r="J635">
        <v>9</v>
      </c>
      <c r="K635" t="s">
        <v>177</v>
      </c>
      <c r="L635" t="s">
        <v>139</v>
      </c>
      <c r="M635" t="s">
        <v>193</v>
      </c>
      <c r="N635" t="s">
        <v>1498</v>
      </c>
      <c r="O635">
        <v>1</v>
      </c>
      <c r="P635">
        <v>8.67</v>
      </c>
    </row>
    <row r="636" spans="4:16" x14ac:dyDescent="0.25">
      <c r="D636" t="s">
        <v>1499</v>
      </c>
      <c r="E636" t="s">
        <v>135</v>
      </c>
      <c r="F636" t="s">
        <v>656</v>
      </c>
      <c r="G636" t="s">
        <v>1500</v>
      </c>
      <c r="H636" t="s">
        <v>1218</v>
      </c>
      <c r="I636" s="13">
        <v>42012</v>
      </c>
      <c r="J636">
        <v>9</v>
      </c>
      <c r="K636" t="s">
        <v>177</v>
      </c>
      <c r="L636" t="s">
        <v>139</v>
      </c>
      <c r="M636" t="s">
        <v>216</v>
      </c>
      <c r="N636" t="s">
        <v>1501</v>
      </c>
      <c r="O636">
        <v>1</v>
      </c>
      <c r="P636">
        <v>8.67</v>
      </c>
    </row>
    <row r="637" spans="4:16" x14ac:dyDescent="0.25">
      <c r="D637" t="s">
        <v>1502</v>
      </c>
      <c r="E637" t="s">
        <v>135</v>
      </c>
      <c r="F637" t="s">
        <v>656</v>
      </c>
      <c r="G637" t="s">
        <v>1503</v>
      </c>
      <c r="H637" t="s">
        <v>1218</v>
      </c>
      <c r="I637" s="13">
        <v>42012</v>
      </c>
      <c r="J637">
        <v>9</v>
      </c>
      <c r="K637" t="s">
        <v>177</v>
      </c>
      <c r="L637" t="s">
        <v>139</v>
      </c>
      <c r="M637" t="s">
        <v>216</v>
      </c>
      <c r="N637" t="s">
        <v>1504</v>
      </c>
      <c r="O637">
        <v>1</v>
      </c>
      <c r="P637">
        <v>8.67</v>
      </c>
    </row>
    <row r="638" spans="4:16" x14ac:dyDescent="0.25">
      <c r="D638" t="s">
        <v>1505</v>
      </c>
      <c r="E638" t="s">
        <v>135</v>
      </c>
      <c r="F638" t="s">
        <v>1446</v>
      </c>
      <c r="G638" t="s">
        <v>1382</v>
      </c>
      <c r="H638" t="s">
        <v>1218</v>
      </c>
      <c r="I638" s="13">
        <v>42012</v>
      </c>
      <c r="J638">
        <v>9</v>
      </c>
      <c r="K638" t="s">
        <v>177</v>
      </c>
      <c r="L638" t="s">
        <v>139</v>
      </c>
      <c r="M638" t="s">
        <v>207</v>
      </c>
      <c r="N638" t="s">
        <v>1506</v>
      </c>
      <c r="O638">
        <v>1</v>
      </c>
      <c r="P638">
        <v>8.67</v>
      </c>
    </row>
    <row r="639" spans="4:16" x14ac:dyDescent="0.25">
      <c r="D639" t="s">
        <v>1507</v>
      </c>
      <c r="E639" t="s">
        <v>135</v>
      </c>
      <c r="F639" t="s">
        <v>656</v>
      </c>
      <c r="G639" t="s">
        <v>1457</v>
      </c>
      <c r="H639" t="s">
        <v>1218</v>
      </c>
      <c r="I639" s="13">
        <v>42012</v>
      </c>
      <c r="J639">
        <v>9</v>
      </c>
      <c r="K639" t="s">
        <v>177</v>
      </c>
      <c r="L639" t="s">
        <v>139</v>
      </c>
      <c r="M639" t="s">
        <v>193</v>
      </c>
      <c r="N639" t="s">
        <v>1508</v>
      </c>
      <c r="O639">
        <v>1</v>
      </c>
      <c r="P639">
        <v>8.67</v>
      </c>
    </row>
    <row r="640" spans="4:16" x14ac:dyDescent="0.25">
      <c r="D640" t="s">
        <v>1509</v>
      </c>
      <c r="E640" t="s">
        <v>135</v>
      </c>
      <c r="F640" t="s">
        <v>1446</v>
      </c>
      <c r="G640" t="s">
        <v>1382</v>
      </c>
      <c r="H640" t="s">
        <v>1218</v>
      </c>
      <c r="I640" s="13">
        <v>42012</v>
      </c>
      <c r="J640">
        <v>9</v>
      </c>
      <c r="K640" t="s">
        <v>177</v>
      </c>
      <c r="L640" t="s">
        <v>139</v>
      </c>
      <c r="M640" t="s">
        <v>207</v>
      </c>
      <c r="N640" t="s">
        <v>1510</v>
      </c>
      <c r="O640">
        <v>1</v>
      </c>
      <c r="P640">
        <v>8.67</v>
      </c>
    </row>
    <row r="641" spans="4:16" x14ac:dyDescent="0.25">
      <c r="D641" t="s">
        <v>1511</v>
      </c>
      <c r="E641" t="s">
        <v>135</v>
      </c>
      <c r="F641" t="s">
        <v>1446</v>
      </c>
      <c r="G641" t="s">
        <v>1382</v>
      </c>
      <c r="H641" t="s">
        <v>1218</v>
      </c>
      <c r="I641" s="13">
        <v>42012</v>
      </c>
      <c r="J641">
        <v>9</v>
      </c>
      <c r="K641" t="s">
        <v>177</v>
      </c>
      <c r="L641" t="s">
        <v>139</v>
      </c>
      <c r="M641" t="s">
        <v>207</v>
      </c>
      <c r="N641" t="s">
        <v>1512</v>
      </c>
      <c r="O641">
        <v>1</v>
      </c>
      <c r="P641">
        <v>8.67</v>
      </c>
    </row>
    <row r="642" spans="4:16" x14ac:dyDescent="0.25">
      <c r="D642" t="s">
        <v>1513</v>
      </c>
      <c r="E642" t="s">
        <v>135</v>
      </c>
      <c r="F642" t="s">
        <v>656</v>
      </c>
      <c r="G642" t="s">
        <v>1503</v>
      </c>
      <c r="H642" t="s">
        <v>1218</v>
      </c>
      <c r="I642" s="13">
        <v>42012</v>
      </c>
      <c r="J642">
        <v>9</v>
      </c>
      <c r="K642" t="s">
        <v>177</v>
      </c>
      <c r="L642" t="s">
        <v>139</v>
      </c>
      <c r="M642" t="s">
        <v>216</v>
      </c>
      <c r="N642" t="s">
        <v>1514</v>
      </c>
      <c r="O642">
        <v>1</v>
      </c>
      <c r="P642">
        <v>8.67</v>
      </c>
    </row>
    <row r="643" spans="4:16" x14ac:dyDescent="0.25">
      <c r="D643" t="s">
        <v>1515</v>
      </c>
      <c r="E643" t="s">
        <v>135</v>
      </c>
      <c r="F643" t="s">
        <v>1446</v>
      </c>
      <c r="G643" t="s">
        <v>1382</v>
      </c>
      <c r="H643" t="s">
        <v>1218</v>
      </c>
      <c r="I643" s="13">
        <v>42012</v>
      </c>
      <c r="J643">
        <v>9</v>
      </c>
      <c r="K643" t="s">
        <v>177</v>
      </c>
      <c r="L643" t="s">
        <v>139</v>
      </c>
      <c r="M643" t="s">
        <v>207</v>
      </c>
      <c r="N643" t="s">
        <v>1516</v>
      </c>
      <c r="O643">
        <v>1</v>
      </c>
      <c r="P643">
        <v>8.67</v>
      </c>
    </row>
    <row r="644" spans="4:16" x14ac:dyDescent="0.25">
      <c r="D644" t="s">
        <v>1517</v>
      </c>
      <c r="E644" t="s">
        <v>135</v>
      </c>
      <c r="F644" t="s">
        <v>1446</v>
      </c>
      <c r="G644" t="s">
        <v>1382</v>
      </c>
      <c r="H644" t="s">
        <v>1218</v>
      </c>
      <c r="I644" s="13">
        <v>42012</v>
      </c>
      <c r="J644">
        <v>9</v>
      </c>
      <c r="K644" t="s">
        <v>177</v>
      </c>
      <c r="L644" t="s">
        <v>139</v>
      </c>
      <c r="M644" t="s">
        <v>207</v>
      </c>
      <c r="N644" t="s">
        <v>1518</v>
      </c>
      <c r="O644">
        <v>1</v>
      </c>
      <c r="P644">
        <v>8.67</v>
      </c>
    </row>
    <row r="645" spans="4:16" x14ac:dyDescent="0.25">
      <c r="D645" t="s">
        <v>1519</v>
      </c>
      <c r="E645" t="s">
        <v>135</v>
      </c>
      <c r="F645" t="s">
        <v>656</v>
      </c>
      <c r="G645" t="s">
        <v>1382</v>
      </c>
      <c r="H645" t="s">
        <v>1218</v>
      </c>
      <c r="I645" s="13">
        <v>42012</v>
      </c>
      <c r="J645">
        <v>9</v>
      </c>
      <c r="K645" t="s">
        <v>177</v>
      </c>
      <c r="L645" t="s">
        <v>139</v>
      </c>
      <c r="M645" t="s">
        <v>193</v>
      </c>
      <c r="N645" t="s">
        <v>1520</v>
      </c>
      <c r="O645">
        <v>1</v>
      </c>
      <c r="P645">
        <v>8.67</v>
      </c>
    </row>
    <row r="646" spans="4:16" x14ac:dyDescent="0.25">
      <c r="D646" t="s">
        <v>1521</v>
      </c>
      <c r="E646" t="s">
        <v>135</v>
      </c>
      <c r="F646" t="s">
        <v>656</v>
      </c>
      <c r="G646" t="s">
        <v>1457</v>
      </c>
      <c r="H646" t="s">
        <v>1218</v>
      </c>
      <c r="I646" s="13">
        <v>42012</v>
      </c>
      <c r="J646">
        <v>9</v>
      </c>
      <c r="K646" t="s">
        <v>177</v>
      </c>
      <c r="L646" t="s">
        <v>139</v>
      </c>
      <c r="M646" t="s">
        <v>193</v>
      </c>
      <c r="N646" t="s">
        <v>1522</v>
      </c>
      <c r="O646">
        <v>1</v>
      </c>
      <c r="P646">
        <v>8.67</v>
      </c>
    </row>
    <row r="647" spans="4:16" hidden="1" x14ac:dyDescent="0.25">
      <c r="D647" t="s">
        <v>1523</v>
      </c>
      <c r="E647" t="s">
        <v>135</v>
      </c>
      <c r="F647" t="s">
        <v>181</v>
      </c>
      <c r="G647" t="s">
        <v>795</v>
      </c>
      <c r="H647" t="s">
        <v>1218</v>
      </c>
      <c r="I647" s="13">
        <v>42018</v>
      </c>
      <c r="J647">
        <v>9</v>
      </c>
      <c r="K647" t="s">
        <v>177</v>
      </c>
      <c r="L647" t="s">
        <v>164</v>
      </c>
      <c r="M647" t="s">
        <v>452</v>
      </c>
      <c r="N647" t="s">
        <v>1524</v>
      </c>
      <c r="O647">
        <v>1</v>
      </c>
      <c r="P647">
        <v>8.65</v>
      </c>
    </row>
    <row r="648" spans="4:16" x14ac:dyDescent="0.25">
      <c r="D648" t="s">
        <v>1525</v>
      </c>
      <c r="E648" t="s">
        <v>135</v>
      </c>
      <c r="F648" t="s">
        <v>181</v>
      </c>
      <c r="G648" t="s">
        <v>795</v>
      </c>
      <c r="H648" t="s">
        <v>1218</v>
      </c>
      <c r="I648" s="13">
        <v>42018</v>
      </c>
      <c r="J648">
        <v>9</v>
      </c>
      <c r="K648" t="s">
        <v>177</v>
      </c>
      <c r="L648" t="s">
        <v>139</v>
      </c>
      <c r="M648" t="s">
        <v>452</v>
      </c>
      <c r="N648" t="s">
        <v>1526</v>
      </c>
      <c r="O648">
        <v>1</v>
      </c>
      <c r="P648">
        <v>8.65</v>
      </c>
    </row>
    <row r="649" spans="4:16" x14ac:dyDescent="0.25">
      <c r="D649" t="s">
        <v>1527</v>
      </c>
      <c r="E649" t="s">
        <v>135</v>
      </c>
      <c r="F649" t="s">
        <v>181</v>
      </c>
      <c r="G649" t="s">
        <v>795</v>
      </c>
      <c r="H649" t="s">
        <v>1218</v>
      </c>
      <c r="I649" s="13">
        <v>42019</v>
      </c>
      <c r="J649">
        <v>9</v>
      </c>
      <c r="K649" t="s">
        <v>177</v>
      </c>
      <c r="L649" t="s">
        <v>139</v>
      </c>
      <c r="M649" t="s">
        <v>785</v>
      </c>
      <c r="N649" t="s">
        <v>1528</v>
      </c>
      <c r="O649">
        <v>1</v>
      </c>
      <c r="P649">
        <v>8.65</v>
      </c>
    </row>
    <row r="650" spans="4:16" x14ac:dyDescent="0.25">
      <c r="D650" t="s">
        <v>1529</v>
      </c>
      <c r="E650" t="s">
        <v>135</v>
      </c>
      <c r="F650" t="s">
        <v>149</v>
      </c>
      <c r="G650" t="s">
        <v>149</v>
      </c>
      <c r="H650" t="s">
        <v>1218</v>
      </c>
      <c r="I650" s="13">
        <v>42023</v>
      </c>
      <c r="J650">
        <v>9</v>
      </c>
      <c r="K650" t="s">
        <v>177</v>
      </c>
      <c r="L650" t="s">
        <v>139</v>
      </c>
      <c r="M650" t="s">
        <v>170</v>
      </c>
      <c r="N650" t="s">
        <v>1530</v>
      </c>
      <c r="O650">
        <v>1</v>
      </c>
      <c r="P650">
        <v>8.64</v>
      </c>
    </row>
    <row r="651" spans="4:16" x14ac:dyDescent="0.25">
      <c r="D651" t="s">
        <v>1531</v>
      </c>
      <c r="E651" t="s">
        <v>135</v>
      </c>
      <c r="F651" t="s">
        <v>149</v>
      </c>
      <c r="G651" t="s">
        <v>150</v>
      </c>
      <c r="H651" t="s">
        <v>1218</v>
      </c>
      <c r="I651" s="13">
        <v>42034</v>
      </c>
      <c r="J651">
        <v>9</v>
      </c>
      <c r="K651" t="s">
        <v>177</v>
      </c>
      <c r="L651" t="s">
        <v>139</v>
      </c>
      <c r="M651" t="s">
        <v>170</v>
      </c>
      <c r="N651" t="s">
        <v>1532</v>
      </c>
      <c r="O651">
        <v>1</v>
      </c>
      <c r="P651">
        <v>8.61</v>
      </c>
    </row>
    <row r="652" spans="4:16" x14ac:dyDescent="0.25">
      <c r="D652" t="s">
        <v>1533</v>
      </c>
      <c r="E652" t="s">
        <v>135</v>
      </c>
      <c r="F652" t="s">
        <v>149</v>
      </c>
      <c r="G652" t="s">
        <v>149</v>
      </c>
      <c r="H652" t="s">
        <v>1218</v>
      </c>
      <c r="I652" s="13">
        <v>42034</v>
      </c>
      <c r="J652">
        <v>9</v>
      </c>
      <c r="K652" t="s">
        <v>177</v>
      </c>
      <c r="L652" t="s">
        <v>139</v>
      </c>
      <c r="M652" t="s">
        <v>170</v>
      </c>
      <c r="N652" t="s">
        <v>1534</v>
      </c>
      <c r="O652">
        <v>1</v>
      </c>
      <c r="P652">
        <v>8.61</v>
      </c>
    </row>
    <row r="653" spans="4:16" x14ac:dyDescent="0.25">
      <c r="D653" t="s">
        <v>1535</v>
      </c>
      <c r="E653" t="s">
        <v>135</v>
      </c>
      <c r="F653" t="s">
        <v>379</v>
      </c>
      <c r="G653" t="s">
        <v>1244</v>
      </c>
      <c r="H653" t="s">
        <v>1218</v>
      </c>
      <c r="I653" s="13">
        <v>42037</v>
      </c>
      <c r="J653">
        <v>9</v>
      </c>
      <c r="K653" t="s">
        <v>177</v>
      </c>
      <c r="L653" t="s">
        <v>139</v>
      </c>
      <c r="M653" t="s">
        <v>647</v>
      </c>
      <c r="N653" t="s">
        <v>1536</v>
      </c>
      <c r="O653">
        <v>1</v>
      </c>
      <c r="P653">
        <v>8.6</v>
      </c>
    </row>
    <row r="654" spans="4:16" x14ac:dyDescent="0.25">
      <c r="D654" t="s">
        <v>1537</v>
      </c>
      <c r="E654" t="s">
        <v>135</v>
      </c>
      <c r="F654" t="s">
        <v>379</v>
      </c>
      <c r="G654" t="s">
        <v>1112</v>
      </c>
      <c r="H654" t="s">
        <v>1218</v>
      </c>
      <c r="I654" s="13">
        <v>42037</v>
      </c>
      <c r="J654">
        <v>9</v>
      </c>
      <c r="K654" t="s">
        <v>177</v>
      </c>
      <c r="L654" t="s">
        <v>139</v>
      </c>
      <c r="M654" t="s">
        <v>647</v>
      </c>
      <c r="N654" t="s">
        <v>1538</v>
      </c>
      <c r="O654">
        <v>1</v>
      </c>
      <c r="P654">
        <v>8.6</v>
      </c>
    </row>
    <row r="655" spans="4:16" x14ac:dyDescent="0.25">
      <c r="D655" t="s">
        <v>1539</v>
      </c>
      <c r="E655" t="s">
        <v>135</v>
      </c>
      <c r="F655" t="s">
        <v>379</v>
      </c>
      <c r="G655" t="s">
        <v>1244</v>
      </c>
      <c r="H655" t="s">
        <v>1218</v>
      </c>
      <c r="I655" s="13">
        <v>42037</v>
      </c>
      <c r="J655">
        <v>9</v>
      </c>
      <c r="K655" t="s">
        <v>177</v>
      </c>
      <c r="L655" t="s">
        <v>139</v>
      </c>
      <c r="M655" t="s">
        <v>647</v>
      </c>
      <c r="N655" t="s">
        <v>1540</v>
      </c>
      <c r="O655">
        <v>1</v>
      </c>
      <c r="P655">
        <v>8.6</v>
      </c>
    </row>
    <row r="656" spans="4:16" x14ac:dyDescent="0.25">
      <c r="D656" t="s">
        <v>1541</v>
      </c>
      <c r="E656" t="s">
        <v>135</v>
      </c>
      <c r="F656" t="s">
        <v>379</v>
      </c>
      <c r="G656" t="s">
        <v>1244</v>
      </c>
      <c r="H656" t="s">
        <v>1218</v>
      </c>
      <c r="I656" s="13">
        <v>42037</v>
      </c>
      <c r="J656">
        <v>9</v>
      </c>
      <c r="K656" t="s">
        <v>177</v>
      </c>
      <c r="L656" t="s">
        <v>139</v>
      </c>
      <c r="M656" t="s">
        <v>647</v>
      </c>
      <c r="N656" t="s">
        <v>1542</v>
      </c>
      <c r="O656">
        <v>1</v>
      </c>
      <c r="P656">
        <v>8.6</v>
      </c>
    </row>
    <row r="657" spans="4:16" x14ac:dyDescent="0.25">
      <c r="D657" t="s">
        <v>1543</v>
      </c>
      <c r="E657" t="s">
        <v>135</v>
      </c>
      <c r="F657" t="s">
        <v>379</v>
      </c>
      <c r="G657" t="s">
        <v>1244</v>
      </c>
      <c r="H657" t="s">
        <v>1218</v>
      </c>
      <c r="I657" s="13">
        <v>42037</v>
      </c>
      <c r="J657">
        <v>9</v>
      </c>
      <c r="K657" t="s">
        <v>177</v>
      </c>
      <c r="L657" t="s">
        <v>139</v>
      </c>
      <c r="M657" t="s">
        <v>647</v>
      </c>
      <c r="N657" t="s">
        <v>1544</v>
      </c>
      <c r="O657">
        <v>1</v>
      </c>
      <c r="P657">
        <v>8.6</v>
      </c>
    </row>
    <row r="658" spans="4:16" x14ac:dyDescent="0.25">
      <c r="D658" t="s">
        <v>1545</v>
      </c>
      <c r="E658" t="s">
        <v>135</v>
      </c>
      <c r="F658" t="s">
        <v>379</v>
      </c>
      <c r="G658" t="s">
        <v>1244</v>
      </c>
      <c r="H658" t="s">
        <v>1218</v>
      </c>
      <c r="I658" s="13">
        <v>42037</v>
      </c>
      <c r="J658">
        <v>9</v>
      </c>
      <c r="K658" t="s">
        <v>177</v>
      </c>
      <c r="L658" t="s">
        <v>139</v>
      </c>
      <c r="M658" t="s">
        <v>647</v>
      </c>
      <c r="N658" t="s">
        <v>1546</v>
      </c>
      <c r="O658">
        <v>1</v>
      </c>
      <c r="P658">
        <v>8.6</v>
      </c>
    </row>
    <row r="659" spans="4:16" x14ac:dyDescent="0.25">
      <c r="D659" t="s">
        <v>1547</v>
      </c>
      <c r="E659" t="s">
        <v>135</v>
      </c>
      <c r="F659" t="s">
        <v>149</v>
      </c>
      <c r="G659" t="s">
        <v>149</v>
      </c>
      <c r="H659" t="s">
        <v>1218</v>
      </c>
      <c r="I659" s="13">
        <v>42037</v>
      </c>
      <c r="J659">
        <v>9</v>
      </c>
      <c r="K659" t="s">
        <v>177</v>
      </c>
      <c r="L659" t="s">
        <v>139</v>
      </c>
      <c r="M659" t="s">
        <v>170</v>
      </c>
      <c r="N659" t="s">
        <v>1548</v>
      </c>
      <c r="O659">
        <v>1</v>
      </c>
      <c r="P659">
        <v>8.6</v>
      </c>
    </row>
    <row r="660" spans="4:16" x14ac:dyDescent="0.25">
      <c r="D660" t="s">
        <v>1549</v>
      </c>
      <c r="E660" t="s">
        <v>135</v>
      </c>
      <c r="F660" t="s">
        <v>149</v>
      </c>
      <c r="G660" t="s">
        <v>163</v>
      </c>
      <c r="H660" t="s">
        <v>1218</v>
      </c>
      <c r="I660" s="13">
        <v>42062</v>
      </c>
      <c r="J660">
        <v>9</v>
      </c>
      <c r="K660" t="s">
        <v>177</v>
      </c>
      <c r="L660" t="s">
        <v>139</v>
      </c>
      <c r="M660" t="s">
        <v>165</v>
      </c>
      <c r="N660" t="s">
        <v>1550</v>
      </c>
      <c r="O660">
        <v>1</v>
      </c>
      <c r="P660">
        <v>8.5299999999999994</v>
      </c>
    </row>
    <row r="661" spans="4:16" x14ac:dyDescent="0.25">
      <c r="D661" t="s">
        <v>1551</v>
      </c>
      <c r="E661" t="s">
        <v>135</v>
      </c>
      <c r="F661" t="s">
        <v>149</v>
      </c>
      <c r="G661" t="s">
        <v>150</v>
      </c>
      <c r="H661" t="s">
        <v>1218</v>
      </c>
      <c r="I661" s="13">
        <v>42062</v>
      </c>
      <c r="J661">
        <v>9</v>
      </c>
      <c r="K661" t="s">
        <v>177</v>
      </c>
      <c r="L661" t="s">
        <v>139</v>
      </c>
      <c r="M661" t="s">
        <v>151</v>
      </c>
      <c r="N661" t="s">
        <v>1552</v>
      </c>
      <c r="O661">
        <v>1</v>
      </c>
      <c r="P661">
        <v>8.5299999999999994</v>
      </c>
    </row>
    <row r="662" spans="4:16" x14ac:dyDescent="0.25">
      <c r="D662" t="s">
        <v>1553</v>
      </c>
      <c r="E662" t="s">
        <v>135</v>
      </c>
      <c r="F662" t="s">
        <v>149</v>
      </c>
      <c r="G662" t="s">
        <v>150</v>
      </c>
      <c r="H662" t="s">
        <v>1218</v>
      </c>
      <c r="I662" s="13">
        <v>42062</v>
      </c>
      <c r="J662">
        <v>9</v>
      </c>
      <c r="K662" t="s">
        <v>177</v>
      </c>
      <c r="L662" t="s">
        <v>139</v>
      </c>
      <c r="M662" t="s">
        <v>965</v>
      </c>
      <c r="N662" t="s">
        <v>1554</v>
      </c>
      <c r="O662">
        <v>1</v>
      </c>
      <c r="P662">
        <v>8.5299999999999994</v>
      </c>
    </row>
    <row r="663" spans="4:16" x14ac:dyDescent="0.25">
      <c r="D663" t="s">
        <v>1555</v>
      </c>
      <c r="E663" t="s">
        <v>135</v>
      </c>
      <c r="F663" t="s">
        <v>149</v>
      </c>
      <c r="G663" t="s">
        <v>163</v>
      </c>
      <c r="H663" t="s">
        <v>1218</v>
      </c>
      <c r="I663" s="13">
        <v>42065</v>
      </c>
      <c r="J663">
        <v>9</v>
      </c>
      <c r="K663" t="s">
        <v>177</v>
      </c>
      <c r="L663" t="s">
        <v>139</v>
      </c>
      <c r="M663" t="s">
        <v>165</v>
      </c>
      <c r="N663" t="s">
        <v>1556</v>
      </c>
      <c r="O663">
        <v>1</v>
      </c>
      <c r="P663">
        <v>8.52</v>
      </c>
    </row>
    <row r="664" spans="4:16" x14ac:dyDescent="0.25">
      <c r="D664" t="s">
        <v>1557</v>
      </c>
      <c r="E664" t="s">
        <v>135</v>
      </c>
      <c r="F664" t="s">
        <v>149</v>
      </c>
      <c r="G664" t="s">
        <v>163</v>
      </c>
      <c r="H664" t="s">
        <v>1218</v>
      </c>
      <c r="I664" s="13">
        <v>42101</v>
      </c>
      <c r="J664">
        <v>8</v>
      </c>
      <c r="K664" t="s">
        <v>177</v>
      </c>
      <c r="L664" t="s">
        <v>139</v>
      </c>
      <c r="M664" t="s">
        <v>856</v>
      </c>
      <c r="N664" t="s">
        <v>1558</v>
      </c>
      <c r="O664">
        <v>1</v>
      </c>
      <c r="P664">
        <v>8.42</v>
      </c>
    </row>
    <row r="665" spans="4:16" x14ac:dyDescent="0.25">
      <c r="D665" t="s">
        <v>1559</v>
      </c>
      <c r="E665" t="s">
        <v>135</v>
      </c>
      <c r="F665" t="s">
        <v>1560</v>
      </c>
      <c r="G665" t="s">
        <v>1382</v>
      </c>
      <c r="H665" t="s">
        <v>1218</v>
      </c>
      <c r="I665" s="13">
        <v>42103</v>
      </c>
      <c r="J665">
        <v>8</v>
      </c>
      <c r="K665" t="s">
        <v>177</v>
      </c>
      <c r="L665" t="s">
        <v>139</v>
      </c>
      <c r="M665" t="s">
        <v>421</v>
      </c>
      <c r="N665" t="s">
        <v>1561</v>
      </c>
      <c r="O665">
        <v>1</v>
      </c>
      <c r="P665">
        <v>8.42</v>
      </c>
    </row>
    <row r="666" spans="4:16" x14ac:dyDescent="0.25">
      <c r="D666" t="s">
        <v>1562</v>
      </c>
      <c r="E666" t="s">
        <v>135</v>
      </c>
      <c r="F666" t="s">
        <v>1560</v>
      </c>
      <c r="G666" t="s">
        <v>1382</v>
      </c>
      <c r="H666" t="s">
        <v>1218</v>
      </c>
      <c r="I666" s="13">
        <v>42103</v>
      </c>
      <c r="J666">
        <v>8</v>
      </c>
      <c r="K666" t="s">
        <v>177</v>
      </c>
      <c r="L666" t="s">
        <v>139</v>
      </c>
      <c r="M666" t="s">
        <v>421</v>
      </c>
      <c r="N666" t="s">
        <v>1563</v>
      </c>
      <c r="O666">
        <v>1</v>
      </c>
      <c r="P666">
        <v>8.42</v>
      </c>
    </row>
    <row r="667" spans="4:16" x14ac:dyDescent="0.25">
      <c r="D667" t="s">
        <v>1564</v>
      </c>
      <c r="E667" t="s">
        <v>135</v>
      </c>
      <c r="F667" t="s">
        <v>379</v>
      </c>
      <c r="G667" t="s">
        <v>1244</v>
      </c>
      <c r="H667" t="s">
        <v>1218</v>
      </c>
      <c r="I667" s="13">
        <v>42107</v>
      </c>
      <c r="J667">
        <v>8</v>
      </c>
      <c r="K667" t="s">
        <v>145</v>
      </c>
      <c r="L667" t="s">
        <v>139</v>
      </c>
      <c r="M667" t="s">
        <v>398</v>
      </c>
      <c r="N667" t="s">
        <v>1565</v>
      </c>
      <c r="O667">
        <v>1</v>
      </c>
      <c r="P667">
        <v>8.41</v>
      </c>
    </row>
    <row r="668" spans="4:16" x14ac:dyDescent="0.25">
      <c r="D668" t="s">
        <v>1566</v>
      </c>
      <c r="E668" t="s">
        <v>135</v>
      </c>
      <c r="F668" t="s">
        <v>143</v>
      </c>
      <c r="G668" t="s">
        <v>144</v>
      </c>
      <c r="H668" t="s">
        <v>1218</v>
      </c>
      <c r="I668" s="13">
        <v>42108</v>
      </c>
      <c r="J668">
        <v>8</v>
      </c>
      <c r="K668" t="s">
        <v>177</v>
      </c>
      <c r="L668" t="s">
        <v>139</v>
      </c>
      <c r="M668" t="s">
        <v>647</v>
      </c>
      <c r="N668" t="s">
        <v>1567</v>
      </c>
      <c r="O668">
        <v>1</v>
      </c>
      <c r="P668">
        <v>8.4</v>
      </c>
    </row>
    <row r="669" spans="4:16" x14ac:dyDescent="0.25">
      <c r="D669" t="s">
        <v>1568</v>
      </c>
      <c r="E669" t="s">
        <v>135</v>
      </c>
      <c r="F669" t="s">
        <v>379</v>
      </c>
      <c r="G669" t="s">
        <v>1569</v>
      </c>
      <c r="H669" t="s">
        <v>1218</v>
      </c>
      <c r="I669" s="13">
        <v>42108</v>
      </c>
      <c r="J669">
        <v>8</v>
      </c>
      <c r="K669" t="s">
        <v>177</v>
      </c>
      <c r="L669" t="s">
        <v>139</v>
      </c>
      <c r="M669" t="s">
        <v>647</v>
      </c>
      <c r="N669" t="s">
        <v>1570</v>
      </c>
      <c r="O669">
        <v>1</v>
      </c>
      <c r="P669">
        <v>8.4</v>
      </c>
    </row>
    <row r="670" spans="4:16" x14ac:dyDescent="0.25">
      <c r="D670" t="s">
        <v>1571</v>
      </c>
      <c r="E670" t="s">
        <v>135</v>
      </c>
      <c r="F670" t="s">
        <v>379</v>
      </c>
      <c r="G670" t="s">
        <v>1244</v>
      </c>
      <c r="H670" t="s">
        <v>1218</v>
      </c>
      <c r="I670" s="13">
        <v>42108</v>
      </c>
      <c r="J670">
        <v>8</v>
      </c>
      <c r="K670" t="s">
        <v>177</v>
      </c>
      <c r="L670" t="s">
        <v>139</v>
      </c>
      <c r="M670" t="s">
        <v>647</v>
      </c>
      <c r="N670" t="s">
        <v>1572</v>
      </c>
      <c r="O670">
        <v>1</v>
      </c>
      <c r="P670">
        <v>8.4</v>
      </c>
    </row>
    <row r="671" spans="4:16" x14ac:dyDescent="0.25">
      <c r="D671" t="s">
        <v>1573</v>
      </c>
      <c r="E671" t="s">
        <v>135</v>
      </c>
      <c r="F671" t="s">
        <v>143</v>
      </c>
      <c r="G671" t="s">
        <v>144</v>
      </c>
      <c r="H671" t="s">
        <v>1218</v>
      </c>
      <c r="I671" s="13">
        <v>42108</v>
      </c>
      <c r="J671">
        <v>8</v>
      </c>
      <c r="K671" t="s">
        <v>177</v>
      </c>
      <c r="L671" t="s">
        <v>139</v>
      </c>
      <c r="M671" t="s">
        <v>647</v>
      </c>
      <c r="N671" t="s">
        <v>1574</v>
      </c>
      <c r="O671">
        <v>1</v>
      </c>
      <c r="P671">
        <v>8.4</v>
      </c>
    </row>
    <row r="672" spans="4:16" x14ac:dyDescent="0.25">
      <c r="D672" t="s">
        <v>1575</v>
      </c>
      <c r="E672" t="s">
        <v>135</v>
      </c>
      <c r="F672" t="s">
        <v>379</v>
      </c>
      <c r="G672" t="s">
        <v>1244</v>
      </c>
      <c r="H672" t="s">
        <v>1218</v>
      </c>
      <c r="I672" s="13">
        <v>42108</v>
      </c>
      <c r="J672">
        <v>8</v>
      </c>
      <c r="K672" t="s">
        <v>177</v>
      </c>
      <c r="L672" t="s">
        <v>139</v>
      </c>
      <c r="M672" t="s">
        <v>647</v>
      </c>
      <c r="N672" t="s">
        <v>1576</v>
      </c>
      <c r="O672">
        <v>1</v>
      </c>
      <c r="P672">
        <v>8.4</v>
      </c>
    </row>
    <row r="673" spans="4:16" x14ac:dyDescent="0.25">
      <c r="D673" t="s">
        <v>1577</v>
      </c>
      <c r="E673" t="s">
        <v>135</v>
      </c>
      <c r="F673" t="s">
        <v>143</v>
      </c>
      <c r="G673" t="s">
        <v>144</v>
      </c>
      <c r="H673" t="s">
        <v>1218</v>
      </c>
      <c r="I673" s="13">
        <v>42108</v>
      </c>
      <c r="J673">
        <v>8</v>
      </c>
      <c r="K673" t="s">
        <v>177</v>
      </c>
      <c r="L673" t="s">
        <v>139</v>
      </c>
      <c r="M673" t="s">
        <v>647</v>
      </c>
      <c r="N673" t="s">
        <v>1578</v>
      </c>
      <c r="O673">
        <v>1</v>
      </c>
      <c r="P673">
        <v>8.4</v>
      </c>
    </row>
    <row r="674" spans="4:16" x14ac:dyDescent="0.25">
      <c r="D674" t="s">
        <v>1579</v>
      </c>
      <c r="E674" t="s">
        <v>135</v>
      </c>
      <c r="F674" t="s">
        <v>379</v>
      </c>
      <c r="G674" t="s">
        <v>1569</v>
      </c>
      <c r="H674" t="s">
        <v>1218</v>
      </c>
      <c r="I674" s="13">
        <v>42108</v>
      </c>
      <c r="J674">
        <v>8</v>
      </c>
      <c r="K674" t="s">
        <v>177</v>
      </c>
      <c r="L674" t="s">
        <v>139</v>
      </c>
      <c r="M674" t="s">
        <v>647</v>
      </c>
      <c r="N674" t="s">
        <v>1580</v>
      </c>
      <c r="O674">
        <v>1</v>
      </c>
      <c r="P674">
        <v>8.4</v>
      </c>
    </row>
    <row r="675" spans="4:16" x14ac:dyDescent="0.25">
      <c r="D675" t="s">
        <v>1581</v>
      </c>
      <c r="E675" t="s">
        <v>135</v>
      </c>
      <c r="F675" t="s">
        <v>143</v>
      </c>
      <c r="G675" t="s">
        <v>723</v>
      </c>
      <c r="H675" t="s">
        <v>1218</v>
      </c>
      <c r="I675" s="13">
        <v>42108</v>
      </c>
      <c r="J675">
        <v>8</v>
      </c>
      <c r="K675" t="s">
        <v>177</v>
      </c>
      <c r="L675" t="s">
        <v>139</v>
      </c>
      <c r="M675" t="s">
        <v>647</v>
      </c>
      <c r="N675" t="s">
        <v>1582</v>
      </c>
      <c r="O675">
        <v>1</v>
      </c>
      <c r="P675">
        <v>8.4</v>
      </c>
    </row>
    <row r="676" spans="4:16" x14ac:dyDescent="0.25">
      <c r="D676" t="s">
        <v>1583</v>
      </c>
      <c r="E676" t="s">
        <v>135</v>
      </c>
      <c r="F676" t="s">
        <v>379</v>
      </c>
      <c r="G676" t="s">
        <v>1569</v>
      </c>
      <c r="H676" t="s">
        <v>1218</v>
      </c>
      <c r="I676" s="13">
        <v>42108</v>
      </c>
      <c r="J676">
        <v>8</v>
      </c>
      <c r="K676" t="s">
        <v>177</v>
      </c>
      <c r="L676" t="s">
        <v>139</v>
      </c>
      <c r="M676" t="s">
        <v>398</v>
      </c>
      <c r="N676" t="s">
        <v>1584</v>
      </c>
      <c r="O676">
        <v>1</v>
      </c>
      <c r="P676">
        <v>8.4</v>
      </c>
    </row>
    <row r="677" spans="4:16" x14ac:dyDescent="0.25">
      <c r="D677" t="s">
        <v>1585</v>
      </c>
      <c r="E677" t="s">
        <v>135</v>
      </c>
      <c r="F677" t="s">
        <v>143</v>
      </c>
      <c r="G677" t="s">
        <v>144</v>
      </c>
      <c r="H677" t="s">
        <v>1218</v>
      </c>
      <c r="I677" s="13">
        <v>42108</v>
      </c>
      <c r="J677">
        <v>8</v>
      </c>
      <c r="K677" t="s">
        <v>177</v>
      </c>
      <c r="L677" t="s">
        <v>139</v>
      </c>
      <c r="M677" t="s">
        <v>647</v>
      </c>
      <c r="N677" t="s">
        <v>1586</v>
      </c>
      <c r="O677">
        <v>1</v>
      </c>
      <c r="P677">
        <v>8.4</v>
      </c>
    </row>
    <row r="678" spans="4:16" x14ac:dyDescent="0.25">
      <c r="D678" t="s">
        <v>1587</v>
      </c>
      <c r="E678" t="s">
        <v>135</v>
      </c>
      <c r="F678" t="s">
        <v>143</v>
      </c>
      <c r="G678" t="s">
        <v>144</v>
      </c>
      <c r="H678" t="s">
        <v>1218</v>
      </c>
      <c r="I678" s="13">
        <v>42108</v>
      </c>
      <c r="J678">
        <v>8</v>
      </c>
      <c r="K678" t="s">
        <v>177</v>
      </c>
      <c r="L678" t="s">
        <v>139</v>
      </c>
      <c r="M678" t="s">
        <v>647</v>
      </c>
      <c r="N678" t="s">
        <v>1588</v>
      </c>
      <c r="O678">
        <v>1</v>
      </c>
      <c r="P678">
        <v>8.4</v>
      </c>
    </row>
    <row r="679" spans="4:16" x14ac:dyDescent="0.25">
      <c r="D679" t="s">
        <v>1589</v>
      </c>
      <c r="E679" t="s">
        <v>135</v>
      </c>
      <c r="F679" t="s">
        <v>143</v>
      </c>
      <c r="G679" t="s">
        <v>144</v>
      </c>
      <c r="H679" t="s">
        <v>1218</v>
      </c>
      <c r="I679" s="13">
        <v>42108</v>
      </c>
      <c r="J679">
        <v>8</v>
      </c>
      <c r="K679" t="s">
        <v>177</v>
      </c>
      <c r="L679" t="s">
        <v>139</v>
      </c>
      <c r="M679" t="s">
        <v>398</v>
      </c>
      <c r="N679" t="s">
        <v>1590</v>
      </c>
      <c r="O679">
        <v>1</v>
      </c>
      <c r="P679">
        <v>8.4</v>
      </c>
    </row>
    <row r="680" spans="4:16" x14ac:dyDescent="0.25">
      <c r="D680" t="s">
        <v>1591</v>
      </c>
      <c r="E680" t="s">
        <v>135</v>
      </c>
      <c r="F680" t="s">
        <v>379</v>
      </c>
      <c r="G680" t="s">
        <v>1252</v>
      </c>
      <c r="H680" t="s">
        <v>1218</v>
      </c>
      <c r="I680" s="13">
        <v>42146</v>
      </c>
      <c r="J680">
        <v>8</v>
      </c>
      <c r="K680" t="s">
        <v>177</v>
      </c>
      <c r="L680" t="s">
        <v>139</v>
      </c>
      <c r="M680" t="s">
        <v>183</v>
      </c>
      <c r="N680" t="s">
        <v>1592</v>
      </c>
      <c r="O680">
        <v>1</v>
      </c>
      <c r="P680">
        <v>8.3000000000000007</v>
      </c>
    </row>
    <row r="681" spans="4:16" x14ac:dyDescent="0.25">
      <c r="D681" t="s">
        <v>1593</v>
      </c>
      <c r="E681" t="s">
        <v>135</v>
      </c>
      <c r="F681" t="s">
        <v>149</v>
      </c>
      <c r="G681" t="s">
        <v>150</v>
      </c>
      <c r="H681" t="s">
        <v>1218</v>
      </c>
      <c r="I681" s="13">
        <v>42150</v>
      </c>
      <c r="J681">
        <v>8</v>
      </c>
      <c r="K681" t="s">
        <v>145</v>
      </c>
      <c r="L681" t="s">
        <v>139</v>
      </c>
      <c r="M681" t="s">
        <v>316</v>
      </c>
      <c r="N681" t="s">
        <v>1594</v>
      </c>
      <c r="O681">
        <v>1</v>
      </c>
      <c r="P681">
        <v>8.2899999999999991</v>
      </c>
    </row>
    <row r="682" spans="4:16" x14ac:dyDescent="0.25">
      <c r="D682" t="s">
        <v>1595</v>
      </c>
      <c r="E682" t="s">
        <v>135</v>
      </c>
      <c r="F682" t="s">
        <v>149</v>
      </c>
      <c r="G682" t="s">
        <v>150</v>
      </c>
      <c r="H682" t="s">
        <v>1218</v>
      </c>
      <c r="I682" s="13">
        <v>42150</v>
      </c>
      <c r="J682">
        <v>8</v>
      </c>
      <c r="K682" t="s">
        <v>145</v>
      </c>
      <c r="L682" t="s">
        <v>139</v>
      </c>
      <c r="M682" t="s">
        <v>316</v>
      </c>
      <c r="N682" t="s">
        <v>1596</v>
      </c>
      <c r="O682">
        <v>1</v>
      </c>
      <c r="P682">
        <v>8.2899999999999991</v>
      </c>
    </row>
    <row r="683" spans="4:16" x14ac:dyDescent="0.25">
      <c r="D683" t="s">
        <v>1597</v>
      </c>
      <c r="E683" t="s">
        <v>135</v>
      </c>
      <c r="F683" t="s">
        <v>149</v>
      </c>
      <c r="G683" t="s">
        <v>150</v>
      </c>
      <c r="H683" t="s">
        <v>1218</v>
      </c>
      <c r="I683" s="13">
        <v>42156</v>
      </c>
      <c r="J683">
        <v>8</v>
      </c>
      <c r="K683" t="s">
        <v>177</v>
      </c>
      <c r="L683" t="s">
        <v>139</v>
      </c>
      <c r="M683" t="s">
        <v>316</v>
      </c>
      <c r="N683" t="s">
        <v>1598</v>
      </c>
      <c r="O683">
        <v>1</v>
      </c>
      <c r="P683">
        <v>8.27</v>
      </c>
    </row>
    <row r="684" spans="4:16" x14ac:dyDescent="0.25">
      <c r="D684" t="s">
        <v>1599</v>
      </c>
      <c r="E684" t="s">
        <v>135</v>
      </c>
      <c r="F684" t="s">
        <v>149</v>
      </c>
      <c r="G684" t="s">
        <v>150</v>
      </c>
      <c r="H684" t="s">
        <v>1218</v>
      </c>
      <c r="I684" s="13">
        <v>42163</v>
      </c>
      <c r="J684">
        <v>8</v>
      </c>
      <c r="K684" t="s">
        <v>177</v>
      </c>
      <c r="L684" t="s">
        <v>139</v>
      </c>
      <c r="M684" t="s">
        <v>452</v>
      </c>
      <c r="N684" t="s">
        <v>1600</v>
      </c>
      <c r="O684">
        <v>1</v>
      </c>
      <c r="P684">
        <v>8.25</v>
      </c>
    </row>
    <row r="685" spans="4:16" x14ac:dyDescent="0.25">
      <c r="D685" t="s">
        <v>1601</v>
      </c>
      <c r="E685" t="s">
        <v>135</v>
      </c>
      <c r="F685" t="s">
        <v>143</v>
      </c>
      <c r="G685" t="s">
        <v>144</v>
      </c>
      <c r="H685" t="s">
        <v>1218</v>
      </c>
      <c r="I685" s="13">
        <v>42170</v>
      </c>
      <c r="J685">
        <v>8</v>
      </c>
      <c r="K685" t="s">
        <v>177</v>
      </c>
      <c r="L685" t="s">
        <v>139</v>
      </c>
      <c r="M685" t="s">
        <v>268</v>
      </c>
      <c r="N685" t="s">
        <v>1602</v>
      </c>
      <c r="O685">
        <v>1</v>
      </c>
      <c r="P685">
        <v>8.23</v>
      </c>
    </row>
    <row r="686" spans="4:16" x14ac:dyDescent="0.25">
      <c r="D686" t="s">
        <v>1603</v>
      </c>
      <c r="E686" t="s">
        <v>135</v>
      </c>
      <c r="F686" t="s">
        <v>143</v>
      </c>
      <c r="G686" t="s">
        <v>611</v>
      </c>
      <c r="H686" t="s">
        <v>1218</v>
      </c>
      <c r="I686" s="13">
        <v>42184</v>
      </c>
      <c r="J686">
        <v>8</v>
      </c>
      <c r="K686" t="s">
        <v>177</v>
      </c>
      <c r="L686" t="s">
        <v>139</v>
      </c>
      <c r="M686" t="s">
        <v>712</v>
      </c>
      <c r="N686" t="s">
        <v>1604</v>
      </c>
      <c r="O686">
        <v>1</v>
      </c>
      <c r="P686">
        <v>8.1999999999999993</v>
      </c>
    </row>
    <row r="687" spans="4:16" x14ac:dyDescent="0.25">
      <c r="D687" t="s">
        <v>1605</v>
      </c>
      <c r="E687" t="s">
        <v>135</v>
      </c>
      <c r="F687" t="s">
        <v>143</v>
      </c>
      <c r="G687" t="s">
        <v>319</v>
      </c>
      <c r="H687" t="s">
        <v>1218</v>
      </c>
      <c r="I687" s="13">
        <v>42184</v>
      </c>
      <c r="J687">
        <v>8</v>
      </c>
      <c r="K687" t="s">
        <v>177</v>
      </c>
      <c r="L687" t="s">
        <v>139</v>
      </c>
      <c r="M687" t="s">
        <v>712</v>
      </c>
      <c r="N687" t="s">
        <v>1606</v>
      </c>
      <c r="O687">
        <v>1</v>
      </c>
      <c r="P687">
        <v>8.1999999999999993</v>
      </c>
    </row>
    <row r="688" spans="4:16" x14ac:dyDescent="0.25">
      <c r="D688" t="s">
        <v>1607</v>
      </c>
      <c r="E688" t="s">
        <v>135</v>
      </c>
      <c r="F688" t="s">
        <v>149</v>
      </c>
      <c r="G688" t="s">
        <v>150</v>
      </c>
      <c r="H688" t="s">
        <v>1218</v>
      </c>
      <c r="I688" s="13">
        <v>42191</v>
      </c>
      <c r="J688">
        <v>8</v>
      </c>
      <c r="K688" t="s">
        <v>177</v>
      </c>
      <c r="L688" t="s">
        <v>139</v>
      </c>
      <c r="M688" t="s">
        <v>151</v>
      </c>
      <c r="N688" t="s">
        <v>1608</v>
      </c>
      <c r="O688">
        <v>1</v>
      </c>
      <c r="P688">
        <v>8.18</v>
      </c>
    </row>
    <row r="689" spans="4:16" x14ac:dyDescent="0.25">
      <c r="D689" t="s">
        <v>1609</v>
      </c>
      <c r="E689" t="s">
        <v>135</v>
      </c>
      <c r="F689" t="s">
        <v>149</v>
      </c>
      <c r="G689" t="s">
        <v>150</v>
      </c>
      <c r="H689" t="s">
        <v>1218</v>
      </c>
      <c r="I689" s="13">
        <v>42191</v>
      </c>
      <c r="J689">
        <v>8</v>
      </c>
      <c r="K689" t="s">
        <v>177</v>
      </c>
      <c r="L689" t="s">
        <v>139</v>
      </c>
      <c r="M689" t="s">
        <v>151</v>
      </c>
      <c r="N689" t="s">
        <v>1610</v>
      </c>
      <c r="O689">
        <v>1</v>
      </c>
      <c r="P689">
        <v>8.18</v>
      </c>
    </row>
    <row r="690" spans="4:16" x14ac:dyDescent="0.25">
      <c r="D690" t="s">
        <v>1611</v>
      </c>
      <c r="E690" t="s">
        <v>135</v>
      </c>
      <c r="F690" t="s">
        <v>149</v>
      </c>
      <c r="G690" t="s">
        <v>150</v>
      </c>
      <c r="H690" t="s">
        <v>1218</v>
      </c>
      <c r="I690" s="13">
        <v>42191</v>
      </c>
      <c r="J690">
        <v>8</v>
      </c>
      <c r="K690" t="s">
        <v>177</v>
      </c>
      <c r="L690" t="s">
        <v>139</v>
      </c>
      <c r="M690" t="s">
        <v>151</v>
      </c>
      <c r="N690" t="s">
        <v>1612</v>
      </c>
      <c r="O690">
        <v>1</v>
      </c>
      <c r="P690">
        <v>8.18</v>
      </c>
    </row>
    <row r="691" spans="4:16" x14ac:dyDescent="0.25">
      <c r="D691" t="s">
        <v>1613</v>
      </c>
      <c r="E691" t="s">
        <v>135</v>
      </c>
      <c r="F691" t="s">
        <v>149</v>
      </c>
      <c r="G691" t="s">
        <v>150</v>
      </c>
      <c r="H691" t="s">
        <v>1218</v>
      </c>
      <c r="I691" s="13">
        <v>42191</v>
      </c>
      <c r="J691">
        <v>8</v>
      </c>
      <c r="K691" t="s">
        <v>177</v>
      </c>
      <c r="L691" t="s">
        <v>139</v>
      </c>
      <c r="M691" t="s">
        <v>965</v>
      </c>
      <c r="N691" t="s">
        <v>1614</v>
      </c>
      <c r="O691">
        <v>1</v>
      </c>
      <c r="P691">
        <v>8.18</v>
      </c>
    </row>
    <row r="692" spans="4:16" x14ac:dyDescent="0.25">
      <c r="D692" t="s">
        <v>1615</v>
      </c>
      <c r="E692" t="s">
        <v>135</v>
      </c>
      <c r="F692" t="s">
        <v>143</v>
      </c>
      <c r="G692" t="s">
        <v>611</v>
      </c>
      <c r="H692" t="s">
        <v>1218</v>
      </c>
      <c r="I692" s="13">
        <v>42207</v>
      </c>
      <c r="J692">
        <v>8</v>
      </c>
      <c r="K692" t="s">
        <v>177</v>
      </c>
      <c r="L692" t="s">
        <v>139</v>
      </c>
      <c r="M692" t="s">
        <v>805</v>
      </c>
      <c r="N692" t="s">
        <v>1616</v>
      </c>
      <c r="O692">
        <v>1</v>
      </c>
      <c r="P692">
        <v>8.1300000000000008</v>
      </c>
    </row>
    <row r="693" spans="4:16" x14ac:dyDescent="0.25">
      <c r="D693" t="s">
        <v>1617</v>
      </c>
      <c r="E693" t="s">
        <v>135</v>
      </c>
      <c r="F693" t="s">
        <v>143</v>
      </c>
      <c r="G693" t="s">
        <v>143</v>
      </c>
      <c r="H693" t="s">
        <v>1218</v>
      </c>
      <c r="I693" s="13">
        <v>42207</v>
      </c>
      <c r="J693">
        <v>8</v>
      </c>
      <c r="K693" t="s">
        <v>177</v>
      </c>
      <c r="L693" t="s">
        <v>139</v>
      </c>
      <c r="M693" t="s">
        <v>200</v>
      </c>
      <c r="N693" t="s">
        <v>1618</v>
      </c>
      <c r="O693">
        <v>1</v>
      </c>
      <c r="P693">
        <v>8.1300000000000008</v>
      </c>
    </row>
    <row r="694" spans="4:16" x14ac:dyDescent="0.25">
      <c r="D694" t="s">
        <v>1619</v>
      </c>
      <c r="E694" t="s">
        <v>135</v>
      </c>
      <c r="F694" t="s">
        <v>143</v>
      </c>
      <c r="G694" t="s">
        <v>611</v>
      </c>
      <c r="H694" t="s">
        <v>1218</v>
      </c>
      <c r="I694" s="13">
        <v>42207</v>
      </c>
      <c r="J694">
        <v>8</v>
      </c>
      <c r="K694" t="s">
        <v>177</v>
      </c>
      <c r="L694" t="s">
        <v>139</v>
      </c>
      <c r="M694" t="s">
        <v>805</v>
      </c>
      <c r="N694" t="s">
        <v>1620</v>
      </c>
      <c r="O694">
        <v>1</v>
      </c>
      <c r="P694">
        <v>8.1300000000000008</v>
      </c>
    </row>
    <row r="695" spans="4:16" x14ac:dyDescent="0.25">
      <c r="D695" t="s">
        <v>1621</v>
      </c>
      <c r="E695" t="s">
        <v>135</v>
      </c>
      <c r="F695" t="s">
        <v>143</v>
      </c>
      <c r="G695" t="s">
        <v>308</v>
      </c>
      <c r="H695" t="s">
        <v>1218</v>
      </c>
      <c r="I695" s="13">
        <v>42207</v>
      </c>
      <c r="J695">
        <v>8</v>
      </c>
      <c r="K695" t="s">
        <v>177</v>
      </c>
      <c r="L695" t="s">
        <v>139</v>
      </c>
      <c r="M695" t="s">
        <v>264</v>
      </c>
      <c r="N695" t="s">
        <v>1622</v>
      </c>
      <c r="O695">
        <v>1</v>
      </c>
      <c r="P695">
        <v>8.1300000000000008</v>
      </c>
    </row>
    <row r="696" spans="4:16" x14ac:dyDescent="0.25">
      <c r="D696" t="s">
        <v>1623</v>
      </c>
      <c r="E696" t="s">
        <v>135</v>
      </c>
      <c r="F696" t="s">
        <v>143</v>
      </c>
      <c r="G696" t="s">
        <v>1109</v>
      </c>
      <c r="H696" t="s">
        <v>1218</v>
      </c>
      <c r="I696" s="13">
        <v>42207</v>
      </c>
      <c r="J696">
        <v>8</v>
      </c>
      <c r="K696" t="s">
        <v>177</v>
      </c>
      <c r="L696" t="s">
        <v>139</v>
      </c>
      <c r="M696" t="s">
        <v>743</v>
      </c>
      <c r="N696" t="s">
        <v>1624</v>
      </c>
      <c r="O696">
        <v>1</v>
      </c>
      <c r="P696">
        <v>8.1300000000000008</v>
      </c>
    </row>
    <row r="697" spans="4:16" x14ac:dyDescent="0.25">
      <c r="D697" t="s">
        <v>1625</v>
      </c>
      <c r="E697" t="s">
        <v>135</v>
      </c>
      <c r="F697" t="s">
        <v>143</v>
      </c>
      <c r="G697" t="s">
        <v>308</v>
      </c>
      <c r="H697" t="s">
        <v>1218</v>
      </c>
      <c r="I697" s="13">
        <v>42207</v>
      </c>
      <c r="J697">
        <v>8</v>
      </c>
      <c r="K697" t="s">
        <v>177</v>
      </c>
      <c r="L697" t="s">
        <v>139</v>
      </c>
      <c r="M697" t="s">
        <v>743</v>
      </c>
      <c r="N697" t="s">
        <v>1626</v>
      </c>
      <c r="O697">
        <v>1</v>
      </c>
      <c r="P697">
        <v>8.1300000000000008</v>
      </c>
    </row>
    <row r="698" spans="4:16" x14ac:dyDescent="0.25">
      <c r="D698" t="s">
        <v>1627</v>
      </c>
      <c r="E698" t="s">
        <v>135</v>
      </c>
      <c r="F698" t="s">
        <v>143</v>
      </c>
      <c r="G698" t="s">
        <v>611</v>
      </c>
      <c r="H698" t="s">
        <v>1218</v>
      </c>
      <c r="I698" s="13">
        <v>42207</v>
      </c>
      <c r="J698">
        <v>8</v>
      </c>
      <c r="K698" t="s">
        <v>177</v>
      </c>
      <c r="L698" t="s">
        <v>139</v>
      </c>
      <c r="M698" t="s">
        <v>805</v>
      </c>
      <c r="N698" t="s">
        <v>1628</v>
      </c>
      <c r="O698">
        <v>1</v>
      </c>
      <c r="P698">
        <v>8.1300000000000008</v>
      </c>
    </row>
    <row r="699" spans="4:16" x14ac:dyDescent="0.25">
      <c r="D699" t="s">
        <v>1629</v>
      </c>
      <c r="E699" t="s">
        <v>135</v>
      </c>
      <c r="F699" t="s">
        <v>143</v>
      </c>
      <c r="G699" t="s">
        <v>143</v>
      </c>
      <c r="H699" t="s">
        <v>1218</v>
      </c>
      <c r="I699" s="13">
        <v>42216</v>
      </c>
      <c r="J699">
        <v>8</v>
      </c>
      <c r="K699" t="s">
        <v>177</v>
      </c>
      <c r="L699" t="s">
        <v>139</v>
      </c>
      <c r="M699" t="s">
        <v>200</v>
      </c>
      <c r="N699" t="s">
        <v>1630</v>
      </c>
      <c r="O699">
        <v>1</v>
      </c>
      <c r="P699">
        <v>8.11</v>
      </c>
    </row>
    <row r="700" spans="4:16" x14ac:dyDescent="0.25">
      <c r="D700" t="s">
        <v>1631</v>
      </c>
      <c r="E700" t="s">
        <v>135</v>
      </c>
      <c r="F700" t="s">
        <v>143</v>
      </c>
      <c r="G700" t="s">
        <v>143</v>
      </c>
      <c r="H700" t="s">
        <v>1218</v>
      </c>
      <c r="I700" s="13">
        <v>42216</v>
      </c>
      <c r="J700">
        <v>8</v>
      </c>
      <c r="K700" t="s">
        <v>177</v>
      </c>
      <c r="L700" t="s">
        <v>139</v>
      </c>
      <c r="M700" t="s">
        <v>200</v>
      </c>
      <c r="N700" t="s">
        <v>1632</v>
      </c>
      <c r="O700">
        <v>1</v>
      </c>
      <c r="P700">
        <v>8.11</v>
      </c>
    </row>
    <row r="701" spans="4:16" x14ac:dyDescent="0.25">
      <c r="D701" t="s">
        <v>1633</v>
      </c>
      <c r="E701" t="s">
        <v>135</v>
      </c>
      <c r="F701" t="s">
        <v>379</v>
      </c>
      <c r="G701" t="s">
        <v>380</v>
      </c>
      <c r="H701" t="s">
        <v>1218</v>
      </c>
      <c r="I701" s="13">
        <v>42227</v>
      </c>
      <c r="J701">
        <v>8</v>
      </c>
      <c r="K701" t="s">
        <v>177</v>
      </c>
      <c r="L701" t="s">
        <v>139</v>
      </c>
      <c r="M701" t="s">
        <v>268</v>
      </c>
      <c r="N701" t="s">
        <v>1634</v>
      </c>
      <c r="O701">
        <v>1</v>
      </c>
      <c r="P701">
        <v>8.08</v>
      </c>
    </row>
    <row r="702" spans="4:16" x14ac:dyDescent="0.25">
      <c r="D702" t="s">
        <v>1635</v>
      </c>
      <c r="E702" t="s">
        <v>135</v>
      </c>
      <c r="F702" t="s">
        <v>1636</v>
      </c>
      <c r="G702" t="s">
        <v>1637</v>
      </c>
      <c r="H702" t="s">
        <v>1218</v>
      </c>
      <c r="I702" s="13">
        <v>42235</v>
      </c>
      <c r="J702">
        <v>8</v>
      </c>
      <c r="K702" t="s">
        <v>177</v>
      </c>
      <c r="L702" t="s">
        <v>139</v>
      </c>
      <c r="M702" t="s">
        <v>355</v>
      </c>
      <c r="N702" t="s">
        <v>1638</v>
      </c>
      <c r="O702">
        <v>1</v>
      </c>
      <c r="P702">
        <v>8.06</v>
      </c>
    </row>
    <row r="703" spans="4:16" x14ac:dyDescent="0.25">
      <c r="D703" t="s">
        <v>1639</v>
      </c>
      <c r="E703" t="s">
        <v>135</v>
      </c>
      <c r="F703" t="s">
        <v>149</v>
      </c>
      <c r="G703" t="s">
        <v>150</v>
      </c>
      <c r="H703" t="s">
        <v>1218</v>
      </c>
      <c r="I703" s="13">
        <v>42248</v>
      </c>
      <c r="J703">
        <v>8</v>
      </c>
      <c r="K703" t="s">
        <v>177</v>
      </c>
      <c r="L703" t="s">
        <v>139</v>
      </c>
      <c r="M703" t="s">
        <v>170</v>
      </c>
      <c r="N703" t="s">
        <v>1640</v>
      </c>
      <c r="O703">
        <v>1</v>
      </c>
      <c r="P703">
        <v>8.02</v>
      </c>
    </row>
    <row r="704" spans="4:16" x14ac:dyDescent="0.25">
      <c r="D704" t="s">
        <v>1641</v>
      </c>
      <c r="E704" t="s">
        <v>135</v>
      </c>
      <c r="F704" t="s">
        <v>149</v>
      </c>
      <c r="G704" t="s">
        <v>150</v>
      </c>
      <c r="H704" t="s">
        <v>1218</v>
      </c>
      <c r="I704" s="13">
        <v>42248</v>
      </c>
      <c r="J704">
        <v>8</v>
      </c>
      <c r="K704" t="s">
        <v>177</v>
      </c>
      <c r="L704" t="s">
        <v>139</v>
      </c>
      <c r="M704" t="s">
        <v>170</v>
      </c>
      <c r="N704" t="s">
        <v>1642</v>
      </c>
      <c r="O704">
        <v>1</v>
      </c>
      <c r="P704">
        <v>8.02</v>
      </c>
    </row>
    <row r="705" spans="4:16" x14ac:dyDescent="0.25">
      <c r="D705" t="s">
        <v>1643</v>
      </c>
      <c r="E705" t="s">
        <v>135</v>
      </c>
      <c r="F705" t="s">
        <v>149</v>
      </c>
      <c r="G705" t="s">
        <v>149</v>
      </c>
      <c r="H705" t="s">
        <v>1218</v>
      </c>
      <c r="I705" s="13">
        <v>42248</v>
      </c>
      <c r="J705">
        <v>8</v>
      </c>
      <c r="K705" t="s">
        <v>177</v>
      </c>
      <c r="L705" t="s">
        <v>139</v>
      </c>
      <c r="M705" t="s">
        <v>170</v>
      </c>
      <c r="N705" t="s">
        <v>1644</v>
      </c>
      <c r="O705">
        <v>1</v>
      </c>
      <c r="P705">
        <v>8.02</v>
      </c>
    </row>
    <row r="706" spans="4:16" x14ac:dyDescent="0.25">
      <c r="D706" t="s">
        <v>1645</v>
      </c>
      <c r="E706" t="s">
        <v>135</v>
      </c>
      <c r="F706" t="s">
        <v>149</v>
      </c>
      <c r="G706" t="s">
        <v>150</v>
      </c>
      <c r="H706" t="s">
        <v>1218</v>
      </c>
      <c r="I706" s="13">
        <v>42251</v>
      </c>
      <c r="J706">
        <v>8</v>
      </c>
      <c r="K706" t="s">
        <v>177</v>
      </c>
      <c r="L706" t="s">
        <v>139</v>
      </c>
      <c r="M706" t="s">
        <v>555</v>
      </c>
      <c r="N706" t="s">
        <v>1646</v>
      </c>
      <c r="O706">
        <v>1</v>
      </c>
      <c r="P706">
        <v>8.01</v>
      </c>
    </row>
    <row r="707" spans="4:16" x14ac:dyDescent="0.25">
      <c r="D707" t="s">
        <v>1647</v>
      </c>
      <c r="E707" t="s">
        <v>135</v>
      </c>
      <c r="F707" t="s">
        <v>379</v>
      </c>
      <c r="G707" t="s">
        <v>380</v>
      </c>
      <c r="H707" t="s">
        <v>1218</v>
      </c>
      <c r="I707" s="13">
        <v>42255</v>
      </c>
      <c r="J707">
        <v>8</v>
      </c>
      <c r="K707" t="s">
        <v>177</v>
      </c>
      <c r="L707" t="s">
        <v>139</v>
      </c>
      <c r="M707" t="s">
        <v>268</v>
      </c>
      <c r="N707" t="s">
        <v>1648</v>
      </c>
      <c r="O707">
        <v>1</v>
      </c>
      <c r="P707">
        <v>8</v>
      </c>
    </row>
    <row r="708" spans="4:16" x14ac:dyDescent="0.25">
      <c r="D708" t="s">
        <v>1649</v>
      </c>
      <c r="E708" t="s">
        <v>135</v>
      </c>
      <c r="F708" t="s">
        <v>379</v>
      </c>
      <c r="G708" t="s">
        <v>380</v>
      </c>
      <c r="H708" t="s">
        <v>1218</v>
      </c>
      <c r="I708" s="13">
        <v>42255</v>
      </c>
      <c r="J708">
        <v>8</v>
      </c>
      <c r="K708" t="s">
        <v>177</v>
      </c>
      <c r="L708" t="s">
        <v>139</v>
      </c>
      <c r="M708" t="s">
        <v>268</v>
      </c>
      <c r="N708" t="s">
        <v>1650</v>
      </c>
      <c r="O708">
        <v>1</v>
      </c>
      <c r="P708">
        <v>8</v>
      </c>
    </row>
    <row r="709" spans="4:16" x14ac:dyDescent="0.25">
      <c r="D709" t="s">
        <v>1651</v>
      </c>
      <c r="E709" t="s">
        <v>135</v>
      </c>
      <c r="F709" t="s">
        <v>379</v>
      </c>
      <c r="G709" t="s">
        <v>380</v>
      </c>
      <c r="H709" t="s">
        <v>1218</v>
      </c>
      <c r="I709" s="13">
        <v>42278</v>
      </c>
      <c r="J709">
        <v>8</v>
      </c>
      <c r="K709" t="s">
        <v>177</v>
      </c>
      <c r="L709" t="s">
        <v>139</v>
      </c>
      <c r="M709" t="s">
        <v>268</v>
      </c>
      <c r="N709" t="s">
        <v>1652</v>
      </c>
      <c r="O709">
        <v>1</v>
      </c>
      <c r="P709">
        <v>7.94</v>
      </c>
    </row>
    <row r="710" spans="4:16" x14ac:dyDescent="0.25">
      <c r="D710" t="s">
        <v>1653</v>
      </c>
      <c r="E710" t="s">
        <v>135</v>
      </c>
      <c r="F710" t="s">
        <v>1636</v>
      </c>
      <c r="G710" t="s">
        <v>1637</v>
      </c>
      <c r="H710" t="s">
        <v>1218</v>
      </c>
      <c r="I710" s="13">
        <v>42279</v>
      </c>
      <c r="J710">
        <v>8</v>
      </c>
      <c r="K710" t="s">
        <v>177</v>
      </c>
      <c r="L710" t="s">
        <v>139</v>
      </c>
      <c r="M710" t="s">
        <v>372</v>
      </c>
      <c r="N710" t="s">
        <v>1654</v>
      </c>
      <c r="O710">
        <v>1</v>
      </c>
      <c r="P710">
        <v>7.93</v>
      </c>
    </row>
    <row r="711" spans="4:16" x14ac:dyDescent="0.25">
      <c r="D711" t="s">
        <v>1655</v>
      </c>
      <c r="E711" t="s">
        <v>135</v>
      </c>
      <c r="F711" t="s">
        <v>1446</v>
      </c>
      <c r="G711" t="s">
        <v>1382</v>
      </c>
      <c r="H711" t="s">
        <v>1218</v>
      </c>
      <c r="I711" s="13">
        <v>42284</v>
      </c>
      <c r="J711">
        <v>8</v>
      </c>
      <c r="K711" t="s">
        <v>177</v>
      </c>
      <c r="L711" t="s">
        <v>139</v>
      </c>
      <c r="M711" t="s">
        <v>421</v>
      </c>
      <c r="N711" t="s">
        <v>1656</v>
      </c>
      <c r="O711">
        <v>1</v>
      </c>
      <c r="P711">
        <v>7.92</v>
      </c>
    </row>
    <row r="712" spans="4:16" x14ac:dyDescent="0.25">
      <c r="D712" t="s">
        <v>1657</v>
      </c>
      <c r="E712" t="s">
        <v>135</v>
      </c>
      <c r="F712" t="s">
        <v>379</v>
      </c>
      <c r="G712" t="s">
        <v>1244</v>
      </c>
      <c r="H712" t="s">
        <v>1218</v>
      </c>
      <c r="I712" s="13">
        <v>42306</v>
      </c>
      <c r="J712">
        <v>8</v>
      </c>
      <c r="K712" t="s">
        <v>177</v>
      </c>
      <c r="L712" t="s">
        <v>139</v>
      </c>
      <c r="M712" t="s">
        <v>398</v>
      </c>
      <c r="N712" t="s">
        <v>1658</v>
      </c>
      <c r="O712">
        <v>1</v>
      </c>
      <c r="P712">
        <v>7.86</v>
      </c>
    </row>
    <row r="713" spans="4:16" x14ac:dyDescent="0.25">
      <c r="D713" t="s">
        <v>1659</v>
      </c>
      <c r="E713" t="s">
        <v>135</v>
      </c>
      <c r="F713" t="s">
        <v>379</v>
      </c>
      <c r="G713" t="s">
        <v>782</v>
      </c>
      <c r="H713" t="s">
        <v>1218</v>
      </c>
      <c r="I713" s="13">
        <v>42306</v>
      </c>
      <c r="J713">
        <v>8</v>
      </c>
      <c r="K713" t="s">
        <v>177</v>
      </c>
      <c r="L713" t="s">
        <v>139</v>
      </c>
      <c r="M713" t="s">
        <v>398</v>
      </c>
      <c r="N713" t="s">
        <v>1660</v>
      </c>
      <c r="O713">
        <v>1</v>
      </c>
      <c r="P713">
        <v>7.86</v>
      </c>
    </row>
    <row r="714" spans="4:16" x14ac:dyDescent="0.25">
      <c r="D714" t="s">
        <v>1661</v>
      </c>
      <c r="E714" t="s">
        <v>135</v>
      </c>
      <c r="F714" t="s">
        <v>149</v>
      </c>
      <c r="G714" t="s">
        <v>150</v>
      </c>
      <c r="H714" t="s">
        <v>1218</v>
      </c>
      <c r="I714" s="13">
        <v>42326</v>
      </c>
      <c r="J714">
        <v>8</v>
      </c>
      <c r="K714" t="s">
        <v>177</v>
      </c>
      <c r="L714" t="s">
        <v>139</v>
      </c>
      <c r="M714" t="s">
        <v>1296</v>
      </c>
      <c r="N714" t="s">
        <v>1662</v>
      </c>
      <c r="O714">
        <v>1</v>
      </c>
      <c r="P714">
        <v>7.81</v>
      </c>
    </row>
    <row r="715" spans="4:16" x14ac:dyDescent="0.25">
      <c r="D715" t="s">
        <v>1663</v>
      </c>
      <c r="E715" t="s">
        <v>135</v>
      </c>
      <c r="F715" t="s">
        <v>149</v>
      </c>
      <c r="G715" t="s">
        <v>150</v>
      </c>
      <c r="H715" t="s">
        <v>1218</v>
      </c>
      <c r="I715" s="13">
        <v>42326</v>
      </c>
      <c r="J715">
        <v>8</v>
      </c>
      <c r="K715" t="s">
        <v>177</v>
      </c>
      <c r="L715" t="s">
        <v>139</v>
      </c>
      <c r="M715" t="s">
        <v>1296</v>
      </c>
      <c r="N715" t="s">
        <v>1664</v>
      </c>
      <c r="O715">
        <v>1</v>
      </c>
      <c r="P715">
        <v>7.81</v>
      </c>
    </row>
    <row r="716" spans="4:16" x14ac:dyDescent="0.25">
      <c r="D716" t="s">
        <v>1665</v>
      </c>
      <c r="E716" t="s">
        <v>135</v>
      </c>
      <c r="F716" t="s">
        <v>149</v>
      </c>
      <c r="G716" t="s">
        <v>150</v>
      </c>
      <c r="H716" t="s">
        <v>1218</v>
      </c>
      <c r="I716" s="13">
        <v>42326</v>
      </c>
      <c r="J716">
        <v>8</v>
      </c>
      <c r="K716" t="s">
        <v>177</v>
      </c>
      <c r="L716" t="s">
        <v>139</v>
      </c>
      <c r="M716" t="s">
        <v>165</v>
      </c>
      <c r="N716" t="s">
        <v>1666</v>
      </c>
      <c r="O716">
        <v>1</v>
      </c>
      <c r="P716">
        <v>7.81</v>
      </c>
    </row>
    <row r="717" spans="4:16" x14ac:dyDescent="0.25">
      <c r="D717" t="s">
        <v>1667</v>
      </c>
      <c r="E717" t="s">
        <v>135</v>
      </c>
      <c r="F717" t="s">
        <v>173</v>
      </c>
      <c r="G717" t="s">
        <v>150</v>
      </c>
      <c r="H717" t="s">
        <v>1218</v>
      </c>
      <c r="I717" s="13">
        <v>42326</v>
      </c>
      <c r="J717">
        <v>8</v>
      </c>
      <c r="K717" t="s">
        <v>177</v>
      </c>
      <c r="L717" t="s">
        <v>139</v>
      </c>
      <c r="M717" t="s">
        <v>165</v>
      </c>
      <c r="N717" t="s">
        <v>1668</v>
      </c>
      <c r="O717">
        <v>1</v>
      </c>
      <c r="P717">
        <v>7.81</v>
      </c>
    </row>
    <row r="718" spans="4:16" x14ac:dyDescent="0.25">
      <c r="D718" t="s">
        <v>1669</v>
      </c>
      <c r="E718" t="s">
        <v>135</v>
      </c>
      <c r="F718" t="s">
        <v>149</v>
      </c>
      <c r="G718" t="s">
        <v>150</v>
      </c>
      <c r="H718" t="s">
        <v>1218</v>
      </c>
      <c r="I718" s="13">
        <v>42326</v>
      </c>
      <c r="J718">
        <v>8</v>
      </c>
      <c r="K718" t="s">
        <v>177</v>
      </c>
      <c r="L718" t="s">
        <v>139</v>
      </c>
      <c r="M718" t="s">
        <v>165</v>
      </c>
      <c r="N718" t="s">
        <v>1670</v>
      </c>
      <c r="O718">
        <v>1</v>
      </c>
      <c r="P718">
        <v>7.81</v>
      </c>
    </row>
    <row r="719" spans="4:16" x14ac:dyDescent="0.25">
      <c r="D719" t="s">
        <v>1671</v>
      </c>
      <c r="E719" t="s">
        <v>135</v>
      </c>
      <c r="F719" t="s">
        <v>181</v>
      </c>
      <c r="G719" t="s">
        <v>181</v>
      </c>
      <c r="H719" t="s">
        <v>1218</v>
      </c>
      <c r="I719" s="13">
        <v>42339</v>
      </c>
      <c r="J719">
        <v>8</v>
      </c>
      <c r="K719" t="s">
        <v>177</v>
      </c>
      <c r="L719" t="s">
        <v>139</v>
      </c>
      <c r="M719" t="s">
        <v>391</v>
      </c>
      <c r="N719" t="s">
        <v>1672</v>
      </c>
      <c r="O719">
        <v>1</v>
      </c>
      <c r="P719">
        <v>7.77</v>
      </c>
    </row>
    <row r="720" spans="4:16" x14ac:dyDescent="0.25">
      <c r="D720" t="s">
        <v>1673</v>
      </c>
      <c r="E720" t="s">
        <v>135</v>
      </c>
      <c r="F720" t="s">
        <v>656</v>
      </c>
      <c r="G720" t="s">
        <v>1382</v>
      </c>
      <c r="H720" t="s">
        <v>1218</v>
      </c>
      <c r="I720" s="13">
        <v>42359</v>
      </c>
      <c r="J720">
        <v>8</v>
      </c>
      <c r="K720" t="s">
        <v>177</v>
      </c>
      <c r="L720" t="s">
        <v>139</v>
      </c>
      <c r="M720" t="s">
        <v>170</v>
      </c>
      <c r="N720" t="s">
        <v>1674</v>
      </c>
      <c r="O720">
        <v>1</v>
      </c>
      <c r="P720">
        <v>7.72</v>
      </c>
    </row>
    <row r="721" spans="4:16" x14ac:dyDescent="0.25">
      <c r="D721" t="s">
        <v>1675</v>
      </c>
      <c r="E721" t="s">
        <v>135</v>
      </c>
      <c r="F721" t="s">
        <v>823</v>
      </c>
      <c r="G721" t="s">
        <v>1676</v>
      </c>
      <c r="H721" t="s">
        <v>1218</v>
      </c>
      <c r="I721" s="13">
        <v>42373</v>
      </c>
      <c r="J721">
        <v>8</v>
      </c>
      <c r="K721" t="s">
        <v>177</v>
      </c>
      <c r="L721" t="s">
        <v>139</v>
      </c>
      <c r="M721" t="s">
        <v>555</v>
      </c>
      <c r="N721" t="s">
        <v>1677</v>
      </c>
      <c r="O721">
        <v>1</v>
      </c>
      <c r="P721">
        <v>7.68</v>
      </c>
    </row>
    <row r="722" spans="4:16" x14ac:dyDescent="0.25">
      <c r="D722" t="s">
        <v>1678</v>
      </c>
      <c r="E722" t="s">
        <v>135</v>
      </c>
      <c r="F722" t="s">
        <v>1679</v>
      </c>
      <c r="G722" t="s">
        <v>1676</v>
      </c>
      <c r="H722" t="s">
        <v>1218</v>
      </c>
      <c r="I722" s="13">
        <v>42375</v>
      </c>
      <c r="J722">
        <v>8</v>
      </c>
      <c r="K722" t="s">
        <v>177</v>
      </c>
      <c r="L722" t="s">
        <v>139</v>
      </c>
      <c r="M722" t="s">
        <v>230</v>
      </c>
      <c r="N722" t="s">
        <v>1680</v>
      </c>
      <c r="O722">
        <v>1</v>
      </c>
      <c r="P722">
        <v>7.67</v>
      </c>
    </row>
    <row r="723" spans="4:16" x14ac:dyDescent="0.25">
      <c r="D723" t="s">
        <v>1681</v>
      </c>
      <c r="E723" t="s">
        <v>135</v>
      </c>
      <c r="F723" t="s">
        <v>143</v>
      </c>
      <c r="G723" t="s">
        <v>611</v>
      </c>
      <c r="H723" t="s">
        <v>1218</v>
      </c>
      <c r="I723" s="13">
        <v>42405</v>
      </c>
      <c r="J723">
        <v>8</v>
      </c>
      <c r="K723" t="s">
        <v>177</v>
      </c>
      <c r="L723" t="s">
        <v>139</v>
      </c>
      <c r="M723" t="s">
        <v>230</v>
      </c>
      <c r="N723" t="s">
        <v>1682</v>
      </c>
      <c r="O723">
        <v>1</v>
      </c>
      <c r="P723">
        <v>7.59</v>
      </c>
    </row>
    <row r="724" spans="4:16" x14ac:dyDescent="0.25">
      <c r="D724" t="s">
        <v>1683</v>
      </c>
      <c r="E724" t="s">
        <v>135</v>
      </c>
      <c r="F724" t="s">
        <v>143</v>
      </c>
      <c r="G724" t="s">
        <v>611</v>
      </c>
      <c r="H724" t="s">
        <v>1218</v>
      </c>
      <c r="I724" s="13">
        <v>42459</v>
      </c>
      <c r="J724">
        <v>7</v>
      </c>
      <c r="K724" t="s">
        <v>177</v>
      </c>
      <c r="L724" t="s">
        <v>139</v>
      </c>
      <c r="M724" t="s">
        <v>805</v>
      </c>
      <c r="N724" t="s">
        <v>1684</v>
      </c>
      <c r="O724">
        <v>1</v>
      </c>
      <c r="P724">
        <v>7.44</v>
      </c>
    </row>
    <row r="725" spans="4:16" x14ac:dyDescent="0.25">
      <c r="D725" t="s">
        <v>1685</v>
      </c>
      <c r="E725" t="s">
        <v>135</v>
      </c>
      <c r="F725" t="s">
        <v>143</v>
      </c>
      <c r="G725" t="s">
        <v>611</v>
      </c>
      <c r="H725" t="s">
        <v>1218</v>
      </c>
      <c r="I725" s="13">
        <v>42472</v>
      </c>
      <c r="J725">
        <v>7</v>
      </c>
      <c r="K725" t="s">
        <v>177</v>
      </c>
      <c r="L725" t="s">
        <v>139</v>
      </c>
      <c r="M725" t="s">
        <v>805</v>
      </c>
      <c r="N725" t="s">
        <v>1686</v>
      </c>
      <c r="O725">
        <v>1</v>
      </c>
      <c r="P725">
        <v>7.41</v>
      </c>
    </row>
    <row r="726" spans="4:16" x14ac:dyDescent="0.25">
      <c r="D726" t="s">
        <v>1687</v>
      </c>
      <c r="E726" t="s">
        <v>135</v>
      </c>
      <c r="F726" t="s">
        <v>143</v>
      </c>
      <c r="G726" t="s">
        <v>611</v>
      </c>
      <c r="H726" t="s">
        <v>1218</v>
      </c>
      <c r="I726" s="13">
        <v>42472</v>
      </c>
      <c r="J726">
        <v>7</v>
      </c>
      <c r="K726" t="s">
        <v>177</v>
      </c>
      <c r="L726" t="s">
        <v>139</v>
      </c>
      <c r="M726" t="s">
        <v>805</v>
      </c>
      <c r="N726" t="s">
        <v>1688</v>
      </c>
      <c r="O726">
        <v>1</v>
      </c>
      <c r="P726">
        <v>7.41</v>
      </c>
    </row>
    <row r="727" spans="4:16" x14ac:dyDescent="0.25">
      <c r="D727" t="s">
        <v>1689</v>
      </c>
      <c r="E727" t="s">
        <v>135</v>
      </c>
      <c r="F727" t="s">
        <v>379</v>
      </c>
      <c r="G727" t="s">
        <v>782</v>
      </c>
      <c r="H727" t="s">
        <v>1218</v>
      </c>
      <c r="I727" s="13">
        <v>42471</v>
      </c>
      <c r="J727">
        <v>7</v>
      </c>
      <c r="K727" t="s">
        <v>177</v>
      </c>
      <c r="L727" t="s">
        <v>139</v>
      </c>
      <c r="M727" t="s">
        <v>227</v>
      </c>
      <c r="N727" t="s">
        <v>1690</v>
      </c>
      <c r="O727">
        <v>1</v>
      </c>
      <c r="P727">
        <v>7.41</v>
      </c>
    </row>
    <row r="728" spans="4:16" x14ac:dyDescent="0.25">
      <c r="D728" t="s">
        <v>1691</v>
      </c>
      <c r="E728" t="s">
        <v>135</v>
      </c>
      <c r="F728" t="s">
        <v>143</v>
      </c>
      <c r="G728" t="s">
        <v>611</v>
      </c>
      <c r="H728" t="s">
        <v>1218</v>
      </c>
      <c r="I728" s="13">
        <v>42473</v>
      </c>
      <c r="J728">
        <v>7</v>
      </c>
      <c r="K728" t="s">
        <v>177</v>
      </c>
      <c r="L728" t="s">
        <v>139</v>
      </c>
      <c r="M728" t="s">
        <v>805</v>
      </c>
      <c r="N728" t="s">
        <v>1692</v>
      </c>
      <c r="O728">
        <v>1</v>
      </c>
      <c r="P728">
        <v>7.4</v>
      </c>
    </row>
    <row r="729" spans="4:16" x14ac:dyDescent="0.25">
      <c r="D729" t="s">
        <v>1693</v>
      </c>
      <c r="E729" t="s">
        <v>135</v>
      </c>
      <c r="F729" t="s">
        <v>143</v>
      </c>
      <c r="G729" t="s">
        <v>611</v>
      </c>
      <c r="H729" t="s">
        <v>1218</v>
      </c>
      <c r="I729" s="13">
        <v>42473</v>
      </c>
      <c r="J729">
        <v>7</v>
      </c>
      <c r="K729" t="s">
        <v>177</v>
      </c>
      <c r="L729" t="s">
        <v>139</v>
      </c>
      <c r="M729" t="s">
        <v>805</v>
      </c>
      <c r="N729" t="s">
        <v>1694</v>
      </c>
      <c r="O729">
        <v>1</v>
      </c>
      <c r="P729">
        <v>7.4</v>
      </c>
    </row>
    <row r="730" spans="4:16" x14ac:dyDescent="0.25">
      <c r="D730" t="s">
        <v>1695</v>
      </c>
      <c r="E730" t="s">
        <v>135</v>
      </c>
      <c r="F730" t="s">
        <v>143</v>
      </c>
      <c r="G730" t="s">
        <v>611</v>
      </c>
      <c r="H730" t="s">
        <v>1218</v>
      </c>
      <c r="I730" s="13">
        <v>42480</v>
      </c>
      <c r="J730">
        <v>7</v>
      </c>
      <c r="K730" t="s">
        <v>177</v>
      </c>
      <c r="L730" t="s">
        <v>139</v>
      </c>
      <c r="M730" t="s">
        <v>805</v>
      </c>
      <c r="N730" t="s">
        <v>1696</v>
      </c>
      <c r="O730">
        <v>1</v>
      </c>
      <c r="P730">
        <v>7.38</v>
      </c>
    </row>
    <row r="731" spans="4:16" x14ac:dyDescent="0.25">
      <c r="D731" t="s">
        <v>1697</v>
      </c>
      <c r="E731" t="s">
        <v>135</v>
      </c>
      <c r="F731" t="s">
        <v>143</v>
      </c>
      <c r="G731" t="s">
        <v>611</v>
      </c>
      <c r="H731" t="s">
        <v>1218</v>
      </c>
      <c r="I731" s="13">
        <v>42489</v>
      </c>
      <c r="J731">
        <v>7</v>
      </c>
      <c r="K731" t="s">
        <v>177</v>
      </c>
      <c r="L731" t="s">
        <v>139</v>
      </c>
      <c r="M731" t="s">
        <v>805</v>
      </c>
      <c r="N731" t="s">
        <v>1698</v>
      </c>
      <c r="O731">
        <v>1</v>
      </c>
      <c r="P731">
        <v>7.36</v>
      </c>
    </row>
    <row r="732" spans="4:16" x14ac:dyDescent="0.25">
      <c r="D732" t="s">
        <v>1699</v>
      </c>
      <c r="E732" t="s">
        <v>135</v>
      </c>
      <c r="F732" t="s">
        <v>143</v>
      </c>
      <c r="G732" t="s">
        <v>319</v>
      </c>
      <c r="H732" t="s">
        <v>1218</v>
      </c>
      <c r="I732" s="13">
        <v>42489</v>
      </c>
      <c r="J732">
        <v>7</v>
      </c>
      <c r="K732" t="s">
        <v>177</v>
      </c>
      <c r="L732" t="s">
        <v>139</v>
      </c>
      <c r="M732" t="s">
        <v>805</v>
      </c>
      <c r="N732" t="s">
        <v>1700</v>
      </c>
      <c r="O732">
        <v>1</v>
      </c>
      <c r="P732">
        <v>7.36</v>
      </c>
    </row>
    <row r="733" spans="4:16" x14ac:dyDescent="0.25">
      <c r="D733" t="s">
        <v>1701</v>
      </c>
      <c r="E733" t="s">
        <v>135</v>
      </c>
      <c r="F733" t="s">
        <v>143</v>
      </c>
      <c r="G733" t="s">
        <v>611</v>
      </c>
      <c r="H733" t="s">
        <v>1218</v>
      </c>
      <c r="I733" s="13">
        <v>42489</v>
      </c>
      <c r="J733">
        <v>7</v>
      </c>
      <c r="K733" t="s">
        <v>177</v>
      </c>
      <c r="L733" t="s">
        <v>139</v>
      </c>
      <c r="M733" t="s">
        <v>743</v>
      </c>
      <c r="N733" t="s">
        <v>1702</v>
      </c>
      <c r="O733">
        <v>1</v>
      </c>
      <c r="P733">
        <v>7.36</v>
      </c>
    </row>
    <row r="734" spans="4:16" x14ac:dyDescent="0.25">
      <c r="D734" t="s">
        <v>1703</v>
      </c>
      <c r="E734" t="s">
        <v>135</v>
      </c>
      <c r="F734" t="s">
        <v>143</v>
      </c>
      <c r="G734" t="s">
        <v>308</v>
      </c>
      <c r="H734" t="s">
        <v>1218</v>
      </c>
      <c r="I734" s="13">
        <v>42489</v>
      </c>
      <c r="J734">
        <v>7</v>
      </c>
      <c r="K734" t="s">
        <v>177</v>
      </c>
      <c r="L734" t="s">
        <v>139</v>
      </c>
      <c r="M734" t="s">
        <v>264</v>
      </c>
      <c r="N734" t="s">
        <v>1704</v>
      </c>
      <c r="O734">
        <v>1</v>
      </c>
      <c r="P734">
        <v>7.36</v>
      </c>
    </row>
    <row r="735" spans="4:16" x14ac:dyDescent="0.25">
      <c r="D735" t="s">
        <v>1705</v>
      </c>
      <c r="E735" t="s">
        <v>135</v>
      </c>
      <c r="F735" t="s">
        <v>143</v>
      </c>
      <c r="G735" t="s">
        <v>611</v>
      </c>
      <c r="H735" t="s">
        <v>1218</v>
      </c>
      <c r="I735" s="13">
        <v>42489</v>
      </c>
      <c r="J735">
        <v>7</v>
      </c>
      <c r="K735" t="s">
        <v>145</v>
      </c>
      <c r="L735" t="s">
        <v>139</v>
      </c>
      <c r="M735" t="s">
        <v>805</v>
      </c>
      <c r="N735" t="s">
        <v>1706</v>
      </c>
      <c r="O735">
        <v>1</v>
      </c>
      <c r="P735">
        <v>7.36</v>
      </c>
    </row>
    <row r="736" spans="4:16" x14ac:dyDescent="0.25">
      <c r="D736" t="s">
        <v>1707</v>
      </c>
      <c r="E736" t="s">
        <v>135</v>
      </c>
      <c r="F736" t="s">
        <v>143</v>
      </c>
      <c r="G736" t="s">
        <v>611</v>
      </c>
      <c r="H736" t="s">
        <v>1218</v>
      </c>
      <c r="I736" s="13">
        <v>42489</v>
      </c>
      <c r="J736">
        <v>7</v>
      </c>
      <c r="K736" t="s">
        <v>177</v>
      </c>
      <c r="L736" t="s">
        <v>139</v>
      </c>
      <c r="M736" t="s">
        <v>805</v>
      </c>
      <c r="N736" t="s">
        <v>1708</v>
      </c>
      <c r="O736">
        <v>1</v>
      </c>
      <c r="P736">
        <v>7.36</v>
      </c>
    </row>
    <row r="737" spans="4:16" x14ac:dyDescent="0.25">
      <c r="D737" t="s">
        <v>1709</v>
      </c>
      <c r="E737" t="s">
        <v>135</v>
      </c>
      <c r="F737" t="s">
        <v>143</v>
      </c>
      <c r="G737" t="s">
        <v>611</v>
      </c>
      <c r="H737" t="s">
        <v>1218</v>
      </c>
      <c r="I737" s="13">
        <v>42492</v>
      </c>
      <c r="J737">
        <v>7</v>
      </c>
      <c r="K737" t="s">
        <v>177</v>
      </c>
      <c r="L737" t="s">
        <v>139</v>
      </c>
      <c r="M737" t="s">
        <v>743</v>
      </c>
      <c r="N737" t="s">
        <v>1710</v>
      </c>
      <c r="O737">
        <v>1</v>
      </c>
      <c r="P737">
        <v>7.35</v>
      </c>
    </row>
    <row r="738" spans="4:16" x14ac:dyDescent="0.25">
      <c r="D738" t="s">
        <v>1711</v>
      </c>
      <c r="E738" t="s">
        <v>135</v>
      </c>
      <c r="F738" t="s">
        <v>181</v>
      </c>
      <c r="G738" t="s">
        <v>795</v>
      </c>
      <c r="H738" t="s">
        <v>1218</v>
      </c>
      <c r="I738" s="13">
        <v>42517</v>
      </c>
      <c r="J738">
        <v>7</v>
      </c>
      <c r="K738" t="s">
        <v>177</v>
      </c>
      <c r="L738" t="s">
        <v>139</v>
      </c>
      <c r="M738" t="s">
        <v>352</v>
      </c>
      <c r="N738" t="s">
        <v>1712</v>
      </c>
      <c r="O738">
        <v>1</v>
      </c>
      <c r="P738">
        <v>7.28</v>
      </c>
    </row>
    <row r="739" spans="4:16" x14ac:dyDescent="0.25">
      <c r="D739" t="s">
        <v>1713</v>
      </c>
      <c r="E739" t="s">
        <v>135</v>
      </c>
      <c r="F739" t="s">
        <v>181</v>
      </c>
      <c r="G739" t="s">
        <v>795</v>
      </c>
      <c r="H739" t="s">
        <v>1218</v>
      </c>
      <c r="I739" s="13">
        <v>42517</v>
      </c>
      <c r="J739">
        <v>7</v>
      </c>
      <c r="K739" t="s">
        <v>177</v>
      </c>
      <c r="L739" t="s">
        <v>139</v>
      </c>
      <c r="M739" t="s">
        <v>352</v>
      </c>
      <c r="N739" t="s">
        <v>1714</v>
      </c>
      <c r="O739">
        <v>1</v>
      </c>
      <c r="P739">
        <v>7.28</v>
      </c>
    </row>
    <row r="740" spans="4:16" x14ac:dyDescent="0.25">
      <c r="D740" t="s">
        <v>1715</v>
      </c>
      <c r="E740" t="s">
        <v>135</v>
      </c>
      <c r="F740" t="s">
        <v>181</v>
      </c>
      <c r="G740" t="s">
        <v>795</v>
      </c>
      <c r="H740" t="s">
        <v>1218</v>
      </c>
      <c r="I740" s="13">
        <v>42517</v>
      </c>
      <c r="J740">
        <v>7</v>
      </c>
      <c r="K740" t="s">
        <v>177</v>
      </c>
      <c r="L740" t="s">
        <v>139</v>
      </c>
      <c r="M740" t="s">
        <v>352</v>
      </c>
      <c r="N740" t="s">
        <v>1716</v>
      </c>
      <c r="O740">
        <v>1</v>
      </c>
      <c r="P740">
        <v>7.28</v>
      </c>
    </row>
    <row r="741" spans="4:16" x14ac:dyDescent="0.25">
      <c r="D741" t="s">
        <v>1717</v>
      </c>
      <c r="E741" t="s">
        <v>135</v>
      </c>
      <c r="F741" t="s">
        <v>143</v>
      </c>
      <c r="G741" t="s">
        <v>611</v>
      </c>
      <c r="H741" t="s">
        <v>1218</v>
      </c>
      <c r="I741" s="13">
        <v>42535</v>
      </c>
      <c r="J741">
        <v>7</v>
      </c>
      <c r="K741" t="s">
        <v>177</v>
      </c>
      <c r="L741" t="s">
        <v>139</v>
      </c>
      <c r="M741" t="s">
        <v>805</v>
      </c>
      <c r="N741" t="s">
        <v>1718</v>
      </c>
      <c r="O741">
        <v>1</v>
      </c>
      <c r="P741">
        <v>7.23</v>
      </c>
    </row>
    <row r="742" spans="4:16" x14ac:dyDescent="0.25">
      <c r="D742" t="s">
        <v>1719</v>
      </c>
      <c r="E742" t="s">
        <v>135</v>
      </c>
      <c r="F742" t="s">
        <v>143</v>
      </c>
      <c r="G742" t="s">
        <v>319</v>
      </c>
      <c r="H742" t="s">
        <v>1218</v>
      </c>
      <c r="I742" s="13">
        <v>42549</v>
      </c>
      <c r="J742">
        <v>7</v>
      </c>
      <c r="K742" t="s">
        <v>177</v>
      </c>
      <c r="L742" t="s">
        <v>139</v>
      </c>
      <c r="M742" t="s">
        <v>805</v>
      </c>
      <c r="N742" t="s">
        <v>1720</v>
      </c>
      <c r="O742">
        <v>1</v>
      </c>
      <c r="P742">
        <v>7.2</v>
      </c>
    </row>
    <row r="743" spans="4:16" x14ac:dyDescent="0.25">
      <c r="D743" t="s">
        <v>1721</v>
      </c>
      <c r="E743" t="s">
        <v>135</v>
      </c>
      <c r="F743" t="s">
        <v>149</v>
      </c>
      <c r="G743" t="s">
        <v>150</v>
      </c>
      <c r="H743" t="s">
        <v>1218</v>
      </c>
      <c r="I743" s="13">
        <v>42556</v>
      </c>
      <c r="J743">
        <v>7</v>
      </c>
      <c r="K743" t="s">
        <v>177</v>
      </c>
      <c r="L743" t="s">
        <v>139</v>
      </c>
      <c r="M743" t="s">
        <v>431</v>
      </c>
      <c r="N743" t="s">
        <v>1722</v>
      </c>
      <c r="O743">
        <v>1</v>
      </c>
      <c r="P743">
        <v>7.18</v>
      </c>
    </row>
    <row r="744" spans="4:16" x14ac:dyDescent="0.25">
      <c r="D744" t="s">
        <v>1723</v>
      </c>
      <c r="E744" t="s">
        <v>135</v>
      </c>
      <c r="F744" t="s">
        <v>149</v>
      </c>
      <c r="G744" t="s">
        <v>150</v>
      </c>
      <c r="H744" t="s">
        <v>1218</v>
      </c>
      <c r="I744" s="13">
        <v>42556</v>
      </c>
      <c r="J744">
        <v>7</v>
      </c>
      <c r="K744" t="s">
        <v>177</v>
      </c>
      <c r="L744" t="s">
        <v>139</v>
      </c>
      <c r="M744" t="s">
        <v>431</v>
      </c>
      <c r="N744" t="s">
        <v>1724</v>
      </c>
      <c r="O744">
        <v>1</v>
      </c>
      <c r="P744">
        <v>7.18</v>
      </c>
    </row>
    <row r="745" spans="4:16" x14ac:dyDescent="0.25">
      <c r="D745" t="s">
        <v>1725</v>
      </c>
      <c r="E745" t="s">
        <v>135</v>
      </c>
      <c r="F745" t="s">
        <v>181</v>
      </c>
      <c r="G745" t="s">
        <v>181</v>
      </c>
      <c r="H745" t="s">
        <v>1218</v>
      </c>
      <c r="I745" s="13">
        <v>42562</v>
      </c>
      <c r="J745">
        <v>7</v>
      </c>
      <c r="K745" t="s">
        <v>177</v>
      </c>
      <c r="L745" t="s">
        <v>139</v>
      </c>
      <c r="M745" t="s">
        <v>573</v>
      </c>
      <c r="N745" t="s">
        <v>1726</v>
      </c>
      <c r="O745">
        <v>1</v>
      </c>
      <c r="P745">
        <v>7.16</v>
      </c>
    </row>
    <row r="746" spans="4:16" x14ac:dyDescent="0.25">
      <c r="D746" t="s">
        <v>1727</v>
      </c>
      <c r="E746" t="s">
        <v>135</v>
      </c>
      <c r="F746" t="s">
        <v>181</v>
      </c>
      <c r="G746" t="s">
        <v>181</v>
      </c>
      <c r="H746" t="s">
        <v>1218</v>
      </c>
      <c r="I746" s="13">
        <v>42562</v>
      </c>
      <c r="J746">
        <v>7</v>
      </c>
      <c r="K746" t="s">
        <v>177</v>
      </c>
      <c r="L746" t="s">
        <v>139</v>
      </c>
      <c r="M746" t="s">
        <v>573</v>
      </c>
      <c r="N746" t="s">
        <v>1728</v>
      </c>
      <c r="O746">
        <v>1</v>
      </c>
      <c r="P746">
        <v>7.16</v>
      </c>
    </row>
    <row r="747" spans="4:16" x14ac:dyDescent="0.25">
      <c r="D747" t="s">
        <v>1729</v>
      </c>
      <c r="E747" t="s">
        <v>135</v>
      </c>
      <c r="F747" t="s">
        <v>181</v>
      </c>
      <c r="G747" t="s">
        <v>181</v>
      </c>
      <c r="H747" t="s">
        <v>1218</v>
      </c>
      <c r="I747" s="13">
        <v>42562</v>
      </c>
      <c r="J747">
        <v>7</v>
      </c>
      <c r="K747" t="s">
        <v>177</v>
      </c>
      <c r="L747" t="s">
        <v>139</v>
      </c>
      <c r="M747" t="s">
        <v>573</v>
      </c>
      <c r="N747" t="s">
        <v>1730</v>
      </c>
      <c r="O747">
        <v>1</v>
      </c>
      <c r="P747">
        <v>7.16</v>
      </c>
    </row>
    <row r="748" spans="4:16" x14ac:dyDescent="0.25">
      <c r="D748" t="s">
        <v>1731</v>
      </c>
      <c r="E748" t="s">
        <v>135</v>
      </c>
      <c r="F748" t="s">
        <v>181</v>
      </c>
      <c r="G748" t="s">
        <v>181</v>
      </c>
      <c r="H748" t="s">
        <v>1218</v>
      </c>
      <c r="I748" s="13">
        <v>42562</v>
      </c>
      <c r="J748">
        <v>7</v>
      </c>
      <c r="K748" t="s">
        <v>177</v>
      </c>
      <c r="L748" t="s">
        <v>139</v>
      </c>
      <c r="M748" t="s">
        <v>573</v>
      </c>
      <c r="N748" t="s">
        <v>1732</v>
      </c>
      <c r="O748">
        <v>1</v>
      </c>
      <c r="P748">
        <v>7.16</v>
      </c>
    </row>
    <row r="749" spans="4:16" x14ac:dyDescent="0.25">
      <c r="D749" t="s">
        <v>1733</v>
      </c>
      <c r="E749" t="s">
        <v>135</v>
      </c>
      <c r="F749" t="s">
        <v>181</v>
      </c>
      <c r="G749" t="s">
        <v>181</v>
      </c>
      <c r="H749" t="s">
        <v>1218</v>
      </c>
      <c r="I749" s="13">
        <v>42562</v>
      </c>
      <c r="J749">
        <v>7</v>
      </c>
      <c r="K749" t="s">
        <v>177</v>
      </c>
      <c r="L749" t="s">
        <v>139</v>
      </c>
      <c r="M749" t="s">
        <v>573</v>
      </c>
      <c r="N749" t="s">
        <v>1734</v>
      </c>
      <c r="O749">
        <v>1</v>
      </c>
      <c r="P749">
        <v>7.16</v>
      </c>
    </row>
    <row r="750" spans="4:16" x14ac:dyDescent="0.25">
      <c r="D750" t="s">
        <v>1735</v>
      </c>
      <c r="E750" t="s">
        <v>135</v>
      </c>
      <c r="F750" t="s">
        <v>379</v>
      </c>
      <c r="G750" t="s">
        <v>1244</v>
      </c>
      <c r="H750" t="s">
        <v>1218</v>
      </c>
      <c r="I750" s="13">
        <v>42580</v>
      </c>
      <c r="J750">
        <v>7</v>
      </c>
      <c r="K750" t="s">
        <v>177</v>
      </c>
      <c r="L750" t="s">
        <v>139</v>
      </c>
      <c r="M750" t="s">
        <v>647</v>
      </c>
      <c r="N750" t="s">
        <v>1736</v>
      </c>
      <c r="O750">
        <v>1</v>
      </c>
      <c r="P750">
        <v>7.11</v>
      </c>
    </row>
    <row r="751" spans="4:16" x14ac:dyDescent="0.25">
      <c r="D751" t="s">
        <v>1737</v>
      </c>
      <c r="E751" t="s">
        <v>135</v>
      </c>
      <c r="F751" t="s">
        <v>379</v>
      </c>
      <c r="G751" t="s">
        <v>1244</v>
      </c>
      <c r="H751" t="s">
        <v>1218</v>
      </c>
      <c r="I751" s="13">
        <v>42580</v>
      </c>
      <c r="J751">
        <v>7</v>
      </c>
      <c r="K751" t="s">
        <v>177</v>
      </c>
      <c r="L751" t="s">
        <v>139</v>
      </c>
      <c r="M751" t="s">
        <v>398</v>
      </c>
      <c r="N751" t="s">
        <v>1738</v>
      </c>
      <c r="O751">
        <v>1</v>
      </c>
      <c r="P751">
        <v>7.11</v>
      </c>
    </row>
    <row r="752" spans="4:16" x14ac:dyDescent="0.25">
      <c r="D752" t="s">
        <v>1739</v>
      </c>
      <c r="E752" t="s">
        <v>135</v>
      </c>
      <c r="F752" t="s">
        <v>379</v>
      </c>
      <c r="G752" t="s">
        <v>1244</v>
      </c>
      <c r="H752" t="s">
        <v>1218</v>
      </c>
      <c r="I752" s="13">
        <v>42580</v>
      </c>
      <c r="J752">
        <v>7</v>
      </c>
      <c r="K752" t="s">
        <v>177</v>
      </c>
      <c r="L752" t="s">
        <v>139</v>
      </c>
      <c r="M752" t="s">
        <v>398</v>
      </c>
      <c r="N752" t="s">
        <v>1740</v>
      </c>
      <c r="O752">
        <v>1</v>
      </c>
      <c r="P752">
        <v>7.11</v>
      </c>
    </row>
    <row r="753" spans="4:16" x14ac:dyDescent="0.25">
      <c r="D753" t="s">
        <v>1741</v>
      </c>
      <c r="E753" t="s">
        <v>135</v>
      </c>
      <c r="F753" t="s">
        <v>379</v>
      </c>
      <c r="G753" t="s">
        <v>1244</v>
      </c>
      <c r="H753" t="s">
        <v>1218</v>
      </c>
      <c r="I753" s="13">
        <v>42580</v>
      </c>
      <c r="J753">
        <v>7</v>
      </c>
      <c r="K753" t="s">
        <v>177</v>
      </c>
      <c r="L753" t="s">
        <v>139</v>
      </c>
      <c r="M753" t="s">
        <v>398</v>
      </c>
      <c r="N753" t="s">
        <v>1742</v>
      </c>
      <c r="O753">
        <v>1</v>
      </c>
      <c r="P753">
        <v>7.11</v>
      </c>
    </row>
    <row r="754" spans="4:16" x14ac:dyDescent="0.25">
      <c r="D754" t="s">
        <v>1743</v>
      </c>
      <c r="E754" t="s">
        <v>135</v>
      </c>
      <c r="F754" t="s">
        <v>143</v>
      </c>
      <c r="G754" t="s">
        <v>909</v>
      </c>
      <c r="H754" t="s">
        <v>1218</v>
      </c>
      <c r="I754" s="13">
        <v>42599</v>
      </c>
      <c r="J754">
        <v>7</v>
      </c>
      <c r="K754" t="s">
        <v>145</v>
      </c>
      <c r="L754" t="s">
        <v>139</v>
      </c>
      <c r="M754" t="s">
        <v>1430</v>
      </c>
      <c r="N754" t="s">
        <v>1744</v>
      </c>
      <c r="O754">
        <v>1</v>
      </c>
      <c r="P754">
        <v>7.06</v>
      </c>
    </row>
    <row r="755" spans="4:16" x14ac:dyDescent="0.25">
      <c r="D755" t="s">
        <v>1743</v>
      </c>
      <c r="E755" t="s">
        <v>135</v>
      </c>
      <c r="F755" t="s">
        <v>143</v>
      </c>
      <c r="G755" t="s">
        <v>909</v>
      </c>
      <c r="H755" t="s">
        <v>1218</v>
      </c>
      <c r="I755" s="13">
        <v>42599</v>
      </c>
      <c r="J755">
        <v>7</v>
      </c>
      <c r="K755" t="s">
        <v>145</v>
      </c>
      <c r="L755" t="s">
        <v>139</v>
      </c>
      <c r="M755" t="s">
        <v>1430</v>
      </c>
      <c r="N755" t="s">
        <v>1744</v>
      </c>
      <c r="O755">
        <v>1</v>
      </c>
      <c r="P755">
        <v>7.06</v>
      </c>
    </row>
    <row r="756" spans="4:16" x14ac:dyDescent="0.25">
      <c r="D756" t="s">
        <v>1745</v>
      </c>
      <c r="E756" t="s">
        <v>135</v>
      </c>
      <c r="F756" t="s">
        <v>149</v>
      </c>
      <c r="G756" t="s">
        <v>150</v>
      </c>
      <c r="H756" t="s">
        <v>1218</v>
      </c>
      <c r="I756" s="13">
        <v>42611</v>
      </c>
      <c r="J756">
        <v>7</v>
      </c>
      <c r="K756" t="s">
        <v>177</v>
      </c>
      <c r="L756" t="s">
        <v>139</v>
      </c>
      <c r="M756" t="s">
        <v>178</v>
      </c>
      <c r="N756" t="s">
        <v>1746</v>
      </c>
      <c r="O756">
        <v>1</v>
      </c>
      <c r="P756">
        <v>7.03</v>
      </c>
    </row>
    <row r="757" spans="4:16" x14ac:dyDescent="0.25">
      <c r="D757" t="s">
        <v>1747</v>
      </c>
      <c r="E757" t="s">
        <v>135</v>
      </c>
      <c r="F757" t="s">
        <v>149</v>
      </c>
      <c r="G757" t="s">
        <v>150</v>
      </c>
      <c r="H757" t="s">
        <v>1218</v>
      </c>
      <c r="I757" s="13">
        <v>42611</v>
      </c>
      <c r="J757">
        <v>7</v>
      </c>
      <c r="K757" t="s">
        <v>177</v>
      </c>
      <c r="L757" t="s">
        <v>139</v>
      </c>
      <c r="M757" t="s">
        <v>316</v>
      </c>
      <c r="N757" t="s">
        <v>1748</v>
      </c>
      <c r="O757">
        <v>1</v>
      </c>
      <c r="P757">
        <v>7.03</v>
      </c>
    </row>
    <row r="758" spans="4:16" x14ac:dyDescent="0.25">
      <c r="D758" t="s">
        <v>1749</v>
      </c>
      <c r="E758" t="s">
        <v>135</v>
      </c>
      <c r="F758" t="s">
        <v>143</v>
      </c>
      <c r="G758" t="s">
        <v>1750</v>
      </c>
      <c r="H758" t="s">
        <v>1218</v>
      </c>
      <c r="I758" s="13">
        <v>42625</v>
      </c>
      <c r="J758">
        <v>7</v>
      </c>
      <c r="K758" t="s">
        <v>177</v>
      </c>
      <c r="L758" t="s">
        <v>139</v>
      </c>
      <c r="M758" t="s">
        <v>907</v>
      </c>
      <c r="N758" t="s">
        <v>1751</v>
      </c>
      <c r="O758">
        <v>1</v>
      </c>
      <c r="P758">
        <v>6.99</v>
      </c>
    </row>
    <row r="759" spans="4:16" x14ac:dyDescent="0.25">
      <c r="D759" t="s">
        <v>1752</v>
      </c>
      <c r="E759" t="s">
        <v>135</v>
      </c>
      <c r="F759" t="s">
        <v>143</v>
      </c>
      <c r="G759" t="s">
        <v>909</v>
      </c>
      <c r="H759" t="s">
        <v>1218</v>
      </c>
      <c r="I759" s="13">
        <v>42625</v>
      </c>
      <c r="J759">
        <v>7</v>
      </c>
      <c r="K759" t="s">
        <v>177</v>
      </c>
      <c r="L759" t="s">
        <v>139</v>
      </c>
      <c r="M759" t="s">
        <v>1430</v>
      </c>
      <c r="N759" t="s">
        <v>1753</v>
      </c>
      <c r="O759">
        <v>1</v>
      </c>
      <c r="P759">
        <v>6.99</v>
      </c>
    </row>
    <row r="760" spans="4:16" x14ac:dyDescent="0.25">
      <c r="D760" t="s">
        <v>1754</v>
      </c>
      <c r="E760" t="s">
        <v>135</v>
      </c>
      <c r="F760" t="s">
        <v>143</v>
      </c>
      <c r="G760" t="s">
        <v>909</v>
      </c>
      <c r="H760" t="s">
        <v>1218</v>
      </c>
      <c r="I760" s="13">
        <v>42625</v>
      </c>
      <c r="J760">
        <v>7</v>
      </c>
      <c r="K760" t="s">
        <v>177</v>
      </c>
      <c r="L760" t="s">
        <v>139</v>
      </c>
      <c r="M760" t="s">
        <v>1430</v>
      </c>
      <c r="N760" t="s">
        <v>1755</v>
      </c>
      <c r="O760">
        <v>1</v>
      </c>
      <c r="P760">
        <v>6.99</v>
      </c>
    </row>
    <row r="761" spans="4:16" x14ac:dyDescent="0.25">
      <c r="D761" t="s">
        <v>1756</v>
      </c>
      <c r="E761" t="s">
        <v>135</v>
      </c>
      <c r="F761" t="s">
        <v>143</v>
      </c>
      <c r="G761" t="s">
        <v>909</v>
      </c>
      <c r="H761" t="s">
        <v>1218</v>
      </c>
      <c r="I761" s="13">
        <v>42625</v>
      </c>
      <c r="J761">
        <v>7</v>
      </c>
      <c r="K761" t="s">
        <v>177</v>
      </c>
      <c r="L761" t="s">
        <v>139</v>
      </c>
      <c r="M761" t="s">
        <v>1430</v>
      </c>
      <c r="N761" t="s">
        <v>1757</v>
      </c>
      <c r="O761">
        <v>1</v>
      </c>
      <c r="P761">
        <v>6.99</v>
      </c>
    </row>
    <row r="762" spans="4:16" x14ac:dyDescent="0.25">
      <c r="D762" t="s">
        <v>1758</v>
      </c>
      <c r="E762" t="s">
        <v>135</v>
      </c>
      <c r="F762" t="s">
        <v>1759</v>
      </c>
      <c r="G762" t="s">
        <v>909</v>
      </c>
      <c r="H762" t="s">
        <v>1218</v>
      </c>
      <c r="I762" s="13">
        <v>42625</v>
      </c>
      <c r="J762">
        <v>7</v>
      </c>
      <c r="K762" t="s">
        <v>177</v>
      </c>
      <c r="L762" t="s">
        <v>139</v>
      </c>
      <c r="M762" t="s">
        <v>1430</v>
      </c>
      <c r="N762" t="s">
        <v>1760</v>
      </c>
      <c r="O762">
        <v>1</v>
      </c>
      <c r="P762">
        <v>6.99</v>
      </c>
    </row>
    <row r="763" spans="4:16" x14ac:dyDescent="0.25">
      <c r="D763" t="s">
        <v>1761</v>
      </c>
      <c r="E763" t="s">
        <v>135</v>
      </c>
      <c r="F763" t="s">
        <v>143</v>
      </c>
      <c r="G763" t="s">
        <v>909</v>
      </c>
      <c r="H763" t="s">
        <v>1218</v>
      </c>
      <c r="I763" s="13">
        <v>42625</v>
      </c>
      <c r="J763">
        <v>7</v>
      </c>
      <c r="K763" t="s">
        <v>145</v>
      </c>
      <c r="L763" t="s">
        <v>139</v>
      </c>
      <c r="M763" t="s">
        <v>1430</v>
      </c>
      <c r="N763" t="s">
        <v>1762</v>
      </c>
      <c r="O763">
        <v>1</v>
      </c>
      <c r="P763">
        <v>6.99</v>
      </c>
    </row>
    <row r="764" spans="4:16" x14ac:dyDescent="0.25">
      <c r="D764" t="s">
        <v>1763</v>
      </c>
      <c r="E764" t="s">
        <v>135</v>
      </c>
      <c r="F764" t="s">
        <v>143</v>
      </c>
      <c r="G764" t="s">
        <v>909</v>
      </c>
      <c r="H764" t="s">
        <v>1218</v>
      </c>
      <c r="I764" s="13">
        <v>42625</v>
      </c>
      <c r="J764">
        <v>7</v>
      </c>
      <c r="K764" t="s">
        <v>177</v>
      </c>
      <c r="L764" t="s">
        <v>139</v>
      </c>
      <c r="M764" t="s">
        <v>907</v>
      </c>
      <c r="N764" t="s">
        <v>1764</v>
      </c>
      <c r="O764">
        <v>1</v>
      </c>
      <c r="P764">
        <v>6.99</v>
      </c>
    </row>
    <row r="765" spans="4:16" x14ac:dyDescent="0.25">
      <c r="D765" t="s">
        <v>1765</v>
      </c>
      <c r="E765" t="s">
        <v>135</v>
      </c>
      <c r="F765" t="s">
        <v>143</v>
      </c>
      <c r="G765" t="s">
        <v>909</v>
      </c>
      <c r="H765" t="s">
        <v>1218</v>
      </c>
      <c r="I765" s="13">
        <v>42625</v>
      </c>
      <c r="J765">
        <v>7</v>
      </c>
      <c r="K765" t="s">
        <v>177</v>
      </c>
      <c r="L765" t="s">
        <v>139</v>
      </c>
      <c r="M765" t="s">
        <v>907</v>
      </c>
      <c r="N765" t="s">
        <v>1766</v>
      </c>
      <c r="O765">
        <v>1</v>
      </c>
      <c r="P765">
        <v>6.99</v>
      </c>
    </row>
    <row r="766" spans="4:16" x14ac:dyDescent="0.25">
      <c r="D766" t="s">
        <v>1767</v>
      </c>
      <c r="E766" t="s">
        <v>135</v>
      </c>
      <c r="F766" t="s">
        <v>143</v>
      </c>
      <c r="G766" t="s">
        <v>909</v>
      </c>
      <c r="H766" t="s">
        <v>1218</v>
      </c>
      <c r="I766" s="13">
        <v>42683</v>
      </c>
      <c r="J766">
        <v>7</v>
      </c>
      <c r="K766" t="s">
        <v>177</v>
      </c>
      <c r="L766" t="s">
        <v>139</v>
      </c>
      <c r="M766" t="s">
        <v>805</v>
      </c>
      <c r="N766" t="s">
        <v>1768</v>
      </c>
      <c r="O766">
        <v>1</v>
      </c>
      <c r="P766">
        <v>6.83</v>
      </c>
    </row>
    <row r="767" spans="4:16" x14ac:dyDescent="0.25">
      <c r="D767" t="s">
        <v>1769</v>
      </c>
      <c r="E767" t="s">
        <v>135</v>
      </c>
      <c r="F767" t="s">
        <v>143</v>
      </c>
      <c r="G767" t="s">
        <v>909</v>
      </c>
      <c r="H767" t="s">
        <v>1218</v>
      </c>
      <c r="I767" s="13">
        <v>42683</v>
      </c>
      <c r="J767">
        <v>7</v>
      </c>
      <c r="K767" t="s">
        <v>177</v>
      </c>
      <c r="L767" t="s">
        <v>139</v>
      </c>
      <c r="M767" t="s">
        <v>805</v>
      </c>
      <c r="N767" t="s">
        <v>1770</v>
      </c>
      <c r="O767">
        <v>1</v>
      </c>
      <c r="P767">
        <v>6.83</v>
      </c>
    </row>
    <row r="768" spans="4:16" x14ac:dyDescent="0.25">
      <c r="D768" t="s">
        <v>1771</v>
      </c>
      <c r="E768" t="s">
        <v>135</v>
      </c>
      <c r="F768" t="s">
        <v>143</v>
      </c>
      <c r="G768" t="s">
        <v>144</v>
      </c>
      <c r="H768" t="s">
        <v>1218</v>
      </c>
      <c r="I768" s="13">
        <v>42690</v>
      </c>
      <c r="J768">
        <v>7</v>
      </c>
      <c r="K768" t="s">
        <v>177</v>
      </c>
      <c r="L768" t="s">
        <v>139</v>
      </c>
      <c r="M768" t="s">
        <v>805</v>
      </c>
      <c r="N768" t="s">
        <v>1772</v>
      </c>
      <c r="O768">
        <v>1</v>
      </c>
      <c r="P768">
        <v>6.81</v>
      </c>
    </row>
    <row r="769" spans="4:16" x14ac:dyDescent="0.25">
      <c r="D769" t="s">
        <v>1773</v>
      </c>
      <c r="E769" t="s">
        <v>135</v>
      </c>
      <c r="F769" t="s">
        <v>143</v>
      </c>
      <c r="G769" t="s">
        <v>144</v>
      </c>
      <c r="H769" t="s">
        <v>1218</v>
      </c>
      <c r="I769" s="13">
        <v>42690</v>
      </c>
      <c r="J769">
        <v>7</v>
      </c>
      <c r="K769" t="s">
        <v>177</v>
      </c>
      <c r="L769" t="s">
        <v>139</v>
      </c>
      <c r="M769" t="s">
        <v>805</v>
      </c>
      <c r="N769" t="s">
        <v>1774</v>
      </c>
      <c r="O769">
        <v>1</v>
      </c>
      <c r="P769">
        <v>6.81</v>
      </c>
    </row>
    <row r="770" spans="4:16" x14ac:dyDescent="0.25">
      <c r="D770" t="s">
        <v>1775</v>
      </c>
      <c r="E770" t="s">
        <v>135</v>
      </c>
      <c r="F770" t="s">
        <v>143</v>
      </c>
      <c r="G770" t="s">
        <v>144</v>
      </c>
      <c r="H770" t="s">
        <v>1218</v>
      </c>
      <c r="I770" s="13">
        <v>42690</v>
      </c>
      <c r="J770">
        <v>7</v>
      </c>
      <c r="K770" t="s">
        <v>177</v>
      </c>
      <c r="L770" t="s">
        <v>139</v>
      </c>
      <c r="M770" t="s">
        <v>805</v>
      </c>
      <c r="N770" t="s">
        <v>1776</v>
      </c>
      <c r="O770">
        <v>1</v>
      </c>
      <c r="P770">
        <v>6.81</v>
      </c>
    </row>
    <row r="771" spans="4:16" x14ac:dyDescent="0.25">
      <c r="D771" t="s">
        <v>1777</v>
      </c>
      <c r="E771" t="s">
        <v>135</v>
      </c>
      <c r="F771" t="s">
        <v>143</v>
      </c>
      <c r="G771" t="s">
        <v>611</v>
      </c>
      <c r="H771" t="s">
        <v>1218</v>
      </c>
      <c r="I771" s="13">
        <v>42697</v>
      </c>
      <c r="J771">
        <v>7</v>
      </c>
      <c r="K771" t="s">
        <v>177</v>
      </c>
      <c r="L771" t="s">
        <v>139</v>
      </c>
      <c r="M771" t="s">
        <v>805</v>
      </c>
      <c r="N771" t="s">
        <v>1778</v>
      </c>
      <c r="O771">
        <v>1</v>
      </c>
      <c r="P771">
        <v>6.79</v>
      </c>
    </row>
    <row r="772" spans="4:16" x14ac:dyDescent="0.25">
      <c r="D772" t="s">
        <v>1779</v>
      </c>
      <c r="E772" t="s">
        <v>135</v>
      </c>
      <c r="F772" t="s">
        <v>1636</v>
      </c>
      <c r="G772" t="s">
        <v>1636</v>
      </c>
      <c r="H772" t="s">
        <v>1218</v>
      </c>
      <c r="I772" s="13">
        <v>42737</v>
      </c>
      <c r="J772">
        <v>7</v>
      </c>
      <c r="K772" t="s">
        <v>177</v>
      </c>
      <c r="L772" t="s">
        <v>139</v>
      </c>
      <c r="M772" t="s">
        <v>1027</v>
      </c>
      <c r="N772" t="s">
        <v>1780</v>
      </c>
      <c r="O772">
        <v>1</v>
      </c>
      <c r="P772">
        <v>6.68</v>
      </c>
    </row>
    <row r="773" spans="4:16" x14ac:dyDescent="0.25">
      <c r="D773" t="s">
        <v>1781</v>
      </c>
      <c r="E773" t="s">
        <v>135</v>
      </c>
      <c r="F773" t="s">
        <v>1636</v>
      </c>
      <c r="G773" t="s">
        <v>1636</v>
      </c>
      <c r="H773" t="s">
        <v>1218</v>
      </c>
      <c r="I773" s="13">
        <v>42737</v>
      </c>
      <c r="J773">
        <v>7</v>
      </c>
      <c r="K773" t="s">
        <v>177</v>
      </c>
      <c r="L773" t="s">
        <v>139</v>
      </c>
      <c r="M773" t="s">
        <v>1027</v>
      </c>
      <c r="N773" t="s">
        <v>1782</v>
      </c>
      <c r="O773">
        <v>1</v>
      </c>
      <c r="P773">
        <v>6.68</v>
      </c>
    </row>
    <row r="774" spans="4:16" x14ac:dyDescent="0.25">
      <c r="D774" t="s">
        <v>1783</v>
      </c>
      <c r="E774" t="s">
        <v>135</v>
      </c>
      <c r="F774" t="s">
        <v>1679</v>
      </c>
      <c r="G774" t="s">
        <v>1679</v>
      </c>
      <c r="H774" t="s">
        <v>1218</v>
      </c>
      <c r="I774" s="13">
        <v>42737</v>
      </c>
      <c r="J774">
        <v>7</v>
      </c>
      <c r="K774" t="s">
        <v>177</v>
      </c>
      <c r="L774" t="s">
        <v>139</v>
      </c>
      <c r="M774" t="s">
        <v>945</v>
      </c>
      <c r="N774" t="s">
        <v>1784</v>
      </c>
      <c r="O774">
        <v>1</v>
      </c>
      <c r="P774">
        <v>6.68</v>
      </c>
    </row>
    <row r="775" spans="4:16" x14ac:dyDescent="0.25">
      <c r="D775" t="s">
        <v>1785</v>
      </c>
      <c r="E775" t="s">
        <v>135</v>
      </c>
      <c r="F775" t="s">
        <v>1679</v>
      </c>
      <c r="G775" t="s">
        <v>1679</v>
      </c>
      <c r="H775" t="s">
        <v>1218</v>
      </c>
      <c r="I775" s="13">
        <v>42737</v>
      </c>
      <c r="J775">
        <v>7</v>
      </c>
      <c r="K775" t="s">
        <v>177</v>
      </c>
      <c r="L775" t="s">
        <v>139</v>
      </c>
      <c r="M775" t="s">
        <v>945</v>
      </c>
      <c r="N775" t="s">
        <v>1786</v>
      </c>
      <c r="O775">
        <v>1</v>
      </c>
      <c r="P775">
        <v>6.68</v>
      </c>
    </row>
    <row r="776" spans="4:16" x14ac:dyDescent="0.25">
      <c r="D776" t="s">
        <v>1787</v>
      </c>
      <c r="E776" t="s">
        <v>135</v>
      </c>
      <c r="F776" t="s">
        <v>181</v>
      </c>
      <c r="G776" t="s">
        <v>795</v>
      </c>
      <c r="H776" t="s">
        <v>1218</v>
      </c>
      <c r="I776" s="13">
        <v>42738</v>
      </c>
      <c r="J776">
        <v>7</v>
      </c>
      <c r="K776" t="s">
        <v>177</v>
      </c>
      <c r="L776" t="s">
        <v>139</v>
      </c>
      <c r="M776" t="s">
        <v>509</v>
      </c>
      <c r="N776" t="s">
        <v>1788</v>
      </c>
      <c r="O776">
        <v>1</v>
      </c>
      <c r="P776">
        <v>6.68</v>
      </c>
    </row>
    <row r="777" spans="4:16" x14ac:dyDescent="0.25">
      <c r="D777" t="s">
        <v>1789</v>
      </c>
      <c r="E777" t="s">
        <v>135</v>
      </c>
      <c r="F777" t="s">
        <v>143</v>
      </c>
      <c r="G777" t="s">
        <v>611</v>
      </c>
      <c r="H777" t="s">
        <v>1218</v>
      </c>
      <c r="I777" s="13">
        <v>42744</v>
      </c>
      <c r="J777">
        <v>7</v>
      </c>
      <c r="K777" t="s">
        <v>177</v>
      </c>
      <c r="L777" t="s">
        <v>139</v>
      </c>
      <c r="M777" t="s">
        <v>800</v>
      </c>
      <c r="N777" t="s">
        <v>1790</v>
      </c>
      <c r="O777">
        <v>1</v>
      </c>
      <c r="P777">
        <v>6.66</v>
      </c>
    </row>
    <row r="778" spans="4:16" x14ac:dyDescent="0.25">
      <c r="D778" t="s">
        <v>1791</v>
      </c>
      <c r="E778" t="s">
        <v>135</v>
      </c>
      <c r="F778" t="s">
        <v>143</v>
      </c>
      <c r="G778" t="s">
        <v>611</v>
      </c>
      <c r="H778" t="s">
        <v>1218</v>
      </c>
      <c r="I778" s="13">
        <v>42744</v>
      </c>
      <c r="J778">
        <v>7</v>
      </c>
      <c r="K778" t="s">
        <v>177</v>
      </c>
      <c r="L778" t="s">
        <v>139</v>
      </c>
      <c r="M778" t="s">
        <v>669</v>
      </c>
      <c r="N778" t="s">
        <v>1792</v>
      </c>
      <c r="O778">
        <v>1</v>
      </c>
      <c r="P778">
        <v>6.66</v>
      </c>
    </row>
    <row r="779" spans="4:16" x14ac:dyDescent="0.25">
      <c r="D779" t="s">
        <v>1793</v>
      </c>
      <c r="E779" t="s">
        <v>135</v>
      </c>
      <c r="F779" t="s">
        <v>143</v>
      </c>
      <c r="G779" t="s">
        <v>611</v>
      </c>
      <c r="H779" t="s">
        <v>1218</v>
      </c>
      <c r="I779" s="13">
        <v>42744</v>
      </c>
      <c r="J779">
        <v>7</v>
      </c>
      <c r="K779" t="s">
        <v>177</v>
      </c>
      <c r="L779" t="s">
        <v>139</v>
      </c>
      <c r="M779" t="s">
        <v>669</v>
      </c>
      <c r="N779" t="s">
        <v>1794</v>
      </c>
      <c r="O779">
        <v>1</v>
      </c>
      <c r="P779">
        <v>6.66</v>
      </c>
    </row>
    <row r="780" spans="4:16" x14ac:dyDescent="0.25">
      <c r="D780" t="s">
        <v>1795</v>
      </c>
      <c r="E780" t="s">
        <v>135</v>
      </c>
      <c r="F780" t="s">
        <v>143</v>
      </c>
      <c r="G780" t="s">
        <v>144</v>
      </c>
      <c r="H780" t="s">
        <v>1218</v>
      </c>
      <c r="I780" s="13">
        <v>42776</v>
      </c>
      <c r="J780">
        <v>7</v>
      </c>
      <c r="K780" t="s">
        <v>177</v>
      </c>
      <c r="L780" t="s">
        <v>139</v>
      </c>
      <c r="M780" t="s">
        <v>186</v>
      </c>
      <c r="N780" t="s">
        <v>1796</v>
      </c>
      <c r="O780">
        <v>1</v>
      </c>
      <c r="P780">
        <v>6.57</v>
      </c>
    </row>
    <row r="781" spans="4:16" x14ac:dyDescent="0.25">
      <c r="D781" t="s">
        <v>1797</v>
      </c>
      <c r="E781" t="s">
        <v>135</v>
      </c>
      <c r="F781" t="s">
        <v>143</v>
      </c>
      <c r="G781" t="s">
        <v>144</v>
      </c>
      <c r="H781" t="s">
        <v>1218</v>
      </c>
      <c r="I781" s="13">
        <v>42786</v>
      </c>
      <c r="J781">
        <v>7</v>
      </c>
      <c r="K781" t="s">
        <v>177</v>
      </c>
      <c r="L781" t="s">
        <v>139</v>
      </c>
      <c r="M781" t="s">
        <v>186</v>
      </c>
      <c r="N781" t="s">
        <v>1798</v>
      </c>
      <c r="O781">
        <v>1</v>
      </c>
      <c r="P781">
        <v>6.55</v>
      </c>
    </row>
    <row r="782" spans="4:16" x14ac:dyDescent="0.25">
      <c r="D782" t="s">
        <v>1799</v>
      </c>
      <c r="E782" t="s">
        <v>135</v>
      </c>
      <c r="F782" t="s">
        <v>143</v>
      </c>
      <c r="G782" t="s">
        <v>611</v>
      </c>
      <c r="H782" t="s">
        <v>1218</v>
      </c>
      <c r="I782" s="13">
        <v>42786</v>
      </c>
      <c r="J782">
        <v>7</v>
      </c>
      <c r="K782" t="s">
        <v>177</v>
      </c>
      <c r="L782" t="s">
        <v>139</v>
      </c>
      <c r="M782" t="s">
        <v>261</v>
      </c>
      <c r="N782" t="s">
        <v>1800</v>
      </c>
      <c r="O782">
        <v>1</v>
      </c>
      <c r="P782">
        <v>6.55</v>
      </c>
    </row>
    <row r="783" spans="4:16" x14ac:dyDescent="0.25">
      <c r="D783" t="s">
        <v>1801</v>
      </c>
      <c r="E783" t="s">
        <v>135</v>
      </c>
      <c r="F783" t="s">
        <v>143</v>
      </c>
      <c r="G783" t="s">
        <v>144</v>
      </c>
      <c r="H783" t="s">
        <v>1218</v>
      </c>
      <c r="I783" s="13">
        <v>42808</v>
      </c>
      <c r="J783">
        <v>6</v>
      </c>
      <c r="K783" t="s">
        <v>177</v>
      </c>
      <c r="L783" t="s">
        <v>139</v>
      </c>
      <c r="M783" t="s">
        <v>596</v>
      </c>
      <c r="N783" t="s">
        <v>1802</v>
      </c>
      <c r="O783">
        <v>1</v>
      </c>
      <c r="P783">
        <v>6.49</v>
      </c>
    </row>
    <row r="784" spans="4:16" x14ac:dyDescent="0.25">
      <c r="D784" t="s">
        <v>1803</v>
      </c>
      <c r="E784" t="s">
        <v>135</v>
      </c>
      <c r="F784" t="s">
        <v>143</v>
      </c>
      <c r="G784" t="s">
        <v>611</v>
      </c>
      <c r="H784" t="s">
        <v>1218</v>
      </c>
      <c r="I784" s="13">
        <v>42836</v>
      </c>
      <c r="J784">
        <v>6</v>
      </c>
      <c r="K784" t="s">
        <v>177</v>
      </c>
      <c r="L784" t="s">
        <v>139</v>
      </c>
      <c r="M784" t="s">
        <v>743</v>
      </c>
      <c r="N784" t="s">
        <v>1804</v>
      </c>
      <c r="O784">
        <v>1</v>
      </c>
      <c r="P784">
        <v>6.41</v>
      </c>
    </row>
    <row r="785" spans="4:16" x14ac:dyDescent="0.25">
      <c r="D785" t="s">
        <v>1805</v>
      </c>
      <c r="E785" t="s">
        <v>135</v>
      </c>
      <c r="F785" t="s">
        <v>1679</v>
      </c>
      <c r="G785" t="s">
        <v>1806</v>
      </c>
      <c r="H785" t="s">
        <v>1218</v>
      </c>
      <c r="I785" s="13">
        <v>42838</v>
      </c>
      <c r="J785">
        <v>6</v>
      </c>
      <c r="K785" t="s">
        <v>177</v>
      </c>
      <c r="L785" t="s">
        <v>139</v>
      </c>
      <c r="M785" t="s">
        <v>452</v>
      </c>
      <c r="N785" t="s">
        <v>1807</v>
      </c>
      <c r="O785">
        <v>1</v>
      </c>
      <c r="P785">
        <v>6.4</v>
      </c>
    </row>
    <row r="786" spans="4:16" x14ac:dyDescent="0.25">
      <c r="D786" t="s">
        <v>1808</v>
      </c>
      <c r="E786" t="s">
        <v>135</v>
      </c>
      <c r="F786" t="s">
        <v>1679</v>
      </c>
      <c r="G786" t="s">
        <v>1806</v>
      </c>
      <c r="H786" t="s">
        <v>1218</v>
      </c>
      <c r="I786" s="13">
        <v>42846</v>
      </c>
      <c r="J786">
        <v>6</v>
      </c>
      <c r="K786" t="s">
        <v>177</v>
      </c>
      <c r="L786" t="s">
        <v>139</v>
      </c>
      <c r="M786" t="s">
        <v>452</v>
      </c>
      <c r="N786" t="s">
        <v>1809</v>
      </c>
      <c r="O786">
        <v>1</v>
      </c>
      <c r="P786">
        <v>6.38</v>
      </c>
    </row>
    <row r="787" spans="4:16" x14ac:dyDescent="0.25">
      <c r="D787" t="s">
        <v>1810</v>
      </c>
      <c r="E787" t="s">
        <v>135</v>
      </c>
      <c r="F787" t="s">
        <v>143</v>
      </c>
      <c r="G787" t="s">
        <v>611</v>
      </c>
      <c r="H787" t="s">
        <v>1218</v>
      </c>
      <c r="I787" s="13">
        <v>42853</v>
      </c>
      <c r="J787">
        <v>6</v>
      </c>
      <c r="K787" t="s">
        <v>177</v>
      </c>
      <c r="L787" t="s">
        <v>139</v>
      </c>
      <c r="M787" t="s">
        <v>320</v>
      </c>
      <c r="N787" t="s">
        <v>1811</v>
      </c>
      <c r="O787">
        <v>1</v>
      </c>
      <c r="P787">
        <v>6.36</v>
      </c>
    </row>
    <row r="788" spans="4:16" x14ac:dyDescent="0.25">
      <c r="D788" t="s">
        <v>1812</v>
      </c>
      <c r="E788" t="s">
        <v>135</v>
      </c>
      <c r="F788" t="s">
        <v>143</v>
      </c>
      <c r="G788" t="s">
        <v>611</v>
      </c>
      <c r="H788" t="s">
        <v>1218</v>
      </c>
      <c r="I788" s="13">
        <v>42866</v>
      </c>
      <c r="J788">
        <v>6</v>
      </c>
      <c r="K788" t="s">
        <v>177</v>
      </c>
      <c r="L788" t="s">
        <v>139</v>
      </c>
      <c r="M788" t="s">
        <v>596</v>
      </c>
      <c r="N788" t="s">
        <v>1813</v>
      </c>
      <c r="O788">
        <v>1</v>
      </c>
      <c r="P788">
        <v>6.33</v>
      </c>
    </row>
    <row r="789" spans="4:16" x14ac:dyDescent="0.25">
      <c r="D789" t="s">
        <v>1812</v>
      </c>
      <c r="E789" t="s">
        <v>135</v>
      </c>
      <c r="F789" t="s">
        <v>143</v>
      </c>
      <c r="G789" t="s">
        <v>611</v>
      </c>
      <c r="H789" t="s">
        <v>1218</v>
      </c>
      <c r="I789" s="13">
        <v>42866</v>
      </c>
      <c r="J789">
        <v>6</v>
      </c>
      <c r="K789" t="s">
        <v>177</v>
      </c>
      <c r="L789" t="s">
        <v>139</v>
      </c>
      <c r="M789" t="s">
        <v>596</v>
      </c>
      <c r="N789" t="s">
        <v>1813</v>
      </c>
      <c r="O789">
        <v>1</v>
      </c>
      <c r="P789">
        <v>6.33</v>
      </c>
    </row>
    <row r="790" spans="4:16" x14ac:dyDescent="0.25">
      <c r="D790" t="s">
        <v>1814</v>
      </c>
      <c r="E790" t="s">
        <v>135</v>
      </c>
      <c r="F790" t="s">
        <v>143</v>
      </c>
      <c r="G790" t="s">
        <v>611</v>
      </c>
      <c r="H790" t="s">
        <v>1218</v>
      </c>
      <c r="I790" s="13">
        <v>42867</v>
      </c>
      <c r="J790">
        <v>6</v>
      </c>
      <c r="K790" t="s">
        <v>177</v>
      </c>
      <c r="L790" t="s">
        <v>139</v>
      </c>
      <c r="M790" t="s">
        <v>596</v>
      </c>
      <c r="N790" t="s">
        <v>1815</v>
      </c>
      <c r="O790">
        <v>1</v>
      </c>
      <c r="P790">
        <v>6.32</v>
      </c>
    </row>
    <row r="791" spans="4:16" x14ac:dyDescent="0.25">
      <c r="D791" t="s">
        <v>1814</v>
      </c>
      <c r="E791" t="s">
        <v>135</v>
      </c>
      <c r="F791" t="s">
        <v>143</v>
      </c>
      <c r="G791" t="s">
        <v>611</v>
      </c>
      <c r="H791" t="s">
        <v>1218</v>
      </c>
      <c r="I791" s="13">
        <v>42867</v>
      </c>
      <c r="J791">
        <v>6</v>
      </c>
      <c r="K791" t="s">
        <v>177</v>
      </c>
      <c r="L791" t="s">
        <v>139</v>
      </c>
      <c r="M791" t="s">
        <v>596</v>
      </c>
      <c r="N791" t="s">
        <v>1815</v>
      </c>
      <c r="O791">
        <v>1</v>
      </c>
      <c r="P791">
        <v>6.32</v>
      </c>
    </row>
    <row r="792" spans="4:16" x14ac:dyDescent="0.25">
      <c r="D792" t="s">
        <v>1816</v>
      </c>
      <c r="E792" t="s">
        <v>135</v>
      </c>
      <c r="F792" t="s">
        <v>379</v>
      </c>
      <c r="G792" t="s">
        <v>1817</v>
      </c>
      <c r="H792" t="s">
        <v>1218</v>
      </c>
      <c r="I792" s="13">
        <v>42886</v>
      </c>
      <c r="J792">
        <v>6</v>
      </c>
      <c r="K792" t="s">
        <v>177</v>
      </c>
      <c r="L792" t="s">
        <v>139</v>
      </c>
      <c r="M792" t="s">
        <v>268</v>
      </c>
      <c r="N792" t="s">
        <v>1818</v>
      </c>
      <c r="O792">
        <v>1</v>
      </c>
      <c r="P792">
        <v>6.27</v>
      </c>
    </row>
    <row r="793" spans="4:16" x14ac:dyDescent="0.25">
      <c r="D793" t="s">
        <v>1819</v>
      </c>
      <c r="E793" t="s">
        <v>135</v>
      </c>
      <c r="F793" t="s">
        <v>379</v>
      </c>
      <c r="G793" t="s">
        <v>379</v>
      </c>
      <c r="H793" t="s">
        <v>1218</v>
      </c>
      <c r="I793" s="13">
        <v>42886</v>
      </c>
      <c r="J793">
        <v>6</v>
      </c>
      <c r="K793" t="s">
        <v>177</v>
      </c>
      <c r="L793" t="s">
        <v>139</v>
      </c>
      <c r="M793" t="s">
        <v>268</v>
      </c>
      <c r="N793" t="s">
        <v>1820</v>
      </c>
      <c r="O793">
        <v>1</v>
      </c>
      <c r="P793">
        <v>6.27</v>
      </c>
    </row>
    <row r="794" spans="4:16" x14ac:dyDescent="0.25">
      <c r="D794" t="s">
        <v>1821</v>
      </c>
      <c r="E794" t="s">
        <v>135</v>
      </c>
      <c r="F794" t="s">
        <v>143</v>
      </c>
      <c r="G794" t="s">
        <v>319</v>
      </c>
      <c r="H794" t="s">
        <v>1218</v>
      </c>
      <c r="I794" s="13">
        <v>42901</v>
      </c>
      <c r="J794">
        <v>6</v>
      </c>
      <c r="K794" t="s">
        <v>177</v>
      </c>
      <c r="L794" t="s">
        <v>139</v>
      </c>
      <c r="M794" t="s">
        <v>743</v>
      </c>
      <c r="N794" t="s">
        <v>1822</v>
      </c>
      <c r="O794">
        <v>1</v>
      </c>
      <c r="P794">
        <v>6.23</v>
      </c>
    </row>
    <row r="795" spans="4:16" x14ac:dyDescent="0.25">
      <c r="D795" t="s">
        <v>1823</v>
      </c>
      <c r="E795" t="s">
        <v>135</v>
      </c>
      <c r="F795" t="s">
        <v>149</v>
      </c>
      <c r="G795" t="s">
        <v>150</v>
      </c>
      <c r="H795" t="s">
        <v>1218</v>
      </c>
      <c r="I795" s="13">
        <v>42912</v>
      </c>
      <c r="J795">
        <v>6</v>
      </c>
      <c r="K795" t="s">
        <v>177</v>
      </c>
      <c r="L795" t="s">
        <v>139</v>
      </c>
      <c r="M795" t="s">
        <v>316</v>
      </c>
      <c r="N795" t="s">
        <v>1824</v>
      </c>
      <c r="O795">
        <v>1</v>
      </c>
      <c r="P795">
        <v>6.2</v>
      </c>
    </row>
    <row r="796" spans="4:16" x14ac:dyDescent="0.25">
      <c r="D796" t="s">
        <v>1825</v>
      </c>
      <c r="E796" t="s">
        <v>135</v>
      </c>
      <c r="F796" t="s">
        <v>149</v>
      </c>
      <c r="G796" t="s">
        <v>150</v>
      </c>
      <c r="H796" t="s">
        <v>1218</v>
      </c>
      <c r="I796" s="13">
        <v>42912</v>
      </c>
      <c r="J796">
        <v>6</v>
      </c>
      <c r="K796" t="s">
        <v>177</v>
      </c>
      <c r="L796" t="s">
        <v>139</v>
      </c>
      <c r="M796" t="s">
        <v>316</v>
      </c>
      <c r="N796" t="s">
        <v>1826</v>
      </c>
      <c r="O796">
        <v>1</v>
      </c>
      <c r="P796">
        <v>6.2</v>
      </c>
    </row>
    <row r="797" spans="4:16" x14ac:dyDescent="0.25">
      <c r="D797" t="s">
        <v>1827</v>
      </c>
      <c r="E797" t="s">
        <v>135</v>
      </c>
      <c r="F797" t="s">
        <v>149</v>
      </c>
      <c r="G797" t="s">
        <v>150</v>
      </c>
      <c r="H797" t="s">
        <v>1218</v>
      </c>
      <c r="I797" s="13">
        <v>42912</v>
      </c>
      <c r="J797">
        <v>6</v>
      </c>
      <c r="K797" t="s">
        <v>177</v>
      </c>
      <c r="L797" t="s">
        <v>139</v>
      </c>
      <c r="M797" t="s">
        <v>316</v>
      </c>
      <c r="N797" t="s">
        <v>1828</v>
      </c>
      <c r="O797">
        <v>1</v>
      </c>
      <c r="P797">
        <v>6.2</v>
      </c>
    </row>
    <row r="798" spans="4:16" x14ac:dyDescent="0.25">
      <c r="D798" t="s">
        <v>1829</v>
      </c>
      <c r="E798" t="s">
        <v>135</v>
      </c>
      <c r="F798" t="s">
        <v>143</v>
      </c>
      <c r="G798" t="s">
        <v>319</v>
      </c>
      <c r="H798" t="s">
        <v>1218</v>
      </c>
      <c r="I798" s="13">
        <v>42923</v>
      </c>
      <c r="J798">
        <v>6</v>
      </c>
      <c r="K798" t="s">
        <v>177</v>
      </c>
      <c r="L798" t="s">
        <v>139</v>
      </c>
      <c r="M798" t="s">
        <v>320</v>
      </c>
      <c r="N798" t="s">
        <v>1830</v>
      </c>
      <c r="O798">
        <v>1</v>
      </c>
      <c r="P798">
        <v>6.17</v>
      </c>
    </row>
    <row r="799" spans="4:16" x14ac:dyDescent="0.25">
      <c r="D799" t="s">
        <v>1831</v>
      </c>
      <c r="E799" t="s">
        <v>135</v>
      </c>
      <c r="F799" t="s">
        <v>143</v>
      </c>
      <c r="G799" t="s">
        <v>611</v>
      </c>
      <c r="H799" t="s">
        <v>1218</v>
      </c>
      <c r="I799" s="13">
        <v>42923</v>
      </c>
      <c r="J799">
        <v>6</v>
      </c>
      <c r="K799" t="s">
        <v>177</v>
      </c>
      <c r="L799" t="s">
        <v>139</v>
      </c>
      <c r="M799" t="s">
        <v>596</v>
      </c>
      <c r="N799" t="s">
        <v>1832</v>
      </c>
      <c r="O799">
        <v>1</v>
      </c>
      <c r="P799">
        <v>6.17</v>
      </c>
    </row>
    <row r="800" spans="4:16" x14ac:dyDescent="0.25">
      <c r="D800" t="s">
        <v>1831</v>
      </c>
      <c r="E800" t="s">
        <v>135</v>
      </c>
      <c r="F800" t="s">
        <v>143</v>
      </c>
      <c r="G800" t="s">
        <v>611</v>
      </c>
      <c r="H800" t="s">
        <v>1218</v>
      </c>
      <c r="I800" s="13">
        <v>42923</v>
      </c>
      <c r="J800">
        <v>6</v>
      </c>
      <c r="K800" t="s">
        <v>177</v>
      </c>
      <c r="L800" t="s">
        <v>139</v>
      </c>
      <c r="M800" t="s">
        <v>596</v>
      </c>
      <c r="N800" t="s">
        <v>1832</v>
      </c>
      <c r="O800">
        <v>1</v>
      </c>
      <c r="P800">
        <v>6.17</v>
      </c>
    </row>
    <row r="801" spans="4:16" x14ac:dyDescent="0.25">
      <c r="D801" t="s">
        <v>1833</v>
      </c>
      <c r="E801" t="s">
        <v>135</v>
      </c>
      <c r="F801" t="s">
        <v>667</v>
      </c>
      <c r="G801" t="s">
        <v>1834</v>
      </c>
      <c r="H801" t="s">
        <v>1218</v>
      </c>
      <c r="I801" s="13">
        <v>42926</v>
      </c>
      <c r="J801">
        <v>6</v>
      </c>
      <c r="K801" t="s">
        <v>177</v>
      </c>
      <c r="L801" t="s">
        <v>139</v>
      </c>
      <c r="M801" t="s">
        <v>264</v>
      </c>
      <c r="N801" t="s">
        <v>1835</v>
      </c>
      <c r="O801">
        <v>1</v>
      </c>
      <c r="P801">
        <v>6.16</v>
      </c>
    </row>
    <row r="802" spans="4:16" x14ac:dyDescent="0.25">
      <c r="D802" t="s">
        <v>1836</v>
      </c>
      <c r="E802" t="s">
        <v>135</v>
      </c>
      <c r="F802" t="s">
        <v>667</v>
      </c>
      <c r="G802" t="s">
        <v>1834</v>
      </c>
      <c r="H802" t="s">
        <v>1218</v>
      </c>
      <c r="I802" s="13">
        <v>42926</v>
      </c>
      <c r="J802">
        <v>6</v>
      </c>
      <c r="K802" t="s">
        <v>177</v>
      </c>
      <c r="L802" t="s">
        <v>139</v>
      </c>
      <c r="M802" t="s">
        <v>264</v>
      </c>
      <c r="N802" t="s">
        <v>1837</v>
      </c>
      <c r="O802">
        <v>1</v>
      </c>
      <c r="P802">
        <v>6.16</v>
      </c>
    </row>
    <row r="803" spans="4:16" x14ac:dyDescent="0.25">
      <c r="D803" t="s">
        <v>1838</v>
      </c>
      <c r="E803" t="s">
        <v>135</v>
      </c>
      <c r="F803" t="s">
        <v>1679</v>
      </c>
      <c r="G803" t="s">
        <v>1679</v>
      </c>
      <c r="H803" t="s">
        <v>1218</v>
      </c>
      <c r="I803" s="13">
        <v>42930</v>
      </c>
      <c r="J803">
        <v>6</v>
      </c>
      <c r="K803" t="s">
        <v>177</v>
      </c>
      <c r="L803" t="s">
        <v>139</v>
      </c>
      <c r="M803" t="s">
        <v>945</v>
      </c>
      <c r="N803" t="s">
        <v>1839</v>
      </c>
      <c r="O803">
        <v>1</v>
      </c>
      <c r="P803">
        <v>6.15</v>
      </c>
    </row>
    <row r="804" spans="4:16" x14ac:dyDescent="0.25">
      <c r="D804" t="s">
        <v>1840</v>
      </c>
      <c r="E804" t="s">
        <v>135</v>
      </c>
      <c r="F804" t="s">
        <v>143</v>
      </c>
      <c r="G804" t="s">
        <v>144</v>
      </c>
      <c r="H804" t="s">
        <v>1218</v>
      </c>
      <c r="I804" s="13">
        <v>42929</v>
      </c>
      <c r="J804">
        <v>6</v>
      </c>
      <c r="K804" t="s">
        <v>177</v>
      </c>
      <c r="L804" t="s">
        <v>139</v>
      </c>
      <c r="M804" t="s">
        <v>805</v>
      </c>
      <c r="N804" t="s">
        <v>1841</v>
      </c>
      <c r="O804">
        <v>1</v>
      </c>
      <c r="P804">
        <v>6.15</v>
      </c>
    </row>
    <row r="805" spans="4:16" x14ac:dyDescent="0.25">
      <c r="D805" t="s">
        <v>1842</v>
      </c>
      <c r="E805" t="s">
        <v>135</v>
      </c>
      <c r="F805" t="s">
        <v>143</v>
      </c>
      <c r="G805" t="s">
        <v>144</v>
      </c>
      <c r="H805" t="s">
        <v>1218</v>
      </c>
      <c r="I805" s="13">
        <v>42929</v>
      </c>
      <c r="J805">
        <v>6</v>
      </c>
      <c r="K805" t="s">
        <v>177</v>
      </c>
      <c r="L805" t="s">
        <v>139</v>
      </c>
      <c r="M805" t="s">
        <v>805</v>
      </c>
      <c r="N805" t="s">
        <v>1843</v>
      </c>
      <c r="O805">
        <v>1</v>
      </c>
      <c r="P805">
        <v>6.15</v>
      </c>
    </row>
    <row r="806" spans="4:16" x14ac:dyDescent="0.25">
      <c r="D806" t="s">
        <v>1844</v>
      </c>
      <c r="E806" t="s">
        <v>135</v>
      </c>
      <c r="F806" t="s">
        <v>379</v>
      </c>
      <c r="G806" t="s">
        <v>144</v>
      </c>
      <c r="H806" t="s">
        <v>1218</v>
      </c>
      <c r="I806" s="13">
        <v>42934</v>
      </c>
      <c r="J806">
        <v>6</v>
      </c>
      <c r="K806" t="s">
        <v>177</v>
      </c>
      <c r="L806" t="s">
        <v>139</v>
      </c>
      <c r="M806" t="s">
        <v>647</v>
      </c>
      <c r="N806" t="s">
        <v>1845</v>
      </c>
      <c r="O806">
        <v>1</v>
      </c>
      <c r="P806">
        <v>6.14</v>
      </c>
    </row>
    <row r="807" spans="4:16" x14ac:dyDescent="0.25">
      <c r="D807" t="s">
        <v>1846</v>
      </c>
      <c r="E807" t="s">
        <v>135</v>
      </c>
      <c r="F807" t="s">
        <v>149</v>
      </c>
      <c r="G807" t="s">
        <v>150</v>
      </c>
      <c r="H807" t="s">
        <v>1218</v>
      </c>
      <c r="I807" s="13">
        <v>42965</v>
      </c>
      <c r="J807">
        <v>6</v>
      </c>
      <c r="K807" t="s">
        <v>177</v>
      </c>
      <c r="L807" t="s">
        <v>139</v>
      </c>
      <c r="M807" t="s">
        <v>316</v>
      </c>
      <c r="N807" t="s">
        <v>1847</v>
      </c>
      <c r="O807">
        <v>1</v>
      </c>
      <c r="P807">
        <v>6.06</v>
      </c>
    </row>
    <row r="808" spans="4:16" x14ac:dyDescent="0.25">
      <c r="D808" t="s">
        <v>1848</v>
      </c>
      <c r="E808" t="s">
        <v>135</v>
      </c>
      <c r="F808" t="s">
        <v>149</v>
      </c>
      <c r="G808" t="s">
        <v>150</v>
      </c>
      <c r="H808" t="s">
        <v>1218</v>
      </c>
      <c r="I808" s="13">
        <v>42965</v>
      </c>
      <c r="J808">
        <v>6</v>
      </c>
      <c r="K808" t="s">
        <v>177</v>
      </c>
      <c r="L808" t="s">
        <v>139</v>
      </c>
      <c r="M808" t="s">
        <v>316</v>
      </c>
      <c r="N808" t="s">
        <v>1849</v>
      </c>
      <c r="O808">
        <v>1</v>
      </c>
      <c r="P808">
        <v>6.06</v>
      </c>
    </row>
    <row r="809" spans="4:16" hidden="1" x14ac:dyDescent="0.25">
      <c r="D809" t="s">
        <v>905</v>
      </c>
      <c r="E809" t="s">
        <v>135</v>
      </c>
      <c r="F809" t="s">
        <v>1850</v>
      </c>
      <c r="G809" t="s">
        <v>1851</v>
      </c>
      <c r="H809" t="s">
        <v>3641</v>
      </c>
      <c r="I809" s="13">
        <v>42969</v>
      </c>
      <c r="J809">
        <v>6</v>
      </c>
      <c r="K809" t="s">
        <v>157</v>
      </c>
      <c r="L809" t="s">
        <v>906</v>
      </c>
      <c r="M809" t="s">
        <v>398</v>
      </c>
      <c r="N809" t="s">
        <v>1852</v>
      </c>
      <c r="O809">
        <v>1</v>
      </c>
      <c r="P809">
        <v>6.04</v>
      </c>
    </row>
    <row r="810" spans="4:16" hidden="1" x14ac:dyDescent="0.25">
      <c r="D810" t="s">
        <v>1853</v>
      </c>
      <c r="E810" t="s">
        <v>135</v>
      </c>
      <c r="F810" t="s">
        <v>1850</v>
      </c>
      <c r="G810" t="s">
        <v>1851</v>
      </c>
      <c r="H810" t="s">
        <v>3641</v>
      </c>
      <c r="I810" s="13">
        <v>42969</v>
      </c>
      <c r="J810">
        <v>6</v>
      </c>
      <c r="K810" t="s">
        <v>157</v>
      </c>
      <c r="L810" t="s">
        <v>977</v>
      </c>
      <c r="M810" t="s">
        <v>398</v>
      </c>
      <c r="N810" t="s">
        <v>1852</v>
      </c>
      <c r="O810">
        <v>1</v>
      </c>
      <c r="P810">
        <v>6.04</v>
      </c>
    </row>
    <row r="811" spans="4:16" x14ac:dyDescent="0.25">
      <c r="D811" t="s">
        <v>1854</v>
      </c>
      <c r="E811" t="s">
        <v>135</v>
      </c>
      <c r="F811" t="s">
        <v>149</v>
      </c>
      <c r="G811" t="s">
        <v>150</v>
      </c>
      <c r="H811" t="s">
        <v>1218</v>
      </c>
      <c r="I811" s="13">
        <v>42975</v>
      </c>
      <c r="J811">
        <v>6</v>
      </c>
      <c r="K811" t="s">
        <v>177</v>
      </c>
      <c r="L811" t="s">
        <v>139</v>
      </c>
      <c r="M811" t="s">
        <v>1361</v>
      </c>
      <c r="N811" t="s">
        <v>1855</v>
      </c>
      <c r="O811">
        <v>1</v>
      </c>
      <c r="P811">
        <v>6.03</v>
      </c>
    </row>
    <row r="812" spans="4:16" x14ac:dyDescent="0.25">
      <c r="D812" t="s">
        <v>1856</v>
      </c>
      <c r="E812" t="s">
        <v>135</v>
      </c>
      <c r="F812" t="s">
        <v>143</v>
      </c>
      <c r="G812" t="s">
        <v>144</v>
      </c>
      <c r="H812" t="s">
        <v>1218</v>
      </c>
      <c r="I812" s="13">
        <v>42983</v>
      </c>
      <c r="J812">
        <v>6</v>
      </c>
      <c r="K812" t="s">
        <v>177</v>
      </c>
      <c r="L812" t="s">
        <v>139</v>
      </c>
      <c r="M812" t="s">
        <v>805</v>
      </c>
      <c r="N812" t="s">
        <v>1857</v>
      </c>
      <c r="O812">
        <v>1</v>
      </c>
      <c r="P812">
        <v>6.01</v>
      </c>
    </row>
    <row r="813" spans="4:16" x14ac:dyDescent="0.25">
      <c r="D813" t="s">
        <v>1858</v>
      </c>
      <c r="E813" t="s">
        <v>135</v>
      </c>
      <c r="F813" t="s">
        <v>143</v>
      </c>
      <c r="G813" t="s">
        <v>144</v>
      </c>
      <c r="H813" t="s">
        <v>1218</v>
      </c>
      <c r="I813" s="13">
        <v>42983</v>
      </c>
      <c r="J813">
        <v>6</v>
      </c>
      <c r="K813" t="s">
        <v>177</v>
      </c>
      <c r="L813" t="s">
        <v>139</v>
      </c>
      <c r="M813" t="s">
        <v>805</v>
      </c>
      <c r="N813" t="s">
        <v>1859</v>
      </c>
      <c r="O813">
        <v>1</v>
      </c>
      <c r="P813">
        <v>6.01</v>
      </c>
    </row>
    <row r="814" spans="4:16" x14ac:dyDescent="0.25">
      <c r="D814" t="s">
        <v>1860</v>
      </c>
      <c r="E814" t="s">
        <v>135</v>
      </c>
      <c r="F814" t="s">
        <v>667</v>
      </c>
      <c r="G814" t="s">
        <v>1834</v>
      </c>
      <c r="H814" t="s">
        <v>1218</v>
      </c>
      <c r="I814" s="13">
        <v>42982</v>
      </c>
      <c r="J814">
        <v>6</v>
      </c>
      <c r="K814" t="s">
        <v>177</v>
      </c>
      <c r="L814" t="s">
        <v>139</v>
      </c>
      <c r="M814" t="s">
        <v>264</v>
      </c>
      <c r="N814" t="s">
        <v>1861</v>
      </c>
      <c r="O814">
        <v>1</v>
      </c>
      <c r="P814">
        <v>6.01</v>
      </c>
    </row>
    <row r="815" spans="4:16" x14ac:dyDescent="0.25">
      <c r="D815" t="s">
        <v>1862</v>
      </c>
      <c r="E815" t="s">
        <v>135</v>
      </c>
      <c r="F815" t="s">
        <v>667</v>
      </c>
      <c r="G815" t="s">
        <v>1834</v>
      </c>
      <c r="H815" t="s">
        <v>1218</v>
      </c>
      <c r="I815" s="13">
        <v>42982</v>
      </c>
      <c r="J815">
        <v>6</v>
      </c>
      <c r="K815" t="s">
        <v>177</v>
      </c>
      <c r="L815" t="s">
        <v>139</v>
      </c>
      <c r="M815" t="s">
        <v>264</v>
      </c>
      <c r="N815" t="s">
        <v>1863</v>
      </c>
      <c r="O815">
        <v>1</v>
      </c>
      <c r="P815">
        <v>6.01</v>
      </c>
    </row>
    <row r="816" spans="4:16" x14ac:dyDescent="0.25">
      <c r="D816" t="s">
        <v>1864</v>
      </c>
      <c r="E816" t="s">
        <v>135</v>
      </c>
      <c r="F816" t="s">
        <v>143</v>
      </c>
      <c r="G816" t="s">
        <v>144</v>
      </c>
      <c r="H816" t="s">
        <v>1218</v>
      </c>
      <c r="I816" s="13">
        <v>43004</v>
      </c>
      <c r="J816">
        <v>6</v>
      </c>
      <c r="K816" t="s">
        <v>177</v>
      </c>
      <c r="L816" t="s">
        <v>139</v>
      </c>
      <c r="M816" t="s">
        <v>712</v>
      </c>
      <c r="N816" t="s">
        <v>1865</v>
      </c>
      <c r="O816">
        <v>1</v>
      </c>
      <c r="P816">
        <v>5.95</v>
      </c>
    </row>
    <row r="817" spans="4:16" x14ac:dyDescent="0.25">
      <c r="D817" t="s">
        <v>1866</v>
      </c>
      <c r="E817" t="s">
        <v>135</v>
      </c>
      <c r="F817" t="s">
        <v>667</v>
      </c>
      <c r="G817" t="s">
        <v>1834</v>
      </c>
      <c r="H817" t="s">
        <v>1218</v>
      </c>
      <c r="I817" s="13">
        <v>43007</v>
      </c>
      <c r="J817">
        <v>6</v>
      </c>
      <c r="K817" t="s">
        <v>177</v>
      </c>
      <c r="L817" t="s">
        <v>139</v>
      </c>
      <c r="M817" t="s">
        <v>743</v>
      </c>
      <c r="N817" t="s">
        <v>1867</v>
      </c>
      <c r="O817">
        <v>1</v>
      </c>
      <c r="P817">
        <v>5.94</v>
      </c>
    </row>
    <row r="818" spans="4:16" x14ac:dyDescent="0.25">
      <c r="D818" t="s">
        <v>1868</v>
      </c>
      <c r="E818" t="s">
        <v>135</v>
      </c>
      <c r="F818" t="s">
        <v>667</v>
      </c>
      <c r="G818" t="s">
        <v>1834</v>
      </c>
      <c r="H818" t="s">
        <v>1218</v>
      </c>
      <c r="I818" s="13">
        <v>43007</v>
      </c>
      <c r="J818">
        <v>6</v>
      </c>
      <c r="K818" t="s">
        <v>177</v>
      </c>
      <c r="L818" t="s">
        <v>139</v>
      </c>
      <c r="M818" t="s">
        <v>743</v>
      </c>
      <c r="N818" t="s">
        <v>1869</v>
      </c>
      <c r="O818">
        <v>1</v>
      </c>
      <c r="P818">
        <v>5.94</v>
      </c>
    </row>
    <row r="819" spans="4:16" x14ac:dyDescent="0.25">
      <c r="D819" t="s">
        <v>1870</v>
      </c>
      <c r="E819" t="s">
        <v>135</v>
      </c>
      <c r="F819" t="s">
        <v>667</v>
      </c>
      <c r="G819" t="s">
        <v>1834</v>
      </c>
      <c r="H819" t="s">
        <v>1218</v>
      </c>
      <c r="I819" s="13">
        <v>43007</v>
      </c>
      <c r="J819">
        <v>6</v>
      </c>
      <c r="K819" t="s">
        <v>177</v>
      </c>
      <c r="L819" t="s">
        <v>139</v>
      </c>
      <c r="M819" t="s">
        <v>200</v>
      </c>
      <c r="N819" t="s">
        <v>1871</v>
      </c>
      <c r="O819">
        <v>1</v>
      </c>
      <c r="P819">
        <v>5.94</v>
      </c>
    </row>
    <row r="820" spans="4:16" x14ac:dyDescent="0.25">
      <c r="D820" t="s">
        <v>1872</v>
      </c>
      <c r="E820" t="s">
        <v>135</v>
      </c>
      <c r="F820" t="s">
        <v>143</v>
      </c>
      <c r="G820" t="s">
        <v>144</v>
      </c>
      <c r="H820" t="s">
        <v>1218</v>
      </c>
      <c r="I820" s="13">
        <v>43011</v>
      </c>
      <c r="J820">
        <v>6</v>
      </c>
      <c r="K820" t="s">
        <v>177</v>
      </c>
      <c r="L820" t="s">
        <v>139</v>
      </c>
      <c r="M820" t="s">
        <v>320</v>
      </c>
      <c r="N820" t="s">
        <v>1873</v>
      </c>
      <c r="O820">
        <v>1</v>
      </c>
      <c r="P820">
        <v>5.93</v>
      </c>
    </row>
    <row r="821" spans="4:16" x14ac:dyDescent="0.25">
      <c r="D821" t="s">
        <v>1874</v>
      </c>
      <c r="E821" t="s">
        <v>135</v>
      </c>
      <c r="F821" t="s">
        <v>143</v>
      </c>
      <c r="G821" t="s">
        <v>144</v>
      </c>
      <c r="H821" t="s">
        <v>1218</v>
      </c>
      <c r="I821" s="13">
        <v>43011</v>
      </c>
      <c r="J821">
        <v>6</v>
      </c>
      <c r="K821" t="s">
        <v>177</v>
      </c>
      <c r="L821" t="s">
        <v>139</v>
      </c>
      <c r="M821" t="s">
        <v>320</v>
      </c>
      <c r="N821" t="s">
        <v>1875</v>
      </c>
      <c r="O821">
        <v>1</v>
      </c>
      <c r="P821">
        <v>5.93</v>
      </c>
    </row>
    <row r="822" spans="4:16" x14ac:dyDescent="0.25">
      <c r="D822" t="s">
        <v>1876</v>
      </c>
      <c r="E822" t="s">
        <v>135</v>
      </c>
      <c r="F822" t="s">
        <v>143</v>
      </c>
      <c r="G822" t="s">
        <v>611</v>
      </c>
      <c r="H822" t="s">
        <v>1218</v>
      </c>
      <c r="I822" s="13">
        <v>43012</v>
      </c>
      <c r="J822">
        <v>6</v>
      </c>
      <c r="K822" t="s">
        <v>177</v>
      </c>
      <c r="L822" t="s">
        <v>139</v>
      </c>
      <c r="M822" t="s">
        <v>596</v>
      </c>
      <c r="N822" t="s">
        <v>1877</v>
      </c>
      <c r="O822">
        <v>1</v>
      </c>
      <c r="P822">
        <v>5.93</v>
      </c>
    </row>
    <row r="823" spans="4:16" x14ac:dyDescent="0.25">
      <c r="D823" t="s">
        <v>1876</v>
      </c>
      <c r="E823" t="s">
        <v>135</v>
      </c>
      <c r="F823" t="s">
        <v>143</v>
      </c>
      <c r="G823" t="s">
        <v>611</v>
      </c>
      <c r="H823" t="s">
        <v>1218</v>
      </c>
      <c r="I823" s="13">
        <v>43012</v>
      </c>
      <c r="J823">
        <v>6</v>
      </c>
      <c r="K823" t="s">
        <v>177</v>
      </c>
      <c r="L823" t="s">
        <v>139</v>
      </c>
      <c r="M823" t="s">
        <v>596</v>
      </c>
      <c r="N823" t="s">
        <v>1877</v>
      </c>
      <c r="O823">
        <v>1</v>
      </c>
      <c r="P823">
        <v>5.93</v>
      </c>
    </row>
    <row r="824" spans="4:16" x14ac:dyDescent="0.25">
      <c r="D824" t="s">
        <v>1878</v>
      </c>
      <c r="E824" t="s">
        <v>135</v>
      </c>
      <c r="F824" t="s">
        <v>149</v>
      </c>
      <c r="G824" t="s">
        <v>150</v>
      </c>
      <c r="H824" t="s">
        <v>1218</v>
      </c>
      <c r="I824" s="13">
        <v>43013</v>
      </c>
      <c r="J824">
        <v>6</v>
      </c>
      <c r="K824" t="s">
        <v>177</v>
      </c>
      <c r="L824" t="s">
        <v>139</v>
      </c>
      <c r="M824" t="s">
        <v>965</v>
      </c>
      <c r="N824" t="s">
        <v>1879</v>
      </c>
      <c r="O824">
        <v>1</v>
      </c>
      <c r="P824">
        <v>5.92</v>
      </c>
    </row>
    <row r="825" spans="4:16" x14ac:dyDescent="0.25">
      <c r="D825" t="s">
        <v>1880</v>
      </c>
      <c r="E825" t="s">
        <v>135</v>
      </c>
      <c r="F825" t="s">
        <v>1679</v>
      </c>
      <c r="G825" t="s">
        <v>1679</v>
      </c>
      <c r="H825" t="s">
        <v>1218</v>
      </c>
      <c r="I825" s="13">
        <v>43017</v>
      </c>
      <c r="J825">
        <v>6</v>
      </c>
      <c r="K825" t="s">
        <v>177</v>
      </c>
      <c r="L825" t="s">
        <v>139</v>
      </c>
      <c r="M825" t="s">
        <v>1034</v>
      </c>
      <c r="N825" t="s">
        <v>1881</v>
      </c>
      <c r="O825">
        <v>1</v>
      </c>
      <c r="P825">
        <v>5.91</v>
      </c>
    </row>
    <row r="826" spans="4:16" x14ac:dyDescent="0.25">
      <c r="D826" t="s">
        <v>1882</v>
      </c>
      <c r="E826" t="s">
        <v>135</v>
      </c>
      <c r="F826" t="s">
        <v>1679</v>
      </c>
      <c r="G826" t="s">
        <v>1883</v>
      </c>
      <c r="H826" t="s">
        <v>1218</v>
      </c>
      <c r="I826" s="13">
        <v>43017</v>
      </c>
      <c r="J826">
        <v>6</v>
      </c>
      <c r="K826" t="s">
        <v>177</v>
      </c>
      <c r="L826" t="s">
        <v>139</v>
      </c>
      <c r="M826" t="s">
        <v>468</v>
      </c>
      <c r="N826" t="s">
        <v>1884</v>
      </c>
      <c r="O826">
        <v>1</v>
      </c>
      <c r="P826">
        <v>5.91</v>
      </c>
    </row>
    <row r="827" spans="4:16" x14ac:dyDescent="0.25">
      <c r="D827" t="s">
        <v>1885</v>
      </c>
      <c r="E827" t="s">
        <v>135</v>
      </c>
      <c r="F827" t="s">
        <v>379</v>
      </c>
      <c r="G827" t="s">
        <v>1886</v>
      </c>
      <c r="H827" t="s">
        <v>1218</v>
      </c>
      <c r="I827" s="13">
        <v>43047</v>
      </c>
      <c r="J827">
        <v>6</v>
      </c>
      <c r="K827" t="s">
        <v>177</v>
      </c>
      <c r="L827" t="s">
        <v>139</v>
      </c>
      <c r="M827" t="s">
        <v>712</v>
      </c>
      <c r="N827" t="s">
        <v>1887</v>
      </c>
      <c r="O827">
        <v>1</v>
      </c>
      <c r="P827">
        <v>5.83</v>
      </c>
    </row>
    <row r="828" spans="4:16" x14ac:dyDescent="0.25">
      <c r="D828" t="s">
        <v>1888</v>
      </c>
      <c r="E828" t="s">
        <v>135</v>
      </c>
      <c r="F828" t="s">
        <v>1273</v>
      </c>
      <c r="G828" t="s">
        <v>1886</v>
      </c>
      <c r="H828" t="s">
        <v>1218</v>
      </c>
      <c r="I828" s="13">
        <v>43047</v>
      </c>
      <c r="J828">
        <v>6</v>
      </c>
      <c r="K828" t="s">
        <v>177</v>
      </c>
      <c r="L828" t="s">
        <v>139</v>
      </c>
      <c r="M828" t="s">
        <v>712</v>
      </c>
      <c r="N828" t="s">
        <v>1889</v>
      </c>
      <c r="O828">
        <v>1</v>
      </c>
      <c r="P828">
        <v>5.83</v>
      </c>
    </row>
    <row r="829" spans="4:16" x14ac:dyDescent="0.25">
      <c r="D829" t="s">
        <v>1890</v>
      </c>
      <c r="E829" t="s">
        <v>135</v>
      </c>
      <c r="F829" t="s">
        <v>667</v>
      </c>
      <c r="G829" t="s">
        <v>1834</v>
      </c>
      <c r="H829" t="s">
        <v>1218</v>
      </c>
      <c r="I829" s="13">
        <v>43053</v>
      </c>
      <c r="J829">
        <v>6</v>
      </c>
      <c r="K829" t="s">
        <v>177</v>
      </c>
      <c r="L829" t="s">
        <v>139</v>
      </c>
      <c r="M829" t="s">
        <v>743</v>
      </c>
      <c r="N829" t="s">
        <v>1891</v>
      </c>
      <c r="O829">
        <v>1</v>
      </c>
      <c r="P829">
        <v>5.81</v>
      </c>
    </row>
    <row r="830" spans="4:16" x14ac:dyDescent="0.25">
      <c r="D830" t="s">
        <v>1892</v>
      </c>
      <c r="E830" t="s">
        <v>135</v>
      </c>
      <c r="F830" t="s">
        <v>667</v>
      </c>
      <c r="G830" t="s">
        <v>1834</v>
      </c>
      <c r="H830" t="s">
        <v>1218</v>
      </c>
      <c r="I830" s="13">
        <v>43053</v>
      </c>
      <c r="J830">
        <v>6</v>
      </c>
      <c r="K830" t="s">
        <v>177</v>
      </c>
      <c r="L830" t="s">
        <v>139</v>
      </c>
      <c r="M830" t="s">
        <v>743</v>
      </c>
      <c r="N830" t="s">
        <v>1893</v>
      </c>
      <c r="O830">
        <v>1</v>
      </c>
      <c r="P830">
        <v>5.81</v>
      </c>
    </row>
    <row r="831" spans="4:16" x14ac:dyDescent="0.25">
      <c r="D831" t="s">
        <v>1894</v>
      </c>
      <c r="E831" t="s">
        <v>135</v>
      </c>
      <c r="F831" t="s">
        <v>667</v>
      </c>
      <c r="G831" t="s">
        <v>1834</v>
      </c>
      <c r="H831" t="s">
        <v>1218</v>
      </c>
      <c r="I831" s="13">
        <v>43053</v>
      </c>
      <c r="J831">
        <v>6</v>
      </c>
      <c r="K831" t="s">
        <v>177</v>
      </c>
      <c r="L831" t="s">
        <v>139</v>
      </c>
      <c r="M831" t="s">
        <v>200</v>
      </c>
      <c r="N831" t="s">
        <v>1895</v>
      </c>
      <c r="O831">
        <v>1</v>
      </c>
      <c r="P831">
        <v>5.81</v>
      </c>
    </row>
    <row r="832" spans="4:16" x14ac:dyDescent="0.25">
      <c r="D832" t="s">
        <v>1896</v>
      </c>
      <c r="E832" t="s">
        <v>135</v>
      </c>
      <c r="F832" t="s">
        <v>1759</v>
      </c>
      <c r="G832" t="s">
        <v>668</v>
      </c>
      <c r="H832" t="s">
        <v>1218</v>
      </c>
      <c r="I832" s="13">
        <v>43077</v>
      </c>
      <c r="J832">
        <v>6</v>
      </c>
      <c r="K832" t="s">
        <v>157</v>
      </c>
      <c r="L832" t="s">
        <v>977</v>
      </c>
      <c r="M832" t="s">
        <v>264</v>
      </c>
      <c r="N832" t="s">
        <v>1897</v>
      </c>
      <c r="O832">
        <v>1</v>
      </c>
      <c r="P832">
        <v>5.75</v>
      </c>
    </row>
    <row r="833" spans="4:16" x14ac:dyDescent="0.25">
      <c r="D833" t="s">
        <v>1898</v>
      </c>
      <c r="E833" t="s">
        <v>135</v>
      </c>
      <c r="F833" t="s">
        <v>1679</v>
      </c>
      <c r="G833" t="s">
        <v>1899</v>
      </c>
      <c r="H833" t="s">
        <v>1218</v>
      </c>
      <c r="I833" s="13">
        <v>43080</v>
      </c>
      <c r="J833">
        <v>6</v>
      </c>
      <c r="K833" t="s">
        <v>177</v>
      </c>
      <c r="L833" t="s">
        <v>139</v>
      </c>
      <c r="M833" t="s">
        <v>1027</v>
      </c>
      <c r="N833" t="s">
        <v>1900</v>
      </c>
      <c r="O833">
        <v>1</v>
      </c>
      <c r="P833">
        <v>5.74</v>
      </c>
    </row>
    <row r="834" spans="4:16" x14ac:dyDescent="0.25">
      <c r="D834" t="s">
        <v>1901</v>
      </c>
      <c r="E834" t="s">
        <v>135</v>
      </c>
      <c r="F834" t="s">
        <v>181</v>
      </c>
      <c r="G834" t="s">
        <v>1902</v>
      </c>
      <c r="H834" t="s">
        <v>1218</v>
      </c>
      <c r="I834" s="13">
        <v>43088</v>
      </c>
      <c r="J834">
        <v>6</v>
      </c>
      <c r="K834" t="s">
        <v>177</v>
      </c>
      <c r="L834" t="s">
        <v>139</v>
      </c>
      <c r="M834" t="s">
        <v>391</v>
      </c>
      <c r="N834" t="s">
        <v>1903</v>
      </c>
      <c r="O834">
        <v>1</v>
      </c>
      <c r="P834">
        <v>5.72</v>
      </c>
    </row>
    <row r="835" spans="4:16" x14ac:dyDescent="0.25">
      <c r="D835" t="s">
        <v>1904</v>
      </c>
      <c r="E835" t="s">
        <v>135</v>
      </c>
      <c r="F835" t="s">
        <v>181</v>
      </c>
      <c r="G835" t="s">
        <v>1905</v>
      </c>
      <c r="H835" t="s">
        <v>1218</v>
      </c>
      <c r="I835" s="13">
        <v>43090</v>
      </c>
      <c r="J835">
        <v>6</v>
      </c>
      <c r="K835" t="s">
        <v>177</v>
      </c>
      <c r="L835" t="s">
        <v>139</v>
      </c>
      <c r="M835" t="s">
        <v>178</v>
      </c>
      <c r="N835" t="s">
        <v>1906</v>
      </c>
      <c r="O835">
        <v>1</v>
      </c>
      <c r="P835">
        <v>5.71</v>
      </c>
    </row>
    <row r="836" spans="4:16" x14ac:dyDescent="0.25">
      <c r="D836" t="s">
        <v>1907</v>
      </c>
      <c r="E836" t="s">
        <v>135</v>
      </c>
      <c r="F836" t="s">
        <v>181</v>
      </c>
      <c r="G836" t="s">
        <v>1908</v>
      </c>
      <c r="H836" t="s">
        <v>1218</v>
      </c>
      <c r="I836" s="13">
        <v>43090</v>
      </c>
      <c r="J836">
        <v>6</v>
      </c>
      <c r="K836" t="s">
        <v>177</v>
      </c>
      <c r="L836" t="s">
        <v>139</v>
      </c>
      <c r="M836" t="s">
        <v>178</v>
      </c>
      <c r="N836" t="s">
        <v>1909</v>
      </c>
      <c r="O836">
        <v>1</v>
      </c>
      <c r="P836">
        <v>5.71</v>
      </c>
    </row>
    <row r="837" spans="4:16" x14ac:dyDescent="0.25">
      <c r="D837" t="s">
        <v>1910</v>
      </c>
      <c r="E837" t="s">
        <v>135</v>
      </c>
      <c r="F837" t="s">
        <v>1636</v>
      </c>
      <c r="G837" t="s">
        <v>1902</v>
      </c>
      <c r="H837" t="s">
        <v>1218</v>
      </c>
      <c r="I837" s="13">
        <v>43103</v>
      </c>
      <c r="J837">
        <v>6</v>
      </c>
      <c r="K837" t="s">
        <v>177</v>
      </c>
      <c r="L837" t="s">
        <v>139</v>
      </c>
      <c r="M837" t="s">
        <v>509</v>
      </c>
      <c r="N837" t="s">
        <v>1911</v>
      </c>
      <c r="O837">
        <v>1</v>
      </c>
      <c r="P837">
        <v>5.68</v>
      </c>
    </row>
    <row r="838" spans="4:16" x14ac:dyDescent="0.25">
      <c r="D838" t="s">
        <v>1912</v>
      </c>
      <c r="E838" t="s">
        <v>135</v>
      </c>
      <c r="F838" t="s">
        <v>1679</v>
      </c>
      <c r="G838" t="s">
        <v>1902</v>
      </c>
      <c r="H838" t="s">
        <v>1218</v>
      </c>
      <c r="I838" s="13">
        <v>43118</v>
      </c>
      <c r="J838">
        <v>6</v>
      </c>
      <c r="K838" t="s">
        <v>177</v>
      </c>
      <c r="L838" t="s">
        <v>139</v>
      </c>
      <c r="M838" t="s">
        <v>785</v>
      </c>
      <c r="N838" t="s">
        <v>1913</v>
      </c>
      <c r="O838">
        <v>1</v>
      </c>
      <c r="P838">
        <v>5.64</v>
      </c>
    </row>
    <row r="839" spans="4:16" x14ac:dyDescent="0.25">
      <c r="D839" t="s">
        <v>1914</v>
      </c>
      <c r="E839" t="s">
        <v>135</v>
      </c>
      <c r="F839" t="s">
        <v>1636</v>
      </c>
      <c r="G839" t="s">
        <v>1902</v>
      </c>
      <c r="H839" t="s">
        <v>1218</v>
      </c>
      <c r="I839" s="13">
        <v>43118</v>
      </c>
      <c r="J839">
        <v>6</v>
      </c>
      <c r="K839" t="s">
        <v>177</v>
      </c>
      <c r="L839" t="s">
        <v>139</v>
      </c>
      <c r="M839" t="s">
        <v>785</v>
      </c>
      <c r="N839" t="s">
        <v>1915</v>
      </c>
      <c r="O839">
        <v>1</v>
      </c>
      <c r="P839">
        <v>5.64</v>
      </c>
    </row>
    <row r="840" spans="4:16" x14ac:dyDescent="0.25">
      <c r="D840" t="s">
        <v>1916</v>
      </c>
      <c r="E840" t="s">
        <v>135</v>
      </c>
      <c r="F840" t="s">
        <v>379</v>
      </c>
      <c r="G840" t="s">
        <v>1917</v>
      </c>
      <c r="H840" t="s">
        <v>1218</v>
      </c>
      <c r="I840" s="13">
        <v>43126</v>
      </c>
      <c r="J840">
        <v>6</v>
      </c>
      <c r="K840" t="s">
        <v>177</v>
      </c>
      <c r="L840" t="s">
        <v>139</v>
      </c>
      <c r="M840" t="s">
        <v>140</v>
      </c>
      <c r="N840" t="s">
        <v>1918</v>
      </c>
      <c r="O840">
        <v>1</v>
      </c>
      <c r="P840">
        <v>5.61</v>
      </c>
    </row>
    <row r="841" spans="4:16" x14ac:dyDescent="0.25">
      <c r="D841" t="s">
        <v>1919</v>
      </c>
      <c r="E841" t="s">
        <v>135</v>
      </c>
      <c r="F841" t="s">
        <v>379</v>
      </c>
      <c r="G841" t="s">
        <v>1902</v>
      </c>
      <c r="H841" t="s">
        <v>1218</v>
      </c>
      <c r="I841" s="13">
        <v>43129</v>
      </c>
      <c r="J841">
        <v>6</v>
      </c>
      <c r="K841" t="s">
        <v>177</v>
      </c>
      <c r="L841" t="s">
        <v>139</v>
      </c>
      <c r="M841" t="s">
        <v>140</v>
      </c>
      <c r="N841" t="s">
        <v>1920</v>
      </c>
      <c r="O841">
        <v>1</v>
      </c>
      <c r="P841">
        <v>5.61</v>
      </c>
    </row>
    <row r="842" spans="4:16" x14ac:dyDescent="0.25">
      <c r="D842" t="s">
        <v>1921</v>
      </c>
      <c r="E842" t="s">
        <v>135</v>
      </c>
      <c r="F842" t="s">
        <v>379</v>
      </c>
      <c r="G842" t="s">
        <v>1902</v>
      </c>
      <c r="H842" t="s">
        <v>1218</v>
      </c>
      <c r="I842" s="13">
        <v>43126</v>
      </c>
      <c r="J842">
        <v>6</v>
      </c>
      <c r="K842" t="s">
        <v>177</v>
      </c>
      <c r="L842" t="s">
        <v>139</v>
      </c>
      <c r="M842" t="s">
        <v>222</v>
      </c>
      <c r="N842" t="s">
        <v>1922</v>
      </c>
      <c r="O842">
        <v>1</v>
      </c>
      <c r="P842">
        <v>5.61</v>
      </c>
    </row>
    <row r="843" spans="4:16" x14ac:dyDescent="0.25">
      <c r="D843" t="s">
        <v>1923</v>
      </c>
      <c r="E843" t="s">
        <v>135</v>
      </c>
      <c r="F843" t="s">
        <v>379</v>
      </c>
      <c r="G843" t="s">
        <v>1902</v>
      </c>
      <c r="H843" t="s">
        <v>1218</v>
      </c>
      <c r="I843" s="13">
        <v>43126</v>
      </c>
      <c r="J843">
        <v>6</v>
      </c>
      <c r="K843" t="s">
        <v>177</v>
      </c>
      <c r="L843" t="s">
        <v>139</v>
      </c>
      <c r="M843" t="s">
        <v>222</v>
      </c>
      <c r="N843" t="s">
        <v>1924</v>
      </c>
      <c r="O843">
        <v>1</v>
      </c>
      <c r="P843">
        <v>5.61</v>
      </c>
    </row>
    <row r="844" spans="4:16" x14ac:dyDescent="0.25">
      <c r="D844" t="s">
        <v>1925</v>
      </c>
      <c r="E844" t="s">
        <v>135</v>
      </c>
      <c r="F844" t="s">
        <v>379</v>
      </c>
      <c r="G844" t="s">
        <v>1902</v>
      </c>
      <c r="H844" t="s">
        <v>1218</v>
      </c>
      <c r="I844" s="13">
        <v>43129</v>
      </c>
      <c r="J844">
        <v>6</v>
      </c>
      <c r="K844" t="s">
        <v>177</v>
      </c>
      <c r="L844" t="s">
        <v>139</v>
      </c>
      <c r="M844" t="s">
        <v>240</v>
      </c>
      <c r="N844" t="s">
        <v>1926</v>
      </c>
      <c r="O844">
        <v>1</v>
      </c>
      <c r="P844">
        <v>5.61</v>
      </c>
    </row>
    <row r="845" spans="4:16" x14ac:dyDescent="0.25">
      <c r="D845" t="s">
        <v>1927</v>
      </c>
      <c r="E845" t="s">
        <v>135</v>
      </c>
      <c r="F845" t="s">
        <v>379</v>
      </c>
      <c r="G845" t="s">
        <v>1917</v>
      </c>
      <c r="H845" t="s">
        <v>1218</v>
      </c>
      <c r="I845" s="13">
        <v>43129</v>
      </c>
      <c r="J845">
        <v>6</v>
      </c>
      <c r="K845" t="s">
        <v>177</v>
      </c>
      <c r="L845" t="s">
        <v>139</v>
      </c>
      <c r="M845" t="s">
        <v>140</v>
      </c>
      <c r="N845" t="s">
        <v>1928</v>
      </c>
      <c r="O845">
        <v>1</v>
      </c>
      <c r="P845">
        <v>5.61</v>
      </c>
    </row>
    <row r="846" spans="4:16" x14ac:dyDescent="0.25">
      <c r="D846" t="s">
        <v>1929</v>
      </c>
      <c r="E846" t="s">
        <v>135</v>
      </c>
      <c r="F846" t="s">
        <v>379</v>
      </c>
      <c r="G846" t="s">
        <v>1902</v>
      </c>
      <c r="H846" t="s">
        <v>1218</v>
      </c>
      <c r="I846" s="13">
        <v>43126</v>
      </c>
      <c r="J846">
        <v>6</v>
      </c>
      <c r="K846" t="s">
        <v>177</v>
      </c>
      <c r="L846" t="s">
        <v>139</v>
      </c>
      <c r="M846" t="s">
        <v>227</v>
      </c>
      <c r="N846" t="s">
        <v>1930</v>
      </c>
      <c r="O846">
        <v>1</v>
      </c>
      <c r="P846">
        <v>5.61</v>
      </c>
    </row>
    <row r="847" spans="4:16" x14ac:dyDescent="0.25">
      <c r="D847" t="s">
        <v>1931</v>
      </c>
      <c r="E847" t="s">
        <v>135</v>
      </c>
      <c r="F847" t="s">
        <v>379</v>
      </c>
      <c r="G847" t="s">
        <v>1902</v>
      </c>
      <c r="H847" t="s">
        <v>1218</v>
      </c>
      <c r="I847" s="13">
        <v>43126</v>
      </c>
      <c r="J847">
        <v>6</v>
      </c>
      <c r="K847" t="s">
        <v>177</v>
      </c>
      <c r="L847" t="s">
        <v>139</v>
      </c>
      <c r="M847" t="s">
        <v>227</v>
      </c>
      <c r="N847" t="s">
        <v>1932</v>
      </c>
      <c r="O847">
        <v>1</v>
      </c>
      <c r="P847">
        <v>5.61</v>
      </c>
    </row>
    <row r="848" spans="4:16" x14ac:dyDescent="0.25">
      <c r="D848" t="s">
        <v>1933</v>
      </c>
      <c r="E848" t="s">
        <v>135</v>
      </c>
      <c r="F848" t="s">
        <v>379</v>
      </c>
      <c r="G848" t="s">
        <v>1917</v>
      </c>
      <c r="H848" t="s">
        <v>1218</v>
      </c>
      <c r="I848" s="13">
        <v>43126</v>
      </c>
      <c r="J848">
        <v>6</v>
      </c>
      <c r="K848" t="s">
        <v>177</v>
      </c>
      <c r="L848" t="s">
        <v>139</v>
      </c>
      <c r="M848" t="s">
        <v>284</v>
      </c>
      <c r="N848" t="s">
        <v>1934</v>
      </c>
      <c r="O848">
        <v>1</v>
      </c>
      <c r="P848">
        <v>5.61</v>
      </c>
    </row>
    <row r="849" spans="4:16" x14ac:dyDescent="0.25">
      <c r="D849" t="s">
        <v>1935</v>
      </c>
      <c r="E849" t="s">
        <v>135</v>
      </c>
      <c r="F849" t="s">
        <v>379</v>
      </c>
      <c r="G849" t="s">
        <v>1936</v>
      </c>
      <c r="H849" t="s">
        <v>1218</v>
      </c>
      <c r="I849" s="13">
        <v>43126</v>
      </c>
      <c r="J849">
        <v>6</v>
      </c>
      <c r="K849" t="s">
        <v>177</v>
      </c>
      <c r="L849" t="s">
        <v>139</v>
      </c>
      <c r="M849" t="s">
        <v>227</v>
      </c>
      <c r="N849" t="s">
        <v>1937</v>
      </c>
      <c r="O849">
        <v>1</v>
      </c>
      <c r="P849">
        <v>5.61</v>
      </c>
    </row>
    <row r="850" spans="4:16" x14ac:dyDescent="0.25">
      <c r="D850" t="s">
        <v>1938</v>
      </c>
      <c r="E850" t="s">
        <v>135</v>
      </c>
      <c r="F850" t="s">
        <v>379</v>
      </c>
      <c r="G850" t="s">
        <v>1936</v>
      </c>
      <c r="H850" t="s">
        <v>1218</v>
      </c>
      <c r="I850" s="13">
        <v>43126</v>
      </c>
      <c r="J850">
        <v>6</v>
      </c>
      <c r="K850" t="s">
        <v>177</v>
      </c>
      <c r="L850" t="s">
        <v>139</v>
      </c>
      <c r="M850" t="s">
        <v>227</v>
      </c>
      <c r="N850" t="s">
        <v>1939</v>
      </c>
      <c r="O850">
        <v>1</v>
      </c>
      <c r="P850">
        <v>5.61</v>
      </c>
    </row>
    <row r="851" spans="4:16" x14ac:dyDescent="0.25">
      <c r="D851" t="s">
        <v>1940</v>
      </c>
      <c r="E851" t="s">
        <v>135</v>
      </c>
      <c r="F851" t="s">
        <v>379</v>
      </c>
      <c r="G851" t="s">
        <v>1936</v>
      </c>
      <c r="H851" t="s">
        <v>1218</v>
      </c>
      <c r="I851" s="13">
        <v>43126</v>
      </c>
      <c r="J851">
        <v>6</v>
      </c>
      <c r="K851" t="s">
        <v>177</v>
      </c>
      <c r="L851" t="s">
        <v>139</v>
      </c>
      <c r="M851" t="s">
        <v>227</v>
      </c>
      <c r="N851" t="s">
        <v>1941</v>
      </c>
      <c r="O851">
        <v>1</v>
      </c>
      <c r="P851">
        <v>5.61</v>
      </c>
    </row>
    <row r="852" spans="4:16" x14ac:dyDescent="0.25">
      <c r="D852" t="s">
        <v>1942</v>
      </c>
      <c r="E852" t="s">
        <v>135</v>
      </c>
      <c r="F852" t="s">
        <v>379</v>
      </c>
      <c r="G852" t="s">
        <v>1943</v>
      </c>
      <c r="H852" t="s">
        <v>1218</v>
      </c>
      <c r="I852" s="13">
        <v>43126</v>
      </c>
      <c r="J852">
        <v>6</v>
      </c>
      <c r="K852" t="s">
        <v>177</v>
      </c>
      <c r="L852" t="s">
        <v>139</v>
      </c>
      <c r="M852" t="s">
        <v>372</v>
      </c>
      <c r="N852" t="s">
        <v>1944</v>
      </c>
      <c r="O852">
        <v>1</v>
      </c>
      <c r="P852">
        <v>5.61</v>
      </c>
    </row>
    <row r="853" spans="4:16" x14ac:dyDescent="0.25">
      <c r="D853" t="s">
        <v>1945</v>
      </c>
      <c r="E853" t="s">
        <v>135</v>
      </c>
      <c r="F853" t="s">
        <v>379</v>
      </c>
      <c r="G853" t="s">
        <v>1943</v>
      </c>
      <c r="H853" t="s">
        <v>1218</v>
      </c>
      <c r="I853" s="13">
        <v>43129</v>
      </c>
      <c r="J853">
        <v>6</v>
      </c>
      <c r="K853" t="s">
        <v>177</v>
      </c>
      <c r="L853" t="s">
        <v>139</v>
      </c>
      <c r="M853" t="s">
        <v>372</v>
      </c>
      <c r="N853" t="s">
        <v>1946</v>
      </c>
      <c r="O853">
        <v>1</v>
      </c>
      <c r="P853">
        <v>5.61</v>
      </c>
    </row>
    <row r="854" spans="4:16" x14ac:dyDescent="0.25">
      <c r="D854" t="s">
        <v>1947</v>
      </c>
      <c r="E854" t="s">
        <v>135</v>
      </c>
      <c r="F854" t="s">
        <v>379</v>
      </c>
      <c r="G854" t="s">
        <v>1948</v>
      </c>
      <c r="H854" t="s">
        <v>1218</v>
      </c>
      <c r="I854" s="13">
        <v>43126</v>
      </c>
      <c r="J854">
        <v>6</v>
      </c>
      <c r="K854" t="s">
        <v>177</v>
      </c>
      <c r="L854" t="s">
        <v>139</v>
      </c>
      <c r="M854" t="s">
        <v>227</v>
      </c>
      <c r="N854" t="s">
        <v>1949</v>
      </c>
      <c r="O854">
        <v>1</v>
      </c>
      <c r="P854">
        <v>5.61</v>
      </c>
    </row>
    <row r="855" spans="4:16" x14ac:dyDescent="0.25">
      <c r="D855" t="s">
        <v>1950</v>
      </c>
      <c r="E855" t="s">
        <v>135</v>
      </c>
      <c r="F855" t="s">
        <v>379</v>
      </c>
      <c r="G855" t="s">
        <v>1917</v>
      </c>
      <c r="H855" t="s">
        <v>1218</v>
      </c>
      <c r="I855" s="13">
        <v>43126</v>
      </c>
      <c r="J855">
        <v>6</v>
      </c>
      <c r="K855" t="s">
        <v>177</v>
      </c>
      <c r="L855" t="s">
        <v>139</v>
      </c>
      <c r="M855" t="s">
        <v>421</v>
      </c>
      <c r="N855" t="s">
        <v>1951</v>
      </c>
      <c r="O855">
        <v>1</v>
      </c>
      <c r="P855">
        <v>5.61</v>
      </c>
    </row>
    <row r="856" spans="4:16" x14ac:dyDescent="0.25">
      <c r="D856" t="s">
        <v>1952</v>
      </c>
      <c r="E856" t="s">
        <v>135</v>
      </c>
      <c r="F856" t="s">
        <v>379</v>
      </c>
      <c r="G856" t="s">
        <v>1902</v>
      </c>
      <c r="H856" t="s">
        <v>1218</v>
      </c>
      <c r="I856" s="13">
        <v>43126</v>
      </c>
      <c r="J856">
        <v>6</v>
      </c>
      <c r="K856" t="s">
        <v>177</v>
      </c>
      <c r="L856" t="s">
        <v>139</v>
      </c>
      <c r="M856" t="s">
        <v>982</v>
      </c>
      <c r="N856" t="s">
        <v>1953</v>
      </c>
      <c r="O856">
        <v>1</v>
      </c>
      <c r="P856">
        <v>5.61</v>
      </c>
    </row>
    <row r="857" spans="4:16" x14ac:dyDescent="0.25">
      <c r="D857" t="s">
        <v>1954</v>
      </c>
      <c r="E857" t="s">
        <v>135</v>
      </c>
      <c r="F857" t="s">
        <v>379</v>
      </c>
      <c r="G857" t="s">
        <v>905</v>
      </c>
      <c r="H857" t="s">
        <v>1218</v>
      </c>
      <c r="I857" s="13">
        <v>43129</v>
      </c>
      <c r="J857">
        <v>6</v>
      </c>
      <c r="K857" t="s">
        <v>177</v>
      </c>
      <c r="L857" t="s">
        <v>139</v>
      </c>
      <c r="M857" t="s">
        <v>465</v>
      </c>
      <c r="N857" t="s">
        <v>1955</v>
      </c>
      <c r="O857">
        <v>1</v>
      </c>
      <c r="P857">
        <v>5.61</v>
      </c>
    </row>
    <row r="858" spans="4:16" x14ac:dyDescent="0.25">
      <c r="D858" t="s">
        <v>1956</v>
      </c>
      <c r="E858" t="s">
        <v>135</v>
      </c>
      <c r="F858" t="s">
        <v>379</v>
      </c>
      <c r="G858" t="s">
        <v>1917</v>
      </c>
      <c r="H858" t="s">
        <v>1218</v>
      </c>
      <c r="I858" s="13">
        <v>43133</v>
      </c>
      <c r="J858">
        <v>6</v>
      </c>
      <c r="K858" t="s">
        <v>177</v>
      </c>
      <c r="L858" t="s">
        <v>139</v>
      </c>
      <c r="M858" t="s">
        <v>146</v>
      </c>
      <c r="N858" t="s">
        <v>1957</v>
      </c>
      <c r="O858">
        <v>1</v>
      </c>
      <c r="P858">
        <v>5.6</v>
      </c>
    </row>
    <row r="859" spans="4:16" x14ac:dyDescent="0.25">
      <c r="D859" t="s">
        <v>1958</v>
      </c>
      <c r="E859" t="s">
        <v>135</v>
      </c>
      <c r="F859" t="s">
        <v>379</v>
      </c>
      <c r="G859" t="s">
        <v>1917</v>
      </c>
      <c r="H859" t="s">
        <v>1218</v>
      </c>
      <c r="I859" s="13">
        <v>43133</v>
      </c>
      <c r="J859">
        <v>6</v>
      </c>
      <c r="K859" t="s">
        <v>177</v>
      </c>
      <c r="L859" t="s">
        <v>139</v>
      </c>
      <c r="M859" t="s">
        <v>140</v>
      </c>
      <c r="N859" t="s">
        <v>1959</v>
      </c>
      <c r="O859">
        <v>1</v>
      </c>
      <c r="P859">
        <v>5.6</v>
      </c>
    </row>
    <row r="860" spans="4:16" x14ac:dyDescent="0.25">
      <c r="D860" t="s">
        <v>1960</v>
      </c>
      <c r="E860" t="s">
        <v>135</v>
      </c>
      <c r="F860" t="s">
        <v>379</v>
      </c>
      <c r="G860" t="s">
        <v>1961</v>
      </c>
      <c r="H860" t="s">
        <v>1218</v>
      </c>
      <c r="I860" s="13">
        <v>43133</v>
      </c>
      <c r="J860">
        <v>6</v>
      </c>
      <c r="K860" t="s">
        <v>177</v>
      </c>
      <c r="L860" t="s">
        <v>139</v>
      </c>
      <c r="M860" t="s">
        <v>647</v>
      </c>
      <c r="N860" t="s">
        <v>1962</v>
      </c>
      <c r="O860">
        <v>1</v>
      </c>
      <c r="P860">
        <v>5.6</v>
      </c>
    </row>
    <row r="861" spans="4:16" x14ac:dyDescent="0.25">
      <c r="D861" t="s">
        <v>1963</v>
      </c>
      <c r="E861" t="s">
        <v>135</v>
      </c>
      <c r="F861" t="s">
        <v>379</v>
      </c>
      <c r="G861" t="s">
        <v>1964</v>
      </c>
      <c r="H861" t="s">
        <v>1218</v>
      </c>
      <c r="I861" s="13">
        <v>43133</v>
      </c>
      <c r="J861">
        <v>6</v>
      </c>
      <c r="K861" t="s">
        <v>177</v>
      </c>
      <c r="L861" t="s">
        <v>139</v>
      </c>
      <c r="M861" t="s">
        <v>982</v>
      </c>
      <c r="N861" t="s">
        <v>1965</v>
      </c>
      <c r="O861">
        <v>1</v>
      </c>
      <c r="P861">
        <v>5.6</v>
      </c>
    </row>
    <row r="862" spans="4:16" x14ac:dyDescent="0.25">
      <c r="D862" t="s">
        <v>1966</v>
      </c>
      <c r="E862" t="s">
        <v>135</v>
      </c>
      <c r="F862" t="s">
        <v>656</v>
      </c>
      <c r="G862" t="s">
        <v>1382</v>
      </c>
      <c r="H862" t="s">
        <v>1218</v>
      </c>
      <c r="I862" s="13">
        <v>43140</v>
      </c>
      <c r="J862">
        <v>6</v>
      </c>
      <c r="K862" t="s">
        <v>177</v>
      </c>
      <c r="L862" t="s">
        <v>139</v>
      </c>
      <c r="M862" t="s">
        <v>193</v>
      </c>
      <c r="N862" t="s">
        <v>1967</v>
      </c>
      <c r="O862">
        <v>1</v>
      </c>
      <c r="P862">
        <v>5.58</v>
      </c>
    </row>
    <row r="863" spans="4:16" x14ac:dyDescent="0.25">
      <c r="D863" t="s">
        <v>1968</v>
      </c>
      <c r="E863" t="s">
        <v>135</v>
      </c>
      <c r="F863" t="s">
        <v>379</v>
      </c>
      <c r="G863" t="s">
        <v>1917</v>
      </c>
      <c r="H863" t="s">
        <v>1218</v>
      </c>
      <c r="I863" s="13">
        <v>43137</v>
      </c>
      <c r="J863">
        <v>6</v>
      </c>
      <c r="K863" t="s">
        <v>177</v>
      </c>
      <c r="L863" t="s">
        <v>139</v>
      </c>
      <c r="M863" t="s">
        <v>555</v>
      </c>
      <c r="N863" t="s">
        <v>1969</v>
      </c>
      <c r="O863">
        <v>1</v>
      </c>
      <c r="P863">
        <v>5.58</v>
      </c>
    </row>
    <row r="864" spans="4:16" x14ac:dyDescent="0.25">
      <c r="D864" t="s">
        <v>1970</v>
      </c>
      <c r="E864" t="s">
        <v>135</v>
      </c>
      <c r="F864" t="s">
        <v>1971</v>
      </c>
      <c r="G864" t="s">
        <v>1972</v>
      </c>
      <c r="H864" t="s">
        <v>1218</v>
      </c>
      <c r="I864" s="13">
        <v>43140</v>
      </c>
      <c r="J864">
        <v>6</v>
      </c>
      <c r="K864" t="s">
        <v>177</v>
      </c>
      <c r="L864" t="s">
        <v>139</v>
      </c>
      <c r="M864" t="s">
        <v>712</v>
      </c>
      <c r="N864" t="s">
        <v>1973</v>
      </c>
      <c r="O864">
        <v>1</v>
      </c>
      <c r="P864">
        <v>5.58</v>
      </c>
    </row>
    <row r="865" spans="4:16" x14ac:dyDescent="0.25">
      <c r="D865" t="s">
        <v>1974</v>
      </c>
      <c r="E865" t="s">
        <v>135</v>
      </c>
      <c r="F865" t="s">
        <v>379</v>
      </c>
      <c r="G865" t="s">
        <v>1964</v>
      </c>
      <c r="H865" t="s">
        <v>1218</v>
      </c>
      <c r="I865" s="13">
        <v>43138</v>
      </c>
      <c r="J865">
        <v>6</v>
      </c>
      <c r="K865" t="s">
        <v>177</v>
      </c>
      <c r="L865" t="s">
        <v>139</v>
      </c>
      <c r="M865" t="s">
        <v>490</v>
      </c>
      <c r="N865" t="s">
        <v>1975</v>
      </c>
      <c r="O865">
        <v>1</v>
      </c>
      <c r="P865">
        <v>5.58</v>
      </c>
    </row>
    <row r="866" spans="4:16" x14ac:dyDescent="0.25">
      <c r="D866" t="s">
        <v>1976</v>
      </c>
      <c r="E866" t="s">
        <v>135</v>
      </c>
      <c r="F866" t="s">
        <v>379</v>
      </c>
      <c r="G866" t="s">
        <v>782</v>
      </c>
      <c r="H866" t="s">
        <v>1218</v>
      </c>
      <c r="I866" s="13">
        <v>43143</v>
      </c>
      <c r="J866">
        <v>6</v>
      </c>
      <c r="K866" t="s">
        <v>177</v>
      </c>
      <c r="L866" t="s">
        <v>139</v>
      </c>
      <c r="M866" t="s">
        <v>240</v>
      </c>
      <c r="N866" t="s">
        <v>1977</v>
      </c>
      <c r="O866">
        <v>1</v>
      </c>
      <c r="P866">
        <v>5.57</v>
      </c>
    </row>
    <row r="867" spans="4:16" x14ac:dyDescent="0.25">
      <c r="D867" t="s">
        <v>1978</v>
      </c>
      <c r="E867" t="s">
        <v>135</v>
      </c>
      <c r="F867" t="s">
        <v>379</v>
      </c>
      <c r="G867" t="s">
        <v>1964</v>
      </c>
      <c r="H867" t="s">
        <v>1218</v>
      </c>
      <c r="I867" s="13">
        <v>43143</v>
      </c>
      <c r="J867">
        <v>6</v>
      </c>
      <c r="K867" t="s">
        <v>177</v>
      </c>
      <c r="L867" t="s">
        <v>139</v>
      </c>
      <c r="M867" t="s">
        <v>982</v>
      </c>
      <c r="N867" t="s">
        <v>1979</v>
      </c>
      <c r="O867">
        <v>1</v>
      </c>
      <c r="P867">
        <v>5.57</v>
      </c>
    </row>
    <row r="868" spans="4:16" x14ac:dyDescent="0.25">
      <c r="D868" t="s">
        <v>1980</v>
      </c>
      <c r="E868" t="s">
        <v>135</v>
      </c>
      <c r="F868" t="s">
        <v>379</v>
      </c>
      <c r="G868" t="s">
        <v>1936</v>
      </c>
      <c r="H868" t="s">
        <v>1218</v>
      </c>
      <c r="I868" s="13">
        <v>43145</v>
      </c>
      <c r="J868">
        <v>6</v>
      </c>
      <c r="K868" t="s">
        <v>177</v>
      </c>
      <c r="L868" t="s">
        <v>139</v>
      </c>
      <c r="M868" t="s">
        <v>227</v>
      </c>
      <c r="N868" t="s">
        <v>1981</v>
      </c>
      <c r="O868">
        <v>1</v>
      </c>
      <c r="P868">
        <v>5.56</v>
      </c>
    </row>
    <row r="869" spans="4:16" x14ac:dyDescent="0.25">
      <c r="D869" t="s">
        <v>1982</v>
      </c>
      <c r="E869" t="s">
        <v>135</v>
      </c>
      <c r="F869" t="s">
        <v>379</v>
      </c>
      <c r="G869" t="s">
        <v>1983</v>
      </c>
      <c r="H869" t="s">
        <v>1218</v>
      </c>
      <c r="I869" s="13">
        <v>43145</v>
      </c>
      <c r="J869">
        <v>6</v>
      </c>
      <c r="K869" t="s">
        <v>177</v>
      </c>
      <c r="L869" t="s">
        <v>139</v>
      </c>
      <c r="M869" t="s">
        <v>284</v>
      </c>
      <c r="N869" t="s">
        <v>1984</v>
      </c>
      <c r="O869">
        <v>1</v>
      </c>
      <c r="P869">
        <v>5.56</v>
      </c>
    </row>
    <row r="870" spans="4:16" x14ac:dyDescent="0.25">
      <c r="D870" t="s">
        <v>1985</v>
      </c>
      <c r="E870" t="s">
        <v>135</v>
      </c>
      <c r="F870" t="s">
        <v>181</v>
      </c>
      <c r="G870" t="s">
        <v>1986</v>
      </c>
      <c r="H870" t="s">
        <v>1218</v>
      </c>
      <c r="I870" s="13">
        <v>43145</v>
      </c>
      <c r="J870">
        <v>6</v>
      </c>
      <c r="K870" t="s">
        <v>177</v>
      </c>
      <c r="L870" t="s">
        <v>139</v>
      </c>
      <c r="M870" t="s">
        <v>183</v>
      </c>
      <c r="N870" t="s">
        <v>1987</v>
      </c>
      <c r="O870">
        <v>1</v>
      </c>
      <c r="P870">
        <v>5.56</v>
      </c>
    </row>
    <row r="871" spans="4:16" x14ac:dyDescent="0.25">
      <c r="D871" t="s">
        <v>1988</v>
      </c>
      <c r="E871" t="s">
        <v>135</v>
      </c>
      <c r="F871" t="s">
        <v>379</v>
      </c>
      <c r="G871" t="s">
        <v>135</v>
      </c>
      <c r="H871" t="s">
        <v>1218</v>
      </c>
      <c r="I871" s="13">
        <v>43144</v>
      </c>
      <c r="J871">
        <v>6</v>
      </c>
      <c r="K871" t="s">
        <v>177</v>
      </c>
      <c r="L871" t="s">
        <v>139</v>
      </c>
      <c r="M871" t="s">
        <v>465</v>
      </c>
      <c r="N871" t="s">
        <v>1989</v>
      </c>
      <c r="O871">
        <v>1</v>
      </c>
      <c r="P871">
        <v>5.56</v>
      </c>
    </row>
    <row r="872" spans="4:16" x14ac:dyDescent="0.25">
      <c r="D872" t="s">
        <v>1990</v>
      </c>
      <c r="E872" t="s">
        <v>135</v>
      </c>
      <c r="F872" t="s">
        <v>181</v>
      </c>
      <c r="G872" t="s">
        <v>1326</v>
      </c>
      <c r="H872" t="s">
        <v>1218</v>
      </c>
      <c r="I872" s="13">
        <v>43145</v>
      </c>
      <c r="J872">
        <v>6</v>
      </c>
      <c r="K872" t="s">
        <v>177</v>
      </c>
      <c r="L872" t="s">
        <v>139</v>
      </c>
      <c r="M872" t="s">
        <v>391</v>
      </c>
      <c r="N872" t="s">
        <v>1991</v>
      </c>
      <c r="O872">
        <v>1</v>
      </c>
      <c r="P872">
        <v>5.56</v>
      </c>
    </row>
    <row r="873" spans="4:16" x14ac:dyDescent="0.25">
      <c r="D873" t="s">
        <v>1992</v>
      </c>
      <c r="E873" t="s">
        <v>135</v>
      </c>
      <c r="F873" t="s">
        <v>181</v>
      </c>
      <c r="G873" t="s">
        <v>1326</v>
      </c>
      <c r="H873" t="s">
        <v>1218</v>
      </c>
      <c r="I873" s="13">
        <v>43145</v>
      </c>
      <c r="J873">
        <v>6</v>
      </c>
      <c r="K873" t="s">
        <v>177</v>
      </c>
      <c r="L873" t="s">
        <v>139</v>
      </c>
      <c r="M873" t="s">
        <v>391</v>
      </c>
      <c r="N873" t="s">
        <v>1993</v>
      </c>
      <c r="O873">
        <v>1</v>
      </c>
      <c r="P873">
        <v>5.56</v>
      </c>
    </row>
    <row r="874" spans="4:16" x14ac:dyDescent="0.25">
      <c r="D874" t="s">
        <v>1994</v>
      </c>
      <c r="E874" t="s">
        <v>135</v>
      </c>
      <c r="F874" t="s">
        <v>181</v>
      </c>
      <c r="G874" t="s">
        <v>1326</v>
      </c>
      <c r="H874" t="s">
        <v>1218</v>
      </c>
      <c r="I874" s="13">
        <v>43145</v>
      </c>
      <c r="J874">
        <v>6</v>
      </c>
      <c r="K874" t="s">
        <v>177</v>
      </c>
      <c r="L874" t="s">
        <v>139</v>
      </c>
      <c r="M874" t="s">
        <v>391</v>
      </c>
      <c r="N874" t="s">
        <v>1995</v>
      </c>
      <c r="O874">
        <v>1</v>
      </c>
      <c r="P874">
        <v>5.56</v>
      </c>
    </row>
    <row r="875" spans="4:16" x14ac:dyDescent="0.25">
      <c r="D875" t="s">
        <v>1996</v>
      </c>
      <c r="E875" t="s">
        <v>135</v>
      </c>
      <c r="F875" t="s">
        <v>379</v>
      </c>
      <c r="G875" t="s">
        <v>1997</v>
      </c>
      <c r="H875" t="s">
        <v>1218</v>
      </c>
      <c r="I875" s="13">
        <v>43150</v>
      </c>
      <c r="J875">
        <v>6</v>
      </c>
      <c r="K875" t="s">
        <v>157</v>
      </c>
      <c r="L875" t="s">
        <v>977</v>
      </c>
      <c r="M875" t="s">
        <v>196</v>
      </c>
      <c r="N875" t="s">
        <v>1998</v>
      </c>
      <c r="O875">
        <v>1</v>
      </c>
      <c r="P875">
        <v>5.55</v>
      </c>
    </row>
    <row r="876" spans="4:16" x14ac:dyDescent="0.25">
      <c r="D876" t="s">
        <v>1999</v>
      </c>
      <c r="E876" t="s">
        <v>135</v>
      </c>
      <c r="F876" t="s">
        <v>379</v>
      </c>
      <c r="G876" t="s">
        <v>1943</v>
      </c>
      <c r="H876" t="s">
        <v>1218</v>
      </c>
      <c r="I876" s="13">
        <v>43150</v>
      </c>
      <c r="J876">
        <v>6</v>
      </c>
      <c r="K876" t="s">
        <v>177</v>
      </c>
      <c r="L876" t="s">
        <v>139</v>
      </c>
      <c r="M876" t="s">
        <v>372</v>
      </c>
      <c r="N876" t="s">
        <v>2000</v>
      </c>
      <c r="O876">
        <v>1</v>
      </c>
      <c r="P876">
        <v>5.55</v>
      </c>
    </row>
    <row r="877" spans="4:16" x14ac:dyDescent="0.25">
      <c r="D877" t="s">
        <v>2001</v>
      </c>
      <c r="E877" t="s">
        <v>135</v>
      </c>
      <c r="F877" t="s">
        <v>2002</v>
      </c>
      <c r="G877" t="s">
        <v>1917</v>
      </c>
      <c r="H877" t="s">
        <v>1218</v>
      </c>
      <c r="I877" s="13">
        <v>43150</v>
      </c>
      <c r="J877">
        <v>6</v>
      </c>
      <c r="K877" t="s">
        <v>177</v>
      </c>
      <c r="L877" t="s">
        <v>139</v>
      </c>
      <c r="M877" t="s">
        <v>913</v>
      </c>
      <c r="N877" t="s">
        <v>2003</v>
      </c>
      <c r="O877">
        <v>1</v>
      </c>
      <c r="P877">
        <v>5.55</v>
      </c>
    </row>
    <row r="878" spans="4:16" x14ac:dyDescent="0.25">
      <c r="D878" t="s">
        <v>2004</v>
      </c>
      <c r="E878" t="s">
        <v>135</v>
      </c>
      <c r="F878" t="s">
        <v>379</v>
      </c>
      <c r="G878" t="s">
        <v>1948</v>
      </c>
      <c r="H878" t="s">
        <v>1218</v>
      </c>
      <c r="I878" s="13">
        <v>43150</v>
      </c>
      <c r="J878">
        <v>6</v>
      </c>
      <c r="K878" t="s">
        <v>177</v>
      </c>
      <c r="L878" t="s">
        <v>139</v>
      </c>
      <c r="M878" t="s">
        <v>227</v>
      </c>
      <c r="N878" t="s">
        <v>2005</v>
      </c>
      <c r="O878">
        <v>1</v>
      </c>
      <c r="P878">
        <v>5.55</v>
      </c>
    </row>
    <row r="879" spans="4:16" x14ac:dyDescent="0.25">
      <c r="D879" t="s">
        <v>2006</v>
      </c>
      <c r="E879" t="s">
        <v>135</v>
      </c>
      <c r="F879" t="s">
        <v>379</v>
      </c>
      <c r="G879" t="s">
        <v>1917</v>
      </c>
      <c r="H879" t="s">
        <v>1218</v>
      </c>
      <c r="I879" s="13">
        <v>43150</v>
      </c>
      <c r="J879">
        <v>6</v>
      </c>
      <c r="K879" t="s">
        <v>177</v>
      </c>
      <c r="L879" t="s">
        <v>139</v>
      </c>
      <c r="M879" t="s">
        <v>140</v>
      </c>
      <c r="N879" t="s">
        <v>2007</v>
      </c>
      <c r="O879">
        <v>1</v>
      </c>
      <c r="P879">
        <v>5.55</v>
      </c>
    </row>
    <row r="880" spans="4:16" x14ac:dyDescent="0.25">
      <c r="D880" t="s">
        <v>2008</v>
      </c>
      <c r="E880" t="s">
        <v>135</v>
      </c>
      <c r="F880" t="s">
        <v>379</v>
      </c>
      <c r="G880" t="s">
        <v>782</v>
      </c>
      <c r="H880" t="s">
        <v>1218</v>
      </c>
      <c r="I880" s="13">
        <v>43150</v>
      </c>
      <c r="J880">
        <v>6</v>
      </c>
      <c r="K880" t="s">
        <v>177</v>
      </c>
      <c r="L880" t="s">
        <v>139</v>
      </c>
      <c r="M880" t="s">
        <v>386</v>
      </c>
      <c r="N880" t="s">
        <v>2009</v>
      </c>
      <c r="O880">
        <v>1</v>
      </c>
      <c r="P880">
        <v>5.55</v>
      </c>
    </row>
    <row r="881" spans="4:16" x14ac:dyDescent="0.25">
      <c r="D881" t="s">
        <v>2010</v>
      </c>
      <c r="E881" t="s">
        <v>135</v>
      </c>
      <c r="F881" t="s">
        <v>379</v>
      </c>
      <c r="G881" t="s">
        <v>1964</v>
      </c>
      <c r="H881" t="s">
        <v>1218</v>
      </c>
      <c r="I881" s="13">
        <v>43150</v>
      </c>
      <c r="J881">
        <v>6</v>
      </c>
      <c r="K881" t="s">
        <v>177</v>
      </c>
      <c r="L881" t="s">
        <v>139</v>
      </c>
      <c r="M881" t="s">
        <v>1189</v>
      </c>
      <c r="N881" t="s">
        <v>2011</v>
      </c>
      <c r="O881">
        <v>1</v>
      </c>
      <c r="P881">
        <v>5.55</v>
      </c>
    </row>
    <row r="882" spans="4:16" x14ac:dyDescent="0.25">
      <c r="D882" t="s">
        <v>2012</v>
      </c>
      <c r="E882" t="s">
        <v>135</v>
      </c>
      <c r="F882" t="s">
        <v>1679</v>
      </c>
      <c r="G882" t="s">
        <v>1899</v>
      </c>
      <c r="H882" t="s">
        <v>1218</v>
      </c>
      <c r="I882" s="13">
        <v>43154</v>
      </c>
      <c r="J882">
        <v>6</v>
      </c>
      <c r="K882" t="s">
        <v>177</v>
      </c>
      <c r="L882" t="s">
        <v>139</v>
      </c>
      <c r="M882" t="s">
        <v>230</v>
      </c>
      <c r="N882" t="s">
        <v>2013</v>
      </c>
      <c r="O882">
        <v>1</v>
      </c>
      <c r="P882">
        <v>5.54</v>
      </c>
    </row>
    <row r="883" spans="4:16" x14ac:dyDescent="0.25">
      <c r="D883" t="s">
        <v>2014</v>
      </c>
      <c r="E883" t="s">
        <v>135</v>
      </c>
      <c r="F883" t="s">
        <v>2002</v>
      </c>
      <c r="G883" t="s">
        <v>1917</v>
      </c>
      <c r="H883" t="s">
        <v>1218</v>
      </c>
      <c r="I883" s="13">
        <v>43166</v>
      </c>
      <c r="J883">
        <v>6</v>
      </c>
      <c r="K883" t="s">
        <v>177</v>
      </c>
      <c r="L883" t="s">
        <v>139</v>
      </c>
      <c r="M883" t="s">
        <v>913</v>
      </c>
      <c r="N883" t="s">
        <v>2015</v>
      </c>
      <c r="O883">
        <v>1</v>
      </c>
      <c r="P883">
        <v>5.5</v>
      </c>
    </row>
    <row r="884" spans="4:16" x14ac:dyDescent="0.25">
      <c r="D884" t="s">
        <v>2016</v>
      </c>
      <c r="E884" t="s">
        <v>135</v>
      </c>
      <c r="F884" t="s">
        <v>379</v>
      </c>
      <c r="G884" t="s">
        <v>782</v>
      </c>
      <c r="H884" t="s">
        <v>1218</v>
      </c>
      <c r="I884" s="13">
        <v>43166</v>
      </c>
      <c r="J884">
        <v>6</v>
      </c>
      <c r="K884" t="s">
        <v>177</v>
      </c>
      <c r="L884" t="s">
        <v>139</v>
      </c>
      <c r="M884" t="s">
        <v>240</v>
      </c>
      <c r="N884" t="s">
        <v>2017</v>
      </c>
      <c r="O884">
        <v>1</v>
      </c>
      <c r="P884">
        <v>5.5</v>
      </c>
    </row>
    <row r="885" spans="4:16" x14ac:dyDescent="0.25">
      <c r="D885" t="s">
        <v>2018</v>
      </c>
      <c r="E885" t="s">
        <v>135</v>
      </c>
      <c r="F885" t="s">
        <v>656</v>
      </c>
      <c r="G885" t="s">
        <v>1382</v>
      </c>
      <c r="H885" t="s">
        <v>1218</v>
      </c>
      <c r="I885" s="13">
        <v>43181</v>
      </c>
      <c r="J885">
        <v>5</v>
      </c>
      <c r="K885" t="s">
        <v>177</v>
      </c>
      <c r="L885" t="s">
        <v>139</v>
      </c>
      <c r="M885" t="s">
        <v>207</v>
      </c>
      <c r="N885" t="s">
        <v>2019</v>
      </c>
      <c r="O885">
        <v>1</v>
      </c>
      <c r="P885">
        <v>5.46</v>
      </c>
    </row>
    <row r="886" spans="4:16" x14ac:dyDescent="0.25">
      <c r="D886" t="s">
        <v>2020</v>
      </c>
      <c r="E886" t="s">
        <v>135</v>
      </c>
      <c r="F886" t="s">
        <v>656</v>
      </c>
      <c r="G886" t="s">
        <v>1382</v>
      </c>
      <c r="H886" t="s">
        <v>1218</v>
      </c>
      <c r="I886" s="13">
        <v>43189</v>
      </c>
      <c r="J886">
        <v>5</v>
      </c>
      <c r="K886" t="s">
        <v>177</v>
      </c>
      <c r="L886" t="s">
        <v>139</v>
      </c>
      <c r="M886" t="s">
        <v>207</v>
      </c>
      <c r="N886" t="s">
        <v>2021</v>
      </c>
      <c r="O886">
        <v>1</v>
      </c>
      <c r="P886">
        <v>5.44</v>
      </c>
    </row>
    <row r="887" spans="4:16" x14ac:dyDescent="0.25">
      <c r="D887" t="s">
        <v>2022</v>
      </c>
      <c r="E887" t="s">
        <v>135</v>
      </c>
      <c r="F887" t="s">
        <v>656</v>
      </c>
      <c r="G887" t="s">
        <v>1382</v>
      </c>
      <c r="H887" t="s">
        <v>1218</v>
      </c>
      <c r="I887" s="13">
        <v>43189</v>
      </c>
      <c r="J887">
        <v>5</v>
      </c>
      <c r="K887" t="s">
        <v>177</v>
      </c>
      <c r="L887" t="s">
        <v>139</v>
      </c>
      <c r="M887" t="s">
        <v>216</v>
      </c>
      <c r="N887" t="s">
        <v>2023</v>
      </c>
      <c r="O887">
        <v>1</v>
      </c>
      <c r="P887">
        <v>5.44</v>
      </c>
    </row>
    <row r="888" spans="4:16" hidden="1" x14ac:dyDescent="0.25">
      <c r="D888" t="s">
        <v>2024</v>
      </c>
      <c r="E888" t="s">
        <v>135</v>
      </c>
      <c r="F888" t="s">
        <v>379</v>
      </c>
      <c r="G888" t="s">
        <v>1041</v>
      </c>
      <c r="H888" t="s">
        <v>1218</v>
      </c>
      <c r="I888" s="13">
        <v>43214</v>
      </c>
      <c r="J888">
        <v>5</v>
      </c>
      <c r="K888" t="s">
        <v>177</v>
      </c>
      <c r="L888" t="s">
        <v>164</v>
      </c>
      <c r="M888" t="s">
        <v>170</v>
      </c>
      <c r="N888" t="s">
        <v>2025</v>
      </c>
      <c r="O888">
        <v>1</v>
      </c>
      <c r="P888">
        <v>5.37</v>
      </c>
    </row>
    <row r="889" spans="4:16" x14ac:dyDescent="0.25">
      <c r="D889" t="s">
        <v>2026</v>
      </c>
      <c r="E889" t="s">
        <v>135</v>
      </c>
      <c r="F889" t="s">
        <v>379</v>
      </c>
      <c r="G889" t="s">
        <v>782</v>
      </c>
      <c r="H889" t="s">
        <v>1218</v>
      </c>
      <c r="I889" s="13">
        <v>43214</v>
      </c>
      <c r="J889">
        <v>5</v>
      </c>
      <c r="K889" t="s">
        <v>177</v>
      </c>
      <c r="L889" t="s">
        <v>139</v>
      </c>
      <c r="M889" t="s">
        <v>165</v>
      </c>
      <c r="N889" t="s">
        <v>2027</v>
      </c>
      <c r="O889">
        <v>1</v>
      </c>
      <c r="P889">
        <v>5.37</v>
      </c>
    </row>
    <row r="890" spans="4:16" x14ac:dyDescent="0.25">
      <c r="D890" t="s">
        <v>2028</v>
      </c>
      <c r="E890" t="s">
        <v>135</v>
      </c>
      <c r="F890" t="s">
        <v>379</v>
      </c>
      <c r="G890" t="s">
        <v>782</v>
      </c>
      <c r="H890" t="s">
        <v>1218</v>
      </c>
      <c r="I890" s="13">
        <v>43214</v>
      </c>
      <c r="J890">
        <v>5</v>
      </c>
      <c r="K890" t="s">
        <v>177</v>
      </c>
      <c r="L890" t="s">
        <v>139</v>
      </c>
      <c r="M890" t="s">
        <v>170</v>
      </c>
      <c r="N890" t="s">
        <v>2029</v>
      </c>
      <c r="O890">
        <v>1</v>
      </c>
      <c r="P890">
        <v>5.37</v>
      </c>
    </row>
    <row r="891" spans="4:16" x14ac:dyDescent="0.25">
      <c r="D891" t="s">
        <v>2030</v>
      </c>
      <c r="E891" t="s">
        <v>135</v>
      </c>
      <c r="F891" t="s">
        <v>379</v>
      </c>
      <c r="G891" t="s">
        <v>782</v>
      </c>
      <c r="H891" t="s">
        <v>1218</v>
      </c>
      <c r="I891" s="13">
        <v>43214</v>
      </c>
      <c r="J891">
        <v>5</v>
      </c>
      <c r="K891" t="s">
        <v>177</v>
      </c>
      <c r="L891" t="s">
        <v>139</v>
      </c>
      <c r="M891" t="s">
        <v>165</v>
      </c>
      <c r="N891" t="s">
        <v>2031</v>
      </c>
      <c r="O891">
        <v>1</v>
      </c>
      <c r="P891">
        <v>5.37</v>
      </c>
    </row>
    <row r="892" spans="4:16" x14ac:dyDescent="0.25">
      <c r="D892" t="s">
        <v>2032</v>
      </c>
      <c r="E892" t="s">
        <v>135</v>
      </c>
      <c r="F892" t="s">
        <v>379</v>
      </c>
      <c r="G892" t="s">
        <v>782</v>
      </c>
      <c r="H892" t="s">
        <v>1218</v>
      </c>
      <c r="I892" s="13">
        <v>43214</v>
      </c>
      <c r="J892">
        <v>5</v>
      </c>
      <c r="K892" t="s">
        <v>177</v>
      </c>
      <c r="L892" t="s">
        <v>139</v>
      </c>
      <c r="M892" t="s">
        <v>170</v>
      </c>
      <c r="N892" t="s">
        <v>2033</v>
      </c>
      <c r="O892">
        <v>1</v>
      </c>
      <c r="P892">
        <v>5.37</v>
      </c>
    </row>
    <row r="893" spans="4:16" x14ac:dyDescent="0.25">
      <c r="D893" t="s">
        <v>2034</v>
      </c>
      <c r="E893" t="s">
        <v>135</v>
      </c>
      <c r="F893" t="s">
        <v>379</v>
      </c>
      <c r="G893" t="s">
        <v>1041</v>
      </c>
      <c r="H893" t="s">
        <v>1218</v>
      </c>
      <c r="I893" s="13">
        <v>43214</v>
      </c>
      <c r="J893">
        <v>5</v>
      </c>
      <c r="K893" t="s">
        <v>177</v>
      </c>
      <c r="L893" t="s">
        <v>139</v>
      </c>
      <c r="M893" t="s">
        <v>170</v>
      </c>
      <c r="N893" t="s">
        <v>2035</v>
      </c>
      <c r="O893">
        <v>1</v>
      </c>
      <c r="P893">
        <v>5.37</v>
      </c>
    </row>
    <row r="894" spans="4:16" x14ac:dyDescent="0.25">
      <c r="D894" t="s">
        <v>2036</v>
      </c>
      <c r="E894" t="s">
        <v>135</v>
      </c>
      <c r="F894" t="s">
        <v>2002</v>
      </c>
      <c r="G894" t="s">
        <v>1917</v>
      </c>
      <c r="H894" t="s">
        <v>1218</v>
      </c>
      <c r="I894" s="13">
        <v>43220</v>
      </c>
      <c r="J894">
        <v>5</v>
      </c>
      <c r="K894" t="s">
        <v>177</v>
      </c>
      <c r="L894" t="s">
        <v>139</v>
      </c>
      <c r="M894" t="s">
        <v>913</v>
      </c>
      <c r="N894" t="s">
        <v>2037</v>
      </c>
      <c r="O894">
        <v>1</v>
      </c>
      <c r="P894">
        <v>5.36</v>
      </c>
    </row>
    <row r="895" spans="4:16" x14ac:dyDescent="0.25">
      <c r="D895" t="s">
        <v>2038</v>
      </c>
      <c r="E895" t="s">
        <v>135</v>
      </c>
      <c r="F895" t="s">
        <v>379</v>
      </c>
      <c r="G895" t="s">
        <v>1961</v>
      </c>
      <c r="H895" t="s">
        <v>1218</v>
      </c>
      <c r="I895" s="13">
        <v>43220</v>
      </c>
      <c r="J895">
        <v>5</v>
      </c>
      <c r="K895" t="s">
        <v>177</v>
      </c>
      <c r="L895" t="s">
        <v>139</v>
      </c>
      <c r="M895" t="s">
        <v>647</v>
      </c>
      <c r="N895" t="s">
        <v>2039</v>
      </c>
      <c r="O895">
        <v>1</v>
      </c>
      <c r="P895">
        <v>5.36</v>
      </c>
    </row>
    <row r="896" spans="4:16" hidden="1" x14ac:dyDescent="0.25">
      <c r="D896" t="s">
        <v>2040</v>
      </c>
      <c r="E896" t="s">
        <v>135</v>
      </c>
      <c r="F896" t="s">
        <v>379</v>
      </c>
      <c r="G896" t="s">
        <v>782</v>
      </c>
      <c r="H896" t="s">
        <v>1218</v>
      </c>
      <c r="I896" s="13">
        <v>43222</v>
      </c>
      <c r="J896">
        <v>5</v>
      </c>
      <c r="K896" t="s">
        <v>177</v>
      </c>
      <c r="L896" t="s">
        <v>164</v>
      </c>
      <c r="M896" t="s">
        <v>151</v>
      </c>
      <c r="N896" t="s">
        <v>2041</v>
      </c>
      <c r="O896">
        <v>1</v>
      </c>
      <c r="P896">
        <v>5.35</v>
      </c>
    </row>
    <row r="897" spans="4:16" x14ac:dyDescent="0.25">
      <c r="D897" t="s">
        <v>2042</v>
      </c>
      <c r="E897" t="s">
        <v>135</v>
      </c>
      <c r="F897" t="s">
        <v>2002</v>
      </c>
      <c r="G897" t="s">
        <v>1917</v>
      </c>
      <c r="H897" t="s">
        <v>1218</v>
      </c>
      <c r="I897" s="13">
        <v>43222</v>
      </c>
      <c r="J897">
        <v>5</v>
      </c>
      <c r="K897" t="s">
        <v>177</v>
      </c>
      <c r="L897" t="s">
        <v>139</v>
      </c>
      <c r="M897" t="s">
        <v>913</v>
      </c>
      <c r="N897" t="s">
        <v>2043</v>
      </c>
      <c r="O897">
        <v>1</v>
      </c>
      <c r="P897">
        <v>5.35</v>
      </c>
    </row>
    <row r="898" spans="4:16" x14ac:dyDescent="0.25">
      <c r="D898" t="s">
        <v>2044</v>
      </c>
      <c r="E898" t="s">
        <v>135</v>
      </c>
      <c r="F898" t="s">
        <v>2002</v>
      </c>
      <c r="G898" t="s">
        <v>1917</v>
      </c>
      <c r="H898" t="s">
        <v>1218</v>
      </c>
      <c r="I898" s="13">
        <v>43222</v>
      </c>
      <c r="J898">
        <v>5</v>
      </c>
      <c r="K898" t="s">
        <v>177</v>
      </c>
      <c r="L898" t="s">
        <v>139</v>
      </c>
      <c r="M898" t="s">
        <v>913</v>
      </c>
      <c r="N898" t="s">
        <v>2045</v>
      </c>
      <c r="O898">
        <v>1</v>
      </c>
      <c r="P898">
        <v>5.35</v>
      </c>
    </row>
    <row r="899" spans="4:16" x14ac:dyDescent="0.25">
      <c r="D899" t="s">
        <v>2046</v>
      </c>
      <c r="E899" t="s">
        <v>135</v>
      </c>
      <c r="F899" t="s">
        <v>1273</v>
      </c>
      <c r="G899" t="s">
        <v>2047</v>
      </c>
      <c r="H899" t="s">
        <v>1218</v>
      </c>
      <c r="I899" s="13">
        <v>43222</v>
      </c>
      <c r="J899">
        <v>5</v>
      </c>
      <c r="K899" t="s">
        <v>177</v>
      </c>
      <c r="L899" t="s">
        <v>139</v>
      </c>
      <c r="M899" t="s">
        <v>284</v>
      </c>
      <c r="N899" t="s">
        <v>2048</v>
      </c>
      <c r="O899">
        <v>1</v>
      </c>
      <c r="P899">
        <v>5.35</v>
      </c>
    </row>
    <row r="900" spans="4:16" x14ac:dyDescent="0.25">
      <c r="D900" t="s">
        <v>2049</v>
      </c>
      <c r="E900" t="s">
        <v>135</v>
      </c>
      <c r="F900" t="s">
        <v>379</v>
      </c>
      <c r="G900" t="s">
        <v>782</v>
      </c>
      <c r="H900" t="s">
        <v>1218</v>
      </c>
      <c r="I900" s="13">
        <v>43222</v>
      </c>
      <c r="J900">
        <v>5</v>
      </c>
      <c r="K900" t="s">
        <v>177</v>
      </c>
      <c r="L900" t="s">
        <v>139</v>
      </c>
      <c r="M900" t="s">
        <v>170</v>
      </c>
      <c r="N900" t="s">
        <v>2050</v>
      </c>
      <c r="O900">
        <v>1</v>
      </c>
      <c r="P900">
        <v>5.35</v>
      </c>
    </row>
    <row r="901" spans="4:16" x14ac:dyDescent="0.25">
      <c r="D901" t="s">
        <v>2051</v>
      </c>
      <c r="E901" t="s">
        <v>135</v>
      </c>
      <c r="F901" t="s">
        <v>379</v>
      </c>
      <c r="G901" t="s">
        <v>782</v>
      </c>
      <c r="H901" t="s">
        <v>1218</v>
      </c>
      <c r="I901" s="13">
        <v>43222</v>
      </c>
      <c r="J901">
        <v>5</v>
      </c>
      <c r="K901" t="s">
        <v>177</v>
      </c>
      <c r="L901" t="s">
        <v>139</v>
      </c>
      <c r="M901" t="s">
        <v>170</v>
      </c>
      <c r="N901" t="s">
        <v>2052</v>
      </c>
      <c r="O901">
        <v>1</v>
      </c>
      <c r="P901">
        <v>5.35</v>
      </c>
    </row>
    <row r="902" spans="4:16" x14ac:dyDescent="0.25">
      <c r="D902" t="s">
        <v>2053</v>
      </c>
      <c r="E902" t="s">
        <v>135</v>
      </c>
      <c r="F902" t="s">
        <v>379</v>
      </c>
      <c r="G902" t="s">
        <v>782</v>
      </c>
      <c r="H902" t="s">
        <v>1218</v>
      </c>
      <c r="I902" s="13">
        <v>43222</v>
      </c>
      <c r="J902">
        <v>5</v>
      </c>
      <c r="K902" t="s">
        <v>177</v>
      </c>
      <c r="L902" t="s">
        <v>139</v>
      </c>
      <c r="M902" t="s">
        <v>170</v>
      </c>
      <c r="N902" t="s">
        <v>2054</v>
      </c>
      <c r="O902">
        <v>1</v>
      </c>
      <c r="P902">
        <v>5.35</v>
      </c>
    </row>
    <row r="903" spans="4:16" x14ac:dyDescent="0.25">
      <c r="D903" t="s">
        <v>2055</v>
      </c>
      <c r="E903" t="s">
        <v>135</v>
      </c>
      <c r="F903" t="s">
        <v>379</v>
      </c>
      <c r="G903" t="s">
        <v>782</v>
      </c>
      <c r="H903" t="s">
        <v>1218</v>
      </c>
      <c r="I903" s="13">
        <v>43222</v>
      </c>
      <c r="J903">
        <v>5</v>
      </c>
      <c r="K903" t="s">
        <v>177</v>
      </c>
      <c r="L903" t="s">
        <v>139</v>
      </c>
      <c r="M903" t="s">
        <v>170</v>
      </c>
      <c r="N903" t="s">
        <v>2056</v>
      </c>
      <c r="O903">
        <v>1</v>
      </c>
      <c r="P903">
        <v>5.35</v>
      </c>
    </row>
    <row r="904" spans="4:16" x14ac:dyDescent="0.25">
      <c r="D904" t="s">
        <v>2057</v>
      </c>
      <c r="E904" t="s">
        <v>135</v>
      </c>
      <c r="F904" t="s">
        <v>379</v>
      </c>
      <c r="G904" t="s">
        <v>782</v>
      </c>
      <c r="H904" t="s">
        <v>1218</v>
      </c>
      <c r="I904" s="13">
        <v>43222</v>
      </c>
      <c r="J904">
        <v>5</v>
      </c>
      <c r="K904" t="s">
        <v>177</v>
      </c>
      <c r="L904" t="s">
        <v>139</v>
      </c>
      <c r="M904" t="s">
        <v>170</v>
      </c>
      <c r="N904" t="s">
        <v>2058</v>
      </c>
      <c r="O904">
        <v>1</v>
      </c>
      <c r="P904">
        <v>5.35</v>
      </c>
    </row>
    <row r="905" spans="4:16" x14ac:dyDescent="0.25">
      <c r="D905" t="s">
        <v>2059</v>
      </c>
      <c r="E905" t="s">
        <v>135</v>
      </c>
      <c r="F905" t="s">
        <v>379</v>
      </c>
      <c r="G905" t="s">
        <v>1964</v>
      </c>
      <c r="H905" t="s">
        <v>1218</v>
      </c>
      <c r="I905" s="13">
        <v>43222</v>
      </c>
      <c r="J905">
        <v>5</v>
      </c>
      <c r="K905" t="s">
        <v>177</v>
      </c>
      <c r="L905" t="s">
        <v>139</v>
      </c>
      <c r="M905" t="s">
        <v>1189</v>
      </c>
      <c r="N905" t="s">
        <v>2060</v>
      </c>
      <c r="O905">
        <v>1</v>
      </c>
      <c r="P905">
        <v>5.35</v>
      </c>
    </row>
    <row r="906" spans="4:16" x14ac:dyDescent="0.25">
      <c r="D906" t="s">
        <v>2061</v>
      </c>
      <c r="E906" t="s">
        <v>135</v>
      </c>
      <c r="F906" t="s">
        <v>379</v>
      </c>
      <c r="G906" t="s">
        <v>782</v>
      </c>
      <c r="H906" t="s">
        <v>1218</v>
      </c>
      <c r="I906" s="13">
        <v>43227</v>
      </c>
      <c r="J906">
        <v>5</v>
      </c>
      <c r="K906" t="s">
        <v>177</v>
      </c>
      <c r="L906" t="s">
        <v>139</v>
      </c>
      <c r="M906" t="s">
        <v>154</v>
      </c>
      <c r="N906" t="s">
        <v>2062</v>
      </c>
      <c r="O906">
        <v>1</v>
      </c>
      <c r="P906">
        <v>5.34</v>
      </c>
    </row>
    <row r="907" spans="4:16" x14ac:dyDescent="0.25">
      <c r="D907" t="s">
        <v>2063</v>
      </c>
      <c r="E907" t="s">
        <v>135</v>
      </c>
      <c r="F907" t="s">
        <v>379</v>
      </c>
      <c r="G907" t="s">
        <v>782</v>
      </c>
      <c r="H907" t="s">
        <v>1218</v>
      </c>
      <c r="I907" s="13">
        <v>43236</v>
      </c>
      <c r="J907">
        <v>5</v>
      </c>
      <c r="K907" t="s">
        <v>177</v>
      </c>
      <c r="L907" t="s">
        <v>139</v>
      </c>
      <c r="M907" t="s">
        <v>386</v>
      </c>
      <c r="N907" t="s">
        <v>2064</v>
      </c>
      <c r="O907">
        <v>1</v>
      </c>
      <c r="P907">
        <v>5.31</v>
      </c>
    </row>
    <row r="908" spans="4:16" x14ac:dyDescent="0.25">
      <c r="D908" t="s">
        <v>2065</v>
      </c>
      <c r="E908" t="s">
        <v>135</v>
      </c>
      <c r="F908" t="s">
        <v>2002</v>
      </c>
      <c r="G908" t="s">
        <v>1917</v>
      </c>
      <c r="H908" t="s">
        <v>1218</v>
      </c>
      <c r="I908" s="13">
        <v>43236</v>
      </c>
      <c r="J908">
        <v>5</v>
      </c>
      <c r="K908" t="s">
        <v>177</v>
      </c>
      <c r="L908" t="s">
        <v>139</v>
      </c>
      <c r="M908" t="s">
        <v>913</v>
      </c>
      <c r="N908" t="s">
        <v>2066</v>
      </c>
      <c r="O908">
        <v>1</v>
      </c>
      <c r="P908">
        <v>5.31</v>
      </c>
    </row>
    <row r="909" spans="4:16" x14ac:dyDescent="0.25">
      <c r="D909" t="s">
        <v>2067</v>
      </c>
      <c r="E909" t="s">
        <v>135</v>
      </c>
      <c r="F909" t="s">
        <v>379</v>
      </c>
      <c r="G909" t="s">
        <v>1964</v>
      </c>
      <c r="H909" t="s">
        <v>1218</v>
      </c>
      <c r="I909" s="13">
        <v>43236</v>
      </c>
      <c r="J909">
        <v>5</v>
      </c>
      <c r="K909" t="s">
        <v>177</v>
      </c>
      <c r="L909" t="s">
        <v>139</v>
      </c>
      <c r="M909" t="s">
        <v>1189</v>
      </c>
      <c r="N909" t="s">
        <v>2068</v>
      </c>
      <c r="O909">
        <v>1</v>
      </c>
      <c r="P909">
        <v>5.31</v>
      </c>
    </row>
    <row r="910" spans="4:16" x14ac:dyDescent="0.25">
      <c r="D910" t="s">
        <v>2069</v>
      </c>
      <c r="E910" t="s">
        <v>135</v>
      </c>
      <c r="F910" t="s">
        <v>379</v>
      </c>
      <c r="G910" t="s">
        <v>1964</v>
      </c>
      <c r="H910" t="s">
        <v>1218</v>
      </c>
      <c r="I910" s="13">
        <v>43236</v>
      </c>
      <c r="J910">
        <v>5</v>
      </c>
      <c r="K910" t="s">
        <v>177</v>
      </c>
      <c r="L910" t="s">
        <v>139</v>
      </c>
      <c r="M910" t="s">
        <v>982</v>
      </c>
      <c r="N910" t="s">
        <v>2070</v>
      </c>
      <c r="O910">
        <v>1</v>
      </c>
      <c r="P910">
        <v>5.31</v>
      </c>
    </row>
    <row r="911" spans="4:16" x14ac:dyDescent="0.25">
      <c r="D911" t="s">
        <v>2071</v>
      </c>
      <c r="E911" t="s">
        <v>135</v>
      </c>
      <c r="F911" t="s">
        <v>379</v>
      </c>
      <c r="G911" t="s">
        <v>1964</v>
      </c>
      <c r="H911" t="s">
        <v>1218</v>
      </c>
      <c r="I911" s="13">
        <v>43236</v>
      </c>
      <c r="J911">
        <v>5</v>
      </c>
      <c r="K911" t="s">
        <v>177</v>
      </c>
      <c r="L911" t="s">
        <v>139</v>
      </c>
      <c r="M911" t="s">
        <v>1189</v>
      </c>
      <c r="N911" t="s">
        <v>2072</v>
      </c>
      <c r="O911">
        <v>1</v>
      </c>
      <c r="P911">
        <v>5.31</v>
      </c>
    </row>
    <row r="912" spans="4:16" x14ac:dyDescent="0.25">
      <c r="D912" t="s">
        <v>2073</v>
      </c>
      <c r="E912" t="s">
        <v>135</v>
      </c>
      <c r="F912" t="s">
        <v>379</v>
      </c>
      <c r="G912" t="s">
        <v>1964</v>
      </c>
      <c r="H912" t="s">
        <v>1218</v>
      </c>
      <c r="I912" s="13">
        <v>43236</v>
      </c>
      <c r="J912">
        <v>5</v>
      </c>
      <c r="K912" t="s">
        <v>177</v>
      </c>
      <c r="L912" t="s">
        <v>139</v>
      </c>
      <c r="M912" t="s">
        <v>1189</v>
      </c>
      <c r="N912" t="s">
        <v>2074</v>
      </c>
      <c r="O912">
        <v>1</v>
      </c>
      <c r="P912">
        <v>5.31</v>
      </c>
    </row>
    <row r="913" spans="4:16" x14ac:dyDescent="0.25">
      <c r="D913" t="s">
        <v>2075</v>
      </c>
      <c r="E913" t="s">
        <v>135</v>
      </c>
      <c r="F913" t="s">
        <v>379</v>
      </c>
      <c r="G913" t="s">
        <v>1964</v>
      </c>
      <c r="H913" t="s">
        <v>1218</v>
      </c>
      <c r="I913" s="13">
        <v>43236</v>
      </c>
      <c r="J913">
        <v>5</v>
      </c>
      <c r="K913" t="s">
        <v>177</v>
      </c>
      <c r="L913" t="s">
        <v>139</v>
      </c>
      <c r="M913" t="s">
        <v>490</v>
      </c>
      <c r="N913" t="s">
        <v>2076</v>
      </c>
      <c r="O913">
        <v>1</v>
      </c>
      <c r="P913">
        <v>5.31</v>
      </c>
    </row>
    <row r="914" spans="4:16" x14ac:dyDescent="0.25">
      <c r="D914" t="s">
        <v>2077</v>
      </c>
      <c r="E914" t="s">
        <v>135</v>
      </c>
      <c r="F914" t="s">
        <v>379</v>
      </c>
      <c r="G914" t="s">
        <v>1964</v>
      </c>
      <c r="H914" t="s">
        <v>1218</v>
      </c>
      <c r="I914" s="13">
        <v>43236</v>
      </c>
      <c r="J914">
        <v>5</v>
      </c>
      <c r="K914" t="s">
        <v>177</v>
      </c>
      <c r="L914" t="s">
        <v>139</v>
      </c>
      <c r="M914" t="s">
        <v>490</v>
      </c>
      <c r="N914" t="s">
        <v>2078</v>
      </c>
      <c r="O914">
        <v>1</v>
      </c>
      <c r="P914">
        <v>5.31</v>
      </c>
    </row>
    <row r="915" spans="4:16" x14ac:dyDescent="0.25">
      <c r="D915" t="s">
        <v>2079</v>
      </c>
      <c r="E915" t="s">
        <v>135</v>
      </c>
      <c r="F915" t="s">
        <v>379</v>
      </c>
      <c r="G915" t="s">
        <v>1964</v>
      </c>
      <c r="H915" t="s">
        <v>1218</v>
      </c>
      <c r="I915" s="13">
        <v>43236</v>
      </c>
      <c r="J915">
        <v>5</v>
      </c>
      <c r="K915" t="s">
        <v>177</v>
      </c>
      <c r="L915" t="s">
        <v>139</v>
      </c>
      <c r="M915" t="s">
        <v>1189</v>
      </c>
      <c r="N915" t="s">
        <v>2080</v>
      </c>
      <c r="O915">
        <v>1</v>
      </c>
      <c r="P915">
        <v>5.31</v>
      </c>
    </row>
    <row r="916" spans="4:16" x14ac:dyDescent="0.25">
      <c r="D916" t="s">
        <v>2081</v>
      </c>
      <c r="E916" t="s">
        <v>135</v>
      </c>
      <c r="F916" t="s">
        <v>656</v>
      </c>
      <c r="G916" t="s">
        <v>1382</v>
      </c>
      <c r="H916" t="s">
        <v>1218</v>
      </c>
      <c r="I916" s="13">
        <v>43242</v>
      </c>
      <c r="J916">
        <v>5</v>
      </c>
      <c r="K916" t="s">
        <v>177</v>
      </c>
      <c r="L916" t="s">
        <v>139</v>
      </c>
      <c r="M916" t="s">
        <v>193</v>
      </c>
      <c r="N916" t="s">
        <v>2082</v>
      </c>
      <c r="O916">
        <v>1</v>
      </c>
      <c r="P916">
        <v>5.3</v>
      </c>
    </row>
    <row r="917" spans="4:16" x14ac:dyDescent="0.25">
      <c r="D917" t="s">
        <v>2083</v>
      </c>
      <c r="E917" t="s">
        <v>135</v>
      </c>
      <c r="F917" t="s">
        <v>656</v>
      </c>
      <c r="G917" t="s">
        <v>1382</v>
      </c>
      <c r="H917" t="s">
        <v>1218</v>
      </c>
      <c r="I917" s="13">
        <v>43242</v>
      </c>
      <c r="J917">
        <v>5</v>
      </c>
      <c r="K917" t="s">
        <v>177</v>
      </c>
      <c r="L917" t="s">
        <v>139</v>
      </c>
      <c r="M917" t="s">
        <v>193</v>
      </c>
      <c r="N917" t="s">
        <v>2084</v>
      </c>
      <c r="O917">
        <v>1</v>
      </c>
      <c r="P917">
        <v>5.3</v>
      </c>
    </row>
    <row r="918" spans="4:16" x14ac:dyDescent="0.25">
      <c r="D918" t="s">
        <v>2085</v>
      </c>
      <c r="E918" t="s">
        <v>135</v>
      </c>
      <c r="F918" t="s">
        <v>2086</v>
      </c>
      <c r="G918" t="s">
        <v>2087</v>
      </c>
      <c r="H918" t="s">
        <v>1218</v>
      </c>
      <c r="I918" s="13">
        <v>43244</v>
      </c>
      <c r="J918">
        <v>5</v>
      </c>
      <c r="K918" t="s">
        <v>177</v>
      </c>
      <c r="L918" t="s">
        <v>139</v>
      </c>
      <c r="M918" t="s">
        <v>712</v>
      </c>
      <c r="N918" t="s">
        <v>2088</v>
      </c>
      <c r="O918">
        <v>1</v>
      </c>
      <c r="P918">
        <v>5.29</v>
      </c>
    </row>
    <row r="919" spans="4:16" x14ac:dyDescent="0.25">
      <c r="D919" t="s">
        <v>2089</v>
      </c>
      <c r="E919" t="s">
        <v>135</v>
      </c>
      <c r="F919" t="s">
        <v>656</v>
      </c>
      <c r="G919" t="s">
        <v>1382</v>
      </c>
      <c r="H919" t="s">
        <v>1218</v>
      </c>
      <c r="I919" s="13">
        <v>43243</v>
      </c>
      <c r="J919">
        <v>5</v>
      </c>
      <c r="K919" t="s">
        <v>177</v>
      </c>
      <c r="L919" t="s">
        <v>139</v>
      </c>
      <c r="M919" t="s">
        <v>216</v>
      </c>
      <c r="N919" t="s">
        <v>2090</v>
      </c>
      <c r="O919">
        <v>1</v>
      </c>
      <c r="P919">
        <v>5.29</v>
      </c>
    </row>
    <row r="920" spans="4:16" x14ac:dyDescent="0.25">
      <c r="D920" t="s">
        <v>2091</v>
      </c>
      <c r="E920" t="s">
        <v>135</v>
      </c>
      <c r="F920" t="s">
        <v>379</v>
      </c>
      <c r="G920" t="s">
        <v>782</v>
      </c>
      <c r="H920" t="s">
        <v>1218</v>
      </c>
      <c r="I920" s="13">
        <v>43255</v>
      </c>
      <c r="J920">
        <v>5</v>
      </c>
      <c r="K920" t="s">
        <v>177</v>
      </c>
      <c r="L920" t="s">
        <v>139</v>
      </c>
      <c r="M920" t="s">
        <v>154</v>
      </c>
      <c r="N920" t="s">
        <v>2092</v>
      </c>
      <c r="O920">
        <v>1</v>
      </c>
      <c r="P920">
        <v>5.26</v>
      </c>
    </row>
    <row r="921" spans="4:16" x14ac:dyDescent="0.25">
      <c r="D921" t="s">
        <v>2093</v>
      </c>
      <c r="E921" t="s">
        <v>135</v>
      </c>
      <c r="F921" t="s">
        <v>379</v>
      </c>
      <c r="G921" t="s">
        <v>782</v>
      </c>
      <c r="H921" t="s">
        <v>1218</v>
      </c>
      <c r="I921" s="13">
        <v>43255</v>
      </c>
      <c r="J921">
        <v>5</v>
      </c>
      <c r="K921" t="s">
        <v>177</v>
      </c>
      <c r="L921" t="s">
        <v>139</v>
      </c>
      <c r="M921" t="s">
        <v>165</v>
      </c>
      <c r="N921" t="s">
        <v>2094</v>
      </c>
      <c r="O921">
        <v>1</v>
      </c>
      <c r="P921">
        <v>5.26</v>
      </c>
    </row>
    <row r="922" spans="4:16" x14ac:dyDescent="0.25">
      <c r="D922" t="s">
        <v>2095</v>
      </c>
      <c r="E922" t="s">
        <v>135</v>
      </c>
      <c r="F922" t="s">
        <v>379</v>
      </c>
      <c r="G922" t="s">
        <v>782</v>
      </c>
      <c r="H922" t="s">
        <v>1218</v>
      </c>
      <c r="I922" s="13">
        <v>43255</v>
      </c>
      <c r="J922">
        <v>5</v>
      </c>
      <c r="K922" t="s">
        <v>177</v>
      </c>
      <c r="L922" t="s">
        <v>139</v>
      </c>
      <c r="M922" t="s">
        <v>165</v>
      </c>
      <c r="N922" t="s">
        <v>2096</v>
      </c>
      <c r="O922">
        <v>1</v>
      </c>
      <c r="P922">
        <v>5.26</v>
      </c>
    </row>
    <row r="923" spans="4:16" x14ac:dyDescent="0.25">
      <c r="D923" t="s">
        <v>2097</v>
      </c>
      <c r="E923" t="s">
        <v>135</v>
      </c>
      <c r="F923" t="s">
        <v>1679</v>
      </c>
      <c r="G923" t="s">
        <v>1676</v>
      </c>
      <c r="H923" t="s">
        <v>1218</v>
      </c>
      <c r="I923" s="13">
        <v>43257</v>
      </c>
      <c r="J923">
        <v>5</v>
      </c>
      <c r="K923" t="s">
        <v>177</v>
      </c>
      <c r="L923" t="s">
        <v>139</v>
      </c>
      <c r="M923" t="s">
        <v>785</v>
      </c>
      <c r="N923" t="s">
        <v>2098</v>
      </c>
      <c r="O923">
        <v>1</v>
      </c>
      <c r="P923">
        <v>5.26</v>
      </c>
    </row>
    <row r="924" spans="4:16" x14ac:dyDescent="0.25">
      <c r="D924" t="s">
        <v>2099</v>
      </c>
      <c r="E924" t="s">
        <v>135</v>
      </c>
      <c r="F924" t="s">
        <v>379</v>
      </c>
      <c r="G924" t="s">
        <v>2100</v>
      </c>
      <c r="H924" t="s">
        <v>1218</v>
      </c>
      <c r="I924" s="13">
        <v>43263</v>
      </c>
      <c r="J924">
        <v>5</v>
      </c>
      <c r="K924" t="s">
        <v>177</v>
      </c>
      <c r="L924" t="s">
        <v>139</v>
      </c>
      <c r="M924" t="s">
        <v>268</v>
      </c>
      <c r="N924" t="s">
        <v>2101</v>
      </c>
      <c r="O924">
        <v>1</v>
      </c>
      <c r="P924">
        <v>5.24</v>
      </c>
    </row>
    <row r="925" spans="4:16" x14ac:dyDescent="0.25">
      <c r="D925" t="s">
        <v>2102</v>
      </c>
      <c r="E925" t="s">
        <v>135</v>
      </c>
      <c r="F925" t="s">
        <v>379</v>
      </c>
      <c r="G925" t="s">
        <v>1964</v>
      </c>
      <c r="H925" t="s">
        <v>1218</v>
      </c>
      <c r="I925" s="13">
        <v>43263</v>
      </c>
      <c r="J925">
        <v>5</v>
      </c>
      <c r="K925" t="s">
        <v>177</v>
      </c>
      <c r="L925" t="s">
        <v>139</v>
      </c>
      <c r="M925" t="s">
        <v>1189</v>
      </c>
      <c r="N925" t="s">
        <v>2103</v>
      </c>
      <c r="O925">
        <v>1</v>
      </c>
      <c r="P925">
        <v>5.24</v>
      </c>
    </row>
    <row r="926" spans="4:16" x14ac:dyDescent="0.25">
      <c r="D926" t="s">
        <v>2104</v>
      </c>
      <c r="E926" t="s">
        <v>135</v>
      </c>
      <c r="F926" t="s">
        <v>379</v>
      </c>
      <c r="G926" t="s">
        <v>1917</v>
      </c>
      <c r="H926" t="s">
        <v>1218</v>
      </c>
      <c r="I926" s="13">
        <v>43267</v>
      </c>
      <c r="J926">
        <v>5</v>
      </c>
      <c r="K926" t="s">
        <v>177</v>
      </c>
      <c r="L926" t="s">
        <v>139</v>
      </c>
      <c r="M926" t="s">
        <v>146</v>
      </c>
      <c r="N926" t="s">
        <v>2105</v>
      </c>
      <c r="O926">
        <v>1</v>
      </c>
      <c r="P926">
        <v>5.23</v>
      </c>
    </row>
    <row r="927" spans="4:16" x14ac:dyDescent="0.25">
      <c r="D927" t="s">
        <v>2106</v>
      </c>
      <c r="E927" t="s">
        <v>135</v>
      </c>
      <c r="F927" t="s">
        <v>379</v>
      </c>
      <c r="G927" t="s">
        <v>1964</v>
      </c>
      <c r="H927" t="s">
        <v>1218</v>
      </c>
      <c r="I927" s="13">
        <v>43269</v>
      </c>
      <c r="J927">
        <v>5</v>
      </c>
      <c r="K927" t="s">
        <v>177</v>
      </c>
      <c r="L927" t="s">
        <v>139</v>
      </c>
      <c r="M927" t="s">
        <v>1189</v>
      </c>
      <c r="N927" t="s">
        <v>2107</v>
      </c>
      <c r="O927">
        <v>1</v>
      </c>
      <c r="P927">
        <v>5.22</v>
      </c>
    </row>
    <row r="928" spans="4:16" x14ac:dyDescent="0.25">
      <c r="D928" t="s">
        <v>2108</v>
      </c>
      <c r="E928" t="s">
        <v>135</v>
      </c>
      <c r="F928" t="s">
        <v>656</v>
      </c>
      <c r="G928" t="s">
        <v>1382</v>
      </c>
      <c r="H928" t="s">
        <v>1218</v>
      </c>
      <c r="I928" s="13">
        <v>43279</v>
      </c>
      <c r="J928">
        <v>5</v>
      </c>
      <c r="K928" t="s">
        <v>177</v>
      </c>
      <c r="L928" t="s">
        <v>139</v>
      </c>
      <c r="M928" t="s">
        <v>216</v>
      </c>
      <c r="N928" t="s">
        <v>2109</v>
      </c>
      <c r="O928">
        <v>1</v>
      </c>
      <c r="P928">
        <v>5.2</v>
      </c>
    </row>
    <row r="929" spans="4:16" x14ac:dyDescent="0.25">
      <c r="D929" t="s">
        <v>2110</v>
      </c>
      <c r="E929" t="s">
        <v>135</v>
      </c>
      <c r="F929" t="s">
        <v>656</v>
      </c>
      <c r="G929" t="s">
        <v>1382</v>
      </c>
      <c r="H929" t="s">
        <v>1218</v>
      </c>
      <c r="I929" s="13">
        <v>43279</v>
      </c>
      <c r="J929">
        <v>5</v>
      </c>
      <c r="K929" t="s">
        <v>177</v>
      </c>
      <c r="L929" t="s">
        <v>139</v>
      </c>
      <c r="M929" t="s">
        <v>207</v>
      </c>
      <c r="N929" t="s">
        <v>2111</v>
      </c>
      <c r="O929">
        <v>1</v>
      </c>
      <c r="P929">
        <v>5.2</v>
      </c>
    </row>
    <row r="930" spans="4:16" x14ac:dyDescent="0.25">
      <c r="D930" t="s">
        <v>2112</v>
      </c>
      <c r="E930" t="s">
        <v>135</v>
      </c>
      <c r="F930" t="s">
        <v>379</v>
      </c>
      <c r="G930" t="s">
        <v>782</v>
      </c>
      <c r="H930" t="s">
        <v>1218</v>
      </c>
      <c r="I930" s="13">
        <v>43276</v>
      </c>
      <c r="J930">
        <v>5</v>
      </c>
      <c r="K930" t="s">
        <v>177</v>
      </c>
      <c r="L930" t="s">
        <v>139</v>
      </c>
      <c r="M930" t="s">
        <v>240</v>
      </c>
      <c r="N930" t="s">
        <v>2113</v>
      </c>
      <c r="O930">
        <v>1</v>
      </c>
      <c r="P930">
        <v>5.2</v>
      </c>
    </row>
    <row r="931" spans="4:16" x14ac:dyDescent="0.25">
      <c r="D931" t="s">
        <v>2114</v>
      </c>
      <c r="E931" t="s">
        <v>135</v>
      </c>
      <c r="F931" t="s">
        <v>379</v>
      </c>
      <c r="G931" t="s">
        <v>782</v>
      </c>
      <c r="H931" t="s">
        <v>1218</v>
      </c>
      <c r="I931" s="13">
        <v>43278</v>
      </c>
      <c r="J931">
        <v>5</v>
      </c>
      <c r="K931" t="s">
        <v>177</v>
      </c>
      <c r="L931" t="s">
        <v>139</v>
      </c>
      <c r="M931" t="s">
        <v>421</v>
      </c>
      <c r="N931" t="s">
        <v>2115</v>
      </c>
      <c r="O931">
        <v>1</v>
      </c>
      <c r="P931">
        <v>5.2</v>
      </c>
    </row>
    <row r="932" spans="4:16" x14ac:dyDescent="0.25">
      <c r="D932" t="s">
        <v>2116</v>
      </c>
      <c r="E932" t="s">
        <v>135</v>
      </c>
      <c r="F932" t="s">
        <v>379</v>
      </c>
      <c r="G932" t="s">
        <v>2047</v>
      </c>
      <c r="H932" t="s">
        <v>1218</v>
      </c>
      <c r="I932" s="13">
        <v>43286</v>
      </c>
      <c r="J932">
        <v>5</v>
      </c>
      <c r="K932" t="s">
        <v>177</v>
      </c>
      <c r="L932" t="s">
        <v>139</v>
      </c>
      <c r="M932" t="s">
        <v>227</v>
      </c>
      <c r="N932" t="s">
        <v>2117</v>
      </c>
      <c r="O932">
        <v>1</v>
      </c>
      <c r="P932">
        <v>5.18</v>
      </c>
    </row>
    <row r="933" spans="4:16" x14ac:dyDescent="0.25">
      <c r="D933" t="s">
        <v>2118</v>
      </c>
      <c r="E933" t="s">
        <v>135</v>
      </c>
      <c r="F933" t="s">
        <v>379</v>
      </c>
      <c r="G933" t="s">
        <v>2119</v>
      </c>
      <c r="H933" t="s">
        <v>1218</v>
      </c>
      <c r="I933" s="13">
        <v>43286</v>
      </c>
      <c r="J933">
        <v>5</v>
      </c>
      <c r="K933" t="s">
        <v>177</v>
      </c>
      <c r="L933" t="s">
        <v>139</v>
      </c>
      <c r="M933" t="s">
        <v>227</v>
      </c>
      <c r="N933" t="s">
        <v>2120</v>
      </c>
      <c r="O933">
        <v>1</v>
      </c>
      <c r="P933">
        <v>5.18</v>
      </c>
    </row>
    <row r="934" spans="4:16" x14ac:dyDescent="0.25">
      <c r="D934" t="s">
        <v>2121</v>
      </c>
      <c r="E934" t="s">
        <v>135</v>
      </c>
      <c r="F934" t="s">
        <v>379</v>
      </c>
      <c r="G934" t="s">
        <v>782</v>
      </c>
      <c r="H934" t="s">
        <v>1218</v>
      </c>
      <c r="I934" s="13">
        <v>43286</v>
      </c>
      <c r="J934">
        <v>5</v>
      </c>
      <c r="K934" t="s">
        <v>177</v>
      </c>
      <c r="L934" t="s">
        <v>139</v>
      </c>
      <c r="M934" t="s">
        <v>421</v>
      </c>
      <c r="N934" t="s">
        <v>2122</v>
      </c>
      <c r="O934">
        <v>1</v>
      </c>
      <c r="P934">
        <v>5.18</v>
      </c>
    </row>
    <row r="935" spans="4:16" x14ac:dyDescent="0.25">
      <c r="D935" t="s">
        <v>2123</v>
      </c>
      <c r="E935" t="s">
        <v>135</v>
      </c>
      <c r="F935" t="s">
        <v>149</v>
      </c>
      <c r="G935" t="s">
        <v>2124</v>
      </c>
      <c r="H935" t="s">
        <v>1218</v>
      </c>
      <c r="I935" s="13">
        <v>43290</v>
      </c>
      <c r="J935">
        <v>5</v>
      </c>
      <c r="K935" t="s">
        <v>177</v>
      </c>
      <c r="L935" t="s">
        <v>139</v>
      </c>
      <c r="M935" t="s">
        <v>856</v>
      </c>
      <c r="N935" t="s">
        <v>2125</v>
      </c>
      <c r="O935">
        <v>1</v>
      </c>
      <c r="P935">
        <v>5.16</v>
      </c>
    </row>
    <row r="936" spans="4:16" x14ac:dyDescent="0.25">
      <c r="D936" t="s">
        <v>2126</v>
      </c>
      <c r="E936" t="s">
        <v>135</v>
      </c>
      <c r="F936" t="s">
        <v>656</v>
      </c>
      <c r="G936" t="s">
        <v>1382</v>
      </c>
      <c r="H936" t="s">
        <v>1218</v>
      </c>
      <c r="I936" s="13">
        <v>43298</v>
      </c>
      <c r="J936">
        <v>5</v>
      </c>
      <c r="K936" t="s">
        <v>177</v>
      </c>
      <c r="L936" t="s">
        <v>139</v>
      </c>
      <c r="M936" t="s">
        <v>216</v>
      </c>
      <c r="N936" t="s">
        <v>2127</v>
      </c>
      <c r="O936">
        <v>1</v>
      </c>
      <c r="P936">
        <v>5.14</v>
      </c>
    </row>
    <row r="937" spans="4:16" x14ac:dyDescent="0.25">
      <c r="D937" t="s">
        <v>2128</v>
      </c>
      <c r="E937" t="s">
        <v>135</v>
      </c>
      <c r="F937" t="s">
        <v>656</v>
      </c>
      <c r="G937" t="s">
        <v>1382</v>
      </c>
      <c r="H937" t="s">
        <v>1218</v>
      </c>
      <c r="I937" s="13">
        <v>43300</v>
      </c>
      <c r="J937">
        <v>5</v>
      </c>
      <c r="K937" t="s">
        <v>177</v>
      </c>
      <c r="L937" t="s">
        <v>139</v>
      </c>
      <c r="M937" t="s">
        <v>207</v>
      </c>
      <c r="N937" t="s">
        <v>2129</v>
      </c>
      <c r="O937">
        <v>1</v>
      </c>
      <c r="P937">
        <v>5.14</v>
      </c>
    </row>
    <row r="938" spans="4:16" x14ac:dyDescent="0.25">
      <c r="D938" t="s">
        <v>2130</v>
      </c>
      <c r="E938" t="s">
        <v>135</v>
      </c>
      <c r="F938" t="s">
        <v>656</v>
      </c>
      <c r="G938" t="s">
        <v>1382</v>
      </c>
      <c r="H938" t="s">
        <v>1218</v>
      </c>
      <c r="I938" s="13">
        <v>43300</v>
      </c>
      <c r="J938">
        <v>5</v>
      </c>
      <c r="K938" t="s">
        <v>177</v>
      </c>
      <c r="L938" t="s">
        <v>139</v>
      </c>
      <c r="M938" t="s">
        <v>207</v>
      </c>
      <c r="N938" t="s">
        <v>2131</v>
      </c>
      <c r="O938">
        <v>1</v>
      </c>
      <c r="P938">
        <v>5.14</v>
      </c>
    </row>
    <row r="939" spans="4:16" x14ac:dyDescent="0.25">
      <c r="D939" t="s">
        <v>2132</v>
      </c>
      <c r="E939" t="s">
        <v>135</v>
      </c>
      <c r="F939" t="s">
        <v>656</v>
      </c>
      <c r="G939" t="s">
        <v>1382</v>
      </c>
      <c r="H939" t="s">
        <v>1218</v>
      </c>
      <c r="I939" s="13">
        <v>43300</v>
      </c>
      <c r="J939">
        <v>5</v>
      </c>
      <c r="K939" t="s">
        <v>177</v>
      </c>
      <c r="L939" t="s">
        <v>139</v>
      </c>
      <c r="M939" t="s">
        <v>207</v>
      </c>
      <c r="N939" t="s">
        <v>2133</v>
      </c>
      <c r="O939">
        <v>1</v>
      </c>
      <c r="P939">
        <v>5.14</v>
      </c>
    </row>
    <row r="940" spans="4:16" x14ac:dyDescent="0.25">
      <c r="D940" t="s">
        <v>2134</v>
      </c>
      <c r="E940" t="s">
        <v>135</v>
      </c>
      <c r="F940" t="s">
        <v>656</v>
      </c>
      <c r="G940" t="s">
        <v>1382</v>
      </c>
      <c r="H940" t="s">
        <v>1218</v>
      </c>
      <c r="I940" s="13">
        <v>43301</v>
      </c>
      <c r="J940">
        <v>5</v>
      </c>
      <c r="K940" t="s">
        <v>177</v>
      </c>
      <c r="L940" t="s">
        <v>139</v>
      </c>
      <c r="M940" t="s">
        <v>189</v>
      </c>
      <c r="N940" t="s">
        <v>2135</v>
      </c>
      <c r="O940">
        <v>1</v>
      </c>
      <c r="P940">
        <v>5.13</v>
      </c>
    </row>
    <row r="941" spans="4:16" hidden="1" x14ac:dyDescent="0.25">
      <c r="D941" t="s">
        <v>2136</v>
      </c>
      <c r="E941" t="s">
        <v>135</v>
      </c>
      <c r="F941" t="s">
        <v>1850</v>
      </c>
      <c r="G941" t="s">
        <v>2137</v>
      </c>
      <c r="H941" t="s">
        <v>3641</v>
      </c>
      <c r="I941" s="13">
        <v>43305</v>
      </c>
      <c r="J941">
        <v>5</v>
      </c>
      <c r="K941" t="s">
        <v>177</v>
      </c>
      <c r="L941" t="s">
        <v>139</v>
      </c>
      <c r="M941" t="s">
        <v>398</v>
      </c>
      <c r="N941" t="s">
        <v>2138</v>
      </c>
      <c r="O941">
        <v>1</v>
      </c>
      <c r="P941">
        <v>5.12</v>
      </c>
    </row>
    <row r="942" spans="4:16" hidden="1" x14ac:dyDescent="0.25">
      <c r="D942" t="s">
        <v>2139</v>
      </c>
      <c r="E942" t="s">
        <v>135</v>
      </c>
      <c r="F942" t="s">
        <v>1850</v>
      </c>
      <c r="G942" t="s">
        <v>2137</v>
      </c>
      <c r="H942" t="s">
        <v>3641</v>
      </c>
      <c r="I942" s="13">
        <v>43305</v>
      </c>
      <c r="J942">
        <v>5</v>
      </c>
      <c r="K942" t="s">
        <v>177</v>
      </c>
      <c r="L942" t="s">
        <v>139</v>
      </c>
      <c r="M942" t="s">
        <v>398</v>
      </c>
      <c r="N942" t="s">
        <v>2140</v>
      </c>
      <c r="O942">
        <v>1</v>
      </c>
      <c r="P942">
        <v>5.12</v>
      </c>
    </row>
    <row r="943" spans="4:16" x14ac:dyDescent="0.25">
      <c r="D943" t="s">
        <v>2141</v>
      </c>
      <c r="E943" t="s">
        <v>135</v>
      </c>
      <c r="F943" t="s">
        <v>379</v>
      </c>
      <c r="G943" t="s">
        <v>1964</v>
      </c>
      <c r="H943" t="s">
        <v>1218</v>
      </c>
      <c r="I943" s="13">
        <v>43311</v>
      </c>
      <c r="J943">
        <v>5</v>
      </c>
      <c r="K943" t="s">
        <v>177</v>
      </c>
      <c r="L943" t="s">
        <v>139</v>
      </c>
      <c r="M943" t="s">
        <v>1189</v>
      </c>
      <c r="N943" t="s">
        <v>2142</v>
      </c>
      <c r="O943">
        <v>1</v>
      </c>
      <c r="P943">
        <v>5.1100000000000003</v>
      </c>
    </row>
    <row r="944" spans="4:16" x14ac:dyDescent="0.25">
      <c r="D944" t="s">
        <v>2143</v>
      </c>
      <c r="E944" t="s">
        <v>135</v>
      </c>
      <c r="F944" t="s">
        <v>379</v>
      </c>
      <c r="G944" t="s">
        <v>1964</v>
      </c>
      <c r="H944" t="s">
        <v>1218</v>
      </c>
      <c r="I944" s="13">
        <v>43311</v>
      </c>
      <c r="J944">
        <v>5</v>
      </c>
      <c r="K944" t="s">
        <v>177</v>
      </c>
      <c r="L944" t="s">
        <v>139</v>
      </c>
      <c r="M944" t="s">
        <v>1189</v>
      </c>
      <c r="N944" t="s">
        <v>2144</v>
      </c>
      <c r="O944">
        <v>1</v>
      </c>
      <c r="P944">
        <v>5.1100000000000003</v>
      </c>
    </row>
    <row r="945" spans="4:16" x14ac:dyDescent="0.25">
      <c r="D945" t="s">
        <v>2145</v>
      </c>
      <c r="E945" t="s">
        <v>135</v>
      </c>
      <c r="F945" t="s">
        <v>379</v>
      </c>
      <c r="G945" t="s">
        <v>1964</v>
      </c>
      <c r="H945" t="s">
        <v>1218</v>
      </c>
      <c r="I945" s="13">
        <v>43311</v>
      </c>
      <c r="J945">
        <v>5</v>
      </c>
      <c r="K945" t="s">
        <v>177</v>
      </c>
      <c r="L945" t="s">
        <v>139</v>
      </c>
      <c r="M945" t="s">
        <v>1189</v>
      </c>
      <c r="N945" t="s">
        <v>2146</v>
      </c>
      <c r="O945">
        <v>1</v>
      </c>
      <c r="P945">
        <v>5.1100000000000003</v>
      </c>
    </row>
    <row r="946" spans="4:16" x14ac:dyDescent="0.25">
      <c r="D946" t="s">
        <v>2147</v>
      </c>
      <c r="E946" t="s">
        <v>135</v>
      </c>
      <c r="F946" t="s">
        <v>379</v>
      </c>
      <c r="G946" t="s">
        <v>1964</v>
      </c>
      <c r="H946" t="s">
        <v>1218</v>
      </c>
      <c r="I946" s="13">
        <v>43311</v>
      </c>
      <c r="J946">
        <v>5</v>
      </c>
      <c r="K946" t="s">
        <v>177</v>
      </c>
      <c r="L946" t="s">
        <v>139</v>
      </c>
      <c r="M946" t="s">
        <v>1189</v>
      </c>
      <c r="N946" t="s">
        <v>2148</v>
      </c>
      <c r="O946">
        <v>1</v>
      </c>
      <c r="P946">
        <v>5.1100000000000003</v>
      </c>
    </row>
    <row r="947" spans="4:16" x14ac:dyDescent="0.25">
      <c r="D947" t="s">
        <v>2149</v>
      </c>
      <c r="E947" t="s">
        <v>135</v>
      </c>
      <c r="F947" t="s">
        <v>1679</v>
      </c>
      <c r="G947" t="s">
        <v>1676</v>
      </c>
      <c r="H947" t="s">
        <v>1218</v>
      </c>
      <c r="I947" s="13">
        <v>43339</v>
      </c>
      <c r="J947">
        <v>5</v>
      </c>
      <c r="K947" t="s">
        <v>177</v>
      </c>
      <c r="L947" t="s">
        <v>139</v>
      </c>
      <c r="M947" t="s">
        <v>945</v>
      </c>
      <c r="N947" t="s">
        <v>2150</v>
      </c>
      <c r="O947">
        <v>1</v>
      </c>
      <c r="P947">
        <v>5.03</v>
      </c>
    </row>
    <row r="948" spans="4:16" x14ac:dyDescent="0.25">
      <c r="D948" t="s">
        <v>2151</v>
      </c>
      <c r="E948" t="s">
        <v>135</v>
      </c>
      <c r="F948" t="s">
        <v>181</v>
      </c>
      <c r="G948" t="s">
        <v>2152</v>
      </c>
      <c r="H948" t="s">
        <v>1218</v>
      </c>
      <c r="I948" s="13">
        <v>43341</v>
      </c>
      <c r="J948">
        <v>5</v>
      </c>
      <c r="K948" t="s">
        <v>177</v>
      </c>
      <c r="L948" t="s">
        <v>139</v>
      </c>
      <c r="M948" t="s">
        <v>178</v>
      </c>
      <c r="N948" t="s">
        <v>2153</v>
      </c>
      <c r="O948">
        <v>1</v>
      </c>
      <c r="P948">
        <v>5.03</v>
      </c>
    </row>
    <row r="949" spans="4:16" x14ac:dyDescent="0.25">
      <c r="D949" t="s">
        <v>2154</v>
      </c>
      <c r="E949" t="s">
        <v>135</v>
      </c>
      <c r="F949" t="s">
        <v>379</v>
      </c>
      <c r="G949" t="s">
        <v>1964</v>
      </c>
      <c r="H949" t="s">
        <v>1218</v>
      </c>
      <c r="I949" s="13">
        <v>43343</v>
      </c>
      <c r="J949">
        <v>5</v>
      </c>
      <c r="K949" t="s">
        <v>177</v>
      </c>
      <c r="L949" t="s">
        <v>139</v>
      </c>
      <c r="M949" t="s">
        <v>1189</v>
      </c>
      <c r="N949" t="s">
        <v>2155</v>
      </c>
      <c r="O949">
        <v>1</v>
      </c>
      <c r="P949">
        <v>5.0199999999999996</v>
      </c>
    </row>
    <row r="950" spans="4:16" x14ac:dyDescent="0.25">
      <c r="D950" t="s">
        <v>2156</v>
      </c>
      <c r="E950" t="s">
        <v>135</v>
      </c>
      <c r="F950" t="s">
        <v>181</v>
      </c>
      <c r="G950" t="s">
        <v>2157</v>
      </c>
      <c r="H950" t="s">
        <v>1218</v>
      </c>
      <c r="I950" s="13">
        <v>43356</v>
      </c>
      <c r="J950">
        <v>5</v>
      </c>
      <c r="K950" t="s">
        <v>177</v>
      </c>
      <c r="L950" t="s">
        <v>139</v>
      </c>
      <c r="M950" t="s">
        <v>178</v>
      </c>
      <c r="N950" t="s">
        <v>2158</v>
      </c>
      <c r="O950">
        <v>1</v>
      </c>
      <c r="P950">
        <v>4.9800000000000004</v>
      </c>
    </row>
    <row r="951" spans="4:16" x14ac:dyDescent="0.25">
      <c r="D951" t="s">
        <v>2159</v>
      </c>
      <c r="E951" t="s">
        <v>135</v>
      </c>
      <c r="F951" t="s">
        <v>181</v>
      </c>
      <c r="G951" t="s">
        <v>2160</v>
      </c>
      <c r="H951" t="s">
        <v>1218</v>
      </c>
      <c r="I951" s="13">
        <v>43356</v>
      </c>
      <c r="J951">
        <v>5</v>
      </c>
      <c r="K951" t="s">
        <v>177</v>
      </c>
      <c r="L951" t="s">
        <v>139</v>
      </c>
      <c r="M951" t="s">
        <v>178</v>
      </c>
      <c r="N951" t="s">
        <v>2161</v>
      </c>
      <c r="O951">
        <v>1</v>
      </c>
      <c r="P951">
        <v>4.9800000000000004</v>
      </c>
    </row>
    <row r="952" spans="4:16" x14ac:dyDescent="0.25">
      <c r="D952" t="s">
        <v>2162</v>
      </c>
      <c r="E952" t="s">
        <v>135</v>
      </c>
      <c r="F952" t="s">
        <v>1679</v>
      </c>
      <c r="G952" t="s">
        <v>1676</v>
      </c>
      <c r="H952" t="s">
        <v>1218</v>
      </c>
      <c r="I952" s="13">
        <v>43364</v>
      </c>
      <c r="J952">
        <v>5</v>
      </c>
      <c r="K952" t="s">
        <v>177</v>
      </c>
      <c r="L952" t="s">
        <v>139</v>
      </c>
      <c r="M952" t="s">
        <v>1034</v>
      </c>
      <c r="N952" t="s">
        <v>2163</v>
      </c>
      <c r="O952">
        <v>1</v>
      </c>
      <c r="P952">
        <v>4.96</v>
      </c>
    </row>
    <row r="953" spans="4:16" x14ac:dyDescent="0.25">
      <c r="D953" t="s">
        <v>2164</v>
      </c>
      <c r="E953" t="s">
        <v>135</v>
      </c>
      <c r="F953" t="s">
        <v>379</v>
      </c>
      <c r="G953" t="s">
        <v>1948</v>
      </c>
      <c r="H953" t="s">
        <v>1218</v>
      </c>
      <c r="I953" s="13">
        <v>43376</v>
      </c>
      <c r="J953">
        <v>5</v>
      </c>
      <c r="K953" t="s">
        <v>177</v>
      </c>
      <c r="L953" t="s">
        <v>139</v>
      </c>
      <c r="M953" t="s">
        <v>647</v>
      </c>
      <c r="N953" t="s">
        <v>2165</v>
      </c>
      <c r="O953">
        <v>1</v>
      </c>
      <c r="P953">
        <v>4.93</v>
      </c>
    </row>
    <row r="954" spans="4:16" x14ac:dyDescent="0.25">
      <c r="D954" t="s">
        <v>2166</v>
      </c>
      <c r="E954" t="s">
        <v>135</v>
      </c>
      <c r="F954" t="s">
        <v>379</v>
      </c>
      <c r="G954" t="s">
        <v>1948</v>
      </c>
      <c r="H954" t="s">
        <v>1218</v>
      </c>
      <c r="I954" s="13">
        <v>43376</v>
      </c>
      <c r="J954">
        <v>5</v>
      </c>
      <c r="K954" t="s">
        <v>177</v>
      </c>
      <c r="L954" t="s">
        <v>139</v>
      </c>
      <c r="M954" t="s">
        <v>398</v>
      </c>
      <c r="N954" t="s">
        <v>2167</v>
      </c>
      <c r="O954">
        <v>1</v>
      </c>
      <c r="P954">
        <v>4.93</v>
      </c>
    </row>
    <row r="955" spans="4:16" x14ac:dyDescent="0.25">
      <c r="D955" t="s">
        <v>2168</v>
      </c>
      <c r="E955" t="s">
        <v>135</v>
      </c>
      <c r="F955" t="s">
        <v>379</v>
      </c>
      <c r="G955" t="s">
        <v>1917</v>
      </c>
      <c r="H955" t="s">
        <v>1218</v>
      </c>
      <c r="I955" s="13">
        <v>43376</v>
      </c>
      <c r="J955">
        <v>5</v>
      </c>
      <c r="K955" t="s">
        <v>177</v>
      </c>
      <c r="L955" t="s">
        <v>139</v>
      </c>
      <c r="M955" t="s">
        <v>421</v>
      </c>
      <c r="N955" t="s">
        <v>2169</v>
      </c>
      <c r="O955">
        <v>1</v>
      </c>
      <c r="P955">
        <v>4.93</v>
      </c>
    </row>
    <row r="956" spans="4:16" x14ac:dyDescent="0.25">
      <c r="D956" t="s">
        <v>2170</v>
      </c>
      <c r="E956" t="s">
        <v>135</v>
      </c>
      <c r="F956" t="s">
        <v>379</v>
      </c>
      <c r="G956" t="s">
        <v>2171</v>
      </c>
      <c r="H956" t="s">
        <v>1218</v>
      </c>
      <c r="I956" s="13">
        <v>43378</v>
      </c>
      <c r="J956">
        <v>5</v>
      </c>
      <c r="K956" t="s">
        <v>177</v>
      </c>
      <c r="L956" t="s">
        <v>139</v>
      </c>
      <c r="M956" t="s">
        <v>170</v>
      </c>
      <c r="N956" t="s">
        <v>2172</v>
      </c>
      <c r="O956">
        <v>1</v>
      </c>
      <c r="P956">
        <v>4.92</v>
      </c>
    </row>
    <row r="957" spans="4:16" x14ac:dyDescent="0.25">
      <c r="D957" t="s">
        <v>2173</v>
      </c>
      <c r="E957" t="s">
        <v>135</v>
      </c>
      <c r="F957" t="s">
        <v>379</v>
      </c>
      <c r="G957" t="s">
        <v>782</v>
      </c>
      <c r="H957" t="s">
        <v>1218</v>
      </c>
      <c r="I957" s="13">
        <v>43378</v>
      </c>
      <c r="J957">
        <v>5</v>
      </c>
      <c r="K957" t="s">
        <v>177</v>
      </c>
      <c r="L957" t="s">
        <v>139</v>
      </c>
      <c r="M957" t="s">
        <v>170</v>
      </c>
      <c r="N957" t="s">
        <v>2174</v>
      </c>
      <c r="O957">
        <v>1</v>
      </c>
      <c r="P957">
        <v>4.92</v>
      </c>
    </row>
    <row r="958" spans="4:16" x14ac:dyDescent="0.25">
      <c r="D958" t="s">
        <v>2175</v>
      </c>
      <c r="E958" t="s">
        <v>135</v>
      </c>
      <c r="F958" t="s">
        <v>379</v>
      </c>
      <c r="G958" t="s">
        <v>782</v>
      </c>
      <c r="H958" t="s">
        <v>1218</v>
      </c>
      <c r="I958" s="13">
        <v>43378</v>
      </c>
      <c r="J958">
        <v>5</v>
      </c>
      <c r="K958" t="s">
        <v>177</v>
      </c>
      <c r="L958" t="s">
        <v>139</v>
      </c>
      <c r="M958" t="s">
        <v>170</v>
      </c>
      <c r="N958" t="s">
        <v>2176</v>
      </c>
      <c r="O958">
        <v>1</v>
      </c>
      <c r="P958">
        <v>4.92</v>
      </c>
    </row>
    <row r="959" spans="4:16" x14ac:dyDescent="0.25">
      <c r="D959" t="s">
        <v>2177</v>
      </c>
      <c r="E959" t="s">
        <v>135</v>
      </c>
      <c r="F959" t="s">
        <v>379</v>
      </c>
      <c r="G959" t="s">
        <v>1041</v>
      </c>
      <c r="H959" t="s">
        <v>1218</v>
      </c>
      <c r="I959" s="13">
        <v>43378</v>
      </c>
      <c r="J959">
        <v>5</v>
      </c>
      <c r="K959" t="s">
        <v>177</v>
      </c>
      <c r="L959" t="s">
        <v>139</v>
      </c>
      <c r="M959" t="s">
        <v>165</v>
      </c>
      <c r="N959" t="s">
        <v>2178</v>
      </c>
      <c r="O959">
        <v>1</v>
      </c>
      <c r="P959">
        <v>4.92</v>
      </c>
    </row>
    <row r="960" spans="4:16" x14ac:dyDescent="0.25">
      <c r="D960" t="s">
        <v>2179</v>
      </c>
      <c r="E960" t="s">
        <v>135</v>
      </c>
      <c r="F960" t="s">
        <v>379</v>
      </c>
      <c r="G960" t="s">
        <v>1917</v>
      </c>
      <c r="H960" t="s">
        <v>1218</v>
      </c>
      <c r="I960" s="13">
        <v>43378</v>
      </c>
      <c r="J960">
        <v>5</v>
      </c>
      <c r="K960" t="s">
        <v>177</v>
      </c>
      <c r="L960" t="s">
        <v>139</v>
      </c>
      <c r="M960" t="s">
        <v>165</v>
      </c>
      <c r="N960" t="s">
        <v>2180</v>
      </c>
      <c r="O960">
        <v>1</v>
      </c>
      <c r="P960">
        <v>4.92</v>
      </c>
    </row>
    <row r="961" spans="4:16" x14ac:dyDescent="0.25">
      <c r="D961" t="s">
        <v>2181</v>
      </c>
      <c r="E961" t="s">
        <v>135</v>
      </c>
      <c r="F961" t="s">
        <v>1679</v>
      </c>
      <c r="G961" t="s">
        <v>2182</v>
      </c>
      <c r="H961" t="s">
        <v>1218</v>
      </c>
      <c r="I961" s="13">
        <v>43390</v>
      </c>
      <c r="J961">
        <v>5</v>
      </c>
      <c r="K961" t="s">
        <v>177</v>
      </c>
      <c r="L961" t="s">
        <v>139</v>
      </c>
      <c r="M961" t="s">
        <v>1034</v>
      </c>
      <c r="N961" t="s">
        <v>2183</v>
      </c>
      <c r="O961">
        <v>1</v>
      </c>
      <c r="P961">
        <v>4.8899999999999997</v>
      </c>
    </row>
    <row r="962" spans="4:16" x14ac:dyDescent="0.25">
      <c r="D962" t="s">
        <v>2184</v>
      </c>
      <c r="E962" t="s">
        <v>135</v>
      </c>
      <c r="F962" t="s">
        <v>2185</v>
      </c>
      <c r="G962" t="s">
        <v>2186</v>
      </c>
      <c r="H962" t="s">
        <v>1218</v>
      </c>
      <c r="I962" s="13">
        <v>43391</v>
      </c>
      <c r="J962">
        <v>5</v>
      </c>
      <c r="K962" t="s">
        <v>177</v>
      </c>
      <c r="L962" t="s">
        <v>139</v>
      </c>
      <c r="M962" t="s">
        <v>712</v>
      </c>
      <c r="N962" t="s">
        <v>2187</v>
      </c>
      <c r="O962">
        <v>1</v>
      </c>
      <c r="P962">
        <v>4.8899999999999997</v>
      </c>
    </row>
    <row r="963" spans="4:16" x14ac:dyDescent="0.25">
      <c r="D963" t="s">
        <v>2188</v>
      </c>
      <c r="E963" t="s">
        <v>135</v>
      </c>
      <c r="F963" t="s">
        <v>379</v>
      </c>
      <c r="G963" t="s">
        <v>1917</v>
      </c>
      <c r="H963" t="s">
        <v>1218</v>
      </c>
      <c r="I963" s="13">
        <v>43398</v>
      </c>
      <c r="J963">
        <v>5</v>
      </c>
      <c r="K963" t="s">
        <v>177</v>
      </c>
      <c r="L963" t="s">
        <v>139</v>
      </c>
      <c r="M963" t="s">
        <v>165</v>
      </c>
      <c r="N963" t="s">
        <v>2189</v>
      </c>
      <c r="O963">
        <v>1</v>
      </c>
      <c r="P963">
        <v>4.87</v>
      </c>
    </row>
    <row r="964" spans="4:16" x14ac:dyDescent="0.25">
      <c r="D964" t="s">
        <v>2190</v>
      </c>
      <c r="E964" t="s">
        <v>135</v>
      </c>
      <c r="F964" t="s">
        <v>379</v>
      </c>
      <c r="G964" t="s">
        <v>1917</v>
      </c>
      <c r="H964" t="s">
        <v>1218</v>
      </c>
      <c r="I964" s="13">
        <v>43398</v>
      </c>
      <c r="J964">
        <v>5</v>
      </c>
      <c r="K964" t="s">
        <v>177</v>
      </c>
      <c r="L964" t="s">
        <v>139</v>
      </c>
      <c r="M964" t="s">
        <v>165</v>
      </c>
      <c r="N964" t="s">
        <v>2191</v>
      </c>
      <c r="O964">
        <v>1</v>
      </c>
      <c r="P964">
        <v>4.87</v>
      </c>
    </row>
    <row r="965" spans="4:16" x14ac:dyDescent="0.25">
      <c r="D965" t="s">
        <v>2192</v>
      </c>
      <c r="E965" t="s">
        <v>135</v>
      </c>
      <c r="F965" t="s">
        <v>379</v>
      </c>
      <c r="G965" t="s">
        <v>1917</v>
      </c>
      <c r="H965" t="s">
        <v>1218</v>
      </c>
      <c r="I965" s="13">
        <v>43398</v>
      </c>
      <c r="J965">
        <v>5</v>
      </c>
      <c r="K965" t="s">
        <v>177</v>
      </c>
      <c r="L965" t="s">
        <v>139</v>
      </c>
      <c r="M965" t="s">
        <v>165</v>
      </c>
      <c r="N965" t="s">
        <v>2193</v>
      </c>
      <c r="O965">
        <v>1</v>
      </c>
      <c r="P965">
        <v>4.87</v>
      </c>
    </row>
    <row r="966" spans="4:16" x14ac:dyDescent="0.25">
      <c r="D966" t="s">
        <v>2194</v>
      </c>
      <c r="E966" t="s">
        <v>135</v>
      </c>
      <c r="F966" t="s">
        <v>379</v>
      </c>
      <c r="G966" t="s">
        <v>782</v>
      </c>
      <c r="H966" t="s">
        <v>1218</v>
      </c>
      <c r="I966" s="13">
        <v>43398</v>
      </c>
      <c r="J966">
        <v>5</v>
      </c>
      <c r="K966" t="s">
        <v>177</v>
      </c>
      <c r="L966" t="s">
        <v>139</v>
      </c>
      <c r="M966" t="s">
        <v>151</v>
      </c>
      <c r="N966" t="s">
        <v>2195</v>
      </c>
      <c r="O966">
        <v>1</v>
      </c>
      <c r="P966">
        <v>4.87</v>
      </c>
    </row>
    <row r="967" spans="4:16" x14ac:dyDescent="0.25">
      <c r="D967" t="s">
        <v>2196</v>
      </c>
      <c r="E967" t="s">
        <v>135</v>
      </c>
      <c r="F967" t="s">
        <v>379</v>
      </c>
      <c r="G967" t="s">
        <v>782</v>
      </c>
      <c r="H967" t="s">
        <v>1218</v>
      </c>
      <c r="I967" s="13">
        <v>43398</v>
      </c>
      <c r="J967">
        <v>5</v>
      </c>
      <c r="K967" t="s">
        <v>177</v>
      </c>
      <c r="L967" t="s">
        <v>139</v>
      </c>
      <c r="M967" t="s">
        <v>151</v>
      </c>
      <c r="N967" t="s">
        <v>2197</v>
      </c>
      <c r="O967">
        <v>1</v>
      </c>
      <c r="P967">
        <v>4.87</v>
      </c>
    </row>
    <row r="968" spans="4:16" x14ac:dyDescent="0.25">
      <c r="D968" t="s">
        <v>2198</v>
      </c>
      <c r="E968" t="s">
        <v>135</v>
      </c>
      <c r="F968" t="s">
        <v>379</v>
      </c>
      <c r="G968" t="s">
        <v>782</v>
      </c>
      <c r="H968" t="s">
        <v>1218</v>
      </c>
      <c r="I968" s="13">
        <v>43412</v>
      </c>
      <c r="J968">
        <v>5</v>
      </c>
      <c r="K968" t="s">
        <v>177</v>
      </c>
      <c r="L968" t="s">
        <v>139</v>
      </c>
      <c r="M968" t="s">
        <v>170</v>
      </c>
      <c r="N968" t="s">
        <v>2199</v>
      </c>
      <c r="O968">
        <v>1</v>
      </c>
      <c r="P968">
        <v>4.83</v>
      </c>
    </row>
    <row r="969" spans="4:16" x14ac:dyDescent="0.25">
      <c r="D969" t="s">
        <v>2200</v>
      </c>
      <c r="E969" t="s">
        <v>135</v>
      </c>
      <c r="F969" t="s">
        <v>379</v>
      </c>
      <c r="G969" t="s">
        <v>782</v>
      </c>
      <c r="H969" t="s">
        <v>1218</v>
      </c>
      <c r="I969" s="13">
        <v>43412</v>
      </c>
      <c r="J969">
        <v>5</v>
      </c>
      <c r="K969" t="s">
        <v>177</v>
      </c>
      <c r="L969" t="s">
        <v>139</v>
      </c>
      <c r="M969" t="s">
        <v>170</v>
      </c>
      <c r="N969" t="s">
        <v>2201</v>
      </c>
      <c r="O969">
        <v>1</v>
      </c>
      <c r="P969">
        <v>4.83</v>
      </c>
    </row>
    <row r="970" spans="4:16" x14ac:dyDescent="0.25">
      <c r="D970" t="s">
        <v>2202</v>
      </c>
      <c r="E970" t="s">
        <v>135</v>
      </c>
      <c r="F970" t="s">
        <v>379</v>
      </c>
      <c r="G970" t="s">
        <v>1917</v>
      </c>
      <c r="H970" t="s">
        <v>1218</v>
      </c>
      <c r="I970" s="13">
        <v>43413</v>
      </c>
      <c r="J970">
        <v>5</v>
      </c>
      <c r="K970" t="s">
        <v>177</v>
      </c>
      <c r="L970" t="s">
        <v>139</v>
      </c>
      <c r="M970" t="s">
        <v>140</v>
      </c>
      <c r="N970" t="s">
        <v>2203</v>
      </c>
      <c r="O970">
        <v>1</v>
      </c>
      <c r="P970">
        <v>4.83</v>
      </c>
    </row>
    <row r="971" spans="4:16" x14ac:dyDescent="0.25">
      <c r="D971" t="s">
        <v>2204</v>
      </c>
      <c r="E971" t="s">
        <v>135</v>
      </c>
      <c r="F971" t="s">
        <v>379</v>
      </c>
      <c r="G971" t="s">
        <v>1917</v>
      </c>
      <c r="H971" t="s">
        <v>1218</v>
      </c>
      <c r="I971" s="13">
        <v>43413</v>
      </c>
      <c r="J971">
        <v>5</v>
      </c>
      <c r="K971" t="s">
        <v>177</v>
      </c>
      <c r="L971" t="s">
        <v>139</v>
      </c>
      <c r="M971" t="s">
        <v>140</v>
      </c>
      <c r="N971" t="s">
        <v>2205</v>
      </c>
      <c r="O971">
        <v>1</v>
      </c>
      <c r="P971">
        <v>4.83</v>
      </c>
    </row>
    <row r="972" spans="4:16" x14ac:dyDescent="0.25">
      <c r="D972" t="s">
        <v>2206</v>
      </c>
      <c r="E972" t="s">
        <v>135</v>
      </c>
      <c r="F972" t="s">
        <v>379</v>
      </c>
      <c r="G972" t="s">
        <v>1917</v>
      </c>
      <c r="H972" t="s">
        <v>1218</v>
      </c>
      <c r="I972" s="13">
        <v>43413</v>
      </c>
      <c r="J972">
        <v>5</v>
      </c>
      <c r="K972" t="s">
        <v>177</v>
      </c>
      <c r="L972" t="s">
        <v>139</v>
      </c>
      <c r="M972" t="s">
        <v>140</v>
      </c>
      <c r="N972" t="s">
        <v>2207</v>
      </c>
      <c r="O972">
        <v>1</v>
      </c>
      <c r="P972">
        <v>4.83</v>
      </c>
    </row>
    <row r="973" spans="4:16" x14ac:dyDescent="0.25">
      <c r="D973" t="s">
        <v>2208</v>
      </c>
      <c r="E973" t="s">
        <v>135</v>
      </c>
      <c r="F973" t="s">
        <v>379</v>
      </c>
      <c r="G973" t="s">
        <v>1917</v>
      </c>
      <c r="H973" t="s">
        <v>1218</v>
      </c>
      <c r="I973" s="13">
        <v>43413</v>
      </c>
      <c r="J973">
        <v>5</v>
      </c>
      <c r="K973" t="s">
        <v>177</v>
      </c>
      <c r="L973" t="s">
        <v>139</v>
      </c>
      <c r="M973" t="s">
        <v>140</v>
      </c>
      <c r="N973" t="s">
        <v>2209</v>
      </c>
      <c r="O973">
        <v>1</v>
      </c>
      <c r="P973">
        <v>4.83</v>
      </c>
    </row>
    <row r="974" spans="4:16" x14ac:dyDescent="0.25">
      <c r="D974" t="s">
        <v>2210</v>
      </c>
      <c r="E974" t="s">
        <v>135</v>
      </c>
      <c r="F974" t="s">
        <v>379</v>
      </c>
      <c r="G974" t="s">
        <v>782</v>
      </c>
      <c r="H974" t="s">
        <v>1218</v>
      </c>
      <c r="I974" s="13">
        <v>43412</v>
      </c>
      <c r="J974">
        <v>5</v>
      </c>
      <c r="K974" t="s">
        <v>177</v>
      </c>
      <c r="L974" t="s">
        <v>139</v>
      </c>
      <c r="M974" t="s">
        <v>170</v>
      </c>
      <c r="N974" t="s">
        <v>2211</v>
      </c>
      <c r="O974">
        <v>1</v>
      </c>
      <c r="P974">
        <v>4.83</v>
      </c>
    </row>
    <row r="975" spans="4:16" x14ac:dyDescent="0.25">
      <c r="D975" t="s">
        <v>2212</v>
      </c>
      <c r="E975" t="s">
        <v>135</v>
      </c>
      <c r="F975" t="s">
        <v>379</v>
      </c>
      <c r="G975" t="s">
        <v>782</v>
      </c>
      <c r="H975" t="s">
        <v>1218</v>
      </c>
      <c r="I975" s="13">
        <v>43413</v>
      </c>
      <c r="J975">
        <v>5</v>
      </c>
      <c r="K975" t="s">
        <v>177</v>
      </c>
      <c r="L975" t="s">
        <v>139</v>
      </c>
      <c r="M975" t="s">
        <v>386</v>
      </c>
      <c r="N975" t="s">
        <v>2213</v>
      </c>
      <c r="O975">
        <v>1</v>
      </c>
      <c r="P975">
        <v>4.83</v>
      </c>
    </row>
    <row r="976" spans="4:16" x14ac:dyDescent="0.25">
      <c r="D976" t="s">
        <v>2214</v>
      </c>
      <c r="E976" t="s">
        <v>135</v>
      </c>
      <c r="F976" t="s">
        <v>379</v>
      </c>
      <c r="G976" t="s">
        <v>782</v>
      </c>
      <c r="H976" t="s">
        <v>1218</v>
      </c>
      <c r="I976" s="13">
        <v>43413</v>
      </c>
      <c r="J976">
        <v>5</v>
      </c>
      <c r="K976" t="s">
        <v>177</v>
      </c>
      <c r="L976" t="s">
        <v>139</v>
      </c>
      <c r="M976" t="s">
        <v>386</v>
      </c>
      <c r="N976" t="s">
        <v>2215</v>
      </c>
      <c r="O976">
        <v>1</v>
      </c>
      <c r="P976">
        <v>4.83</v>
      </c>
    </row>
    <row r="977" spans="4:16" x14ac:dyDescent="0.25">
      <c r="D977" t="s">
        <v>2216</v>
      </c>
      <c r="E977" t="s">
        <v>135</v>
      </c>
      <c r="F977" t="s">
        <v>379</v>
      </c>
      <c r="G977" t="s">
        <v>782</v>
      </c>
      <c r="H977" t="s">
        <v>1218</v>
      </c>
      <c r="I977" s="13">
        <v>43412</v>
      </c>
      <c r="J977">
        <v>5</v>
      </c>
      <c r="K977" t="s">
        <v>177</v>
      </c>
      <c r="L977" t="s">
        <v>139</v>
      </c>
      <c r="M977" t="s">
        <v>151</v>
      </c>
      <c r="N977" t="s">
        <v>2217</v>
      </c>
      <c r="O977">
        <v>1</v>
      </c>
      <c r="P977">
        <v>4.83</v>
      </c>
    </row>
    <row r="978" spans="4:16" x14ac:dyDescent="0.25">
      <c r="D978" t="s">
        <v>2218</v>
      </c>
      <c r="E978" t="s">
        <v>135</v>
      </c>
      <c r="F978" t="s">
        <v>379</v>
      </c>
      <c r="G978" t="s">
        <v>782</v>
      </c>
      <c r="H978" t="s">
        <v>1218</v>
      </c>
      <c r="I978" s="13">
        <v>43412</v>
      </c>
      <c r="J978">
        <v>5</v>
      </c>
      <c r="K978" t="s">
        <v>177</v>
      </c>
      <c r="L978" t="s">
        <v>139</v>
      </c>
      <c r="M978" t="s">
        <v>151</v>
      </c>
      <c r="N978" t="s">
        <v>2219</v>
      </c>
      <c r="O978">
        <v>1</v>
      </c>
      <c r="P978">
        <v>4.83</v>
      </c>
    </row>
    <row r="979" spans="4:16" x14ac:dyDescent="0.25">
      <c r="D979" t="s">
        <v>2220</v>
      </c>
      <c r="E979" t="s">
        <v>135</v>
      </c>
      <c r="F979" t="s">
        <v>2221</v>
      </c>
      <c r="G979" t="s">
        <v>1834</v>
      </c>
      <c r="H979" t="s">
        <v>1218</v>
      </c>
      <c r="I979" s="13">
        <v>43417</v>
      </c>
      <c r="J979">
        <v>5</v>
      </c>
      <c r="K979" t="s">
        <v>177</v>
      </c>
      <c r="L979" t="s">
        <v>139</v>
      </c>
      <c r="M979" t="s">
        <v>200</v>
      </c>
      <c r="N979" t="s">
        <v>2222</v>
      </c>
      <c r="O979">
        <v>1</v>
      </c>
      <c r="P979">
        <v>4.82</v>
      </c>
    </row>
    <row r="980" spans="4:16" x14ac:dyDescent="0.25">
      <c r="D980" t="s">
        <v>2223</v>
      </c>
      <c r="E980" t="s">
        <v>135</v>
      </c>
      <c r="F980" t="s">
        <v>143</v>
      </c>
      <c r="G980" t="s">
        <v>611</v>
      </c>
      <c r="H980" t="s">
        <v>1218</v>
      </c>
      <c r="I980" s="13">
        <v>43425</v>
      </c>
      <c r="J980">
        <v>5</v>
      </c>
      <c r="K980" t="s">
        <v>177</v>
      </c>
      <c r="L980" t="s">
        <v>139</v>
      </c>
      <c r="M980" t="s">
        <v>805</v>
      </c>
      <c r="N980" t="s">
        <v>2224</v>
      </c>
      <c r="O980">
        <v>1</v>
      </c>
      <c r="P980">
        <v>4.8</v>
      </c>
    </row>
    <row r="981" spans="4:16" x14ac:dyDescent="0.25">
      <c r="D981" t="s">
        <v>2225</v>
      </c>
      <c r="E981" t="s">
        <v>135</v>
      </c>
      <c r="F981" t="s">
        <v>2221</v>
      </c>
      <c r="G981" t="s">
        <v>1834</v>
      </c>
      <c r="H981" t="s">
        <v>1218</v>
      </c>
      <c r="I981" s="13">
        <v>43425</v>
      </c>
      <c r="J981">
        <v>5</v>
      </c>
      <c r="K981" t="s">
        <v>177</v>
      </c>
      <c r="L981" t="s">
        <v>139</v>
      </c>
      <c r="M981" t="s">
        <v>200</v>
      </c>
      <c r="N981" t="s">
        <v>2226</v>
      </c>
      <c r="O981">
        <v>1</v>
      </c>
      <c r="P981">
        <v>4.8</v>
      </c>
    </row>
    <row r="982" spans="4:16" x14ac:dyDescent="0.25">
      <c r="D982" t="s">
        <v>2227</v>
      </c>
      <c r="E982" t="s">
        <v>135</v>
      </c>
      <c r="F982" t="s">
        <v>2221</v>
      </c>
      <c r="G982" t="s">
        <v>1834</v>
      </c>
      <c r="H982" t="s">
        <v>1218</v>
      </c>
      <c r="I982" s="13">
        <v>43425</v>
      </c>
      <c r="J982">
        <v>5</v>
      </c>
      <c r="K982" t="s">
        <v>177</v>
      </c>
      <c r="L982" t="s">
        <v>139</v>
      </c>
      <c r="M982" t="s">
        <v>200</v>
      </c>
      <c r="N982" t="s">
        <v>2228</v>
      </c>
      <c r="O982">
        <v>1</v>
      </c>
      <c r="P982">
        <v>4.8</v>
      </c>
    </row>
    <row r="983" spans="4:16" x14ac:dyDescent="0.25">
      <c r="D983" t="s">
        <v>2229</v>
      </c>
      <c r="E983" t="s">
        <v>135</v>
      </c>
      <c r="F983" t="s">
        <v>2221</v>
      </c>
      <c r="G983" t="s">
        <v>1834</v>
      </c>
      <c r="H983" t="s">
        <v>1218</v>
      </c>
      <c r="I983" s="13">
        <v>43425</v>
      </c>
      <c r="J983">
        <v>5</v>
      </c>
      <c r="K983" t="s">
        <v>177</v>
      </c>
      <c r="L983" t="s">
        <v>139</v>
      </c>
      <c r="M983" t="s">
        <v>200</v>
      </c>
      <c r="N983" t="s">
        <v>2230</v>
      </c>
      <c r="O983">
        <v>1</v>
      </c>
      <c r="P983">
        <v>4.8</v>
      </c>
    </row>
    <row r="984" spans="4:16" x14ac:dyDescent="0.25">
      <c r="D984" t="s">
        <v>2231</v>
      </c>
      <c r="E984" t="s">
        <v>135</v>
      </c>
      <c r="F984" t="s">
        <v>379</v>
      </c>
      <c r="G984" t="s">
        <v>782</v>
      </c>
      <c r="H984" t="s">
        <v>1218</v>
      </c>
      <c r="I984" s="13">
        <v>43423</v>
      </c>
      <c r="J984">
        <v>5</v>
      </c>
      <c r="K984" t="s">
        <v>177</v>
      </c>
      <c r="L984" t="s">
        <v>139</v>
      </c>
      <c r="M984" t="s">
        <v>170</v>
      </c>
      <c r="N984" t="s">
        <v>2232</v>
      </c>
      <c r="O984">
        <v>1</v>
      </c>
      <c r="P984">
        <v>4.8</v>
      </c>
    </row>
    <row r="985" spans="4:16" x14ac:dyDescent="0.25">
      <c r="D985" t="s">
        <v>2233</v>
      </c>
      <c r="E985" t="s">
        <v>135</v>
      </c>
      <c r="F985" t="s">
        <v>379</v>
      </c>
      <c r="G985" t="s">
        <v>782</v>
      </c>
      <c r="H985" t="s">
        <v>1218</v>
      </c>
      <c r="I985" s="13">
        <v>43423</v>
      </c>
      <c r="J985">
        <v>5</v>
      </c>
      <c r="K985" t="s">
        <v>177</v>
      </c>
      <c r="L985" t="s">
        <v>139</v>
      </c>
      <c r="M985" t="s">
        <v>170</v>
      </c>
      <c r="N985" t="s">
        <v>2234</v>
      </c>
      <c r="O985">
        <v>1</v>
      </c>
      <c r="P985">
        <v>4.8</v>
      </c>
    </row>
    <row r="986" spans="4:16" x14ac:dyDescent="0.25">
      <c r="D986" t="s">
        <v>2235</v>
      </c>
      <c r="E986" t="s">
        <v>135</v>
      </c>
      <c r="F986" t="s">
        <v>667</v>
      </c>
      <c r="G986" t="s">
        <v>2236</v>
      </c>
      <c r="H986" t="s">
        <v>1218</v>
      </c>
      <c r="I986" s="13">
        <v>43424</v>
      </c>
      <c r="J986">
        <v>5</v>
      </c>
      <c r="K986" t="s">
        <v>177</v>
      </c>
      <c r="L986" t="s">
        <v>139</v>
      </c>
      <c r="M986" t="s">
        <v>186</v>
      </c>
      <c r="N986" t="s">
        <v>2237</v>
      </c>
      <c r="O986">
        <v>1</v>
      </c>
      <c r="P986">
        <v>4.8</v>
      </c>
    </row>
    <row r="987" spans="4:16" hidden="1" x14ac:dyDescent="0.25">
      <c r="D987" t="s">
        <v>2238</v>
      </c>
      <c r="E987" t="s">
        <v>135</v>
      </c>
      <c r="F987" t="s">
        <v>2239</v>
      </c>
      <c r="G987" t="s">
        <v>2240</v>
      </c>
      <c r="H987" t="s">
        <v>137</v>
      </c>
      <c r="I987" s="13">
        <v>43425</v>
      </c>
      <c r="J987">
        <v>5</v>
      </c>
      <c r="K987" t="s">
        <v>177</v>
      </c>
      <c r="L987" t="s">
        <v>139</v>
      </c>
      <c r="M987" t="s">
        <v>284</v>
      </c>
      <c r="N987" t="s">
        <v>2241</v>
      </c>
      <c r="O987">
        <v>1</v>
      </c>
      <c r="P987">
        <v>4.8</v>
      </c>
    </row>
    <row r="988" spans="4:16" x14ac:dyDescent="0.25">
      <c r="D988" t="s">
        <v>2242</v>
      </c>
      <c r="E988" t="s">
        <v>135</v>
      </c>
      <c r="F988" t="s">
        <v>667</v>
      </c>
      <c r="G988" t="s">
        <v>2236</v>
      </c>
      <c r="H988" t="s">
        <v>1218</v>
      </c>
      <c r="I988" s="13">
        <v>43424</v>
      </c>
      <c r="J988">
        <v>5</v>
      </c>
      <c r="K988" t="s">
        <v>177</v>
      </c>
      <c r="L988" t="s">
        <v>139</v>
      </c>
      <c r="M988" t="s">
        <v>186</v>
      </c>
      <c r="N988" t="s">
        <v>2243</v>
      </c>
      <c r="O988">
        <v>1</v>
      </c>
      <c r="P988">
        <v>4.8</v>
      </c>
    </row>
    <row r="989" spans="4:16" x14ac:dyDescent="0.25">
      <c r="D989" t="s">
        <v>2244</v>
      </c>
      <c r="E989" t="s">
        <v>135</v>
      </c>
      <c r="F989" t="s">
        <v>379</v>
      </c>
      <c r="G989" t="s">
        <v>782</v>
      </c>
      <c r="H989" t="s">
        <v>1218</v>
      </c>
      <c r="I989" s="13">
        <v>43425</v>
      </c>
      <c r="J989">
        <v>5</v>
      </c>
      <c r="K989" t="s">
        <v>177</v>
      </c>
      <c r="L989" t="s">
        <v>139</v>
      </c>
      <c r="M989" t="s">
        <v>240</v>
      </c>
      <c r="N989" t="s">
        <v>2245</v>
      </c>
      <c r="O989">
        <v>1</v>
      </c>
      <c r="P989">
        <v>4.8</v>
      </c>
    </row>
    <row r="990" spans="4:16" x14ac:dyDescent="0.25">
      <c r="D990" t="s">
        <v>2246</v>
      </c>
      <c r="E990" t="s">
        <v>135</v>
      </c>
      <c r="F990" t="s">
        <v>2247</v>
      </c>
      <c r="G990" t="s">
        <v>1917</v>
      </c>
      <c r="H990" t="s">
        <v>1218</v>
      </c>
      <c r="I990" s="13">
        <v>43425</v>
      </c>
      <c r="J990">
        <v>5</v>
      </c>
      <c r="K990" t="s">
        <v>177</v>
      </c>
      <c r="L990" t="s">
        <v>139</v>
      </c>
      <c r="M990" t="s">
        <v>913</v>
      </c>
      <c r="N990" t="s">
        <v>2248</v>
      </c>
      <c r="O990">
        <v>1</v>
      </c>
      <c r="P990">
        <v>4.8</v>
      </c>
    </row>
    <row r="991" spans="4:16" x14ac:dyDescent="0.25">
      <c r="D991" t="s">
        <v>2249</v>
      </c>
      <c r="E991" t="s">
        <v>135</v>
      </c>
      <c r="F991" t="s">
        <v>2221</v>
      </c>
      <c r="G991" t="s">
        <v>1834</v>
      </c>
      <c r="H991" t="s">
        <v>1218</v>
      </c>
      <c r="I991" s="13">
        <v>43431</v>
      </c>
      <c r="J991">
        <v>5</v>
      </c>
      <c r="K991" t="s">
        <v>177</v>
      </c>
      <c r="L991" t="s">
        <v>139</v>
      </c>
      <c r="M991" t="s">
        <v>200</v>
      </c>
      <c r="N991" t="s">
        <v>2250</v>
      </c>
      <c r="O991">
        <v>1</v>
      </c>
      <c r="P991">
        <v>4.78</v>
      </c>
    </row>
    <row r="992" spans="4:16" x14ac:dyDescent="0.25">
      <c r="D992" t="s">
        <v>2251</v>
      </c>
      <c r="E992" t="s">
        <v>135</v>
      </c>
      <c r="F992" t="s">
        <v>379</v>
      </c>
      <c r="G992" t="s">
        <v>1917</v>
      </c>
      <c r="H992" t="s">
        <v>1218</v>
      </c>
      <c r="I992" s="13">
        <v>43437</v>
      </c>
      <c r="J992">
        <v>5</v>
      </c>
      <c r="K992" t="s">
        <v>177</v>
      </c>
      <c r="L992" t="s">
        <v>139</v>
      </c>
      <c r="M992" t="s">
        <v>165</v>
      </c>
      <c r="N992" t="s">
        <v>2252</v>
      </c>
      <c r="O992">
        <v>1</v>
      </c>
      <c r="P992">
        <v>4.76</v>
      </c>
    </row>
    <row r="993" spans="4:16" x14ac:dyDescent="0.25">
      <c r="D993" t="s">
        <v>2253</v>
      </c>
      <c r="E993" t="s">
        <v>135</v>
      </c>
      <c r="F993" t="s">
        <v>379</v>
      </c>
      <c r="G993" t="s">
        <v>1917</v>
      </c>
      <c r="H993" t="s">
        <v>1218</v>
      </c>
      <c r="I993" s="13">
        <v>43437</v>
      </c>
      <c r="J993">
        <v>5</v>
      </c>
      <c r="K993" t="s">
        <v>177</v>
      </c>
      <c r="L993" t="s">
        <v>139</v>
      </c>
      <c r="M993" t="s">
        <v>165</v>
      </c>
      <c r="N993" t="s">
        <v>2254</v>
      </c>
      <c r="O993">
        <v>1</v>
      </c>
      <c r="P993">
        <v>4.76</v>
      </c>
    </row>
    <row r="994" spans="4:16" x14ac:dyDescent="0.25">
      <c r="D994" t="s">
        <v>2255</v>
      </c>
      <c r="E994" t="s">
        <v>135</v>
      </c>
      <c r="F994" t="s">
        <v>379</v>
      </c>
      <c r="G994" t="s">
        <v>1917</v>
      </c>
      <c r="H994" t="s">
        <v>1218</v>
      </c>
      <c r="I994" s="13">
        <v>43437</v>
      </c>
      <c r="J994">
        <v>5</v>
      </c>
      <c r="K994" t="s">
        <v>177</v>
      </c>
      <c r="L994" t="s">
        <v>139</v>
      </c>
      <c r="M994" t="s">
        <v>165</v>
      </c>
      <c r="N994" t="s">
        <v>2256</v>
      </c>
      <c r="O994">
        <v>1</v>
      </c>
      <c r="P994">
        <v>4.76</v>
      </c>
    </row>
    <row r="995" spans="4:16" x14ac:dyDescent="0.25">
      <c r="D995" t="s">
        <v>2257</v>
      </c>
      <c r="E995" t="s">
        <v>135</v>
      </c>
      <c r="F995" t="s">
        <v>379</v>
      </c>
      <c r="G995" t="s">
        <v>1917</v>
      </c>
      <c r="H995" t="s">
        <v>1218</v>
      </c>
      <c r="I995" s="13">
        <v>43437</v>
      </c>
      <c r="J995">
        <v>5</v>
      </c>
      <c r="K995" t="s">
        <v>177</v>
      </c>
      <c r="L995" t="s">
        <v>139</v>
      </c>
      <c r="M995" t="s">
        <v>165</v>
      </c>
      <c r="N995" t="s">
        <v>2258</v>
      </c>
      <c r="O995">
        <v>1</v>
      </c>
      <c r="P995">
        <v>4.76</v>
      </c>
    </row>
    <row r="996" spans="4:16" x14ac:dyDescent="0.25">
      <c r="D996" t="s">
        <v>2259</v>
      </c>
      <c r="E996" t="s">
        <v>135</v>
      </c>
      <c r="F996" t="s">
        <v>143</v>
      </c>
      <c r="G996" t="s">
        <v>723</v>
      </c>
      <c r="H996" t="s">
        <v>1218</v>
      </c>
      <c r="I996" s="13">
        <v>43440</v>
      </c>
      <c r="J996">
        <v>5</v>
      </c>
      <c r="K996" t="s">
        <v>177</v>
      </c>
      <c r="L996" t="s">
        <v>139</v>
      </c>
      <c r="M996" t="s">
        <v>805</v>
      </c>
      <c r="N996" t="s">
        <v>2260</v>
      </c>
      <c r="O996">
        <v>1</v>
      </c>
      <c r="P996">
        <v>4.75</v>
      </c>
    </row>
    <row r="997" spans="4:16" x14ac:dyDescent="0.25">
      <c r="D997" t="s">
        <v>2261</v>
      </c>
      <c r="E997" t="s">
        <v>135</v>
      </c>
      <c r="F997" t="s">
        <v>143</v>
      </c>
      <c r="G997" t="s">
        <v>611</v>
      </c>
      <c r="H997" t="s">
        <v>1218</v>
      </c>
      <c r="I997" s="13">
        <v>43446</v>
      </c>
      <c r="J997">
        <v>5</v>
      </c>
      <c r="K997" t="s">
        <v>177</v>
      </c>
      <c r="L997" t="s">
        <v>139</v>
      </c>
      <c r="M997" t="s">
        <v>805</v>
      </c>
      <c r="N997" t="s">
        <v>2262</v>
      </c>
      <c r="O997">
        <v>1</v>
      </c>
      <c r="P997">
        <v>4.74</v>
      </c>
    </row>
    <row r="998" spans="4:16" x14ac:dyDescent="0.25">
      <c r="D998" t="s">
        <v>2263</v>
      </c>
      <c r="E998" t="s">
        <v>135</v>
      </c>
      <c r="F998" t="s">
        <v>2221</v>
      </c>
      <c r="G998" t="s">
        <v>1834</v>
      </c>
      <c r="H998" t="s">
        <v>1218</v>
      </c>
      <c r="I998" s="13">
        <v>43446</v>
      </c>
      <c r="J998">
        <v>5</v>
      </c>
      <c r="K998" t="s">
        <v>177</v>
      </c>
      <c r="L998" t="s">
        <v>139</v>
      </c>
      <c r="M998" t="s">
        <v>200</v>
      </c>
      <c r="N998" t="s">
        <v>2264</v>
      </c>
      <c r="O998">
        <v>1</v>
      </c>
      <c r="P998">
        <v>4.74</v>
      </c>
    </row>
    <row r="999" spans="4:16" x14ac:dyDescent="0.25">
      <c r="D999" t="s">
        <v>2265</v>
      </c>
      <c r="E999" t="s">
        <v>135</v>
      </c>
      <c r="F999" t="s">
        <v>2221</v>
      </c>
      <c r="G999" t="s">
        <v>1834</v>
      </c>
      <c r="H999" t="s">
        <v>1218</v>
      </c>
      <c r="I999" s="13">
        <v>43446</v>
      </c>
      <c r="J999">
        <v>5</v>
      </c>
      <c r="K999" t="s">
        <v>177</v>
      </c>
      <c r="L999" t="s">
        <v>139</v>
      </c>
      <c r="M999" t="s">
        <v>261</v>
      </c>
      <c r="N999" t="s">
        <v>2266</v>
      </c>
      <c r="O999">
        <v>1</v>
      </c>
      <c r="P999">
        <v>4.74</v>
      </c>
    </row>
    <row r="1000" spans="4:16" x14ac:dyDescent="0.25">
      <c r="D1000" t="s">
        <v>2267</v>
      </c>
      <c r="E1000" t="s">
        <v>135</v>
      </c>
      <c r="F1000" t="s">
        <v>143</v>
      </c>
      <c r="G1000" t="s">
        <v>611</v>
      </c>
      <c r="H1000" t="s">
        <v>1218</v>
      </c>
      <c r="I1000" s="13">
        <v>43447</v>
      </c>
      <c r="J1000">
        <v>5</v>
      </c>
      <c r="K1000" t="s">
        <v>177</v>
      </c>
      <c r="L1000" t="s">
        <v>139</v>
      </c>
      <c r="M1000" t="s">
        <v>805</v>
      </c>
      <c r="N1000" t="s">
        <v>2268</v>
      </c>
      <c r="O1000">
        <v>1</v>
      </c>
      <c r="P1000">
        <v>4.7300000000000004</v>
      </c>
    </row>
    <row r="1001" spans="4:16" x14ac:dyDescent="0.25">
      <c r="D1001" t="s">
        <v>2269</v>
      </c>
      <c r="E1001" t="s">
        <v>135</v>
      </c>
      <c r="F1001" t="s">
        <v>656</v>
      </c>
      <c r="G1001" t="s">
        <v>1382</v>
      </c>
      <c r="H1001" t="s">
        <v>1218</v>
      </c>
      <c r="I1001" s="13">
        <v>43452</v>
      </c>
      <c r="J1001">
        <v>5</v>
      </c>
      <c r="K1001" t="s">
        <v>177</v>
      </c>
      <c r="L1001" t="s">
        <v>139</v>
      </c>
      <c r="M1001" t="s">
        <v>170</v>
      </c>
      <c r="N1001" t="s">
        <v>2270</v>
      </c>
      <c r="O1001">
        <v>1</v>
      </c>
      <c r="P1001">
        <v>4.72</v>
      </c>
    </row>
    <row r="1002" spans="4:16" x14ac:dyDescent="0.25">
      <c r="D1002" t="s">
        <v>2271</v>
      </c>
      <c r="E1002" t="s">
        <v>135</v>
      </c>
      <c r="F1002" t="s">
        <v>656</v>
      </c>
      <c r="G1002" t="s">
        <v>1382</v>
      </c>
      <c r="H1002" t="s">
        <v>1218</v>
      </c>
      <c r="I1002" s="13">
        <v>43471</v>
      </c>
      <c r="J1002">
        <v>5</v>
      </c>
      <c r="K1002" t="s">
        <v>177</v>
      </c>
      <c r="L1002" t="s">
        <v>139</v>
      </c>
      <c r="M1002" t="s">
        <v>193</v>
      </c>
      <c r="N1002" t="s">
        <v>2272</v>
      </c>
      <c r="O1002">
        <v>1</v>
      </c>
      <c r="P1002">
        <v>4.67</v>
      </c>
    </row>
    <row r="1003" spans="4:16" x14ac:dyDescent="0.25">
      <c r="D1003" t="s">
        <v>2273</v>
      </c>
      <c r="E1003" t="s">
        <v>135</v>
      </c>
      <c r="F1003" t="s">
        <v>379</v>
      </c>
      <c r="G1003" t="s">
        <v>1917</v>
      </c>
      <c r="H1003" t="s">
        <v>1218</v>
      </c>
      <c r="I1003" s="13">
        <v>43487</v>
      </c>
      <c r="J1003">
        <v>5</v>
      </c>
      <c r="K1003" t="s">
        <v>177</v>
      </c>
      <c r="L1003" t="s">
        <v>139</v>
      </c>
      <c r="M1003" t="s">
        <v>140</v>
      </c>
      <c r="N1003" t="s">
        <v>2274</v>
      </c>
      <c r="O1003">
        <v>1</v>
      </c>
      <c r="P1003">
        <v>4.63</v>
      </c>
    </row>
    <row r="1004" spans="4:16" x14ac:dyDescent="0.25">
      <c r="D1004" t="s">
        <v>2275</v>
      </c>
      <c r="E1004" t="s">
        <v>135</v>
      </c>
      <c r="F1004" t="s">
        <v>379</v>
      </c>
      <c r="G1004" t="s">
        <v>782</v>
      </c>
      <c r="H1004" t="s">
        <v>1218</v>
      </c>
      <c r="I1004" s="13">
        <v>43487</v>
      </c>
      <c r="J1004">
        <v>5</v>
      </c>
      <c r="K1004" t="s">
        <v>177</v>
      </c>
      <c r="L1004" t="s">
        <v>139</v>
      </c>
      <c r="M1004" t="s">
        <v>352</v>
      </c>
      <c r="N1004" t="s">
        <v>2276</v>
      </c>
      <c r="O1004">
        <v>1</v>
      </c>
      <c r="P1004">
        <v>4.63</v>
      </c>
    </row>
    <row r="1005" spans="4:16" x14ac:dyDescent="0.25">
      <c r="D1005" t="s">
        <v>2277</v>
      </c>
      <c r="E1005" t="s">
        <v>135</v>
      </c>
      <c r="F1005" t="s">
        <v>379</v>
      </c>
      <c r="G1005" t="s">
        <v>1964</v>
      </c>
      <c r="H1005" t="s">
        <v>1218</v>
      </c>
      <c r="I1005" s="13">
        <v>43487</v>
      </c>
      <c r="J1005">
        <v>5</v>
      </c>
      <c r="K1005" t="s">
        <v>177</v>
      </c>
      <c r="L1005" t="s">
        <v>139</v>
      </c>
      <c r="M1005" t="s">
        <v>421</v>
      </c>
      <c r="N1005" t="s">
        <v>2278</v>
      </c>
      <c r="O1005">
        <v>1</v>
      </c>
      <c r="P1005">
        <v>4.63</v>
      </c>
    </row>
    <row r="1006" spans="4:16" x14ac:dyDescent="0.25">
      <c r="D1006" t="s">
        <v>2279</v>
      </c>
      <c r="E1006" t="s">
        <v>135</v>
      </c>
      <c r="F1006" t="s">
        <v>2002</v>
      </c>
      <c r="G1006" t="s">
        <v>1917</v>
      </c>
      <c r="H1006" t="s">
        <v>1218</v>
      </c>
      <c r="I1006" s="13">
        <v>43487</v>
      </c>
      <c r="J1006">
        <v>5</v>
      </c>
      <c r="K1006" t="s">
        <v>177</v>
      </c>
      <c r="L1006" t="s">
        <v>139</v>
      </c>
      <c r="M1006" t="s">
        <v>913</v>
      </c>
      <c r="N1006" t="s">
        <v>2280</v>
      </c>
      <c r="O1006">
        <v>1</v>
      </c>
      <c r="P1006">
        <v>4.63</v>
      </c>
    </row>
    <row r="1007" spans="4:16" x14ac:dyDescent="0.25">
      <c r="D1007" t="s">
        <v>2281</v>
      </c>
      <c r="E1007" t="s">
        <v>135</v>
      </c>
      <c r="F1007" t="s">
        <v>379</v>
      </c>
      <c r="G1007" t="s">
        <v>1943</v>
      </c>
      <c r="H1007" t="s">
        <v>1218</v>
      </c>
      <c r="I1007" s="13">
        <v>43487</v>
      </c>
      <c r="J1007">
        <v>5</v>
      </c>
      <c r="K1007" t="s">
        <v>177</v>
      </c>
      <c r="L1007" t="s">
        <v>139</v>
      </c>
      <c r="M1007" t="s">
        <v>372</v>
      </c>
      <c r="N1007" t="s">
        <v>2282</v>
      </c>
      <c r="O1007">
        <v>1</v>
      </c>
      <c r="P1007">
        <v>4.63</v>
      </c>
    </row>
    <row r="1008" spans="4:16" x14ac:dyDescent="0.25">
      <c r="D1008" t="s">
        <v>2283</v>
      </c>
      <c r="E1008" t="s">
        <v>135</v>
      </c>
      <c r="F1008" t="s">
        <v>379</v>
      </c>
      <c r="G1008" t="s">
        <v>1948</v>
      </c>
      <c r="H1008" t="s">
        <v>1218</v>
      </c>
      <c r="I1008" s="13">
        <v>43490</v>
      </c>
      <c r="J1008">
        <v>5</v>
      </c>
      <c r="K1008" t="s">
        <v>157</v>
      </c>
      <c r="L1008" t="s">
        <v>977</v>
      </c>
      <c r="M1008" t="s">
        <v>490</v>
      </c>
      <c r="N1008" t="s">
        <v>2284</v>
      </c>
      <c r="O1008">
        <v>1</v>
      </c>
      <c r="P1008">
        <v>4.62</v>
      </c>
    </row>
    <row r="1009" spans="4:16" x14ac:dyDescent="0.25">
      <c r="D1009" t="s">
        <v>2285</v>
      </c>
      <c r="E1009" t="s">
        <v>135</v>
      </c>
      <c r="F1009" t="s">
        <v>379</v>
      </c>
      <c r="G1009" t="s">
        <v>782</v>
      </c>
      <c r="H1009" t="s">
        <v>1218</v>
      </c>
      <c r="I1009" s="13">
        <v>43489</v>
      </c>
      <c r="J1009">
        <v>5</v>
      </c>
      <c r="K1009" t="s">
        <v>177</v>
      </c>
      <c r="L1009" t="s">
        <v>139</v>
      </c>
      <c r="M1009" t="s">
        <v>222</v>
      </c>
      <c r="N1009" t="s">
        <v>2286</v>
      </c>
      <c r="O1009">
        <v>1</v>
      </c>
      <c r="P1009">
        <v>4.62</v>
      </c>
    </row>
    <row r="1010" spans="4:16" x14ac:dyDescent="0.25">
      <c r="D1010" t="s">
        <v>2287</v>
      </c>
      <c r="E1010" t="s">
        <v>135</v>
      </c>
      <c r="F1010" t="s">
        <v>379</v>
      </c>
      <c r="G1010" t="s">
        <v>1964</v>
      </c>
      <c r="H1010" t="s">
        <v>1218</v>
      </c>
      <c r="I1010" s="13">
        <v>43489</v>
      </c>
      <c r="J1010">
        <v>5</v>
      </c>
      <c r="K1010" t="s">
        <v>177</v>
      </c>
      <c r="L1010" t="s">
        <v>139</v>
      </c>
      <c r="M1010" t="s">
        <v>490</v>
      </c>
      <c r="N1010" t="s">
        <v>2288</v>
      </c>
      <c r="O1010">
        <v>1</v>
      </c>
      <c r="P1010">
        <v>4.62</v>
      </c>
    </row>
    <row r="1011" spans="4:16" x14ac:dyDescent="0.25">
      <c r="D1011" t="s">
        <v>2289</v>
      </c>
      <c r="E1011" t="s">
        <v>135</v>
      </c>
      <c r="F1011" t="s">
        <v>379</v>
      </c>
      <c r="G1011" t="s">
        <v>1964</v>
      </c>
      <c r="H1011" t="s">
        <v>1218</v>
      </c>
      <c r="I1011" s="13">
        <v>43489</v>
      </c>
      <c r="J1011">
        <v>5</v>
      </c>
      <c r="K1011" t="s">
        <v>177</v>
      </c>
      <c r="L1011" t="s">
        <v>139</v>
      </c>
      <c r="M1011" t="s">
        <v>421</v>
      </c>
      <c r="N1011" t="s">
        <v>2290</v>
      </c>
      <c r="O1011">
        <v>1</v>
      </c>
      <c r="P1011">
        <v>4.62</v>
      </c>
    </row>
    <row r="1012" spans="4:16" x14ac:dyDescent="0.25">
      <c r="D1012" t="s">
        <v>2291</v>
      </c>
      <c r="E1012" t="s">
        <v>135</v>
      </c>
      <c r="F1012" t="s">
        <v>379</v>
      </c>
      <c r="G1012" t="s">
        <v>2292</v>
      </c>
      <c r="H1012" t="s">
        <v>1218</v>
      </c>
      <c r="I1012" s="13">
        <v>43490</v>
      </c>
      <c r="J1012">
        <v>5</v>
      </c>
      <c r="K1012" t="s">
        <v>177</v>
      </c>
      <c r="L1012" t="s">
        <v>139</v>
      </c>
      <c r="M1012" t="s">
        <v>490</v>
      </c>
      <c r="N1012" t="s">
        <v>2293</v>
      </c>
      <c r="O1012">
        <v>1</v>
      </c>
      <c r="P1012">
        <v>4.62</v>
      </c>
    </row>
    <row r="1013" spans="4:16" x14ac:dyDescent="0.25">
      <c r="D1013" t="s">
        <v>2294</v>
      </c>
      <c r="E1013" t="s">
        <v>135</v>
      </c>
      <c r="F1013" t="s">
        <v>379</v>
      </c>
      <c r="G1013" t="s">
        <v>782</v>
      </c>
      <c r="H1013" t="s">
        <v>1218</v>
      </c>
      <c r="I1013" s="13">
        <v>43502</v>
      </c>
      <c r="J1013">
        <v>5</v>
      </c>
      <c r="K1013" t="s">
        <v>177</v>
      </c>
      <c r="L1013" t="s">
        <v>139</v>
      </c>
      <c r="M1013" t="s">
        <v>352</v>
      </c>
      <c r="N1013" t="s">
        <v>2295</v>
      </c>
      <c r="O1013">
        <v>1</v>
      </c>
      <c r="P1013">
        <v>4.58</v>
      </c>
    </row>
    <row r="1014" spans="4:16" x14ac:dyDescent="0.25">
      <c r="D1014" t="s">
        <v>2296</v>
      </c>
      <c r="E1014" t="s">
        <v>135</v>
      </c>
      <c r="F1014" t="s">
        <v>379</v>
      </c>
      <c r="G1014" t="s">
        <v>1964</v>
      </c>
      <c r="H1014" t="s">
        <v>1218</v>
      </c>
      <c r="I1014" s="13">
        <v>43502</v>
      </c>
      <c r="J1014">
        <v>5</v>
      </c>
      <c r="K1014" t="s">
        <v>177</v>
      </c>
      <c r="L1014" t="s">
        <v>139</v>
      </c>
      <c r="M1014" t="s">
        <v>421</v>
      </c>
      <c r="N1014" t="s">
        <v>2297</v>
      </c>
      <c r="O1014">
        <v>1</v>
      </c>
      <c r="P1014">
        <v>4.58</v>
      </c>
    </row>
    <row r="1015" spans="4:16" x14ac:dyDescent="0.25">
      <c r="D1015" t="s">
        <v>2298</v>
      </c>
      <c r="E1015" t="s">
        <v>135</v>
      </c>
      <c r="F1015" t="s">
        <v>379</v>
      </c>
      <c r="G1015" t="s">
        <v>1948</v>
      </c>
      <c r="H1015" t="s">
        <v>1218</v>
      </c>
      <c r="I1015" s="13">
        <v>43507</v>
      </c>
      <c r="J1015">
        <v>5</v>
      </c>
      <c r="K1015" t="s">
        <v>177</v>
      </c>
      <c r="L1015" t="s">
        <v>139</v>
      </c>
      <c r="M1015" t="s">
        <v>227</v>
      </c>
      <c r="N1015" t="s">
        <v>2299</v>
      </c>
      <c r="O1015">
        <v>1</v>
      </c>
      <c r="P1015">
        <v>4.57</v>
      </c>
    </row>
    <row r="1016" spans="4:16" x14ac:dyDescent="0.25">
      <c r="D1016" t="s">
        <v>2300</v>
      </c>
      <c r="E1016" t="s">
        <v>135</v>
      </c>
      <c r="F1016" t="s">
        <v>2301</v>
      </c>
      <c r="G1016" t="s">
        <v>2186</v>
      </c>
      <c r="H1016" t="s">
        <v>1218</v>
      </c>
      <c r="I1016" s="13">
        <v>43510</v>
      </c>
      <c r="J1016">
        <v>5</v>
      </c>
      <c r="K1016" t="s">
        <v>177</v>
      </c>
      <c r="L1016" t="s">
        <v>139</v>
      </c>
      <c r="M1016" t="s">
        <v>1233</v>
      </c>
      <c r="N1016" t="s">
        <v>2302</v>
      </c>
      <c r="O1016">
        <v>1</v>
      </c>
      <c r="P1016">
        <v>4.5599999999999996</v>
      </c>
    </row>
    <row r="1017" spans="4:16" x14ac:dyDescent="0.25">
      <c r="D1017" t="s">
        <v>2303</v>
      </c>
      <c r="E1017" t="s">
        <v>135</v>
      </c>
      <c r="F1017" t="s">
        <v>2304</v>
      </c>
      <c r="G1017" t="s">
        <v>2305</v>
      </c>
      <c r="H1017" t="s">
        <v>1218</v>
      </c>
      <c r="I1017" s="13">
        <v>43509</v>
      </c>
      <c r="J1017">
        <v>5</v>
      </c>
      <c r="K1017" t="s">
        <v>177</v>
      </c>
      <c r="L1017" t="s">
        <v>139</v>
      </c>
      <c r="M1017" t="s">
        <v>1430</v>
      </c>
      <c r="N1017" t="s">
        <v>2306</v>
      </c>
      <c r="O1017">
        <v>1</v>
      </c>
      <c r="P1017">
        <v>4.5599999999999996</v>
      </c>
    </row>
    <row r="1018" spans="4:16" x14ac:dyDescent="0.25">
      <c r="D1018" t="s">
        <v>2307</v>
      </c>
      <c r="E1018" t="s">
        <v>135</v>
      </c>
      <c r="F1018" t="s">
        <v>379</v>
      </c>
      <c r="G1018" t="s">
        <v>1964</v>
      </c>
      <c r="H1018" t="s">
        <v>1218</v>
      </c>
      <c r="I1018" s="13">
        <v>43509</v>
      </c>
      <c r="J1018">
        <v>5</v>
      </c>
      <c r="K1018" t="s">
        <v>177</v>
      </c>
      <c r="L1018" t="s">
        <v>139</v>
      </c>
      <c r="M1018" t="s">
        <v>421</v>
      </c>
      <c r="N1018" t="s">
        <v>2308</v>
      </c>
      <c r="O1018">
        <v>1</v>
      </c>
      <c r="P1018">
        <v>4.5599999999999996</v>
      </c>
    </row>
    <row r="1019" spans="4:16" x14ac:dyDescent="0.25">
      <c r="D1019" t="s">
        <v>2309</v>
      </c>
      <c r="E1019" t="s">
        <v>135</v>
      </c>
      <c r="F1019" t="s">
        <v>379</v>
      </c>
      <c r="G1019" t="s">
        <v>1917</v>
      </c>
      <c r="H1019" t="s">
        <v>1218</v>
      </c>
      <c r="I1019" s="13">
        <v>43509</v>
      </c>
      <c r="J1019">
        <v>5</v>
      </c>
      <c r="K1019" t="s">
        <v>177</v>
      </c>
      <c r="L1019" t="s">
        <v>139</v>
      </c>
      <c r="M1019" t="s">
        <v>140</v>
      </c>
      <c r="N1019" t="s">
        <v>2310</v>
      </c>
      <c r="O1019">
        <v>1</v>
      </c>
      <c r="P1019">
        <v>4.5599999999999996</v>
      </c>
    </row>
    <row r="1020" spans="4:16" x14ac:dyDescent="0.25">
      <c r="D1020" t="s">
        <v>2311</v>
      </c>
      <c r="E1020" t="s">
        <v>135</v>
      </c>
      <c r="F1020" t="s">
        <v>379</v>
      </c>
      <c r="G1020" t="s">
        <v>782</v>
      </c>
      <c r="H1020" t="s">
        <v>1218</v>
      </c>
      <c r="I1020" s="13">
        <v>43515</v>
      </c>
      <c r="J1020">
        <v>5</v>
      </c>
      <c r="K1020" t="s">
        <v>177</v>
      </c>
      <c r="L1020" t="s">
        <v>139</v>
      </c>
      <c r="M1020" t="s">
        <v>386</v>
      </c>
      <c r="N1020" t="s">
        <v>2312</v>
      </c>
      <c r="O1020">
        <v>1</v>
      </c>
      <c r="P1020">
        <v>4.55</v>
      </c>
    </row>
    <row r="1021" spans="4:16" x14ac:dyDescent="0.25">
      <c r="D1021" t="s">
        <v>2313</v>
      </c>
      <c r="E1021" t="s">
        <v>135</v>
      </c>
      <c r="F1021" t="s">
        <v>1679</v>
      </c>
      <c r="G1021" t="s">
        <v>1676</v>
      </c>
      <c r="H1021" t="s">
        <v>1218</v>
      </c>
      <c r="I1021" s="13">
        <v>43522</v>
      </c>
      <c r="J1021">
        <v>5</v>
      </c>
      <c r="K1021" t="s">
        <v>177</v>
      </c>
      <c r="L1021" t="s">
        <v>139</v>
      </c>
      <c r="M1021" t="s">
        <v>555</v>
      </c>
      <c r="N1021" t="s">
        <v>2314</v>
      </c>
      <c r="O1021">
        <v>1</v>
      </c>
      <c r="P1021">
        <v>4.53</v>
      </c>
    </row>
    <row r="1022" spans="4:16" hidden="1" x14ac:dyDescent="0.25">
      <c r="D1022" t="s">
        <v>2315</v>
      </c>
      <c r="E1022" t="s">
        <v>135</v>
      </c>
      <c r="F1022" t="s">
        <v>667</v>
      </c>
      <c r="G1022" t="s">
        <v>668</v>
      </c>
      <c r="H1022" t="s">
        <v>3642</v>
      </c>
      <c r="I1022" s="13">
        <v>43525</v>
      </c>
      <c r="J1022">
        <v>5</v>
      </c>
      <c r="K1022" t="s">
        <v>177</v>
      </c>
      <c r="L1022" t="s">
        <v>139</v>
      </c>
      <c r="M1022" t="s">
        <v>669</v>
      </c>
      <c r="N1022" t="s">
        <v>2316</v>
      </c>
      <c r="O1022">
        <v>1</v>
      </c>
      <c r="P1022">
        <v>4.5199999999999996</v>
      </c>
    </row>
    <row r="1023" spans="4:16" hidden="1" x14ac:dyDescent="0.25">
      <c r="D1023" t="s">
        <v>2317</v>
      </c>
      <c r="E1023" t="s">
        <v>135</v>
      </c>
      <c r="F1023" t="s">
        <v>667</v>
      </c>
      <c r="G1023" t="s">
        <v>668</v>
      </c>
      <c r="H1023" t="s">
        <v>3642</v>
      </c>
      <c r="I1023" s="13">
        <v>43525</v>
      </c>
      <c r="J1023">
        <v>5</v>
      </c>
      <c r="K1023" t="s">
        <v>177</v>
      </c>
      <c r="L1023" t="s">
        <v>139</v>
      </c>
      <c r="M1023" t="s">
        <v>800</v>
      </c>
      <c r="N1023" t="s">
        <v>2318</v>
      </c>
      <c r="O1023">
        <v>1</v>
      </c>
      <c r="P1023">
        <v>4.5199999999999996</v>
      </c>
    </row>
    <row r="1024" spans="4:16" x14ac:dyDescent="0.25">
      <c r="D1024" t="s">
        <v>2319</v>
      </c>
      <c r="E1024" t="s">
        <v>135</v>
      </c>
      <c r="F1024" t="s">
        <v>656</v>
      </c>
      <c r="G1024" t="s">
        <v>2320</v>
      </c>
      <c r="H1024" t="s">
        <v>1218</v>
      </c>
      <c r="I1024" s="13">
        <v>43528</v>
      </c>
      <c r="J1024">
        <v>5</v>
      </c>
      <c r="K1024" t="s">
        <v>177</v>
      </c>
      <c r="L1024" t="s">
        <v>139</v>
      </c>
      <c r="M1024" t="s">
        <v>193</v>
      </c>
      <c r="N1024" t="s">
        <v>2321</v>
      </c>
      <c r="O1024">
        <v>1</v>
      </c>
      <c r="P1024">
        <v>4.51</v>
      </c>
    </row>
    <row r="1025" spans="4:16" x14ac:dyDescent="0.25">
      <c r="D1025" t="s">
        <v>2322</v>
      </c>
      <c r="E1025" t="s">
        <v>135</v>
      </c>
      <c r="F1025" t="s">
        <v>379</v>
      </c>
      <c r="G1025" t="s">
        <v>1917</v>
      </c>
      <c r="H1025" t="s">
        <v>1218</v>
      </c>
      <c r="I1025" s="13">
        <v>43528</v>
      </c>
      <c r="J1025">
        <v>5</v>
      </c>
      <c r="K1025" t="s">
        <v>177</v>
      </c>
      <c r="L1025" t="s">
        <v>139</v>
      </c>
      <c r="M1025" t="s">
        <v>146</v>
      </c>
      <c r="N1025" t="s">
        <v>2323</v>
      </c>
      <c r="O1025">
        <v>1</v>
      </c>
      <c r="P1025">
        <v>4.51</v>
      </c>
    </row>
    <row r="1026" spans="4:16" x14ac:dyDescent="0.25">
      <c r="D1026" t="s">
        <v>2324</v>
      </c>
      <c r="E1026" t="s">
        <v>135</v>
      </c>
      <c r="F1026" t="s">
        <v>379</v>
      </c>
      <c r="G1026" t="s">
        <v>1943</v>
      </c>
      <c r="H1026" t="s">
        <v>1218</v>
      </c>
      <c r="I1026" s="13">
        <v>43528</v>
      </c>
      <c r="J1026">
        <v>5</v>
      </c>
      <c r="K1026" t="s">
        <v>177</v>
      </c>
      <c r="L1026" t="s">
        <v>139</v>
      </c>
      <c r="M1026" t="s">
        <v>372</v>
      </c>
      <c r="N1026" t="s">
        <v>2325</v>
      </c>
      <c r="O1026">
        <v>1</v>
      </c>
      <c r="P1026">
        <v>4.51</v>
      </c>
    </row>
    <row r="1027" spans="4:16" x14ac:dyDescent="0.25">
      <c r="D1027" t="s">
        <v>2326</v>
      </c>
      <c r="E1027" t="s">
        <v>135</v>
      </c>
      <c r="F1027" t="s">
        <v>2327</v>
      </c>
      <c r="G1027" t="s">
        <v>2328</v>
      </c>
      <c r="H1027" t="s">
        <v>1218</v>
      </c>
      <c r="I1027" s="13">
        <v>43530</v>
      </c>
      <c r="J1027">
        <v>5</v>
      </c>
      <c r="K1027" t="s">
        <v>177</v>
      </c>
      <c r="L1027" t="s">
        <v>139</v>
      </c>
      <c r="M1027" t="s">
        <v>712</v>
      </c>
      <c r="N1027" t="s">
        <v>2329</v>
      </c>
      <c r="O1027">
        <v>1</v>
      </c>
      <c r="P1027">
        <v>4.51</v>
      </c>
    </row>
    <row r="1028" spans="4:16" x14ac:dyDescent="0.25">
      <c r="D1028" t="s">
        <v>2330</v>
      </c>
      <c r="E1028" t="s">
        <v>135</v>
      </c>
      <c r="F1028" t="s">
        <v>379</v>
      </c>
      <c r="G1028" t="s">
        <v>1917</v>
      </c>
      <c r="H1028" t="s">
        <v>1218</v>
      </c>
      <c r="I1028" s="13">
        <v>43532</v>
      </c>
      <c r="J1028">
        <v>4</v>
      </c>
      <c r="K1028" t="s">
        <v>177</v>
      </c>
      <c r="L1028" t="s">
        <v>139</v>
      </c>
      <c r="M1028" t="s">
        <v>146</v>
      </c>
      <c r="N1028" t="s">
        <v>2331</v>
      </c>
      <c r="O1028">
        <v>1</v>
      </c>
      <c r="P1028">
        <v>4.5</v>
      </c>
    </row>
    <row r="1029" spans="4:16" hidden="1" x14ac:dyDescent="0.25">
      <c r="D1029" t="s">
        <v>2332</v>
      </c>
      <c r="E1029" t="s">
        <v>135</v>
      </c>
      <c r="F1029" t="s">
        <v>2185</v>
      </c>
      <c r="G1029" t="s">
        <v>2333</v>
      </c>
      <c r="H1029" t="s">
        <v>1218</v>
      </c>
      <c r="I1029" s="13">
        <v>43564</v>
      </c>
      <c r="J1029">
        <v>4</v>
      </c>
      <c r="K1029" t="s">
        <v>177</v>
      </c>
      <c r="L1029" t="s">
        <v>164</v>
      </c>
      <c r="M1029" t="s">
        <v>965</v>
      </c>
      <c r="N1029" t="s">
        <v>2334</v>
      </c>
      <c r="O1029">
        <v>1</v>
      </c>
      <c r="P1029">
        <v>4.41</v>
      </c>
    </row>
    <row r="1030" spans="4:16" x14ac:dyDescent="0.25">
      <c r="D1030" t="s">
        <v>2335</v>
      </c>
      <c r="E1030" t="s">
        <v>135</v>
      </c>
      <c r="F1030" t="s">
        <v>2185</v>
      </c>
      <c r="G1030" t="s">
        <v>2333</v>
      </c>
      <c r="H1030" t="s">
        <v>1218</v>
      </c>
      <c r="I1030" s="13">
        <v>43564</v>
      </c>
      <c r="J1030">
        <v>4</v>
      </c>
      <c r="K1030" t="s">
        <v>177</v>
      </c>
      <c r="L1030" t="s">
        <v>139</v>
      </c>
      <c r="M1030" t="s">
        <v>965</v>
      </c>
      <c r="N1030" t="s">
        <v>2336</v>
      </c>
      <c r="O1030">
        <v>1</v>
      </c>
      <c r="P1030">
        <v>4.41</v>
      </c>
    </row>
    <row r="1031" spans="4:16" x14ac:dyDescent="0.25">
      <c r="D1031" t="s">
        <v>2337</v>
      </c>
      <c r="E1031" t="s">
        <v>135</v>
      </c>
      <c r="F1031" t="s">
        <v>2185</v>
      </c>
      <c r="G1031" t="s">
        <v>2333</v>
      </c>
      <c r="H1031" t="s">
        <v>1218</v>
      </c>
      <c r="I1031" s="13">
        <v>43564</v>
      </c>
      <c r="J1031">
        <v>4</v>
      </c>
      <c r="K1031" t="s">
        <v>177</v>
      </c>
      <c r="L1031" t="s">
        <v>139</v>
      </c>
      <c r="M1031" t="s">
        <v>965</v>
      </c>
      <c r="N1031" t="s">
        <v>2338</v>
      </c>
      <c r="O1031">
        <v>1</v>
      </c>
      <c r="P1031">
        <v>4.41</v>
      </c>
    </row>
    <row r="1032" spans="4:16" x14ac:dyDescent="0.25">
      <c r="D1032" t="s">
        <v>2339</v>
      </c>
      <c r="E1032" t="s">
        <v>135</v>
      </c>
      <c r="F1032" t="s">
        <v>2185</v>
      </c>
      <c r="G1032" t="s">
        <v>2333</v>
      </c>
      <c r="H1032" t="s">
        <v>1218</v>
      </c>
      <c r="I1032" s="13">
        <v>43564</v>
      </c>
      <c r="J1032">
        <v>4</v>
      </c>
      <c r="K1032" t="s">
        <v>145</v>
      </c>
      <c r="L1032" t="s">
        <v>139</v>
      </c>
      <c r="M1032" t="s">
        <v>965</v>
      </c>
      <c r="N1032" t="s">
        <v>2340</v>
      </c>
      <c r="O1032">
        <v>1</v>
      </c>
      <c r="P1032">
        <v>4.41</v>
      </c>
    </row>
    <row r="1033" spans="4:16" x14ac:dyDescent="0.25">
      <c r="D1033" t="s">
        <v>2341</v>
      </c>
      <c r="E1033" t="s">
        <v>135</v>
      </c>
      <c r="F1033" t="s">
        <v>379</v>
      </c>
      <c r="G1033" t="s">
        <v>2342</v>
      </c>
      <c r="H1033" t="s">
        <v>1218</v>
      </c>
      <c r="I1033" s="13">
        <v>43571</v>
      </c>
      <c r="J1033">
        <v>4</v>
      </c>
      <c r="K1033" t="s">
        <v>177</v>
      </c>
      <c r="L1033" t="s">
        <v>139</v>
      </c>
      <c r="M1033" t="s">
        <v>204</v>
      </c>
      <c r="N1033" t="s">
        <v>2343</v>
      </c>
      <c r="O1033">
        <v>1</v>
      </c>
      <c r="P1033">
        <v>4.4000000000000004</v>
      </c>
    </row>
    <row r="1034" spans="4:16" x14ac:dyDescent="0.25">
      <c r="D1034" t="s">
        <v>2344</v>
      </c>
      <c r="E1034" t="s">
        <v>135</v>
      </c>
      <c r="F1034" t="s">
        <v>379</v>
      </c>
      <c r="G1034" t="s">
        <v>1943</v>
      </c>
      <c r="H1034" t="s">
        <v>1218</v>
      </c>
      <c r="I1034" s="13">
        <v>43570</v>
      </c>
      <c r="J1034">
        <v>4</v>
      </c>
      <c r="K1034" t="s">
        <v>145</v>
      </c>
      <c r="L1034" t="s">
        <v>139</v>
      </c>
      <c r="M1034" t="s">
        <v>1233</v>
      </c>
      <c r="N1034" t="s">
        <v>2345</v>
      </c>
      <c r="O1034">
        <v>1</v>
      </c>
      <c r="P1034">
        <v>4.4000000000000004</v>
      </c>
    </row>
    <row r="1035" spans="4:16" x14ac:dyDescent="0.25">
      <c r="D1035" t="s">
        <v>2346</v>
      </c>
      <c r="E1035" t="s">
        <v>135</v>
      </c>
      <c r="F1035" t="s">
        <v>379</v>
      </c>
      <c r="G1035" t="s">
        <v>782</v>
      </c>
      <c r="H1035" t="s">
        <v>1218</v>
      </c>
      <c r="I1035" s="13">
        <v>43573</v>
      </c>
      <c r="J1035">
        <v>4</v>
      </c>
      <c r="K1035" t="s">
        <v>177</v>
      </c>
      <c r="L1035" t="s">
        <v>139</v>
      </c>
      <c r="M1035" t="s">
        <v>240</v>
      </c>
      <c r="N1035" t="s">
        <v>2347</v>
      </c>
      <c r="O1035">
        <v>1</v>
      </c>
      <c r="P1035">
        <v>4.3899999999999997</v>
      </c>
    </row>
    <row r="1036" spans="4:16" x14ac:dyDescent="0.25">
      <c r="D1036" t="s">
        <v>2348</v>
      </c>
      <c r="E1036" t="s">
        <v>135</v>
      </c>
      <c r="F1036" t="s">
        <v>1679</v>
      </c>
      <c r="G1036" t="s">
        <v>1676</v>
      </c>
      <c r="H1036" t="s">
        <v>1218</v>
      </c>
      <c r="I1036" s="13">
        <v>43580</v>
      </c>
      <c r="J1036">
        <v>4</v>
      </c>
      <c r="K1036" t="s">
        <v>177</v>
      </c>
      <c r="L1036" t="s">
        <v>139</v>
      </c>
      <c r="M1036" t="s">
        <v>785</v>
      </c>
      <c r="N1036" t="s">
        <v>2349</v>
      </c>
      <c r="O1036">
        <v>1</v>
      </c>
      <c r="P1036">
        <v>4.37</v>
      </c>
    </row>
    <row r="1037" spans="4:16" x14ac:dyDescent="0.25">
      <c r="D1037" t="s">
        <v>2350</v>
      </c>
      <c r="E1037" t="s">
        <v>135</v>
      </c>
      <c r="F1037" t="s">
        <v>379</v>
      </c>
      <c r="G1037" t="s">
        <v>1964</v>
      </c>
      <c r="H1037" t="s">
        <v>1218</v>
      </c>
      <c r="I1037" s="13">
        <v>43584</v>
      </c>
      <c r="J1037">
        <v>4</v>
      </c>
      <c r="K1037" t="s">
        <v>177</v>
      </c>
      <c r="L1037" t="s">
        <v>139</v>
      </c>
      <c r="M1037" t="s">
        <v>1189</v>
      </c>
      <c r="N1037" t="s">
        <v>2351</v>
      </c>
      <c r="O1037">
        <v>1</v>
      </c>
      <c r="P1037">
        <v>4.3600000000000003</v>
      </c>
    </row>
    <row r="1038" spans="4:16" x14ac:dyDescent="0.25">
      <c r="D1038" t="s">
        <v>2352</v>
      </c>
      <c r="E1038" t="s">
        <v>135</v>
      </c>
      <c r="F1038" t="s">
        <v>379</v>
      </c>
      <c r="G1038" t="s">
        <v>782</v>
      </c>
      <c r="H1038" t="s">
        <v>1218</v>
      </c>
      <c r="I1038" s="13">
        <v>43584</v>
      </c>
      <c r="J1038">
        <v>4</v>
      </c>
      <c r="K1038" t="s">
        <v>177</v>
      </c>
      <c r="L1038" t="s">
        <v>139</v>
      </c>
      <c r="M1038" t="s">
        <v>386</v>
      </c>
      <c r="N1038" t="s">
        <v>2353</v>
      </c>
      <c r="O1038">
        <v>1</v>
      </c>
      <c r="P1038">
        <v>4.3600000000000003</v>
      </c>
    </row>
    <row r="1039" spans="4:16" x14ac:dyDescent="0.25">
      <c r="D1039" t="s">
        <v>2354</v>
      </c>
      <c r="E1039" t="s">
        <v>135</v>
      </c>
      <c r="F1039" t="s">
        <v>379</v>
      </c>
      <c r="G1039" t="s">
        <v>1964</v>
      </c>
      <c r="H1039" t="s">
        <v>1218</v>
      </c>
      <c r="I1039" s="13">
        <v>43584</v>
      </c>
      <c r="J1039">
        <v>4</v>
      </c>
      <c r="K1039" t="s">
        <v>177</v>
      </c>
      <c r="L1039" t="s">
        <v>139</v>
      </c>
      <c r="M1039" t="s">
        <v>982</v>
      </c>
      <c r="N1039" t="s">
        <v>2355</v>
      </c>
      <c r="O1039">
        <v>1</v>
      </c>
      <c r="P1039">
        <v>4.3600000000000003</v>
      </c>
    </row>
    <row r="1040" spans="4:16" x14ac:dyDescent="0.25">
      <c r="D1040" t="s">
        <v>2356</v>
      </c>
      <c r="E1040" t="s">
        <v>135</v>
      </c>
      <c r="F1040" t="s">
        <v>379</v>
      </c>
      <c r="G1040" t="s">
        <v>1917</v>
      </c>
      <c r="H1040" t="s">
        <v>1218</v>
      </c>
      <c r="I1040" s="13">
        <v>43588</v>
      </c>
      <c r="J1040">
        <v>4</v>
      </c>
      <c r="K1040" t="s">
        <v>177</v>
      </c>
      <c r="L1040" t="s">
        <v>139</v>
      </c>
      <c r="M1040" t="s">
        <v>227</v>
      </c>
      <c r="N1040" t="s">
        <v>2357</v>
      </c>
      <c r="O1040">
        <v>1</v>
      </c>
      <c r="P1040">
        <v>4.3499999999999996</v>
      </c>
    </row>
    <row r="1041" spans="4:16" x14ac:dyDescent="0.25">
      <c r="D1041" t="s">
        <v>2358</v>
      </c>
      <c r="E1041" t="s">
        <v>135</v>
      </c>
      <c r="F1041" t="s">
        <v>379</v>
      </c>
      <c r="G1041" t="s">
        <v>782</v>
      </c>
      <c r="H1041" t="s">
        <v>1218</v>
      </c>
      <c r="I1041" s="13">
        <v>43588</v>
      </c>
      <c r="J1041">
        <v>4</v>
      </c>
      <c r="K1041" t="s">
        <v>177</v>
      </c>
      <c r="L1041" t="s">
        <v>139</v>
      </c>
      <c r="M1041" t="s">
        <v>386</v>
      </c>
      <c r="N1041" t="s">
        <v>2359</v>
      </c>
      <c r="O1041">
        <v>1</v>
      </c>
      <c r="P1041">
        <v>4.3499999999999996</v>
      </c>
    </row>
    <row r="1042" spans="4:16" x14ac:dyDescent="0.25">
      <c r="D1042" t="s">
        <v>2360</v>
      </c>
      <c r="E1042" t="s">
        <v>135</v>
      </c>
      <c r="F1042" t="s">
        <v>143</v>
      </c>
      <c r="G1042" t="s">
        <v>2361</v>
      </c>
      <c r="H1042" t="s">
        <v>1218</v>
      </c>
      <c r="I1042" s="13">
        <v>43592</v>
      </c>
      <c r="J1042">
        <v>4</v>
      </c>
      <c r="K1042" t="s">
        <v>177</v>
      </c>
      <c r="L1042" t="s">
        <v>139</v>
      </c>
      <c r="M1042" t="s">
        <v>712</v>
      </c>
      <c r="N1042" t="s">
        <v>2362</v>
      </c>
      <c r="O1042">
        <v>1</v>
      </c>
      <c r="P1042">
        <v>4.34</v>
      </c>
    </row>
    <row r="1043" spans="4:16" x14ac:dyDescent="0.25">
      <c r="D1043" t="s">
        <v>2363</v>
      </c>
      <c r="E1043" t="s">
        <v>135</v>
      </c>
      <c r="F1043" t="s">
        <v>2239</v>
      </c>
      <c r="G1043" t="s">
        <v>2364</v>
      </c>
      <c r="H1043" t="s">
        <v>1218</v>
      </c>
      <c r="I1043" s="13">
        <v>43598</v>
      </c>
      <c r="J1043">
        <v>4</v>
      </c>
      <c r="K1043" t="s">
        <v>177</v>
      </c>
      <c r="L1043" t="s">
        <v>139</v>
      </c>
      <c r="M1043" t="s">
        <v>284</v>
      </c>
      <c r="N1043" t="s">
        <v>2365</v>
      </c>
      <c r="O1043">
        <v>1</v>
      </c>
      <c r="P1043">
        <v>4.32</v>
      </c>
    </row>
    <row r="1044" spans="4:16" x14ac:dyDescent="0.25">
      <c r="D1044" t="s">
        <v>2366</v>
      </c>
      <c r="E1044" t="s">
        <v>135</v>
      </c>
      <c r="F1044" t="s">
        <v>379</v>
      </c>
      <c r="G1044" t="s">
        <v>782</v>
      </c>
      <c r="H1044" t="s">
        <v>1218</v>
      </c>
      <c r="I1044" s="13">
        <v>43598</v>
      </c>
      <c r="J1044">
        <v>4</v>
      </c>
      <c r="K1044" t="s">
        <v>177</v>
      </c>
      <c r="L1044" t="s">
        <v>139</v>
      </c>
      <c r="M1044" t="s">
        <v>240</v>
      </c>
      <c r="N1044" t="s">
        <v>2367</v>
      </c>
      <c r="O1044">
        <v>1</v>
      </c>
      <c r="P1044">
        <v>4.32</v>
      </c>
    </row>
    <row r="1045" spans="4:16" x14ac:dyDescent="0.25">
      <c r="D1045" t="s">
        <v>2368</v>
      </c>
      <c r="E1045" t="s">
        <v>135</v>
      </c>
      <c r="F1045" t="s">
        <v>379</v>
      </c>
      <c r="G1045" t="s">
        <v>782</v>
      </c>
      <c r="H1045" t="s">
        <v>1218</v>
      </c>
      <c r="I1045" s="13">
        <v>43606</v>
      </c>
      <c r="J1045">
        <v>4</v>
      </c>
      <c r="K1045" t="s">
        <v>177</v>
      </c>
      <c r="L1045" t="s">
        <v>139</v>
      </c>
      <c r="M1045" t="s">
        <v>154</v>
      </c>
      <c r="N1045" t="s">
        <v>2369</v>
      </c>
      <c r="O1045">
        <v>1</v>
      </c>
      <c r="P1045">
        <v>4.3</v>
      </c>
    </row>
    <row r="1046" spans="4:16" x14ac:dyDescent="0.25">
      <c r="D1046" t="s">
        <v>2370</v>
      </c>
      <c r="E1046" t="s">
        <v>135</v>
      </c>
      <c r="F1046" t="s">
        <v>379</v>
      </c>
      <c r="G1046" t="s">
        <v>782</v>
      </c>
      <c r="H1046" t="s">
        <v>1218</v>
      </c>
      <c r="I1046" s="13">
        <v>43606</v>
      </c>
      <c r="J1046">
        <v>4</v>
      </c>
      <c r="K1046" t="s">
        <v>177</v>
      </c>
      <c r="L1046" t="s">
        <v>139</v>
      </c>
      <c r="M1046" t="s">
        <v>165</v>
      </c>
      <c r="N1046" t="s">
        <v>2371</v>
      </c>
      <c r="O1046">
        <v>1</v>
      </c>
      <c r="P1046">
        <v>4.3</v>
      </c>
    </row>
    <row r="1047" spans="4:16" x14ac:dyDescent="0.25">
      <c r="D1047" t="s">
        <v>2372</v>
      </c>
      <c r="E1047" t="s">
        <v>135</v>
      </c>
      <c r="F1047" t="s">
        <v>379</v>
      </c>
      <c r="G1047" t="s">
        <v>782</v>
      </c>
      <c r="H1047" t="s">
        <v>1218</v>
      </c>
      <c r="I1047" s="13">
        <v>43606</v>
      </c>
      <c r="J1047">
        <v>4</v>
      </c>
      <c r="K1047" t="s">
        <v>177</v>
      </c>
      <c r="L1047" t="s">
        <v>139</v>
      </c>
      <c r="M1047" t="s">
        <v>165</v>
      </c>
      <c r="N1047" t="s">
        <v>2373</v>
      </c>
      <c r="O1047">
        <v>1</v>
      </c>
      <c r="P1047">
        <v>4.3</v>
      </c>
    </row>
    <row r="1048" spans="4:16" x14ac:dyDescent="0.25">
      <c r="D1048" t="s">
        <v>2374</v>
      </c>
      <c r="E1048" t="s">
        <v>135</v>
      </c>
      <c r="F1048" t="s">
        <v>379</v>
      </c>
      <c r="G1048" t="s">
        <v>782</v>
      </c>
      <c r="H1048" t="s">
        <v>1218</v>
      </c>
      <c r="I1048" s="13">
        <v>43606</v>
      </c>
      <c r="J1048">
        <v>4</v>
      </c>
      <c r="K1048" t="s">
        <v>177</v>
      </c>
      <c r="L1048" t="s">
        <v>139</v>
      </c>
      <c r="M1048" t="s">
        <v>154</v>
      </c>
      <c r="N1048" t="s">
        <v>2375</v>
      </c>
      <c r="O1048">
        <v>1</v>
      </c>
      <c r="P1048">
        <v>4.3</v>
      </c>
    </row>
    <row r="1049" spans="4:16" x14ac:dyDescent="0.25">
      <c r="D1049" t="s">
        <v>2376</v>
      </c>
      <c r="E1049" t="s">
        <v>135</v>
      </c>
      <c r="F1049" t="s">
        <v>2239</v>
      </c>
      <c r="G1049" t="s">
        <v>2364</v>
      </c>
      <c r="H1049" t="s">
        <v>1218</v>
      </c>
      <c r="I1049" s="13">
        <v>43609</v>
      </c>
      <c r="J1049">
        <v>4</v>
      </c>
      <c r="K1049" t="s">
        <v>177</v>
      </c>
      <c r="L1049" t="s">
        <v>139</v>
      </c>
      <c r="M1049" t="s">
        <v>284</v>
      </c>
      <c r="N1049" t="s">
        <v>2377</v>
      </c>
      <c r="O1049">
        <v>1</v>
      </c>
      <c r="P1049">
        <v>4.29</v>
      </c>
    </row>
    <row r="1050" spans="4:16" x14ac:dyDescent="0.25">
      <c r="D1050" t="s">
        <v>2378</v>
      </c>
      <c r="E1050" t="s">
        <v>135</v>
      </c>
      <c r="F1050" t="s">
        <v>379</v>
      </c>
      <c r="G1050" t="s">
        <v>379</v>
      </c>
      <c r="H1050" t="s">
        <v>1218</v>
      </c>
      <c r="I1050" s="13">
        <v>43609</v>
      </c>
      <c r="J1050">
        <v>4</v>
      </c>
      <c r="K1050" t="s">
        <v>177</v>
      </c>
      <c r="L1050" t="s">
        <v>139</v>
      </c>
      <c r="M1050" t="s">
        <v>240</v>
      </c>
      <c r="N1050" t="s">
        <v>2379</v>
      </c>
      <c r="O1050">
        <v>1</v>
      </c>
      <c r="P1050">
        <v>4.29</v>
      </c>
    </row>
    <row r="1051" spans="4:16" x14ac:dyDescent="0.25">
      <c r="D1051" t="s">
        <v>2380</v>
      </c>
      <c r="E1051" t="s">
        <v>135</v>
      </c>
      <c r="F1051" t="s">
        <v>2221</v>
      </c>
      <c r="G1051" t="s">
        <v>2381</v>
      </c>
      <c r="H1051" t="s">
        <v>1218</v>
      </c>
      <c r="I1051" s="13">
        <v>43612</v>
      </c>
      <c r="J1051">
        <v>4</v>
      </c>
      <c r="K1051" t="s">
        <v>177</v>
      </c>
      <c r="L1051" t="s">
        <v>139</v>
      </c>
      <c r="M1051" t="s">
        <v>261</v>
      </c>
      <c r="N1051" t="s">
        <v>2382</v>
      </c>
      <c r="O1051">
        <v>1</v>
      </c>
      <c r="P1051">
        <v>4.28</v>
      </c>
    </row>
    <row r="1052" spans="4:16" x14ac:dyDescent="0.25">
      <c r="D1052" t="s">
        <v>2383</v>
      </c>
      <c r="E1052" t="s">
        <v>135</v>
      </c>
      <c r="F1052" t="s">
        <v>656</v>
      </c>
      <c r="G1052" t="s">
        <v>1382</v>
      </c>
      <c r="H1052" t="s">
        <v>1218</v>
      </c>
      <c r="I1052" s="13">
        <v>43619</v>
      </c>
      <c r="J1052">
        <v>4</v>
      </c>
      <c r="K1052" t="s">
        <v>177</v>
      </c>
      <c r="L1052" t="s">
        <v>139</v>
      </c>
      <c r="M1052" t="s">
        <v>216</v>
      </c>
      <c r="N1052" t="s">
        <v>2384</v>
      </c>
      <c r="O1052">
        <v>1</v>
      </c>
      <c r="P1052">
        <v>4.26</v>
      </c>
    </row>
    <row r="1053" spans="4:16" x14ac:dyDescent="0.25">
      <c r="D1053" t="s">
        <v>2385</v>
      </c>
      <c r="E1053" t="s">
        <v>135</v>
      </c>
      <c r="F1053" t="s">
        <v>656</v>
      </c>
      <c r="G1053" t="s">
        <v>1382</v>
      </c>
      <c r="H1053" t="s">
        <v>1218</v>
      </c>
      <c r="I1053" s="13">
        <v>43619</v>
      </c>
      <c r="J1053">
        <v>4</v>
      </c>
      <c r="K1053" t="s">
        <v>177</v>
      </c>
      <c r="L1053" t="s">
        <v>139</v>
      </c>
      <c r="M1053" t="s">
        <v>216</v>
      </c>
      <c r="N1053" t="s">
        <v>2386</v>
      </c>
      <c r="O1053">
        <v>1</v>
      </c>
      <c r="P1053">
        <v>4.26</v>
      </c>
    </row>
    <row r="1054" spans="4:16" x14ac:dyDescent="0.25">
      <c r="D1054" t="s">
        <v>2387</v>
      </c>
      <c r="E1054" t="s">
        <v>135</v>
      </c>
      <c r="F1054" t="s">
        <v>656</v>
      </c>
      <c r="G1054" t="s">
        <v>1382</v>
      </c>
      <c r="H1054" t="s">
        <v>1218</v>
      </c>
      <c r="I1054" s="13">
        <v>43619</v>
      </c>
      <c r="J1054">
        <v>4</v>
      </c>
      <c r="K1054" t="s">
        <v>177</v>
      </c>
      <c r="L1054" t="s">
        <v>139</v>
      </c>
      <c r="M1054" t="s">
        <v>193</v>
      </c>
      <c r="N1054" t="s">
        <v>2388</v>
      </c>
      <c r="O1054">
        <v>1</v>
      </c>
      <c r="P1054">
        <v>4.26</v>
      </c>
    </row>
    <row r="1055" spans="4:16" x14ac:dyDescent="0.25">
      <c r="D1055" t="s">
        <v>2389</v>
      </c>
      <c r="E1055" t="s">
        <v>135</v>
      </c>
      <c r="F1055" t="s">
        <v>656</v>
      </c>
      <c r="G1055" t="s">
        <v>1382</v>
      </c>
      <c r="H1055" t="s">
        <v>1218</v>
      </c>
      <c r="I1055" s="13">
        <v>43619</v>
      </c>
      <c r="J1055">
        <v>4</v>
      </c>
      <c r="K1055" t="s">
        <v>177</v>
      </c>
      <c r="L1055" t="s">
        <v>139</v>
      </c>
      <c r="M1055" t="s">
        <v>193</v>
      </c>
      <c r="N1055" t="s">
        <v>2390</v>
      </c>
      <c r="O1055">
        <v>1</v>
      </c>
      <c r="P1055">
        <v>4.26</v>
      </c>
    </row>
    <row r="1056" spans="4:16" x14ac:dyDescent="0.25">
      <c r="D1056" t="s">
        <v>2391</v>
      </c>
      <c r="E1056" t="s">
        <v>135</v>
      </c>
      <c r="F1056" t="s">
        <v>656</v>
      </c>
      <c r="G1056" t="s">
        <v>1382</v>
      </c>
      <c r="H1056" t="s">
        <v>1218</v>
      </c>
      <c r="I1056" s="13">
        <v>43619</v>
      </c>
      <c r="J1056">
        <v>4</v>
      </c>
      <c r="K1056" t="s">
        <v>177</v>
      </c>
      <c r="L1056" t="s">
        <v>139</v>
      </c>
      <c r="M1056" t="s">
        <v>207</v>
      </c>
      <c r="N1056" t="s">
        <v>2392</v>
      </c>
      <c r="O1056">
        <v>1</v>
      </c>
      <c r="P1056">
        <v>4.26</v>
      </c>
    </row>
    <row r="1057" spans="4:16" x14ac:dyDescent="0.25">
      <c r="D1057" t="s">
        <v>2393</v>
      </c>
      <c r="E1057" t="s">
        <v>135</v>
      </c>
      <c r="F1057" t="s">
        <v>656</v>
      </c>
      <c r="G1057" t="s">
        <v>1382</v>
      </c>
      <c r="H1057" t="s">
        <v>1218</v>
      </c>
      <c r="I1057" s="13">
        <v>43619</v>
      </c>
      <c r="J1057">
        <v>4</v>
      </c>
      <c r="K1057" t="s">
        <v>177</v>
      </c>
      <c r="L1057" t="s">
        <v>139</v>
      </c>
      <c r="M1057" t="s">
        <v>193</v>
      </c>
      <c r="N1057" t="s">
        <v>2394</v>
      </c>
      <c r="O1057">
        <v>1</v>
      </c>
      <c r="P1057">
        <v>4.26</v>
      </c>
    </row>
    <row r="1058" spans="4:16" x14ac:dyDescent="0.25">
      <c r="D1058" t="s">
        <v>2395</v>
      </c>
      <c r="E1058" t="s">
        <v>135</v>
      </c>
      <c r="F1058" t="s">
        <v>656</v>
      </c>
      <c r="G1058" t="s">
        <v>1382</v>
      </c>
      <c r="H1058" t="s">
        <v>1218</v>
      </c>
      <c r="I1058" s="13">
        <v>43619</v>
      </c>
      <c r="J1058">
        <v>4</v>
      </c>
      <c r="K1058" t="s">
        <v>177</v>
      </c>
      <c r="L1058" t="s">
        <v>139</v>
      </c>
      <c r="M1058" t="s">
        <v>193</v>
      </c>
      <c r="N1058" t="s">
        <v>2396</v>
      </c>
      <c r="O1058">
        <v>1</v>
      </c>
      <c r="P1058">
        <v>4.26</v>
      </c>
    </row>
    <row r="1059" spans="4:16" x14ac:dyDescent="0.25">
      <c r="D1059" t="s">
        <v>2397</v>
      </c>
      <c r="E1059" t="s">
        <v>135</v>
      </c>
      <c r="F1059" t="s">
        <v>656</v>
      </c>
      <c r="G1059" t="s">
        <v>1382</v>
      </c>
      <c r="H1059" t="s">
        <v>1218</v>
      </c>
      <c r="I1059" s="13">
        <v>43619</v>
      </c>
      <c r="J1059">
        <v>4</v>
      </c>
      <c r="K1059" t="s">
        <v>177</v>
      </c>
      <c r="L1059" t="s">
        <v>139</v>
      </c>
      <c r="M1059" t="s">
        <v>160</v>
      </c>
      <c r="N1059" t="s">
        <v>2398</v>
      </c>
      <c r="O1059">
        <v>1</v>
      </c>
      <c r="P1059">
        <v>4.26</v>
      </c>
    </row>
    <row r="1060" spans="4:16" x14ac:dyDescent="0.25">
      <c r="D1060" t="s">
        <v>2399</v>
      </c>
      <c r="E1060" t="s">
        <v>135</v>
      </c>
      <c r="F1060" t="s">
        <v>656</v>
      </c>
      <c r="G1060" t="s">
        <v>1382</v>
      </c>
      <c r="H1060" t="s">
        <v>1218</v>
      </c>
      <c r="I1060" s="13">
        <v>43619</v>
      </c>
      <c r="J1060">
        <v>4</v>
      </c>
      <c r="K1060" t="s">
        <v>177</v>
      </c>
      <c r="L1060" t="s">
        <v>139</v>
      </c>
      <c r="M1060" t="s">
        <v>193</v>
      </c>
      <c r="N1060" t="s">
        <v>2400</v>
      </c>
      <c r="O1060">
        <v>1</v>
      </c>
      <c r="P1060">
        <v>4.26</v>
      </c>
    </row>
    <row r="1061" spans="4:16" x14ac:dyDescent="0.25">
      <c r="D1061" t="s">
        <v>2401</v>
      </c>
      <c r="E1061" t="s">
        <v>135</v>
      </c>
      <c r="F1061" t="s">
        <v>656</v>
      </c>
      <c r="G1061" t="s">
        <v>1382</v>
      </c>
      <c r="H1061" t="s">
        <v>1218</v>
      </c>
      <c r="I1061" s="13">
        <v>43619</v>
      </c>
      <c r="J1061">
        <v>4</v>
      </c>
      <c r="K1061" t="s">
        <v>177</v>
      </c>
      <c r="L1061" t="s">
        <v>139</v>
      </c>
      <c r="M1061" t="s">
        <v>216</v>
      </c>
      <c r="N1061" t="s">
        <v>2402</v>
      </c>
      <c r="O1061">
        <v>1</v>
      </c>
      <c r="P1061">
        <v>4.26</v>
      </c>
    </row>
    <row r="1062" spans="4:16" x14ac:dyDescent="0.25">
      <c r="D1062" t="s">
        <v>2403</v>
      </c>
      <c r="E1062" t="s">
        <v>135</v>
      </c>
      <c r="F1062" t="s">
        <v>656</v>
      </c>
      <c r="G1062" t="s">
        <v>1382</v>
      </c>
      <c r="H1062" t="s">
        <v>1218</v>
      </c>
      <c r="I1062" s="13">
        <v>43619</v>
      </c>
      <c r="J1062">
        <v>4</v>
      </c>
      <c r="K1062" t="s">
        <v>177</v>
      </c>
      <c r="L1062" t="s">
        <v>139</v>
      </c>
      <c r="M1062" t="s">
        <v>216</v>
      </c>
      <c r="N1062" t="s">
        <v>2404</v>
      </c>
      <c r="O1062">
        <v>1</v>
      </c>
      <c r="P1062">
        <v>4.26</v>
      </c>
    </row>
    <row r="1063" spans="4:16" x14ac:dyDescent="0.25">
      <c r="D1063" t="s">
        <v>2405</v>
      </c>
      <c r="E1063" t="s">
        <v>135</v>
      </c>
      <c r="F1063" t="s">
        <v>1636</v>
      </c>
      <c r="G1063" t="s">
        <v>2406</v>
      </c>
      <c r="H1063" t="s">
        <v>1218</v>
      </c>
      <c r="I1063" s="13">
        <v>43623</v>
      </c>
      <c r="J1063">
        <v>4</v>
      </c>
      <c r="K1063" t="s">
        <v>177</v>
      </c>
      <c r="L1063" t="s">
        <v>139</v>
      </c>
      <c r="M1063" t="s">
        <v>355</v>
      </c>
      <c r="N1063" t="s">
        <v>2407</v>
      </c>
      <c r="O1063">
        <v>1</v>
      </c>
      <c r="P1063">
        <v>4.25</v>
      </c>
    </row>
    <row r="1064" spans="4:16" x14ac:dyDescent="0.25">
      <c r="D1064" t="s">
        <v>2408</v>
      </c>
      <c r="E1064" t="s">
        <v>135</v>
      </c>
      <c r="F1064" t="s">
        <v>379</v>
      </c>
      <c r="G1064" t="s">
        <v>782</v>
      </c>
      <c r="H1064" t="s">
        <v>1218</v>
      </c>
      <c r="I1064" s="13">
        <v>43623</v>
      </c>
      <c r="J1064">
        <v>4</v>
      </c>
      <c r="K1064" t="s">
        <v>177</v>
      </c>
      <c r="L1064" t="s">
        <v>139</v>
      </c>
      <c r="M1064" t="s">
        <v>165</v>
      </c>
      <c r="N1064" t="s">
        <v>2409</v>
      </c>
      <c r="O1064">
        <v>1</v>
      </c>
      <c r="P1064">
        <v>4.25</v>
      </c>
    </row>
    <row r="1065" spans="4:16" hidden="1" x14ac:dyDescent="0.25">
      <c r="D1065" t="s">
        <v>2410</v>
      </c>
      <c r="E1065" t="s">
        <v>135</v>
      </c>
      <c r="F1065" t="s">
        <v>2185</v>
      </c>
      <c r="G1065" t="s">
        <v>2333</v>
      </c>
      <c r="H1065" t="s">
        <v>3642</v>
      </c>
      <c r="I1065" s="13">
        <v>43630</v>
      </c>
      <c r="J1065">
        <v>4</v>
      </c>
      <c r="K1065" t="s">
        <v>177</v>
      </c>
      <c r="L1065" t="s">
        <v>139</v>
      </c>
      <c r="M1065" t="s">
        <v>712</v>
      </c>
      <c r="N1065" t="s">
        <v>2411</v>
      </c>
      <c r="O1065">
        <v>1</v>
      </c>
      <c r="P1065">
        <v>4.2300000000000004</v>
      </c>
    </row>
    <row r="1066" spans="4:16" x14ac:dyDescent="0.25">
      <c r="D1066" t="s">
        <v>2412</v>
      </c>
      <c r="E1066" t="s">
        <v>135</v>
      </c>
      <c r="F1066" t="s">
        <v>2413</v>
      </c>
      <c r="G1066" t="s">
        <v>2414</v>
      </c>
      <c r="H1066" t="s">
        <v>1218</v>
      </c>
      <c r="I1066" s="13">
        <v>43643</v>
      </c>
      <c r="J1066">
        <v>4</v>
      </c>
      <c r="K1066" t="s">
        <v>177</v>
      </c>
      <c r="L1066" t="s">
        <v>139</v>
      </c>
      <c r="M1066" t="s">
        <v>316</v>
      </c>
      <c r="N1066" t="s">
        <v>2415</v>
      </c>
      <c r="O1066">
        <v>1</v>
      </c>
      <c r="P1066">
        <v>4.2</v>
      </c>
    </row>
    <row r="1067" spans="4:16" x14ac:dyDescent="0.25">
      <c r="D1067" t="s">
        <v>2416</v>
      </c>
      <c r="E1067" t="s">
        <v>135</v>
      </c>
      <c r="F1067" t="s">
        <v>2221</v>
      </c>
      <c r="G1067" t="s">
        <v>2381</v>
      </c>
      <c r="H1067" t="s">
        <v>1218</v>
      </c>
      <c r="I1067" s="13">
        <v>43643</v>
      </c>
      <c r="J1067">
        <v>4</v>
      </c>
      <c r="K1067" t="s">
        <v>177</v>
      </c>
      <c r="L1067" t="s">
        <v>139</v>
      </c>
      <c r="M1067" t="s">
        <v>261</v>
      </c>
      <c r="N1067" t="s">
        <v>2417</v>
      </c>
      <c r="O1067">
        <v>1</v>
      </c>
      <c r="P1067">
        <v>4.2</v>
      </c>
    </row>
    <row r="1068" spans="4:16" x14ac:dyDescent="0.25">
      <c r="D1068" t="s">
        <v>2418</v>
      </c>
      <c r="E1068" t="s">
        <v>135</v>
      </c>
      <c r="F1068" t="s">
        <v>2221</v>
      </c>
      <c r="G1068" t="s">
        <v>2381</v>
      </c>
      <c r="H1068" t="s">
        <v>1218</v>
      </c>
      <c r="I1068" s="13">
        <v>43643</v>
      </c>
      <c r="J1068">
        <v>4</v>
      </c>
      <c r="K1068" t="s">
        <v>177</v>
      </c>
      <c r="L1068" t="s">
        <v>139</v>
      </c>
      <c r="M1068" t="s">
        <v>200</v>
      </c>
      <c r="N1068" t="s">
        <v>2419</v>
      </c>
      <c r="O1068">
        <v>1</v>
      </c>
      <c r="P1068">
        <v>4.2</v>
      </c>
    </row>
    <row r="1069" spans="4:16" x14ac:dyDescent="0.25">
      <c r="D1069" t="s">
        <v>2420</v>
      </c>
      <c r="E1069" t="s">
        <v>135</v>
      </c>
      <c r="F1069" t="s">
        <v>2221</v>
      </c>
      <c r="G1069" t="s">
        <v>2381</v>
      </c>
      <c r="H1069" t="s">
        <v>1218</v>
      </c>
      <c r="I1069" s="13">
        <v>43643</v>
      </c>
      <c r="J1069">
        <v>4</v>
      </c>
      <c r="K1069" t="s">
        <v>177</v>
      </c>
      <c r="L1069" t="s">
        <v>139</v>
      </c>
      <c r="M1069" t="s">
        <v>200</v>
      </c>
      <c r="N1069" t="s">
        <v>2421</v>
      </c>
      <c r="O1069">
        <v>1</v>
      </c>
      <c r="P1069">
        <v>4.2</v>
      </c>
    </row>
    <row r="1070" spans="4:16" x14ac:dyDescent="0.25">
      <c r="D1070" t="s">
        <v>2422</v>
      </c>
      <c r="E1070" t="s">
        <v>135</v>
      </c>
      <c r="F1070" t="s">
        <v>379</v>
      </c>
      <c r="G1070" t="s">
        <v>1041</v>
      </c>
      <c r="H1070" t="s">
        <v>1218</v>
      </c>
      <c r="I1070" s="13">
        <v>43642</v>
      </c>
      <c r="J1070">
        <v>4</v>
      </c>
      <c r="K1070" t="s">
        <v>177</v>
      </c>
      <c r="L1070" t="s">
        <v>139</v>
      </c>
      <c r="M1070" t="s">
        <v>352</v>
      </c>
      <c r="N1070" t="s">
        <v>2423</v>
      </c>
      <c r="O1070">
        <v>1</v>
      </c>
      <c r="P1070">
        <v>4.2</v>
      </c>
    </row>
    <row r="1071" spans="4:16" x14ac:dyDescent="0.25">
      <c r="D1071" t="s">
        <v>2424</v>
      </c>
      <c r="E1071" t="s">
        <v>135</v>
      </c>
      <c r="F1071" t="s">
        <v>2221</v>
      </c>
      <c r="G1071" t="s">
        <v>2425</v>
      </c>
      <c r="H1071" t="s">
        <v>1218</v>
      </c>
      <c r="I1071" s="13">
        <v>43643</v>
      </c>
      <c r="J1071">
        <v>4</v>
      </c>
      <c r="K1071" t="s">
        <v>177</v>
      </c>
      <c r="L1071" t="s">
        <v>139</v>
      </c>
      <c r="M1071" t="s">
        <v>264</v>
      </c>
      <c r="N1071" t="s">
        <v>2426</v>
      </c>
      <c r="O1071">
        <v>1</v>
      </c>
      <c r="P1071">
        <v>4.2</v>
      </c>
    </row>
    <row r="1072" spans="4:16" x14ac:dyDescent="0.25">
      <c r="D1072" t="s">
        <v>2427</v>
      </c>
      <c r="E1072" t="s">
        <v>135</v>
      </c>
      <c r="F1072" t="s">
        <v>2221</v>
      </c>
      <c r="G1072" t="s">
        <v>2381</v>
      </c>
      <c r="H1072" t="s">
        <v>1218</v>
      </c>
      <c r="I1072" s="13">
        <v>43643</v>
      </c>
      <c r="J1072">
        <v>4</v>
      </c>
      <c r="K1072" t="s">
        <v>177</v>
      </c>
      <c r="L1072" t="s">
        <v>139</v>
      </c>
      <c r="M1072" t="s">
        <v>264</v>
      </c>
      <c r="N1072" t="s">
        <v>2428</v>
      </c>
      <c r="O1072">
        <v>1</v>
      </c>
      <c r="P1072">
        <v>4.2</v>
      </c>
    </row>
    <row r="1073" spans="4:16" x14ac:dyDescent="0.25">
      <c r="D1073" t="s">
        <v>2429</v>
      </c>
      <c r="E1073" t="s">
        <v>135</v>
      </c>
      <c r="F1073" t="s">
        <v>2221</v>
      </c>
      <c r="G1073" t="s">
        <v>2381</v>
      </c>
      <c r="H1073" t="s">
        <v>1218</v>
      </c>
      <c r="I1073" s="13">
        <v>43649</v>
      </c>
      <c r="J1073">
        <v>4</v>
      </c>
      <c r="K1073" t="s">
        <v>177</v>
      </c>
      <c r="L1073" t="s">
        <v>139</v>
      </c>
      <c r="M1073" t="s">
        <v>264</v>
      </c>
      <c r="N1073" t="s">
        <v>2430</v>
      </c>
      <c r="O1073">
        <v>1</v>
      </c>
      <c r="P1073">
        <v>4.18</v>
      </c>
    </row>
    <row r="1074" spans="4:16" x14ac:dyDescent="0.25">
      <c r="D1074" t="s">
        <v>2431</v>
      </c>
      <c r="E1074" t="s">
        <v>135</v>
      </c>
      <c r="F1074" t="s">
        <v>143</v>
      </c>
      <c r="G1074" t="s">
        <v>611</v>
      </c>
      <c r="H1074" t="s">
        <v>1218</v>
      </c>
      <c r="I1074" s="13">
        <v>43649</v>
      </c>
      <c r="J1074">
        <v>4</v>
      </c>
      <c r="K1074" t="s">
        <v>177</v>
      </c>
      <c r="L1074" t="s">
        <v>139</v>
      </c>
      <c r="M1074" t="s">
        <v>805</v>
      </c>
      <c r="N1074" t="s">
        <v>2432</v>
      </c>
      <c r="O1074">
        <v>1</v>
      </c>
      <c r="P1074">
        <v>4.18</v>
      </c>
    </row>
    <row r="1075" spans="4:16" x14ac:dyDescent="0.25">
      <c r="D1075" t="s">
        <v>2433</v>
      </c>
      <c r="E1075" t="s">
        <v>135</v>
      </c>
      <c r="F1075" t="s">
        <v>143</v>
      </c>
      <c r="G1075" t="s">
        <v>611</v>
      </c>
      <c r="H1075" t="s">
        <v>1218</v>
      </c>
      <c r="I1075" s="13">
        <v>43649</v>
      </c>
      <c r="J1075">
        <v>4</v>
      </c>
      <c r="K1075" t="s">
        <v>177</v>
      </c>
      <c r="L1075" t="s">
        <v>139</v>
      </c>
      <c r="M1075" t="s">
        <v>805</v>
      </c>
      <c r="N1075" t="s">
        <v>2434</v>
      </c>
      <c r="O1075">
        <v>1</v>
      </c>
      <c r="P1075">
        <v>4.18</v>
      </c>
    </row>
    <row r="1076" spans="4:16" x14ac:dyDescent="0.25">
      <c r="D1076" t="s">
        <v>2435</v>
      </c>
      <c r="E1076" t="s">
        <v>135</v>
      </c>
      <c r="F1076" t="s">
        <v>143</v>
      </c>
      <c r="G1076" t="s">
        <v>611</v>
      </c>
      <c r="H1076" t="s">
        <v>1218</v>
      </c>
      <c r="I1076" s="13">
        <v>43649</v>
      </c>
      <c r="J1076">
        <v>4</v>
      </c>
      <c r="K1076" t="s">
        <v>177</v>
      </c>
      <c r="L1076" t="s">
        <v>139</v>
      </c>
      <c r="M1076" t="s">
        <v>805</v>
      </c>
      <c r="N1076" t="s">
        <v>2436</v>
      </c>
      <c r="O1076">
        <v>1</v>
      </c>
      <c r="P1076">
        <v>4.18</v>
      </c>
    </row>
    <row r="1077" spans="4:16" x14ac:dyDescent="0.25">
      <c r="D1077" t="s">
        <v>2437</v>
      </c>
      <c r="E1077" t="s">
        <v>135</v>
      </c>
      <c r="F1077" t="s">
        <v>2221</v>
      </c>
      <c r="G1077" t="s">
        <v>2381</v>
      </c>
      <c r="H1077" t="s">
        <v>1218</v>
      </c>
      <c r="I1077" s="13">
        <v>43649</v>
      </c>
      <c r="J1077">
        <v>4</v>
      </c>
      <c r="K1077" t="s">
        <v>177</v>
      </c>
      <c r="L1077" t="s">
        <v>139</v>
      </c>
      <c r="M1077" t="s">
        <v>264</v>
      </c>
      <c r="N1077" t="s">
        <v>2438</v>
      </c>
      <c r="O1077">
        <v>1</v>
      </c>
      <c r="P1077">
        <v>4.18</v>
      </c>
    </row>
    <row r="1078" spans="4:16" x14ac:dyDescent="0.25">
      <c r="D1078" t="s">
        <v>2439</v>
      </c>
      <c r="E1078" t="s">
        <v>135</v>
      </c>
      <c r="F1078" t="s">
        <v>2221</v>
      </c>
      <c r="G1078" t="s">
        <v>1834</v>
      </c>
      <c r="H1078" t="s">
        <v>1218</v>
      </c>
      <c r="I1078" s="13">
        <v>43657</v>
      </c>
      <c r="J1078">
        <v>4</v>
      </c>
      <c r="K1078" t="s">
        <v>177</v>
      </c>
      <c r="L1078" t="s">
        <v>139</v>
      </c>
      <c r="M1078" t="s">
        <v>268</v>
      </c>
      <c r="N1078" t="s">
        <v>2440</v>
      </c>
      <c r="O1078">
        <v>1</v>
      </c>
      <c r="P1078">
        <v>4.16</v>
      </c>
    </row>
    <row r="1079" spans="4:16" x14ac:dyDescent="0.25">
      <c r="D1079" t="s">
        <v>2441</v>
      </c>
      <c r="E1079" t="s">
        <v>135</v>
      </c>
      <c r="F1079" t="s">
        <v>379</v>
      </c>
      <c r="G1079" t="s">
        <v>782</v>
      </c>
      <c r="H1079" t="s">
        <v>1218</v>
      </c>
      <c r="I1079" s="13">
        <v>43685</v>
      </c>
      <c r="J1079">
        <v>4</v>
      </c>
      <c r="K1079" t="s">
        <v>157</v>
      </c>
      <c r="L1079" t="s">
        <v>977</v>
      </c>
      <c r="M1079" t="s">
        <v>151</v>
      </c>
      <c r="N1079" t="s">
        <v>2442</v>
      </c>
      <c r="O1079">
        <v>1</v>
      </c>
      <c r="P1079">
        <v>4.08</v>
      </c>
    </row>
    <row r="1080" spans="4:16" x14ac:dyDescent="0.25">
      <c r="D1080" t="s">
        <v>2443</v>
      </c>
      <c r="E1080" t="s">
        <v>135</v>
      </c>
      <c r="F1080" t="s">
        <v>379</v>
      </c>
      <c r="G1080" t="s">
        <v>1964</v>
      </c>
      <c r="H1080" t="s">
        <v>1218</v>
      </c>
      <c r="I1080" s="13">
        <v>43693</v>
      </c>
      <c r="J1080">
        <v>4</v>
      </c>
      <c r="K1080" t="s">
        <v>177</v>
      </c>
      <c r="L1080" t="s">
        <v>139</v>
      </c>
      <c r="M1080" t="s">
        <v>490</v>
      </c>
      <c r="N1080" t="s">
        <v>2444</v>
      </c>
      <c r="O1080">
        <v>1</v>
      </c>
      <c r="P1080">
        <v>4.0599999999999996</v>
      </c>
    </row>
    <row r="1081" spans="4:16" x14ac:dyDescent="0.25">
      <c r="D1081" t="s">
        <v>2445</v>
      </c>
      <c r="E1081" t="s">
        <v>135</v>
      </c>
      <c r="F1081" t="s">
        <v>379</v>
      </c>
      <c r="G1081" t="s">
        <v>1964</v>
      </c>
      <c r="H1081" t="s">
        <v>1218</v>
      </c>
      <c r="I1081" s="13">
        <v>43693</v>
      </c>
      <c r="J1081">
        <v>4</v>
      </c>
      <c r="K1081" t="s">
        <v>177</v>
      </c>
      <c r="L1081" t="s">
        <v>139</v>
      </c>
      <c r="M1081" t="s">
        <v>1189</v>
      </c>
      <c r="N1081" t="s">
        <v>2446</v>
      </c>
      <c r="O1081">
        <v>1</v>
      </c>
      <c r="P1081">
        <v>4.0599999999999996</v>
      </c>
    </row>
    <row r="1082" spans="4:16" x14ac:dyDescent="0.25">
      <c r="D1082" t="s">
        <v>2447</v>
      </c>
      <c r="E1082" t="s">
        <v>135</v>
      </c>
      <c r="F1082" t="s">
        <v>656</v>
      </c>
      <c r="G1082" t="s">
        <v>1382</v>
      </c>
      <c r="H1082" t="s">
        <v>1218</v>
      </c>
      <c r="I1082" s="13">
        <v>43697</v>
      </c>
      <c r="J1082">
        <v>4</v>
      </c>
      <c r="K1082" t="s">
        <v>177</v>
      </c>
      <c r="L1082" t="s">
        <v>139</v>
      </c>
      <c r="M1082" t="s">
        <v>160</v>
      </c>
      <c r="N1082" t="s">
        <v>2448</v>
      </c>
      <c r="O1082">
        <v>1</v>
      </c>
      <c r="P1082">
        <v>4.05</v>
      </c>
    </row>
    <row r="1083" spans="4:16" x14ac:dyDescent="0.25">
      <c r="D1083" t="s">
        <v>2449</v>
      </c>
      <c r="E1083" t="s">
        <v>135</v>
      </c>
      <c r="F1083" t="s">
        <v>656</v>
      </c>
      <c r="G1083" t="s">
        <v>1382</v>
      </c>
      <c r="H1083" t="s">
        <v>1218</v>
      </c>
      <c r="I1083" s="13">
        <v>43697</v>
      </c>
      <c r="J1083">
        <v>4</v>
      </c>
      <c r="K1083" t="s">
        <v>177</v>
      </c>
      <c r="L1083" t="s">
        <v>139</v>
      </c>
      <c r="M1083" t="s">
        <v>160</v>
      </c>
      <c r="N1083" t="s">
        <v>2450</v>
      </c>
      <c r="O1083">
        <v>1</v>
      </c>
      <c r="P1083">
        <v>4.05</v>
      </c>
    </row>
    <row r="1084" spans="4:16" x14ac:dyDescent="0.25">
      <c r="D1084" t="s">
        <v>2451</v>
      </c>
      <c r="E1084" t="s">
        <v>135</v>
      </c>
      <c r="F1084" t="s">
        <v>656</v>
      </c>
      <c r="G1084" t="s">
        <v>1382</v>
      </c>
      <c r="H1084" t="s">
        <v>1218</v>
      </c>
      <c r="I1084" s="13">
        <v>43697</v>
      </c>
      <c r="J1084">
        <v>4</v>
      </c>
      <c r="K1084" t="s">
        <v>177</v>
      </c>
      <c r="L1084" t="s">
        <v>139</v>
      </c>
      <c r="M1084" t="s">
        <v>216</v>
      </c>
      <c r="N1084" t="s">
        <v>2452</v>
      </c>
      <c r="O1084">
        <v>1</v>
      </c>
      <c r="P1084">
        <v>4.05</v>
      </c>
    </row>
    <row r="1085" spans="4:16" x14ac:dyDescent="0.25">
      <c r="D1085" t="s">
        <v>2453</v>
      </c>
      <c r="E1085" t="s">
        <v>135</v>
      </c>
      <c r="F1085" t="s">
        <v>656</v>
      </c>
      <c r="G1085" t="s">
        <v>1382</v>
      </c>
      <c r="H1085" t="s">
        <v>1218</v>
      </c>
      <c r="I1085" s="13">
        <v>43697</v>
      </c>
      <c r="J1085">
        <v>4</v>
      </c>
      <c r="K1085" t="s">
        <v>177</v>
      </c>
      <c r="L1085" t="s">
        <v>139</v>
      </c>
      <c r="M1085" t="s">
        <v>216</v>
      </c>
      <c r="N1085" t="s">
        <v>2454</v>
      </c>
      <c r="O1085">
        <v>1</v>
      </c>
      <c r="P1085">
        <v>4.05</v>
      </c>
    </row>
    <row r="1086" spans="4:16" x14ac:dyDescent="0.25">
      <c r="D1086" t="s">
        <v>2455</v>
      </c>
      <c r="E1086" t="s">
        <v>135</v>
      </c>
      <c r="F1086" t="s">
        <v>656</v>
      </c>
      <c r="G1086" t="s">
        <v>1382</v>
      </c>
      <c r="H1086" t="s">
        <v>1218</v>
      </c>
      <c r="I1086" s="13">
        <v>43697</v>
      </c>
      <c r="J1086">
        <v>4</v>
      </c>
      <c r="K1086" t="s">
        <v>177</v>
      </c>
      <c r="L1086" t="s">
        <v>139</v>
      </c>
      <c r="M1086" t="s">
        <v>216</v>
      </c>
      <c r="N1086" t="s">
        <v>2456</v>
      </c>
      <c r="O1086">
        <v>1</v>
      </c>
      <c r="P1086">
        <v>4.05</v>
      </c>
    </row>
    <row r="1087" spans="4:16" x14ac:dyDescent="0.25">
      <c r="D1087" t="s">
        <v>2457</v>
      </c>
      <c r="E1087" t="s">
        <v>135</v>
      </c>
      <c r="F1087" t="s">
        <v>656</v>
      </c>
      <c r="G1087" t="s">
        <v>1382</v>
      </c>
      <c r="H1087" t="s">
        <v>1218</v>
      </c>
      <c r="I1087" s="13">
        <v>43697</v>
      </c>
      <c r="J1087">
        <v>4</v>
      </c>
      <c r="K1087" t="s">
        <v>177</v>
      </c>
      <c r="L1087" t="s">
        <v>139</v>
      </c>
      <c r="M1087" t="s">
        <v>193</v>
      </c>
      <c r="N1087" t="s">
        <v>2458</v>
      </c>
      <c r="O1087">
        <v>1</v>
      </c>
      <c r="P1087">
        <v>4.05</v>
      </c>
    </row>
    <row r="1088" spans="4:16" x14ac:dyDescent="0.25">
      <c r="D1088" t="s">
        <v>2459</v>
      </c>
      <c r="E1088" t="s">
        <v>135</v>
      </c>
      <c r="F1088" t="s">
        <v>656</v>
      </c>
      <c r="G1088" t="s">
        <v>1382</v>
      </c>
      <c r="H1088" t="s">
        <v>1218</v>
      </c>
      <c r="I1088" s="13">
        <v>43697</v>
      </c>
      <c r="J1088">
        <v>4</v>
      </c>
      <c r="K1088" t="s">
        <v>177</v>
      </c>
      <c r="L1088" t="s">
        <v>139</v>
      </c>
      <c r="M1088" t="s">
        <v>189</v>
      </c>
      <c r="N1088" t="s">
        <v>2460</v>
      </c>
      <c r="O1088">
        <v>1</v>
      </c>
      <c r="P1088">
        <v>4.05</v>
      </c>
    </row>
    <row r="1089" spans="4:16" x14ac:dyDescent="0.25">
      <c r="D1089" t="s">
        <v>2461</v>
      </c>
      <c r="E1089" t="s">
        <v>135</v>
      </c>
      <c r="F1089" t="s">
        <v>656</v>
      </c>
      <c r="G1089" t="s">
        <v>1382</v>
      </c>
      <c r="H1089" t="s">
        <v>1218</v>
      </c>
      <c r="I1089" s="13">
        <v>43697</v>
      </c>
      <c r="J1089">
        <v>4</v>
      </c>
      <c r="K1089" t="s">
        <v>177</v>
      </c>
      <c r="L1089" t="s">
        <v>139</v>
      </c>
      <c r="M1089" t="s">
        <v>160</v>
      </c>
      <c r="N1089" t="s">
        <v>2462</v>
      </c>
      <c r="O1089">
        <v>1</v>
      </c>
      <c r="P1089">
        <v>4.05</v>
      </c>
    </row>
    <row r="1090" spans="4:16" x14ac:dyDescent="0.25">
      <c r="D1090" t="s">
        <v>2463</v>
      </c>
      <c r="E1090" t="s">
        <v>135</v>
      </c>
      <c r="F1090" t="s">
        <v>2464</v>
      </c>
      <c r="G1090" t="s">
        <v>2406</v>
      </c>
      <c r="H1090" t="s">
        <v>1218</v>
      </c>
      <c r="I1090" s="13">
        <v>43700</v>
      </c>
      <c r="J1090">
        <v>4</v>
      </c>
      <c r="K1090" t="s">
        <v>177</v>
      </c>
      <c r="L1090" t="s">
        <v>139</v>
      </c>
      <c r="M1090" t="s">
        <v>856</v>
      </c>
      <c r="N1090" t="s">
        <v>2465</v>
      </c>
      <c r="O1090">
        <v>1</v>
      </c>
      <c r="P1090">
        <v>4.04</v>
      </c>
    </row>
    <row r="1091" spans="4:16" hidden="1" x14ac:dyDescent="0.25">
      <c r="D1091" t="s">
        <v>905</v>
      </c>
      <c r="E1091" t="s">
        <v>135</v>
      </c>
      <c r="F1091" t="s">
        <v>1679</v>
      </c>
      <c r="G1091" t="s">
        <v>1679</v>
      </c>
      <c r="H1091" t="s">
        <v>1218</v>
      </c>
      <c r="I1091" s="13">
        <v>43706</v>
      </c>
      <c r="J1091">
        <v>4</v>
      </c>
      <c r="K1091" t="s">
        <v>157</v>
      </c>
      <c r="L1091" t="s">
        <v>906</v>
      </c>
      <c r="M1091" t="s">
        <v>452</v>
      </c>
      <c r="N1091" t="s">
        <v>2466</v>
      </c>
      <c r="O1091">
        <v>1</v>
      </c>
      <c r="P1091">
        <v>4.03</v>
      </c>
    </row>
    <row r="1092" spans="4:16" x14ac:dyDescent="0.25">
      <c r="D1092" t="s">
        <v>2467</v>
      </c>
      <c r="E1092" t="s">
        <v>135</v>
      </c>
      <c r="F1092" t="s">
        <v>656</v>
      </c>
      <c r="G1092" t="s">
        <v>1382</v>
      </c>
      <c r="H1092" t="s">
        <v>1218</v>
      </c>
      <c r="I1092" s="13">
        <v>43703</v>
      </c>
      <c r="J1092">
        <v>4</v>
      </c>
      <c r="K1092" t="s">
        <v>177</v>
      </c>
      <c r="L1092" t="s">
        <v>139</v>
      </c>
      <c r="M1092" t="s">
        <v>193</v>
      </c>
      <c r="N1092" t="s">
        <v>2468</v>
      </c>
      <c r="O1092">
        <v>1</v>
      </c>
      <c r="P1092">
        <v>4.03</v>
      </c>
    </row>
    <row r="1093" spans="4:16" x14ac:dyDescent="0.25">
      <c r="D1093" t="s">
        <v>2469</v>
      </c>
      <c r="E1093" t="s">
        <v>135</v>
      </c>
      <c r="F1093" t="s">
        <v>1679</v>
      </c>
      <c r="G1093" t="s">
        <v>1679</v>
      </c>
      <c r="H1093" t="s">
        <v>1218</v>
      </c>
      <c r="I1093" s="13">
        <v>43704</v>
      </c>
      <c r="J1093">
        <v>4</v>
      </c>
      <c r="K1093" t="s">
        <v>177</v>
      </c>
      <c r="L1093" t="s">
        <v>139</v>
      </c>
      <c r="M1093" t="s">
        <v>1027</v>
      </c>
      <c r="N1093" t="s">
        <v>2470</v>
      </c>
      <c r="O1093">
        <v>1</v>
      </c>
      <c r="P1093">
        <v>4.03</v>
      </c>
    </row>
    <row r="1094" spans="4:16" x14ac:dyDescent="0.25">
      <c r="D1094" t="s">
        <v>2471</v>
      </c>
      <c r="E1094" t="s">
        <v>135</v>
      </c>
      <c r="F1094" t="s">
        <v>1679</v>
      </c>
      <c r="G1094" t="s">
        <v>1679</v>
      </c>
      <c r="H1094" t="s">
        <v>1218</v>
      </c>
      <c r="I1094" s="13">
        <v>43706</v>
      </c>
      <c r="J1094">
        <v>4</v>
      </c>
      <c r="K1094" t="s">
        <v>177</v>
      </c>
      <c r="L1094" t="s">
        <v>139</v>
      </c>
      <c r="M1094" t="s">
        <v>452</v>
      </c>
      <c r="N1094" t="s">
        <v>2466</v>
      </c>
      <c r="O1094">
        <v>1</v>
      </c>
      <c r="P1094">
        <v>4.03</v>
      </c>
    </row>
    <row r="1095" spans="4:16" x14ac:dyDescent="0.25">
      <c r="D1095" t="s">
        <v>2472</v>
      </c>
      <c r="E1095" t="s">
        <v>135</v>
      </c>
      <c r="F1095" t="s">
        <v>1679</v>
      </c>
      <c r="G1095" t="s">
        <v>1679</v>
      </c>
      <c r="H1095" t="s">
        <v>1218</v>
      </c>
      <c r="I1095" s="13">
        <v>43706</v>
      </c>
      <c r="J1095">
        <v>4</v>
      </c>
      <c r="K1095" t="s">
        <v>177</v>
      </c>
      <c r="L1095" t="s">
        <v>139</v>
      </c>
      <c r="M1095" t="s">
        <v>1027</v>
      </c>
      <c r="N1095" t="s">
        <v>2473</v>
      </c>
      <c r="O1095">
        <v>1</v>
      </c>
      <c r="P1095">
        <v>4.03</v>
      </c>
    </row>
    <row r="1096" spans="4:16" x14ac:dyDescent="0.25">
      <c r="D1096" t="s">
        <v>2474</v>
      </c>
      <c r="E1096" t="s">
        <v>135</v>
      </c>
      <c r="F1096" t="s">
        <v>1679</v>
      </c>
      <c r="G1096" t="s">
        <v>1679</v>
      </c>
      <c r="H1096" t="s">
        <v>1218</v>
      </c>
      <c r="I1096" s="13">
        <v>43706</v>
      </c>
      <c r="J1096">
        <v>4</v>
      </c>
      <c r="K1096" t="s">
        <v>177</v>
      </c>
      <c r="L1096" t="s">
        <v>139</v>
      </c>
      <c r="M1096" t="s">
        <v>452</v>
      </c>
      <c r="N1096" t="s">
        <v>2475</v>
      </c>
      <c r="O1096">
        <v>1</v>
      </c>
      <c r="P1096">
        <v>4.03</v>
      </c>
    </row>
    <row r="1097" spans="4:16" x14ac:dyDescent="0.25">
      <c r="D1097" t="s">
        <v>2476</v>
      </c>
      <c r="E1097" t="s">
        <v>135</v>
      </c>
      <c r="F1097" t="s">
        <v>2221</v>
      </c>
      <c r="G1097" t="s">
        <v>1834</v>
      </c>
      <c r="H1097" t="s">
        <v>1218</v>
      </c>
      <c r="I1097" s="13">
        <v>43706</v>
      </c>
      <c r="J1097">
        <v>4</v>
      </c>
      <c r="K1097" t="s">
        <v>177</v>
      </c>
      <c r="L1097" t="s">
        <v>139</v>
      </c>
      <c r="M1097" t="s">
        <v>268</v>
      </c>
      <c r="N1097" t="s">
        <v>2477</v>
      </c>
      <c r="O1097">
        <v>1</v>
      </c>
      <c r="P1097">
        <v>4.03</v>
      </c>
    </row>
    <row r="1098" spans="4:16" x14ac:dyDescent="0.25">
      <c r="D1098" t="s">
        <v>2478</v>
      </c>
      <c r="E1098" t="s">
        <v>135</v>
      </c>
      <c r="F1098" t="s">
        <v>2221</v>
      </c>
      <c r="G1098" t="s">
        <v>1834</v>
      </c>
      <c r="H1098" t="s">
        <v>1218</v>
      </c>
      <c r="I1098" s="13">
        <v>43706</v>
      </c>
      <c r="J1098">
        <v>4</v>
      </c>
      <c r="K1098" t="s">
        <v>177</v>
      </c>
      <c r="L1098" t="s">
        <v>139</v>
      </c>
      <c r="M1098" t="s">
        <v>268</v>
      </c>
      <c r="N1098" t="s">
        <v>2479</v>
      </c>
      <c r="O1098">
        <v>1</v>
      </c>
      <c r="P1098">
        <v>4.03</v>
      </c>
    </row>
    <row r="1099" spans="4:16" x14ac:dyDescent="0.25">
      <c r="D1099" t="s">
        <v>2480</v>
      </c>
      <c r="E1099" t="s">
        <v>135</v>
      </c>
      <c r="F1099" t="s">
        <v>2481</v>
      </c>
      <c r="G1099" t="s">
        <v>2482</v>
      </c>
      <c r="H1099" t="s">
        <v>1218</v>
      </c>
      <c r="I1099" s="13">
        <v>43718</v>
      </c>
      <c r="J1099">
        <v>4</v>
      </c>
      <c r="K1099" t="s">
        <v>177</v>
      </c>
      <c r="L1099" t="s">
        <v>139</v>
      </c>
      <c r="M1099" t="s">
        <v>509</v>
      </c>
      <c r="N1099" t="s">
        <v>2483</v>
      </c>
      <c r="O1099">
        <v>1</v>
      </c>
      <c r="P1099">
        <v>3.99</v>
      </c>
    </row>
    <row r="1100" spans="4:16" x14ac:dyDescent="0.25">
      <c r="D1100" t="s">
        <v>2484</v>
      </c>
      <c r="E1100" t="s">
        <v>135</v>
      </c>
      <c r="F1100" t="s">
        <v>1679</v>
      </c>
      <c r="G1100" t="s">
        <v>1676</v>
      </c>
      <c r="H1100" t="s">
        <v>1218</v>
      </c>
      <c r="I1100" s="13">
        <v>43749</v>
      </c>
      <c r="J1100">
        <v>4</v>
      </c>
      <c r="K1100" t="s">
        <v>177</v>
      </c>
      <c r="L1100" t="s">
        <v>139</v>
      </c>
      <c r="M1100" t="s">
        <v>555</v>
      </c>
      <c r="N1100" t="s">
        <v>2485</v>
      </c>
      <c r="O1100">
        <v>1</v>
      </c>
      <c r="P1100">
        <v>3.91</v>
      </c>
    </row>
    <row r="1101" spans="4:16" x14ac:dyDescent="0.25">
      <c r="D1101" t="s">
        <v>2486</v>
      </c>
      <c r="E1101" t="s">
        <v>135</v>
      </c>
      <c r="F1101" t="s">
        <v>1679</v>
      </c>
      <c r="G1101" t="s">
        <v>1679</v>
      </c>
      <c r="H1101" t="s">
        <v>1218</v>
      </c>
      <c r="I1101" s="13">
        <v>43762</v>
      </c>
      <c r="J1101">
        <v>4</v>
      </c>
      <c r="K1101" t="s">
        <v>177</v>
      </c>
      <c r="L1101" t="s">
        <v>139</v>
      </c>
      <c r="M1101" t="s">
        <v>1027</v>
      </c>
      <c r="N1101" t="s">
        <v>2487</v>
      </c>
      <c r="O1101">
        <v>1</v>
      </c>
      <c r="P1101">
        <v>3.87</v>
      </c>
    </row>
    <row r="1102" spans="4:16" x14ac:dyDescent="0.25">
      <c r="D1102" t="s">
        <v>2488</v>
      </c>
      <c r="E1102" t="s">
        <v>135</v>
      </c>
      <c r="F1102" t="s">
        <v>379</v>
      </c>
      <c r="G1102" t="s">
        <v>782</v>
      </c>
      <c r="H1102" t="s">
        <v>1218</v>
      </c>
      <c r="I1102" s="13">
        <v>43796</v>
      </c>
      <c r="J1102">
        <v>4</v>
      </c>
      <c r="K1102" t="s">
        <v>177</v>
      </c>
      <c r="L1102" t="s">
        <v>139</v>
      </c>
      <c r="M1102" t="s">
        <v>151</v>
      </c>
      <c r="N1102" t="s">
        <v>2489</v>
      </c>
      <c r="O1102">
        <v>1</v>
      </c>
      <c r="P1102">
        <v>3.78</v>
      </c>
    </row>
    <row r="1103" spans="4:16" x14ac:dyDescent="0.25">
      <c r="D1103" t="s">
        <v>2490</v>
      </c>
      <c r="E1103" t="s">
        <v>135</v>
      </c>
      <c r="F1103" t="s">
        <v>379</v>
      </c>
      <c r="G1103" t="s">
        <v>782</v>
      </c>
      <c r="H1103" t="s">
        <v>1218</v>
      </c>
      <c r="I1103" s="13">
        <v>43796</v>
      </c>
      <c r="J1103">
        <v>4</v>
      </c>
      <c r="K1103" t="s">
        <v>177</v>
      </c>
      <c r="L1103" t="s">
        <v>139</v>
      </c>
      <c r="M1103" t="s">
        <v>151</v>
      </c>
      <c r="N1103" t="s">
        <v>2491</v>
      </c>
      <c r="O1103">
        <v>1</v>
      </c>
      <c r="P1103">
        <v>3.78</v>
      </c>
    </row>
    <row r="1104" spans="4:16" x14ac:dyDescent="0.25">
      <c r="D1104" t="s">
        <v>2492</v>
      </c>
      <c r="E1104" t="s">
        <v>135</v>
      </c>
      <c r="F1104" t="s">
        <v>379</v>
      </c>
      <c r="G1104" t="s">
        <v>782</v>
      </c>
      <c r="H1104" t="s">
        <v>1218</v>
      </c>
      <c r="I1104" s="13">
        <v>43796</v>
      </c>
      <c r="J1104">
        <v>4</v>
      </c>
      <c r="K1104" t="s">
        <v>177</v>
      </c>
      <c r="L1104" t="s">
        <v>139</v>
      </c>
      <c r="M1104" t="s">
        <v>154</v>
      </c>
      <c r="N1104" t="s">
        <v>2493</v>
      </c>
      <c r="O1104">
        <v>1</v>
      </c>
      <c r="P1104">
        <v>3.78</v>
      </c>
    </row>
    <row r="1105" spans="4:16" x14ac:dyDescent="0.25">
      <c r="D1105" t="s">
        <v>2494</v>
      </c>
      <c r="E1105" t="s">
        <v>135</v>
      </c>
      <c r="F1105" t="s">
        <v>379</v>
      </c>
      <c r="G1105" t="s">
        <v>782</v>
      </c>
      <c r="H1105" t="s">
        <v>1218</v>
      </c>
      <c r="I1105" s="13">
        <v>43796</v>
      </c>
      <c r="J1105">
        <v>4</v>
      </c>
      <c r="K1105" t="s">
        <v>177</v>
      </c>
      <c r="L1105" t="s">
        <v>139</v>
      </c>
      <c r="M1105" t="s">
        <v>154</v>
      </c>
      <c r="N1105" t="s">
        <v>2495</v>
      </c>
      <c r="O1105">
        <v>1</v>
      </c>
      <c r="P1105">
        <v>3.78</v>
      </c>
    </row>
    <row r="1106" spans="4:16" x14ac:dyDescent="0.25">
      <c r="D1106" t="s">
        <v>2496</v>
      </c>
      <c r="E1106" t="s">
        <v>135</v>
      </c>
      <c r="F1106" t="s">
        <v>181</v>
      </c>
      <c r="G1106" t="s">
        <v>2497</v>
      </c>
      <c r="H1106" t="s">
        <v>1218</v>
      </c>
      <c r="I1106" s="13">
        <v>43811</v>
      </c>
      <c r="J1106">
        <v>4</v>
      </c>
      <c r="K1106" t="s">
        <v>177</v>
      </c>
      <c r="L1106" t="s">
        <v>139</v>
      </c>
      <c r="M1106" t="s">
        <v>183</v>
      </c>
      <c r="N1106" t="s">
        <v>2498</v>
      </c>
      <c r="O1106">
        <v>1</v>
      </c>
      <c r="P1106">
        <v>3.74</v>
      </c>
    </row>
    <row r="1107" spans="4:16" x14ac:dyDescent="0.25">
      <c r="D1107" t="s">
        <v>2499</v>
      </c>
      <c r="E1107" t="s">
        <v>135</v>
      </c>
      <c r="F1107" t="s">
        <v>181</v>
      </c>
      <c r="G1107" t="s">
        <v>2497</v>
      </c>
      <c r="H1107" t="s">
        <v>1218</v>
      </c>
      <c r="I1107" s="13">
        <v>43811</v>
      </c>
      <c r="J1107">
        <v>4</v>
      </c>
      <c r="K1107" t="s">
        <v>177</v>
      </c>
      <c r="L1107" t="s">
        <v>139</v>
      </c>
      <c r="M1107" t="s">
        <v>183</v>
      </c>
      <c r="N1107" t="s">
        <v>2500</v>
      </c>
      <c r="O1107">
        <v>1</v>
      </c>
      <c r="P1107">
        <v>3.74</v>
      </c>
    </row>
    <row r="1108" spans="4:16" x14ac:dyDescent="0.25">
      <c r="D1108" t="s">
        <v>2501</v>
      </c>
      <c r="E1108" t="s">
        <v>135</v>
      </c>
      <c r="F1108" t="s">
        <v>181</v>
      </c>
      <c r="G1108" t="s">
        <v>2502</v>
      </c>
      <c r="H1108" t="s">
        <v>1218</v>
      </c>
      <c r="I1108" s="13">
        <v>43811</v>
      </c>
      <c r="J1108">
        <v>4</v>
      </c>
      <c r="K1108" t="s">
        <v>177</v>
      </c>
      <c r="L1108" t="s">
        <v>139</v>
      </c>
      <c r="M1108" t="s">
        <v>391</v>
      </c>
      <c r="N1108" t="s">
        <v>2503</v>
      </c>
      <c r="O1108">
        <v>1</v>
      </c>
      <c r="P1108">
        <v>3.74</v>
      </c>
    </row>
    <row r="1109" spans="4:16" x14ac:dyDescent="0.25">
      <c r="D1109" t="s">
        <v>2504</v>
      </c>
      <c r="E1109" t="s">
        <v>135</v>
      </c>
      <c r="F1109" t="s">
        <v>2464</v>
      </c>
      <c r="G1109" t="s">
        <v>2406</v>
      </c>
      <c r="H1109" t="s">
        <v>1218</v>
      </c>
      <c r="I1109" s="13">
        <v>43832</v>
      </c>
      <c r="J1109">
        <v>4</v>
      </c>
      <c r="K1109" t="s">
        <v>177</v>
      </c>
      <c r="L1109" t="s">
        <v>139</v>
      </c>
      <c r="M1109" t="s">
        <v>856</v>
      </c>
      <c r="N1109" t="s">
        <v>2505</v>
      </c>
      <c r="O1109">
        <v>1</v>
      </c>
      <c r="P1109">
        <v>3.68</v>
      </c>
    </row>
    <row r="1110" spans="4:16" x14ac:dyDescent="0.25">
      <c r="D1110" t="s">
        <v>2506</v>
      </c>
      <c r="E1110" t="s">
        <v>135</v>
      </c>
      <c r="F1110" t="s">
        <v>1679</v>
      </c>
      <c r="G1110" t="s">
        <v>1679</v>
      </c>
      <c r="H1110" t="s">
        <v>1218</v>
      </c>
      <c r="I1110" s="13">
        <v>43832</v>
      </c>
      <c r="J1110">
        <v>4</v>
      </c>
      <c r="K1110" t="s">
        <v>177</v>
      </c>
      <c r="L1110" t="s">
        <v>139</v>
      </c>
      <c r="M1110" t="s">
        <v>945</v>
      </c>
      <c r="N1110" t="s">
        <v>2507</v>
      </c>
      <c r="O1110">
        <v>1</v>
      </c>
      <c r="P1110">
        <v>3.68</v>
      </c>
    </row>
    <row r="1111" spans="4:16" x14ac:dyDescent="0.25">
      <c r="D1111" t="s">
        <v>2508</v>
      </c>
      <c r="E1111" t="s">
        <v>135</v>
      </c>
      <c r="F1111" t="s">
        <v>1679</v>
      </c>
      <c r="G1111" t="s">
        <v>1679</v>
      </c>
      <c r="H1111" t="s">
        <v>1218</v>
      </c>
      <c r="I1111" s="13">
        <v>43832</v>
      </c>
      <c r="J1111">
        <v>4</v>
      </c>
      <c r="K1111" t="s">
        <v>177</v>
      </c>
      <c r="L1111" t="s">
        <v>139</v>
      </c>
      <c r="M1111" t="s">
        <v>1034</v>
      </c>
      <c r="N1111" t="s">
        <v>2509</v>
      </c>
      <c r="O1111">
        <v>1</v>
      </c>
      <c r="P1111">
        <v>3.68</v>
      </c>
    </row>
    <row r="1112" spans="4:16" x14ac:dyDescent="0.25">
      <c r="D1112" t="s">
        <v>2510</v>
      </c>
      <c r="E1112" t="s">
        <v>135</v>
      </c>
      <c r="F1112" t="s">
        <v>2464</v>
      </c>
      <c r="G1112" t="s">
        <v>2406</v>
      </c>
      <c r="H1112" t="s">
        <v>1218</v>
      </c>
      <c r="I1112" s="13">
        <v>43836</v>
      </c>
      <c r="J1112">
        <v>4</v>
      </c>
      <c r="K1112" t="s">
        <v>177</v>
      </c>
      <c r="L1112" t="s">
        <v>139</v>
      </c>
      <c r="M1112" t="s">
        <v>856</v>
      </c>
      <c r="N1112" t="s">
        <v>2511</v>
      </c>
      <c r="O1112">
        <v>1</v>
      </c>
      <c r="P1112">
        <v>3.67</v>
      </c>
    </row>
    <row r="1113" spans="4:16" x14ac:dyDescent="0.25">
      <c r="D1113" t="s">
        <v>2512</v>
      </c>
      <c r="E1113" t="s">
        <v>135</v>
      </c>
      <c r="F1113" t="s">
        <v>2513</v>
      </c>
      <c r="G1113" t="s">
        <v>1676</v>
      </c>
      <c r="H1113" t="s">
        <v>1218</v>
      </c>
      <c r="I1113" s="13">
        <v>43837</v>
      </c>
      <c r="J1113">
        <v>4</v>
      </c>
      <c r="K1113" t="s">
        <v>177</v>
      </c>
      <c r="L1113" t="s">
        <v>139</v>
      </c>
      <c r="M1113" t="s">
        <v>316</v>
      </c>
      <c r="N1113" t="s">
        <v>2514</v>
      </c>
      <c r="O1113">
        <v>1</v>
      </c>
      <c r="P1113">
        <v>3.67</v>
      </c>
    </row>
    <row r="1114" spans="4:16" x14ac:dyDescent="0.25">
      <c r="D1114" t="s">
        <v>2515</v>
      </c>
      <c r="E1114" t="s">
        <v>135</v>
      </c>
      <c r="F1114" t="s">
        <v>379</v>
      </c>
      <c r="G1114" t="s">
        <v>782</v>
      </c>
      <c r="H1114" t="s">
        <v>1218</v>
      </c>
      <c r="I1114" s="13">
        <v>43836</v>
      </c>
      <c r="J1114">
        <v>4</v>
      </c>
      <c r="K1114" t="s">
        <v>177</v>
      </c>
      <c r="L1114" t="s">
        <v>139</v>
      </c>
      <c r="M1114" t="s">
        <v>170</v>
      </c>
      <c r="N1114" t="s">
        <v>2516</v>
      </c>
      <c r="O1114">
        <v>1</v>
      </c>
      <c r="P1114">
        <v>3.67</v>
      </c>
    </row>
    <row r="1115" spans="4:16" x14ac:dyDescent="0.25">
      <c r="D1115" t="s">
        <v>2517</v>
      </c>
      <c r="E1115" t="s">
        <v>135</v>
      </c>
      <c r="F1115" t="s">
        <v>379</v>
      </c>
      <c r="G1115" t="s">
        <v>782</v>
      </c>
      <c r="H1115" t="s">
        <v>1218</v>
      </c>
      <c r="I1115" s="13">
        <v>43836</v>
      </c>
      <c r="J1115">
        <v>4</v>
      </c>
      <c r="K1115" t="s">
        <v>177</v>
      </c>
      <c r="L1115" t="s">
        <v>139</v>
      </c>
      <c r="M1115" t="s">
        <v>170</v>
      </c>
      <c r="N1115" t="s">
        <v>2518</v>
      </c>
      <c r="O1115">
        <v>1</v>
      </c>
      <c r="P1115">
        <v>3.67</v>
      </c>
    </row>
    <row r="1116" spans="4:16" x14ac:dyDescent="0.25">
      <c r="D1116" t="s">
        <v>2519</v>
      </c>
      <c r="E1116" t="s">
        <v>135</v>
      </c>
      <c r="F1116" t="s">
        <v>379</v>
      </c>
      <c r="G1116" t="s">
        <v>782</v>
      </c>
      <c r="H1116" t="s">
        <v>1218</v>
      </c>
      <c r="I1116" s="13">
        <v>43836</v>
      </c>
      <c r="J1116">
        <v>4</v>
      </c>
      <c r="K1116" t="s">
        <v>177</v>
      </c>
      <c r="L1116" t="s">
        <v>139</v>
      </c>
      <c r="M1116" t="s">
        <v>170</v>
      </c>
      <c r="N1116" t="s">
        <v>2520</v>
      </c>
      <c r="O1116">
        <v>1</v>
      </c>
      <c r="P1116">
        <v>3.67</v>
      </c>
    </row>
    <row r="1117" spans="4:16" x14ac:dyDescent="0.25">
      <c r="D1117" t="s">
        <v>2521</v>
      </c>
      <c r="E1117" t="s">
        <v>135</v>
      </c>
      <c r="F1117" t="s">
        <v>2221</v>
      </c>
      <c r="G1117" t="s">
        <v>2425</v>
      </c>
      <c r="H1117" t="s">
        <v>1218</v>
      </c>
      <c r="I1117" s="13">
        <v>43903</v>
      </c>
      <c r="J1117">
        <v>3</v>
      </c>
      <c r="K1117" t="s">
        <v>177</v>
      </c>
      <c r="L1117" t="s">
        <v>139</v>
      </c>
      <c r="M1117" t="s">
        <v>186</v>
      </c>
      <c r="N1117" t="s">
        <v>2522</v>
      </c>
      <c r="O1117">
        <v>1</v>
      </c>
      <c r="P1117">
        <v>3.49</v>
      </c>
    </row>
    <row r="1118" spans="4:16" x14ac:dyDescent="0.25">
      <c r="D1118" t="s">
        <v>2523</v>
      </c>
      <c r="E1118" t="s">
        <v>135</v>
      </c>
      <c r="F1118" t="s">
        <v>379</v>
      </c>
      <c r="G1118" t="s">
        <v>782</v>
      </c>
      <c r="H1118" t="s">
        <v>1218</v>
      </c>
      <c r="I1118" s="13">
        <v>43914</v>
      </c>
      <c r="J1118">
        <v>3</v>
      </c>
      <c r="K1118" t="s">
        <v>177</v>
      </c>
      <c r="L1118" t="s">
        <v>139</v>
      </c>
      <c r="M1118" t="s">
        <v>222</v>
      </c>
      <c r="N1118" t="s">
        <v>2524</v>
      </c>
      <c r="O1118">
        <v>1</v>
      </c>
      <c r="P1118">
        <v>3.46</v>
      </c>
    </row>
    <row r="1119" spans="4:16" x14ac:dyDescent="0.25">
      <c r="D1119" t="s">
        <v>2525</v>
      </c>
      <c r="E1119" t="s">
        <v>135</v>
      </c>
      <c r="F1119" t="s">
        <v>379</v>
      </c>
      <c r="G1119" t="s">
        <v>2526</v>
      </c>
      <c r="H1119" t="s">
        <v>1218</v>
      </c>
      <c r="I1119" s="13">
        <v>43914</v>
      </c>
      <c r="J1119">
        <v>3</v>
      </c>
      <c r="K1119" t="s">
        <v>177</v>
      </c>
      <c r="L1119" t="s">
        <v>139</v>
      </c>
      <c r="M1119" t="s">
        <v>421</v>
      </c>
      <c r="N1119" t="s">
        <v>2527</v>
      </c>
      <c r="O1119">
        <v>1</v>
      </c>
      <c r="P1119">
        <v>3.46</v>
      </c>
    </row>
    <row r="1120" spans="4:16" x14ac:dyDescent="0.25">
      <c r="D1120" t="s">
        <v>2528</v>
      </c>
      <c r="E1120" t="s">
        <v>135</v>
      </c>
      <c r="F1120" t="s">
        <v>379</v>
      </c>
      <c r="G1120" t="s">
        <v>1964</v>
      </c>
      <c r="H1120" t="s">
        <v>1218</v>
      </c>
      <c r="I1120" s="13">
        <v>43914</v>
      </c>
      <c r="J1120">
        <v>3</v>
      </c>
      <c r="K1120" t="s">
        <v>177</v>
      </c>
      <c r="L1120" t="s">
        <v>139</v>
      </c>
      <c r="M1120" t="s">
        <v>982</v>
      </c>
      <c r="N1120" t="s">
        <v>2529</v>
      </c>
      <c r="O1120">
        <v>1</v>
      </c>
      <c r="P1120">
        <v>3.46</v>
      </c>
    </row>
    <row r="1121" spans="4:16" x14ac:dyDescent="0.25">
      <c r="D1121" t="s">
        <v>2530</v>
      </c>
      <c r="E1121" t="s">
        <v>135</v>
      </c>
      <c r="F1121" t="s">
        <v>2221</v>
      </c>
      <c r="G1121" t="s">
        <v>2425</v>
      </c>
      <c r="H1121" t="s">
        <v>1218</v>
      </c>
      <c r="I1121" s="13">
        <v>43921</v>
      </c>
      <c r="J1121">
        <v>3</v>
      </c>
      <c r="K1121" t="s">
        <v>177</v>
      </c>
      <c r="L1121" t="s">
        <v>139</v>
      </c>
      <c r="M1121" t="s">
        <v>186</v>
      </c>
      <c r="N1121" t="s">
        <v>2531</v>
      </c>
      <c r="O1121">
        <v>1</v>
      </c>
      <c r="P1121">
        <v>3.44</v>
      </c>
    </row>
    <row r="1122" spans="4:16" x14ac:dyDescent="0.25">
      <c r="D1122" t="s">
        <v>2532</v>
      </c>
      <c r="E1122" t="s">
        <v>135</v>
      </c>
      <c r="F1122" t="s">
        <v>2413</v>
      </c>
      <c r="G1122" t="s">
        <v>2414</v>
      </c>
      <c r="H1122" t="s">
        <v>1218</v>
      </c>
      <c r="I1122" s="13">
        <v>43921</v>
      </c>
      <c r="J1122">
        <v>3</v>
      </c>
      <c r="K1122" t="s">
        <v>177</v>
      </c>
      <c r="L1122" t="s">
        <v>139</v>
      </c>
      <c r="M1122" t="s">
        <v>320</v>
      </c>
      <c r="N1122" t="s">
        <v>2533</v>
      </c>
      <c r="O1122">
        <v>1</v>
      </c>
      <c r="P1122">
        <v>3.44</v>
      </c>
    </row>
    <row r="1123" spans="4:16" x14ac:dyDescent="0.25">
      <c r="D1123" t="s">
        <v>2534</v>
      </c>
      <c r="E1123" t="s">
        <v>135</v>
      </c>
      <c r="F1123" t="s">
        <v>2464</v>
      </c>
      <c r="G1123" t="s">
        <v>2406</v>
      </c>
      <c r="H1123" t="s">
        <v>1218</v>
      </c>
      <c r="I1123" s="13">
        <v>43928</v>
      </c>
      <c r="J1123">
        <v>3</v>
      </c>
      <c r="K1123" t="s">
        <v>177</v>
      </c>
      <c r="L1123" t="s">
        <v>139</v>
      </c>
      <c r="M1123" t="s">
        <v>856</v>
      </c>
      <c r="N1123" t="s">
        <v>2535</v>
      </c>
      <c r="O1123">
        <v>1</v>
      </c>
      <c r="P1123">
        <v>3.42</v>
      </c>
    </row>
    <row r="1124" spans="4:16" x14ac:dyDescent="0.25">
      <c r="D1124" t="s">
        <v>2536</v>
      </c>
      <c r="E1124" t="s">
        <v>135</v>
      </c>
      <c r="F1124" t="s">
        <v>143</v>
      </c>
      <c r="G1124" t="s">
        <v>611</v>
      </c>
      <c r="H1124" t="s">
        <v>1218</v>
      </c>
      <c r="I1124" s="13">
        <v>43931</v>
      </c>
      <c r="J1124">
        <v>3</v>
      </c>
      <c r="K1124" t="s">
        <v>177</v>
      </c>
      <c r="L1124" t="s">
        <v>139</v>
      </c>
      <c r="M1124" t="s">
        <v>268</v>
      </c>
      <c r="N1124" t="s">
        <v>2537</v>
      </c>
      <c r="O1124">
        <v>1</v>
      </c>
      <c r="P1124">
        <v>3.41</v>
      </c>
    </row>
    <row r="1125" spans="4:16" x14ac:dyDescent="0.25">
      <c r="D1125" t="s">
        <v>2538</v>
      </c>
      <c r="E1125" t="s">
        <v>135</v>
      </c>
      <c r="F1125" t="s">
        <v>143</v>
      </c>
      <c r="G1125" t="s">
        <v>611</v>
      </c>
      <c r="H1125" t="s">
        <v>1218</v>
      </c>
      <c r="I1125" s="13">
        <v>43931</v>
      </c>
      <c r="J1125">
        <v>3</v>
      </c>
      <c r="K1125" t="s">
        <v>177</v>
      </c>
      <c r="L1125" t="s">
        <v>139</v>
      </c>
      <c r="M1125" t="s">
        <v>268</v>
      </c>
      <c r="N1125" t="s">
        <v>2539</v>
      </c>
      <c r="O1125">
        <v>1</v>
      </c>
      <c r="P1125">
        <v>3.41</v>
      </c>
    </row>
    <row r="1126" spans="4:16" x14ac:dyDescent="0.25">
      <c r="D1126" t="s">
        <v>2540</v>
      </c>
      <c r="E1126" t="s">
        <v>135</v>
      </c>
      <c r="F1126" t="s">
        <v>667</v>
      </c>
      <c r="G1126" t="s">
        <v>2425</v>
      </c>
      <c r="H1126" t="s">
        <v>1218</v>
      </c>
      <c r="I1126" s="13">
        <v>43962</v>
      </c>
      <c r="J1126">
        <v>3</v>
      </c>
      <c r="K1126" t="s">
        <v>177</v>
      </c>
      <c r="L1126" t="s">
        <v>139</v>
      </c>
      <c r="M1126" t="s">
        <v>200</v>
      </c>
      <c r="N1126" t="s">
        <v>2541</v>
      </c>
      <c r="O1126">
        <v>1</v>
      </c>
      <c r="P1126">
        <v>3.32</v>
      </c>
    </row>
    <row r="1127" spans="4:16" x14ac:dyDescent="0.25">
      <c r="D1127" t="s">
        <v>2542</v>
      </c>
      <c r="E1127" t="s">
        <v>135</v>
      </c>
      <c r="F1127" t="s">
        <v>2543</v>
      </c>
      <c r="G1127" t="s">
        <v>782</v>
      </c>
      <c r="H1127" t="s">
        <v>1218</v>
      </c>
      <c r="I1127" s="13">
        <v>43993</v>
      </c>
      <c r="J1127">
        <v>3</v>
      </c>
      <c r="K1127" t="s">
        <v>177</v>
      </c>
      <c r="L1127" t="s">
        <v>139</v>
      </c>
      <c r="M1127" t="s">
        <v>913</v>
      </c>
      <c r="N1127" t="s">
        <v>2544</v>
      </c>
      <c r="O1127">
        <v>1</v>
      </c>
      <c r="P1127">
        <v>3.24</v>
      </c>
    </row>
    <row r="1128" spans="4:16" x14ac:dyDescent="0.25">
      <c r="D1128" t="s">
        <v>2545</v>
      </c>
      <c r="E1128" t="s">
        <v>135</v>
      </c>
      <c r="F1128" t="s">
        <v>1679</v>
      </c>
      <c r="G1128" t="s">
        <v>1676</v>
      </c>
      <c r="H1128" t="s">
        <v>1218</v>
      </c>
      <c r="I1128" s="13">
        <v>43999</v>
      </c>
      <c r="J1128">
        <v>3</v>
      </c>
      <c r="K1128" t="s">
        <v>177</v>
      </c>
      <c r="L1128" t="s">
        <v>139</v>
      </c>
      <c r="M1128" t="s">
        <v>785</v>
      </c>
      <c r="N1128" t="s">
        <v>2546</v>
      </c>
      <c r="O1128">
        <v>1</v>
      </c>
      <c r="P1128">
        <v>3.22</v>
      </c>
    </row>
    <row r="1129" spans="4:16" x14ac:dyDescent="0.25">
      <c r="D1129" t="s">
        <v>2547</v>
      </c>
      <c r="E1129" t="s">
        <v>135</v>
      </c>
      <c r="F1129" t="s">
        <v>379</v>
      </c>
      <c r="G1129" t="s">
        <v>1964</v>
      </c>
      <c r="H1129" t="s">
        <v>1218</v>
      </c>
      <c r="I1129" s="13">
        <v>44000</v>
      </c>
      <c r="J1129">
        <v>3</v>
      </c>
      <c r="K1129" t="s">
        <v>177</v>
      </c>
      <c r="L1129" t="s">
        <v>139</v>
      </c>
      <c r="M1129" t="s">
        <v>982</v>
      </c>
      <c r="N1129" t="s">
        <v>2548</v>
      </c>
      <c r="O1129">
        <v>1</v>
      </c>
      <c r="P1129">
        <v>3.22</v>
      </c>
    </row>
    <row r="1130" spans="4:16" x14ac:dyDescent="0.25">
      <c r="D1130" t="s">
        <v>2549</v>
      </c>
      <c r="E1130" t="s">
        <v>135</v>
      </c>
      <c r="F1130" t="s">
        <v>379</v>
      </c>
      <c r="G1130" t="s">
        <v>2328</v>
      </c>
      <c r="H1130" t="s">
        <v>1218</v>
      </c>
      <c r="I1130" s="13">
        <v>44000</v>
      </c>
      <c r="J1130">
        <v>3</v>
      </c>
      <c r="K1130" t="s">
        <v>177</v>
      </c>
      <c r="L1130" t="s">
        <v>139</v>
      </c>
      <c r="M1130" t="s">
        <v>140</v>
      </c>
      <c r="N1130" t="s">
        <v>2550</v>
      </c>
      <c r="O1130">
        <v>1</v>
      </c>
      <c r="P1130">
        <v>3.22</v>
      </c>
    </row>
    <row r="1131" spans="4:16" x14ac:dyDescent="0.25">
      <c r="D1131" t="s">
        <v>2551</v>
      </c>
      <c r="E1131" t="s">
        <v>135</v>
      </c>
      <c r="F1131" t="s">
        <v>2543</v>
      </c>
      <c r="G1131" t="s">
        <v>782</v>
      </c>
      <c r="H1131" t="s">
        <v>1218</v>
      </c>
      <c r="I1131" s="13">
        <v>44000</v>
      </c>
      <c r="J1131">
        <v>3</v>
      </c>
      <c r="K1131" t="s">
        <v>177</v>
      </c>
      <c r="L1131" t="s">
        <v>139</v>
      </c>
      <c r="M1131" t="s">
        <v>913</v>
      </c>
      <c r="N1131" t="s">
        <v>2552</v>
      </c>
      <c r="O1131">
        <v>1</v>
      </c>
      <c r="P1131">
        <v>3.22</v>
      </c>
    </row>
    <row r="1132" spans="4:16" x14ac:dyDescent="0.25">
      <c r="D1132" t="s">
        <v>2553</v>
      </c>
      <c r="E1132" t="s">
        <v>135</v>
      </c>
      <c r="F1132" t="s">
        <v>379</v>
      </c>
      <c r="G1132" t="s">
        <v>1964</v>
      </c>
      <c r="H1132" t="s">
        <v>1218</v>
      </c>
      <c r="I1132" s="13">
        <v>44000</v>
      </c>
      <c r="J1132">
        <v>3</v>
      </c>
      <c r="K1132" t="s">
        <v>177</v>
      </c>
      <c r="L1132" t="s">
        <v>139</v>
      </c>
      <c r="M1132" t="s">
        <v>982</v>
      </c>
      <c r="N1132" t="s">
        <v>2554</v>
      </c>
      <c r="O1132">
        <v>1</v>
      </c>
      <c r="P1132">
        <v>3.22</v>
      </c>
    </row>
    <row r="1133" spans="4:16" x14ac:dyDescent="0.25">
      <c r="D1133" t="s">
        <v>2555</v>
      </c>
      <c r="E1133" t="s">
        <v>135</v>
      </c>
      <c r="F1133" t="s">
        <v>379</v>
      </c>
      <c r="G1133" t="s">
        <v>2328</v>
      </c>
      <c r="H1133" t="s">
        <v>1218</v>
      </c>
      <c r="I1133" s="13">
        <v>44000</v>
      </c>
      <c r="J1133">
        <v>3</v>
      </c>
      <c r="K1133" t="s">
        <v>177</v>
      </c>
      <c r="L1133" t="s">
        <v>139</v>
      </c>
      <c r="M1133" t="s">
        <v>146</v>
      </c>
      <c r="N1133" t="s">
        <v>2556</v>
      </c>
      <c r="O1133">
        <v>1</v>
      </c>
      <c r="P1133">
        <v>3.22</v>
      </c>
    </row>
    <row r="1134" spans="4:16" x14ac:dyDescent="0.25">
      <c r="D1134" t="s">
        <v>2557</v>
      </c>
      <c r="E1134" t="s">
        <v>135</v>
      </c>
      <c r="F1134" t="s">
        <v>379</v>
      </c>
      <c r="G1134" t="s">
        <v>782</v>
      </c>
      <c r="H1134" t="s">
        <v>1218</v>
      </c>
      <c r="I1134" s="13">
        <v>44000</v>
      </c>
      <c r="J1134">
        <v>3</v>
      </c>
      <c r="K1134" t="s">
        <v>177</v>
      </c>
      <c r="L1134" t="s">
        <v>139</v>
      </c>
      <c r="M1134" t="s">
        <v>222</v>
      </c>
      <c r="N1134" t="s">
        <v>2558</v>
      </c>
      <c r="O1134">
        <v>1</v>
      </c>
      <c r="P1134">
        <v>3.22</v>
      </c>
    </row>
    <row r="1135" spans="4:16" x14ac:dyDescent="0.25">
      <c r="D1135" t="s">
        <v>2559</v>
      </c>
      <c r="E1135" t="s">
        <v>135</v>
      </c>
      <c r="F1135" t="s">
        <v>379</v>
      </c>
      <c r="G1135" t="s">
        <v>2328</v>
      </c>
      <c r="H1135" t="s">
        <v>1218</v>
      </c>
      <c r="I1135" s="13">
        <v>44000</v>
      </c>
      <c r="J1135">
        <v>3</v>
      </c>
      <c r="K1135" t="s">
        <v>177</v>
      </c>
      <c r="L1135" t="s">
        <v>139</v>
      </c>
      <c r="M1135" t="s">
        <v>146</v>
      </c>
      <c r="N1135" t="s">
        <v>2560</v>
      </c>
      <c r="O1135">
        <v>1</v>
      </c>
      <c r="P1135">
        <v>3.22</v>
      </c>
    </row>
    <row r="1136" spans="4:16" x14ac:dyDescent="0.25">
      <c r="D1136" t="s">
        <v>2561</v>
      </c>
      <c r="E1136" t="s">
        <v>135</v>
      </c>
      <c r="F1136" t="s">
        <v>379</v>
      </c>
      <c r="G1136" t="s">
        <v>782</v>
      </c>
      <c r="H1136" t="s">
        <v>1218</v>
      </c>
      <c r="I1136" s="13">
        <v>44000</v>
      </c>
      <c r="J1136">
        <v>3</v>
      </c>
      <c r="K1136" t="s">
        <v>177</v>
      </c>
      <c r="L1136" t="s">
        <v>139</v>
      </c>
      <c r="M1136" t="s">
        <v>386</v>
      </c>
      <c r="N1136" t="s">
        <v>2562</v>
      </c>
      <c r="O1136">
        <v>1</v>
      </c>
      <c r="P1136">
        <v>3.22</v>
      </c>
    </row>
    <row r="1137" spans="4:16" x14ac:dyDescent="0.25">
      <c r="D1137" t="s">
        <v>2563</v>
      </c>
      <c r="E1137" t="s">
        <v>135</v>
      </c>
      <c r="F1137" t="s">
        <v>379</v>
      </c>
      <c r="G1137" t="s">
        <v>976</v>
      </c>
      <c r="H1137" t="s">
        <v>1218</v>
      </c>
      <c r="I1137" s="13">
        <v>44000</v>
      </c>
      <c r="J1137">
        <v>3</v>
      </c>
      <c r="K1137" t="s">
        <v>177</v>
      </c>
      <c r="L1137" t="s">
        <v>139</v>
      </c>
      <c r="M1137" t="s">
        <v>240</v>
      </c>
      <c r="N1137" t="s">
        <v>2564</v>
      </c>
      <c r="O1137">
        <v>1</v>
      </c>
      <c r="P1137">
        <v>3.22</v>
      </c>
    </row>
    <row r="1138" spans="4:16" x14ac:dyDescent="0.25">
      <c r="D1138" t="s">
        <v>2565</v>
      </c>
      <c r="E1138" t="s">
        <v>135</v>
      </c>
      <c r="F1138" t="s">
        <v>379</v>
      </c>
      <c r="G1138" t="s">
        <v>976</v>
      </c>
      <c r="H1138" t="s">
        <v>1218</v>
      </c>
      <c r="I1138" s="13">
        <v>44000</v>
      </c>
      <c r="J1138">
        <v>3</v>
      </c>
      <c r="K1138" t="s">
        <v>177</v>
      </c>
      <c r="L1138" t="s">
        <v>139</v>
      </c>
      <c r="M1138" t="s">
        <v>1233</v>
      </c>
      <c r="N1138" t="s">
        <v>2566</v>
      </c>
      <c r="O1138">
        <v>1</v>
      </c>
      <c r="P1138">
        <v>3.22</v>
      </c>
    </row>
    <row r="1139" spans="4:16" x14ac:dyDescent="0.25">
      <c r="D1139" t="s">
        <v>2567</v>
      </c>
      <c r="E1139" t="s">
        <v>135</v>
      </c>
      <c r="F1139" t="s">
        <v>379</v>
      </c>
      <c r="G1139" t="s">
        <v>976</v>
      </c>
      <c r="H1139" t="s">
        <v>1218</v>
      </c>
      <c r="I1139" s="13">
        <v>44000</v>
      </c>
      <c r="J1139">
        <v>3</v>
      </c>
      <c r="K1139" t="s">
        <v>177</v>
      </c>
      <c r="L1139" t="s">
        <v>139</v>
      </c>
      <c r="M1139" t="s">
        <v>1233</v>
      </c>
      <c r="N1139" t="s">
        <v>2568</v>
      </c>
      <c r="O1139">
        <v>1</v>
      </c>
      <c r="P1139">
        <v>3.22</v>
      </c>
    </row>
    <row r="1140" spans="4:16" x14ac:dyDescent="0.25">
      <c r="D1140" t="s">
        <v>2569</v>
      </c>
      <c r="E1140" t="s">
        <v>135</v>
      </c>
      <c r="F1140" t="s">
        <v>379</v>
      </c>
      <c r="G1140" t="s">
        <v>976</v>
      </c>
      <c r="H1140" t="s">
        <v>1218</v>
      </c>
      <c r="I1140" s="13">
        <v>44000</v>
      </c>
      <c r="J1140">
        <v>3</v>
      </c>
      <c r="K1140" t="s">
        <v>177</v>
      </c>
      <c r="L1140" t="s">
        <v>139</v>
      </c>
      <c r="M1140" t="s">
        <v>1233</v>
      </c>
      <c r="N1140" t="s">
        <v>2570</v>
      </c>
      <c r="O1140">
        <v>1</v>
      </c>
      <c r="P1140">
        <v>3.22</v>
      </c>
    </row>
    <row r="1141" spans="4:16" x14ac:dyDescent="0.25">
      <c r="D1141" t="s">
        <v>2571</v>
      </c>
      <c r="E1141" t="s">
        <v>135</v>
      </c>
      <c r="F1141" t="s">
        <v>379</v>
      </c>
      <c r="G1141" t="s">
        <v>1943</v>
      </c>
      <c r="H1141" t="s">
        <v>1218</v>
      </c>
      <c r="I1141" s="13">
        <v>44000</v>
      </c>
      <c r="J1141">
        <v>3</v>
      </c>
      <c r="K1141" t="s">
        <v>177</v>
      </c>
      <c r="L1141" t="s">
        <v>139</v>
      </c>
      <c r="M1141" t="s">
        <v>913</v>
      </c>
      <c r="N1141" t="s">
        <v>2572</v>
      </c>
      <c r="O1141">
        <v>1</v>
      </c>
      <c r="P1141">
        <v>3.22</v>
      </c>
    </row>
    <row r="1142" spans="4:16" x14ac:dyDescent="0.25">
      <c r="D1142" t="s">
        <v>2573</v>
      </c>
      <c r="E1142" t="s">
        <v>135</v>
      </c>
      <c r="F1142" t="s">
        <v>379</v>
      </c>
      <c r="G1142" t="s">
        <v>782</v>
      </c>
      <c r="H1142" t="s">
        <v>1218</v>
      </c>
      <c r="I1142" s="13">
        <v>44005</v>
      </c>
      <c r="J1142">
        <v>3</v>
      </c>
      <c r="K1142" t="s">
        <v>177</v>
      </c>
      <c r="L1142" t="s">
        <v>139</v>
      </c>
      <c r="M1142" t="s">
        <v>165</v>
      </c>
      <c r="N1142" t="s">
        <v>2574</v>
      </c>
      <c r="O1142">
        <v>1</v>
      </c>
      <c r="P1142">
        <v>3.21</v>
      </c>
    </row>
    <row r="1143" spans="4:16" x14ac:dyDescent="0.25">
      <c r="D1143" t="s">
        <v>2575</v>
      </c>
      <c r="E1143" t="s">
        <v>135</v>
      </c>
      <c r="F1143" t="s">
        <v>379</v>
      </c>
      <c r="G1143" t="s">
        <v>782</v>
      </c>
      <c r="H1143" t="s">
        <v>1218</v>
      </c>
      <c r="I1143" s="13">
        <v>44005</v>
      </c>
      <c r="J1143">
        <v>3</v>
      </c>
      <c r="K1143" t="s">
        <v>177</v>
      </c>
      <c r="L1143" t="s">
        <v>139</v>
      </c>
      <c r="M1143" t="s">
        <v>170</v>
      </c>
      <c r="N1143" t="s">
        <v>2576</v>
      </c>
      <c r="O1143">
        <v>1</v>
      </c>
      <c r="P1143">
        <v>3.21</v>
      </c>
    </row>
    <row r="1144" spans="4:16" x14ac:dyDescent="0.25">
      <c r="D1144" t="s">
        <v>2577</v>
      </c>
      <c r="E1144" t="s">
        <v>135</v>
      </c>
      <c r="F1144" t="s">
        <v>379</v>
      </c>
      <c r="G1144" t="s">
        <v>782</v>
      </c>
      <c r="H1144" t="s">
        <v>1218</v>
      </c>
      <c r="I1144" s="13">
        <v>44040</v>
      </c>
      <c r="J1144">
        <v>3</v>
      </c>
      <c r="K1144" t="s">
        <v>177</v>
      </c>
      <c r="L1144" t="s">
        <v>139</v>
      </c>
      <c r="M1144" t="s">
        <v>170</v>
      </c>
      <c r="N1144" t="s">
        <v>2578</v>
      </c>
      <c r="O1144">
        <v>1</v>
      </c>
      <c r="P1144">
        <v>3.11</v>
      </c>
    </row>
    <row r="1145" spans="4:16" x14ac:dyDescent="0.25">
      <c r="D1145" t="s">
        <v>2579</v>
      </c>
      <c r="E1145" t="s">
        <v>135</v>
      </c>
      <c r="F1145" t="s">
        <v>379</v>
      </c>
      <c r="G1145" t="s">
        <v>782</v>
      </c>
      <c r="H1145" t="s">
        <v>1218</v>
      </c>
      <c r="I1145" s="13">
        <v>44040</v>
      </c>
      <c r="J1145">
        <v>3</v>
      </c>
      <c r="K1145" t="s">
        <v>177</v>
      </c>
      <c r="L1145" t="s">
        <v>139</v>
      </c>
      <c r="M1145" t="s">
        <v>170</v>
      </c>
      <c r="N1145" t="s">
        <v>2580</v>
      </c>
      <c r="O1145">
        <v>1</v>
      </c>
      <c r="P1145">
        <v>3.11</v>
      </c>
    </row>
    <row r="1146" spans="4:16" x14ac:dyDescent="0.25">
      <c r="D1146" t="s">
        <v>2581</v>
      </c>
      <c r="E1146" t="s">
        <v>135</v>
      </c>
      <c r="F1146" t="s">
        <v>379</v>
      </c>
      <c r="G1146" t="s">
        <v>782</v>
      </c>
      <c r="H1146" t="s">
        <v>1218</v>
      </c>
      <c r="I1146" s="13">
        <v>44040</v>
      </c>
      <c r="J1146">
        <v>3</v>
      </c>
      <c r="K1146" t="s">
        <v>177</v>
      </c>
      <c r="L1146" t="s">
        <v>139</v>
      </c>
      <c r="M1146" t="s">
        <v>170</v>
      </c>
      <c r="N1146" t="s">
        <v>2582</v>
      </c>
      <c r="O1146">
        <v>1</v>
      </c>
      <c r="P1146">
        <v>3.11</v>
      </c>
    </row>
    <row r="1147" spans="4:16" x14ac:dyDescent="0.25">
      <c r="D1147" t="s">
        <v>2583</v>
      </c>
      <c r="E1147" t="s">
        <v>135</v>
      </c>
      <c r="F1147" t="s">
        <v>2185</v>
      </c>
      <c r="G1147" t="s">
        <v>611</v>
      </c>
      <c r="H1147" t="s">
        <v>1218</v>
      </c>
      <c r="I1147" s="13">
        <v>44047</v>
      </c>
      <c r="J1147">
        <v>3</v>
      </c>
      <c r="K1147" t="s">
        <v>177</v>
      </c>
      <c r="L1147" t="s">
        <v>139</v>
      </c>
      <c r="M1147" t="s">
        <v>907</v>
      </c>
      <c r="N1147" t="s">
        <v>2584</v>
      </c>
      <c r="O1147">
        <v>1</v>
      </c>
      <c r="P1147">
        <v>3.09</v>
      </c>
    </row>
    <row r="1148" spans="4:16" x14ac:dyDescent="0.25">
      <c r="D1148" t="s">
        <v>2585</v>
      </c>
      <c r="E1148" t="s">
        <v>135</v>
      </c>
      <c r="F1148" t="s">
        <v>2301</v>
      </c>
      <c r="G1148" t="s">
        <v>2586</v>
      </c>
      <c r="H1148" t="s">
        <v>1218</v>
      </c>
      <c r="I1148" s="13">
        <v>44047</v>
      </c>
      <c r="J1148">
        <v>3</v>
      </c>
      <c r="K1148" t="s">
        <v>177</v>
      </c>
      <c r="L1148" t="s">
        <v>139</v>
      </c>
      <c r="M1148" t="s">
        <v>907</v>
      </c>
      <c r="N1148" t="s">
        <v>2587</v>
      </c>
      <c r="O1148">
        <v>1</v>
      </c>
      <c r="P1148">
        <v>3.09</v>
      </c>
    </row>
    <row r="1149" spans="4:16" x14ac:dyDescent="0.25">
      <c r="D1149" t="s">
        <v>2588</v>
      </c>
      <c r="E1149" t="s">
        <v>135</v>
      </c>
      <c r="F1149" t="s">
        <v>2301</v>
      </c>
      <c r="G1149" t="s">
        <v>2586</v>
      </c>
      <c r="H1149" t="s">
        <v>1218</v>
      </c>
      <c r="I1149" s="13">
        <v>44047</v>
      </c>
      <c r="J1149">
        <v>3</v>
      </c>
      <c r="K1149" t="s">
        <v>177</v>
      </c>
      <c r="L1149" t="s">
        <v>139</v>
      </c>
      <c r="M1149" t="s">
        <v>907</v>
      </c>
      <c r="N1149" t="s">
        <v>2589</v>
      </c>
      <c r="O1149">
        <v>1</v>
      </c>
      <c r="P1149">
        <v>3.09</v>
      </c>
    </row>
    <row r="1150" spans="4:16" x14ac:dyDescent="0.25">
      <c r="D1150" t="s">
        <v>2590</v>
      </c>
      <c r="E1150" t="s">
        <v>135</v>
      </c>
      <c r="F1150" t="s">
        <v>667</v>
      </c>
      <c r="G1150" t="s">
        <v>1834</v>
      </c>
      <c r="H1150" t="s">
        <v>1218</v>
      </c>
      <c r="I1150" s="13">
        <v>44047</v>
      </c>
      <c r="J1150">
        <v>3</v>
      </c>
      <c r="K1150" t="s">
        <v>177</v>
      </c>
      <c r="L1150" t="s">
        <v>139</v>
      </c>
      <c r="M1150" t="s">
        <v>1430</v>
      </c>
      <c r="N1150" t="s">
        <v>2591</v>
      </c>
      <c r="O1150">
        <v>1</v>
      </c>
      <c r="P1150">
        <v>3.09</v>
      </c>
    </row>
    <row r="1151" spans="4:16" x14ac:dyDescent="0.25">
      <c r="D1151" t="s">
        <v>2592</v>
      </c>
      <c r="E1151" t="s">
        <v>135</v>
      </c>
      <c r="F1151" t="s">
        <v>2593</v>
      </c>
      <c r="G1151" t="s">
        <v>1834</v>
      </c>
      <c r="H1151" t="s">
        <v>1218</v>
      </c>
      <c r="I1151" s="13">
        <v>44047</v>
      </c>
      <c r="J1151">
        <v>3</v>
      </c>
      <c r="K1151" t="s">
        <v>177</v>
      </c>
      <c r="L1151" t="s">
        <v>139</v>
      </c>
      <c r="M1151" t="s">
        <v>1430</v>
      </c>
      <c r="N1151" t="s">
        <v>2594</v>
      </c>
      <c r="O1151">
        <v>1</v>
      </c>
      <c r="P1151">
        <v>3.09</v>
      </c>
    </row>
    <row r="1152" spans="4:16" x14ac:dyDescent="0.25">
      <c r="D1152" t="s">
        <v>2595</v>
      </c>
      <c r="E1152" t="s">
        <v>135</v>
      </c>
      <c r="F1152" t="s">
        <v>667</v>
      </c>
      <c r="G1152" t="s">
        <v>1834</v>
      </c>
      <c r="H1152" t="s">
        <v>1218</v>
      </c>
      <c r="I1152" s="13">
        <v>44047</v>
      </c>
      <c r="J1152">
        <v>3</v>
      </c>
      <c r="K1152" t="s">
        <v>177</v>
      </c>
      <c r="L1152" t="s">
        <v>139</v>
      </c>
      <c r="M1152" t="s">
        <v>1430</v>
      </c>
      <c r="N1152" t="s">
        <v>2596</v>
      </c>
      <c r="O1152">
        <v>1</v>
      </c>
      <c r="P1152">
        <v>3.09</v>
      </c>
    </row>
    <row r="1153" spans="4:16" x14ac:dyDescent="0.25">
      <c r="D1153" t="s">
        <v>2597</v>
      </c>
      <c r="E1153" t="s">
        <v>135</v>
      </c>
      <c r="F1153" t="s">
        <v>1679</v>
      </c>
      <c r="G1153" t="s">
        <v>1676</v>
      </c>
      <c r="H1153" t="s">
        <v>1218</v>
      </c>
      <c r="I1153" s="13">
        <v>44054</v>
      </c>
      <c r="J1153">
        <v>3</v>
      </c>
      <c r="K1153" t="s">
        <v>177</v>
      </c>
      <c r="L1153" t="s">
        <v>139</v>
      </c>
      <c r="M1153" t="s">
        <v>785</v>
      </c>
      <c r="N1153" t="s">
        <v>2598</v>
      </c>
      <c r="O1153">
        <v>1</v>
      </c>
      <c r="P1153">
        <v>3.07</v>
      </c>
    </row>
    <row r="1154" spans="4:16" x14ac:dyDescent="0.25">
      <c r="D1154" t="s">
        <v>2599</v>
      </c>
      <c r="E1154" t="s">
        <v>135</v>
      </c>
      <c r="F1154" t="s">
        <v>379</v>
      </c>
      <c r="G1154" t="s">
        <v>782</v>
      </c>
      <c r="H1154" t="s">
        <v>1218</v>
      </c>
      <c r="I1154" s="13">
        <v>44053</v>
      </c>
      <c r="J1154">
        <v>3</v>
      </c>
      <c r="K1154" t="s">
        <v>177</v>
      </c>
      <c r="L1154" t="s">
        <v>139</v>
      </c>
      <c r="M1154" t="s">
        <v>165</v>
      </c>
      <c r="N1154" t="s">
        <v>2600</v>
      </c>
      <c r="O1154">
        <v>1</v>
      </c>
      <c r="P1154">
        <v>3.07</v>
      </c>
    </row>
    <row r="1155" spans="4:16" x14ac:dyDescent="0.25">
      <c r="D1155" t="s">
        <v>2601</v>
      </c>
      <c r="E1155" t="s">
        <v>135</v>
      </c>
      <c r="F1155" t="s">
        <v>379</v>
      </c>
      <c r="G1155" t="s">
        <v>782</v>
      </c>
      <c r="H1155" t="s">
        <v>1218</v>
      </c>
      <c r="I1155" s="13">
        <v>44053</v>
      </c>
      <c r="J1155">
        <v>3</v>
      </c>
      <c r="K1155" t="s">
        <v>177</v>
      </c>
      <c r="L1155" t="s">
        <v>139</v>
      </c>
      <c r="M1155" t="s">
        <v>151</v>
      </c>
      <c r="N1155" t="s">
        <v>2602</v>
      </c>
      <c r="O1155">
        <v>1</v>
      </c>
      <c r="P1155">
        <v>3.07</v>
      </c>
    </row>
    <row r="1156" spans="4:16" x14ac:dyDescent="0.25">
      <c r="D1156" t="s">
        <v>2603</v>
      </c>
      <c r="E1156" t="s">
        <v>135</v>
      </c>
      <c r="F1156" t="s">
        <v>1679</v>
      </c>
      <c r="G1156" t="s">
        <v>1679</v>
      </c>
      <c r="H1156" t="s">
        <v>1218</v>
      </c>
      <c r="I1156" s="13">
        <v>44144</v>
      </c>
      <c r="J1156">
        <v>3</v>
      </c>
      <c r="K1156" t="s">
        <v>177</v>
      </c>
      <c r="L1156" t="s">
        <v>139</v>
      </c>
      <c r="M1156" t="s">
        <v>945</v>
      </c>
      <c r="N1156" t="s">
        <v>2604</v>
      </c>
      <c r="O1156">
        <v>1</v>
      </c>
      <c r="P1156">
        <v>2.83</v>
      </c>
    </row>
    <row r="1157" spans="4:16" x14ac:dyDescent="0.25">
      <c r="D1157" t="s">
        <v>2605</v>
      </c>
      <c r="E1157" t="s">
        <v>135</v>
      </c>
      <c r="F1157" t="s">
        <v>1679</v>
      </c>
      <c r="G1157" t="s">
        <v>1679</v>
      </c>
      <c r="H1157" t="s">
        <v>1218</v>
      </c>
      <c r="I1157" s="13">
        <v>44144</v>
      </c>
      <c r="J1157">
        <v>3</v>
      </c>
      <c r="K1157" t="s">
        <v>177</v>
      </c>
      <c r="L1157" t="s">
        <v>139</v>
      </c>
      <c r="M1157" t="s">
        <v>1027</v>
      </c>
      <c r="N1157" t="s">
        <v>2606</v>
      </c>
      <c r="O1157">
        <v>1</v>
      </c>
      <c r="P1157">
        <v>2.83</v>
      </c>
    </row>
    <row r="1158" spans="4:16" x14ac:dyDescent="0.25">
      <c r="D1158" t="s">
        <v>2607</v>
      </c>
      <c r="E1158" t="s">
        <v>135</v>
      </c>
      <c r="F1158" t="s">
        <v>667</v>
      </c>
      <c r="G1158" t="s">
        <v>2425</v>
      </c>
      <c r="H1158" t="s">
        <v>1218</v>
      </c>
      <c r="I1158" s="13">
        <v>44151</v>
      </c>
      <c r="J1158">
        <v>3</v>
      </c>
      <c r="K1158" t="s">
        <v>177</v>
      </c>
      <c r="L1158" t="s">
        <v>139</v>
      </c>
      <c r="M1158" t="s">
        <v>200</v>
      </c>
      <c r="N1158" t="s">
        <v>2608</v>
      </c>
      <c r="O1158">
        <v>1</v>
      </c>
      <c r="P1158">
        <v>2.81</v>
      </c>
    </row>
    <row r="1159" spans="4:16" x14ac:dyDescent="0.25">
      <c r="D1159" t="s">
        <v>2609</v>
      </c>
      <c r="E1159" t="s">
        <v>135</v>
      </c>
      <c r="F1159" t="s">
        <v>667</v>
      </c>
      <c r="G1159" t="s">
        <v>2425</v>
      </c>
      <c r="H1159" t="s">
        <v>1218</v>
      </c>
      <c r="I1159" s="13">
        <v>44151</v>
      </c>
      <c r="J1159">
        <v>3</v>
      </c>
      <c r="K1159" t="s">
        <v>177</v>
      </c>
      <c r="L1159" t="s">
        <v>139</v>
      </c>
      <c r="M1159" t="s">
        <v>200</v>
      </c>
      <c r="N1159" t="s">
        <v>2610</v>
      </c>
      <c r="O1159">
        <v>1</v>
      </c>
      <c r="P1159">
        <v>2.81</v>
      </c>
    </row>
    <row r="1160" spans="4:16" x14ac:dyDescent="0.25">
      <c r="D1160" t="s">
        <v>2611</v>
      </c>
      <c r="E1160" t="s">
        <v>135</v>
      </c>
      <c r="F1160" t="s">
        <v>667</v>
      </c>
      <c r="G1160" t="s">
        <v>2425</v>
      </c>
      <c r="H1160" t="s">
        <v>1218</v>
      </c>
      <c r="I1160" s="13">
        <v>44152</v>
      </c>
      <c r="J1160">
        <v>3</v>
      </c>
      <c r="K1160" t="s">
        <v>177</v>
      </c>
      <c r="L1160" t="s">
        <v>139</v>
      </c>
      <c r="M1160" t="s">
        <v>264</v>
      </c>
      <c r="N1160" t="s">
        <v>2612</v>
      </c>
      <c r="O1160">
        <v>1</v>
      </c>
      <c r="P1160">
        <v>2.8</v>
      </c>
    </row>
    <row r="1161" spans="4:16" x14ac:dyDescent="0.25">
      <c r="D1161" t="s">
        <v>2613</v>
      </c>
      <c r="E1161" t="s">
        <v>135</v>
      </c>
      <c r="F1161" t="s">
        <v>2304</v>
      </c>
      <c r="G1161" t="s">
        <v>611</v>
      </c>
      <c r="H1161" t="s">
        <v>1218</v>
      </c>
      <c r="I1161" s="13">
        <v>44160</v>
      </c>
      <c r="J1161">
        <v>3</v>
      </c>
      <c r="K1161" t="s">
        <v>177</v>
      </c>
      <c r="L1161" t="s">
        <v>139</v>
      </c>
      <c r="M1161" t="s">
        <v>431</v>
      </c>
      <c r="N1161" t="s">
        <v>2614</v>
      </c>
      <c r="O1161">
        <v>1</v>
      </c>
      <c r="P1161">
        <v>2.78</v>
      </c>
    </row>
    <row r="1162" spans="4:16" x14ac:dyDescent="0.25">
      <c r="D1162" t="s">
        <v>2615</v>
      </c>
      <c r="E1162" t="s">
        <v>135</v>
      </c>
      <c r="F1162" t="s">
        <v>656</v>
      </c>
      <c r="G1162" t="s">
        <v>1382</v>
      </c>
      <c r="H1162" t="s">
        <v>1218</v>
      </c>
      <c r="I1162" s="13">
        <v>44203</v>
      </c>
      <c r="J1162">
        <v>3</v>
      </c>
      <c r="K1162" t="s">
        <v>177</v>
      </c>
      <c r="L1162" t="s">
        <v>139</v>
      </c>
      <c r="M1162" t="s">
        <v>193</v>
      </c>
      <c r="N1162" t="s">
        <v>2616</v>
      </c>
      <c r="O1162">
        <v>1</v>
      </c>
      <c r="P1162">
        <v>2.66</v>
      </c>
    </row>
    <row r="1163" spans="4:16" x14ac:dyDescent="0.25">
      <c r="D1163" t="s">
        <v>2617</v>
      </c>
      <c r="E1163" t="s">
        <v>135</v>
      </c>
      <c r="F1163" t="s">
        <v>1679</v>
      </c>
      <c r="G1163" t="s">
        <v>1676</v>
      </c>
      <c r="H1163" t="s">
        <v>1218</v>
      </c>
      <c r="I1163" s="13">
        <v>44208</v>
      </c>
      <c r="J1163">
        <v>3</v>
      </c>
      <c r="K1163" t="s">
        <v>177</v>
      </c>
      <c r="L1163" t="s">
        <v>139</v>
      </c>
      <c r="M1163" t="s">
        <v>785</v>
      </c>
      <c r="N1163" t="s">
        <v>2618</v>
      </c>
      <c r="O1163">
        <v>1</v>
      </c>
      <c r="P1163">
        <v>2.65</v>
      </c>
    </row>
    <row r="1164" spans="4:16" x14ac:dyDescent="0.25">
      <c r="D1164" t="s">
        <v>2619</v>
      </c>
      <c r="E1164" t="s">
        <v>135</v>
      </c>
      <c r="F1164" t="s">
        <v>2620</v>
      </c>
      <c r="G1164" t="s">
        <v>1817</v>
      </c>
      <c r="H1164" t="s">
        <v>1218</v>
      </c>
      <c r="I1164" s="13">
        <v>44260</v>
      </c>
      <c r="J1164">
        <v>3</v>
      </c>
      <c r="K1164" t="s">
        <v>177</v>
      </c>
      <c r="L1164" t="s">
        <v>139</v>
      </c>
      <c r="M1164" t="s">
        <v>284</v>
      </c>
      <c r="N1164" t="s">
        <v>2621</v>
      </c>
      <c r="O1164">
        <v>1</v>
      </c>
      <c r="P1164">
        <v>2.5099999999999998</v>
      </c>
    </row>
    <row r="1165" spans="4:16" x14ac:dyDescent="0.25">
      <c r="D1165" t="s">
        <v>2622</v>
      </c>
      <c r="E1165" t="s">
        <v>135</v>
      </c>
      <c r="F1165" t="s">
        <v>379</v>
      </c>
      <c r="G1165" t="s">
        <v>1948</v>
      </c>
      <c r="H1165" t="s">
        <v>1218</v>
      </c>
      <c r="I1165" s="13">
        <v>44260</v>
      </c>
      <c r="J1165">
        <v>3</v>
      </c>
      <c r="K1165" t="s">
        <v>177</v>
      </c>
      <c r="L1165" t="s">
        <v>139</v>
      </c>
      <c r="M1165" t="s">
        <v>227</v>
      </c>
      <c r="N1165" t="s">
        <v>2623</v>
      </c>
      <c r="O1165">
        <v>1</v>
      </c>
      <c r="P1165">
        <v>2.5099999999999998</v>
      </c>
    </row>
    <row r="1166" spans="4:16" x14ac:dyDescent="0.25">
      <c r="D1166" t="s">
        <v>2624</v>
      </c>
      <c r="E1166" t="s">
        <v>135</v>
      </c>
      <c r="F1166" t="s">
        <v>1679</v>
      </c>
      <c r="G1166" t="s">
        <v>1899</v>
      </c>
      <c r="H1166" t="s">
        <v>1218</v>
      </c>
      <c r="I1166" s="13">
        <v>44270</v>
      </c>
      <c r="J1166">
        <v>2</v>
      </c>
      <c r="K1166" t="s">
        <v>177</v>
      </c>
      <c r="L1166" t="s">
        <v>139</v>
      </c>
      <c r="M1166" t="s">
        <v>1027</v>
      </c>
      <c r="N1166" t="s">
        <v>2625</v>
      </c>
      <c r="O1166">
        <v>1</v>
      </c>
      <c r="P1166">
        <v>2.48</v>
      </c>
    </row>
    <row r="1167" spans="4:16" x14ac:dyDescent="0.25">
      <c r="D1167" t="s">
        <v>2626</v>
      </c>
      <c r="E1167" t="s">
        <v>135</v>
      </c>
      <c r="F1167" t="s">
        <v>2304</v>
      </c>
      <c r="G1167" t="s">
        <v>611</v>
      </c>
      <c r="H1167" t="s">
        <v>1218</v>
      </c>
      <c r="I1167" s="13">
        <v>44272</v>
      </c>
      <c r="J1167">
        <v>2</v>
      </c>
      <c r="K1167" t="s">
        <v>177</v>
      </c>
      <c r="L1167" t="s">
        <v>139</v>
      </c>
      <c r="M1167" t="s">
        <v>907</v>
      </c>
      <c r="N1167" t="s">
        <v>2627</v>
      </c>
      <c r="O1167">
        <v>1</v>
      </c>
      <c r="P1167">
        <v>2.4700000000000002</v>
      </c>
    </row>
    <row r="1168" spans="4:16" x14ac:dyDescent="0.25">
      <c r="D1168" t="s">
        <v>2628</v>
      </c>
      <c r="E1168" t="s">
        <v>135</v>
      </c>
      <c r="F1168" t="s">
        <v>2304</v>
      </c>
      <c r="G1168" t="s">
        <v>611</v>
      </c>
      <c r="H1168" t="s">
        <v>1218</v>
      </c>
      <c r="I1168" s="13">
        <v>44272</v>
      </c>
      <c r="J1168">
        <v>2</v>
      </c>
      <c r="K1168" t="s">
        <v>177</v>
      </c>
      <c r="L1168" t="s">
        <v>139</v>
      </c>
      <c r="M1168" t="s">
        <v>907</v>
      </c>
      <c r="N1168" t="s">
        <v>2629</v>
      </c>
      <c r="O1168">
        <v>1</v>
      </c>
      <c r="P1168">
        <v>2.4700000000000002</v>
      </c>
    </row>
    <row r="1169" spans="4:16" x14ac:dyDescent="0.25">
      <c r="D1169" t="s">
        <v>2630</v>
      </c>
      <c r="E1169" t="s">
        <v>135</v>
      </c>
      <c r="F1169" t="s">
        <v>1636</v>
      </c>
      <c r="G1169" t="s">
        <v>2482</v>
      </c>
      <c r="H1169" t="s">
        <v>1218</v>
      </c>
      <c r="I1169" s="13">
        <v>44277</v>
      </c>
      <c r="J1169">
        <v>2</v>
      </c>
      <c r="K1169" t="s">
        <v>177</v>
      </c>
      <c r="L1169" t="s">
        <v>139</v>
      </c>
      <c r="M1169" t="s">
        <v>509</v>
      </c>
      <c r="N1169" t="s">
        <v>2631</v>
      </c>
      <c r="O1169">
        <v>1</v>
      </c>
      <c r="P1169">
        <v>2.46</v>
      </c>
    </row>
    <row r="1170" spans="4:16" x14ac:dyDescent="0.25">
      <c r="D1170" t="s">
        <v>2632</v>
      </c>
      <c r="E1170" t="s">
        <v>135</v>
      </c>
      <c r="F1170" t="s">
        <v>1679</v>
      </c>
      <c r="G1170" t="s">
        <v>1899</v>
      </c>
      <c r="H1170" t="s">
        <v>1218</v>
      </c>
      <c r="I1170" s="13">
        <v>44277</v>
      </c>
      <c r="J1170">
        <v>2</v>
      </c>
      <c r="K1170" t="s">
        <v>177</v>
      </c>
      <c r="L1170" t="s">
        <v>139</v>
      </c>
      <c r="M1170" t="s">
        <v>1027</v>
      </c>
      <c r="N1170" t="s">
        <v>2633</v>
      </c>
      <c r="O1170">
        <v>1</v>
      </c>
      <c r="P1170">
        <v>2.46</v>
      </c>
    </row>
    <row r="1171" spans="4:16" hidden="1" x14ac:dyDescent="0.25">
      <c r="D1171" t="s">
        <v>2634</v>
      </c>
      <c r="E1171" t="s">
        <v>135</v>
      </c>
      <c r="F1171" t="s">
        <v>1850</v>
      </c>
      <c r="G1171" t="s">
        <v>2635</v>
      </c>
      <c r="H1171" t="s">
        <v>3641</v>
      </c>
      <c r="I1171" s="13">
        <v>44278</v>
      </c>
      <c r="J1171">
        <v>2</v>
      </c>
      <c r="K1171" t="s">
        <v>177</v>
      </c>
      <c r="L1171" t="s">
        <v>139</v>
      </c>
      <c r="M1171" t="s">
        <v>398</v>
      </c>
      <c r="N1171" t="s">
        <v>2636</v>
      </c>
      <c r="O1171">
        <v>1</v>
      </c>
      <c r="P1171">
        <v>2.46</v>
      </c>
    </row>
    <row r="1172" spans="4:16" x14ac:dyDescent="0.25">
      <c r="D1172" t="s">
        <v>2637</v>
      </c>
      <c r="E1172" t="s">
        <v>135</v>
      </c>
      <c r="F1172" t="s">
        <v>2304</v>
      </c>
      <c r="G1172" t="s">
        <v>611</v>
      </c>
      <c r="H1172" t="s">
        <v>1218</v>
      </c>
      <c r="I1172" s="13">
        <v>44281</v>
      </c>
      <c r="J1172">
        <v>2</v>
      </c>
      <c r="K1172" t="s">
        <v>177</v>
      </c>
      <c r="L1172" t="s">
        <v>139</v>
      </c>
      <c r="M1172" t="s">
        <v>431</v>
      </c>
      <c r="N1172" t="s">
        <v>2638</v>
      </c>
      <c r="O1172">
        <v>1</v>
      </c>
      <c r="P1172">
        <v>2.4500000000000002</v>
      </c>
    </row>
    <row r="1173" spans="4:16" hidden="1" x14ac:dyDescent="0.25">
      <c r="D1173" t="s">
        <v>2639</v>
      </c>
      <c r="E1173" t="s">
        <v>135</v>
      </c>
      <c r="F1173" t="s">
        <v>1850</v>
      </c>
      <c r="G1173" t="s">
        <v>2635</v>
      </c>
      <c r="H1173" t="s">
        <v>3641</v>
      </c>
      <c r="I1173" s="13">
        <v>44281</v>
      </c>
      <c r="J1173">
        <v>2</v>
      </c>
      <c r="K1173" t="s">
        <v>177</v>
      </c>
      <c r="L1173" t="s">
        <v>139</v>
      </c>
      <c r="M1173" t="s">
        <v>398</v>
      </c>
      <c r="N1173" t="s">
        <v>2640</v>
      </c>
      <c r="O1173">
        <v>1</v>
      </c>
      <c r="P1173">
        <v>2.4500000000000002</v>
      </c>
    </row>
    <row r="1174" spans="4:16" hidden="1" x14ac:dyDescent="0.25">
      <c r="D1174" t="s">
        <v>2641</v>
      </c>
      <c r="E1174" t="s">
        <v>135</v>
      </c>
      <c r="F1174" t="s">
        <v>1850</v>
      </c>
      <c r="G1174" t="s">
        <v>2635</v>
      </c>
      <c r="H1174" t="s">
        <v>3641</v>
      </c>
      <c r="I1174" s="13">
        <v>44281</v>
      </c>
      <c r="J1174">
        <v>2</v>
      </c>
      <c r="K1174" t="s">
        <v>177</v>
      </c>
      <c r="L1174" t="s">
        <v>139</v>
      </c>
      <c r="M1174" t="s">
        <v>398</v>
      </c>
      <c r="N1174" t="s">
        <v>2642</v>
      </c>
      <c r="O1174">
        <v>1</v>
      </c>
      <c r="P1174">
        <v>2.4500000000000002</v>
      </c>
    </row>
    <row r="1175" spans="4:16" hidden="1" x14ac:dyDescent="0.25">
      <c r="D1175" t="s">
        <v>2643</v>
      </c>
      <c r="E1175" t="s">
        <v>135</v>
      </c>
      <c r="F1175" t="s">
        <v>1850</v>
      </c>
      <c r="G1175" t="s">
        <v>2635</v>
      </c>
      <c r="H1175" t="s">
        <v>3641</v>
      </c>
      <c r="I1175" s="13">
        <v>44281</v>
      </c>
      <c r="J1175">
        <v>2</v>
      </c>
      <c r="K1175" t="s">
        <v>145</v>
      </c>
      <c r="L1175" t="s">
        <v>139</v>
      </c>
      <c r="M1175" t="s">
        <v>398</v>
      </c>
      <c r="N1175" t="s">
        <v>2644</v>
      </c>
      <c r="O1175">
        <v>1</v>
      </c>
      <c r="P1175">
        <v>2.4500000000000002</v>
      </c>
    </row>
    <row r="1176" spans="4:16" hidden="1" x14ac:dyDescent="0.25">
      <c r="D1176" t="s">
        <v>2645</v>
      </c>
      <c r="E1176" t="s">
        <v>135</v>
      </c>
      <c r="F1176" t="s">
        <v>1850</v>
      </c>
      <c r="G1176" t="s">
        <v>2635</v>
      </c>
      <c r="H1176" t="s">
        <v>3641</v>
      </c>
      <c r="I1176" s="13">
        <v>44281</v>
      </c>
      <c r="J1176">
        <v>2</v>
      </c>
      <c r="K1176" t="s">
        <v>177</v>
      </c>
      <c r="L1176" t="s">
        <v>139</v>
      </c>
      <c r="M1176" t="s">
        <v>398</v>
      </c>
      <c r="N1176" t="s">
        <v>2646</v>
      </c>
      <c r="O1176">
        <v>1</v>
      </c>
      <c r="P1176">
        <v>2.4500000000000002</v>
      </c>
    </row>
    <row r="1177" spans="4:16" hidden="1" x14ac:dyDescent="0.25">
      <c r="D1177" t="s">
        <v>2647</v>
      </c>
      <c r="E1177" t="s">
        <v>135</v>
      </c>
      <c r="F1177" t="s">
        <v>1850</v>
      </c>
      <c r="G1177" t="s">
        <v>2635</v>
      </c>
      <c r="H1177" t="s">
        <v>3641</v>
      </c>
      <c r="I1177" s="13">
        <v>44281</v>
      </c>
      <c r="J1177">
        <v>2</v>
      </c>
      <c r="K1177" t="s">
        <v>177</v>
      </c>
      <c r="L1177" t="s">
        <v>139</v>
      </c>
      <c r="M1177" t="s">
        <v>398</v>
      </c>
      <c r="N1177" t="s">
        <v>2648</v>
      </c>
      <c r="O1177">
        <v>1</v>
      </c>
      <c r="P1177">
        <v>2.4500000000000002</v>
      </c>
    </row>
    <row r="1178" spans="4:16" hidden="1" x14ac:dyDescent="0.25">
      <c r="D1178" t="s">
        <v>2649</v>
      </c>
      <c r="E1178" t="s">
        <v>135</v>
      </c>
      <c r="F1178" t="s">
        <v>1850</v>
      </c>
      <c r="G1178" t="s">
        <v>2635</v>
      </c>
      <c r="H1178" t="s">
        <v>3641</v>
      </c>
      <c r="I1178" s="13">
        <v>44281</v>
      </c>
      <c r="J1178">
        <v>2</v>
      </c>
      <c r="K1178" t="s">
        <v>177</v>
      </c>
      <c r="L1178" t="s">
        <v>139</v>
      </c>
      <c r="M1178" t="s">
        <v>398</v>
      </c>
      <c r="N1178" t="s">
        <v>2650</v>
      </c>
      <c r="O1178">
        <v>1</v>
      </c>
      <c r="P1178">
        <v>2.4500000000000002</v>
      </c>
    </row>
    <row r="1179" spans="4:16" hidden="1" x14ac:dyDescent="0.25">
      <c r="D1179" t="s">
        <v>2651</v>
      </c>
      <c r="E1179" t="s">
        <v>135</v>
      </c>
      <c r="F1179" t="s">
        <v>1850</v>
      </c>
      <c r="G1179" t="s">
        <v>2635</v>
      </c>
      <c r="H1179" t="s">
        <v>3641</v>
      </c>
      <c r="I1179" s="13">
        <v>44281</v>
      </c>
      <c r="J1179">
        <v>2</v>
      </c>
      <c r="K1179" t="s">
        <v>177</v>
      </c>
      <c r="L1179" t="s">
        <v>139</v>
      </c>
      <c r="M1179" t="s">
        <v>398</v>
      </c>
      <c r="N1179" t="s">
        <v>2652</v>
      </c>
      <c r="O1179">
        <v>1</v>
      </c>
      <c r="P1179">
        <v>2.4500000000000002</v>
      </c>
    </row>
    <row r="1180" spans="4:16" hidden="1" x14ac:dyDescent="0.25">
      <c r="D1180" t="s">
        <v>2653</v>
      </c>
      <c r="E1180" t="s">
        <v>135</v>
      </c>
      <c r="F1180" t="s">
        <v>1850</v>
      </c>
      <c r="G1180" t="s">
        <v>2635</v>
      </c>
      <c r="H1180" t="s">
        <v>3641</v>
      </c>
      <c r="I1180" s="13">
        <v>44281</v>
      </c>
      <c r="J1180">
        <v>2</v>
      </c>
      <c r="K1180" t="s">
        <v>177</v>
      </c>
      <c r="L1180" t="s">
        <v>139</v>
      </c>
      <c r="M1180" t="s">
        <v>398</v>
      </c>
      <c r="N1180" t="s">
        <v>2654</v>
      </c>
      <c r="O1180">
        <v>1</v>
      </c>
      <c r="P1180">
        <v>2.4500000000000002</v>
      </c>
    </row>
    <row r="1181" spans="4:16" hidden="1" x14ac:dyDescent="0.25">
      <c r="D1181" t="s">
        <v>2655</v>
      </c>
      <c r="E1181" t="s">
        <v>135</v>
      </c>
      <c r="F1181" t="s">
        <v>1850</v>
      </c>
      <c r="G1181" t="s">
        <v>2635</v>
      </c>
      <c r="H1181" t="s">
        <v>3641</v>
      </c>
      <c r="I1181" s="13">
        <v>44281</v>
      </c>
      <c r="J1181">
        <v>2</v>
      </c>
      <c r="K1181" t="s">
        <v>177</v>
      </c>
      <c r="L1181" t="s">
        <v>139</v>
      </c>
      <c r="M1181" t="s">
        <v>398</v>
      </c>
      <c r="N1181" t="s">
        <v>2656</v>
      </c>
      <c r="O1181">
        <v>1</v>
      </c>
      <c r="P1181">
        <v>2.4500000000000002</v>
      </c>
    </row>
    <row r="1182" spans="4:16" x14ac:dyDescent="0.25">
      <c r="D1182" t="s">
        <v>2657</v>
      </c>
      <c r="E1182" t="s">
        <v>135</v>
      </c>
      <c r="F1182" t="s">
        <v>2413</v>
      </c>
      <c r="G1182" t="s">
        <v>2333</v>
      </c>
      <c r="H1182" t="s">
        <v>1218</v>
      </c>
      <c r="I1182" s="13">
        <v>44288</v>
      </c>
      <c r="J1182">
        <v>2</v>
      </c>
      <c r="K1182" t="s">
        <v>177</v>
      </c>
      <c r="L1182" t="s">
        <v>139</v>
      </c>
      <c r="M1182" t="s">
        <v>431</v>
      </c>
      <c r="N1182" t="s">
        <v>2658</v>
      </c>
      <c r="O1182">
        <v>1</v>
      </c>
      <c r="P1182">
        <v>2.4300000000000002</v>
      </c>
    </row>
    <row r="1183" spans="4:16" x14ac:dyDescent="0.25">
      <c r="D1183" t="s">
        <v>2659</v>
      </c>
      <c r="E1183" t="s">
        <v>135</v>
      </c>
      <c r="F1183" t="s">
        <v>2413</v>
      </c>
      <c r="G1183" t="s">
        <v>2414</v>
      </c>
      <c r="H1183" t="s">
        <v>1218</v>
      </c>
      <c r="I1183" s="13">
        <v>44306</v>
      </c>
      <c r="J1183">
        <v>2</v>
      </c>
      <c r="K1183" t="s">
        <v>177</v>
      </c>
      <c r="L1183" t="s">
        <v>139</v>
      </c>
      <c r="M1183" t="s">
        <v>320</v>
      </c>
      <c r="N1183" t="s">
        <v>2660</v>
      </c>
      <c r="O1183">
        <v>1</v>
      </c>
      <c r="P1183">
        <v>2.38</v>
      </c>
    </row>
    <row r="1184" spans="4:16" x14ac:dyDescent="0.25">
      <c r="D1184" t="s">
        <v>2661</v>
      </c>
      <c r="E1184" t="s">
        <v>135</v>
      </c>
      <c r="F1184" t="s">
        <v>2413</v>
      </c>
      <c r="G1184" t="s">
        <v>2414</v>
      </c>
      <c r="H1184" t="s">
        <v>1218</v>
      </c>
      <c r="I1184" s="13">
        <v>44308</v>
      </c>
      <c r="J1184">
        <v>2</v>
      </c>
      <c r="K1184" t="s">
        <v>177</v>
      </c>
      <c r="L1184" t="s">
        <v>139</v>
      </c>
      <c r="M1184" t="s">
        <v>268</v>
      </c>
      <c r="N1184" t="s">
        <v>2662</v>
      </c>
      <c r="O1184">
        <v>1</v>
      </c>
      <c r="P1184">
        <v>2.38</v>
      </c>
    </row>
    <row r="1185" spans="4:16" x14ac:dyDescent="0.25">
      <c r="D1185" t="s">
        <v>2663</v>
      </c>
      <c r="E1185" t="s">
        <v>135</v>
      </c>
      <c r="F1185" t="s">
        <v>2413</v>
      </c>
      <c r="G1185" t="s">
        <v>2414</v>
      </c>
      <c r="H1185" t="s">
        <v>1218</v>
      </c>
      <c r="I1185" s="13">
        <v>44308</v>
      </c>
      <c r="J1185">
        <v>2</v>
      </c>
      <c r="K1185" t="s">
        <v>177</v>
      </c>
      <c r="L1185" t="s">
        <v>139</v>
      </c>
      <c r="M1185" t="s">
        <v>268</v>
      </c>
      <c r="N1185" t="s">
        <v>2664</v>
      </c>
      <c r="O1185">
        <v>1</v>
      </c>
      <c r="P1185">
        <v>2.38</v>
      </c>
    </row>
    <row r="1186" spans="4:16" x14ac:dyDescent="0.25">
      <c r="D1186" t="s">
        <v>2665</v>
      </c>
      <c r="E1186" t="s">
        <v>135</v>
      </c>
      <c r="F1186" t="s">
        <v>2413</v>
      </c>
      <c r="G1186" t="s">
        <v>2414</v>
      </c>
      <c r="H1186" t="s">
        <v>1218</v>
      </c>
      <c r="I1186" s="13">
        <v>44308</v>
      </c>
      <c r="J1186">
        <v>2</v>
      </c>
      <c r="K1186" t="s">
        <v>177</v>
      </c>
      <c r="L1186" t="s">
        <v>139</v>
      </c>
      <c r="M1186" t="s">
        <v>268</v>
      </c>
      <c r="N1186" t="s">
        <v>2666</v>
      </c>
      <c r="O1186">
        <v>1</v>
      </c>
      <c r="P1186">
        <v>2.38</v>
      </c>
    </row>
    <row r="1187" spans="4:16" x14ac:dyDescent="0.25">
      <c r="D1187" t="s">
        <v>2667</v>
      </c>
      <c r="E1187" t="s">
        <v>135</v>
      </c>
      <c r="F1187" t="s">
        <v>2304</v>
      </c>
      <c r="G1187" t="s">
        <v>611</v>
      </c>
      <c r="H1187" t="s">
        <v>1218</v>
      </c>
      <c r="I1187" s="13">
        <v>44308</v>
      </c>
      <c r="J1187">
        <v>2</v>
      </c>
      <c r="K1187" t="s">
        <v>177</v>
      </c>
      <c r="L1187" t="s">
        <v>139</v>
      </c>
      <c r="M1187" t="s">
        <v>1430</v>
      </c>
      <c r="N1187" t="s">
        <v>2668</v>
      </c>
      <c r="O1187">
        <v>1</v>
      </c>
      <c r="P1187">
        <v>2.38</v>
      </c>
    </row>
    <row r="1188" spans="4:16" x14ac:dyDescent="0.25">
      <c r="D1188" t="s">
        <v>2669</v>
      </c>
      <c r="E1188" t="s">
        <v>135</v>
      </c>
      <c r="F1188" t="s">
        <v>2304</v>
      </c>
      <c r="G1188" t="s">
        <v>611</v>
      </c>
      <c r="H1188" t="s">
        <v>1218</v>
      </c>
      <c r="I1188" s="13">
        <v>44308</v>
      </c>
      <c r="J1188">
        <v>2</v>
      </c>
      <c r="K1188" t="s">
        <v>177</v>
      </c>
      <c r="L1188" t="s">
        <v>139</v>
      </c>
      <c r="M1188" t="s">
        <v>1430</v>
      </c>
      <c r="N1188" t="s">
        <v>2670</v>
      </c>
      <c r="O1188">
        <v>1</v>
      </c>
      <c r="P1188">
        <v>2.38</v>
      </c>
    </row>
    <row r="1189" spans="4:16" x14ac:dyDescent="0.25">
      <c r="D1189" t="s">
        <v>2671</v>
      </c>
      <c r="E1189" t="s">
        <v>135</v>
      </c>
      <c r="F1189" t="s">
        <v>667</v>
      </c>
      <c r="G1189" t="s">
        <v>2425</v>
      </c>
      <c r="H1189" t="s">
        <v>1218</v>
      </c>
      <c r="I1189" s="13">
        <v>44307</v>
      </c>
      <c r="J1189">
        <v>2</v>
      </c>
      <c r="K1189" t="s">
        <v>177</v>
      </c>
      <c r="L1189" t="s">
        <v>139</v>
      </c>
      <c r="M1189" t="s">
        <v>743</v>
      </c>
      <c r="N1189" t="s">
        <v>2672</v>
      </c>
      <c r="O1189">
        <v>1</v>
      </c>
      <c r="P1189">
        <v>2.38</v>
      </c>
    </row>
    <row r="1190" spans="4:16" x14ac:dyDescent="0.25">
      <c r="D1190" t="s">
        <v>2673</v>
      </c>
      <c r="E1190" t="s">
        <v>135</v>
      </c>
      <c r="F1190" t="s">
        <v>1679</v>
      </c>
      <c r="G1190" t="s">
        <v>1676</v>
      </c>
      <c r="H1190" t="s">
        <v>1218</v>
      </c>
      <c r="I1190" s="13">
        <v>44314</v>
      </c>
      <c r="J1190">
        <v>2</v>
      </c>
      <c r="K1190" t="s">
        <v>177</v>
      </c>
      <c r="L1190" t="s">
        <v>139</v>
      </c>
      <c r="M1190" t="s">
        <v>785</v>
      </c>
      <c r="N1190" t="s">
        <v>2674</v>
      </c>
      <c r="O1190">
        <v>1</v>
      </c>
      <c r="P1190">
        <v>2.36</v>
      </c>
    </row>
    <row r="1191" spans="4:16" x14ac:dyDescent="0.25">
      <c r="D1191" t="s">
        <v>2675</v>
      </c>
      <c r="E1191" t="s">
        <v>135</v>
      </c>
      <c r="F1191" t="s">
        <v>379</v>
      </c>
      <c r="G1191" t="s">
        <v>1948</v>
      </c>
      <c r="H1191" t="s">
        <v>1218</v>
      </c>
      <c r="I1191" s="13">
        <v>44319</v>
      </c>
      <c r="J1191">
        <v>2</v>
      </c>
      <c r="K1191" t="s">
        <v>177</v>
      </c>
      <c r="L1191" t="s">
        <v>139</v>
      </c>
      <c r="M1191" t="s">
        <v>227</v>
      </c>
      <c r="N1191" t="s">
        <v>2676</v>
      </c>
      <c r="O1191">
        <v>1</v>
      </c>
      <c r="P1191">
        <v>2.35</v>
      </c>
    </row>
    <row r="1192" spans="4:16" x14ac:dyDescent="0.25">
      <c r="D1192" t="s">
        <v>2677</v>
      </c>
      <c r="E1192" t="s">
        <v>135</v>
      </c>
      <c r="F1192" t="s">
        <v>379</v>
      </c>
      <c r="G1192" t="s">
        <v>2678</v>
      </c>
      <c r="H1192" t="s">
        <v>1218</v>
      </c>
      <c r="I1192" s="13">
        <v>44319</v>
      </c>
      <c r="J1192">
        <v>2</v>
      </c>
      <c r="K1192" t="s">
        <v>177</v>
      </c>
      <c r="L1192" t="s">
        <v>139</v>
      </c>
      <c r="M1192" t="s">
        <v>352</v>
      </c>
      <c r="N1192" t="s">
        <v>2679</v>
      </c>
      <c r="O1192">
        <v>1</v>
      </c>
      <c r="P1192">
        <v>2.35</v>
      </c>
    </row>
    <row r="1193" spans="4:16" x14ac:dyDescent="0.25">
      <c r="D1193" t="s">
        <v>2680</v>
      </c>
      <c r="E1193" t="s">
        <v>135</v>
      </c>
      <c r="F1193" t="s">
        <v>379</v>
      </c>
      <c r="G1193" t="s">
        <v>1964</v>
      </c>
      <c r="H1193" t="s">
        <v>1218</v>
      </c>
      <c r="I1193" s="13">
        <v>44322</v>
      </c>
      <c r="J1193">
        <v>2</v>
      </c>
      <c r="K1193" t="s">
        <v>177</v>
      </c>
      <c r="L1193" t="s">
        <v>139</v>
      </c>
      <c r="M1193" t="s">
        <v>1189</v>
      </c>
      <c r="N1193" t="s">
        <v>2681</v>
      </c>
      <c r="O1193">
        <v>1</v>
      </c>
      <c r="P1193">
        <v>2.34</v>
      </c>
    </row>
    <row r="1194" spans="4:16" x14ac:dyDescent="0.25">
      <c r="D1194" t="s">
        <v>2682</v>
      </c>
      <c r="E1194" t="s">
        <v>135</v>
      </c>
      <c r="F1194" t="s">
        <v>2304</v>
      </c>
      <c r="G1194" t="s">
        <v>611</v>
      </c>
      <c r="H1194" t="s">
        <v>1218</v>
      </c>
      <c r="I1194" s="13">
        <v>44336</v>
      </c>
      <c r="J1194">
        <v>2</v>
      </c>
      <c r="K1194" t="s">
        <v>177</v>
      </c>
      <c r="L1194" t="s">
        <v>139</v>
      </c>
      <c r="M1194" t="s">
        <v>907</v>
      </c>
      <c r="N1194" t="s">
        <v>2683</v>
      </c>
      <c r="O1194">
        <v>1</v>
      </c>
      <c r="P1194">
        <v>2.2999999999999998</v>
      </c>
    </row>
    <row r="1195" spans="4:16" x14ac:dyDescent="0.25">
      <c r="D1195" t="s">
        <v>2684</v>
      </c>
      <c r="E1195" t="s">
        <v>135</v>
      </c>
      <c r="F1195" t="s">
        <v>2304</v>
      </c>
      <c r="G1195" t="s">
        <v>611</v>
      </c>
      <c r="H1195" t="s">
        <v>1218</v>
      </c>
      <c r="I1195" s="13">
        <v>44336</v>
      </c>
      <c r="J1195">
        <v>2</v>
      </c>
      <c r="K1195" t="s">
        <v>177</v>
      </c>
      <c r="L1195" t="s">
        <v>139</v>
      </c>
      <c r="M1195" t="s">
        <v>1430</v>
      </c>
      <c r="N1195" t="s">
        <v>2685</v>
      </c>
      <c r="O1195">
        <v>1</v>
      </c>
      <c r="P1195">
        <v>2.2999999999999998</v>
      </c>
    </row>
    <row r="1196" spans="4:16" x14ac:dyDescent="0.25">
      <c r="D1196" t="s">
        <v>2686</v>
      </c>
      <c r="E1196" t="s">
        <v>135</v>
      </c>
      <c r="F1196" t="s">
        <v>1679</v>
      </c>
      <c r="G1196" t="s">
        <v>1899</v>
      </c>
      <c r="H1196" t="s">
        <v>1218</v>
      </c>
      <c r="I1196" s="13">
        <v>44344</v>
      </c>
      <c r="J1196">
        <v>2</v>
      </c>
      <c r="K1196" t="s">
        <v>177</v>
      </c>
      <c r="L1196" t="s">
        <v>139</v>
      </c>
      <c r="M1196" t="s">
        <v>945</v>
      </c>
      <c r="N1196" t="s">
        <v>2687</v>
      </c>
      <c r="O1196">
        <v>1</v>
      </c>
      <c r="P1196">
        <v>2.2799999999999998</v>
      </c>
    </row>
    <row r="1197" spans="4:16" x14ac:dyDescent="0.25">
      <c r="D1197" t="s">
        <v>2688</v>
      </c>
      <c r="E1197" t="s">
        <v>135</v>
      </c>
      <c r="F1197" t="s">
        <v>2413</v>
      </c>
      <c r="G1197" t="s">
        <v>2414</v>
      </c>
      <c r="H1197" t="s">
        <v>1218</v>
      </c>
      <c r="I1197" s="13">
        <v>44350</v>
      </c>
      <c r="J1197">
        <v>2</v>
      </c>
      <c r="K1197" t="s">
        <v>177</v>
      </c>
      <c r="L1197" t="s">
        <v>139</v>
      </c>
      <c r="M1197" t="s">
        <v>320</v>
      </c>
      <c r="N1197" t="s">
        <v>2689</v>
      </c>
      <c r="O1197">
        <v>1</v>
      </c>
      <c r="P1197">
        <v>2.2599999999999998</v>
      </c>
    </row>
    <row r="1198" spans="4:16" x14ac:dyDescent="0.25">
      <c r="D1198" t="s">
        <v>2690</v>
      </c>
      <c r="E1198" t="s">
        <v>135</v>
      </c>
      <c r="F1198" t="s">
        <v>379</v>
      </c>
      <c r="G1198" t="s">
        <v>782</v>
      </c>
      <c r="H1198" t="s">
        <v>1218</v>
      </c>
      <c r="I1198" s="13">
        <v>44349</v>
      </c>
      <c r="J1198">
        <v>2</v>
      </c>
      <c r="K1198" t="s">
        <v>177</v>
      </c>
      <c r="L1198" t="s">
        <v>139</v>
      </c>
      <c r="M1198" t="s">
        <v>386</v>
      </c>
      <c r="N1198" t="s">
        <v>2691</v>
      </c>
      <c r="O1198">
        <v>1</v>
      </c>
      <c r="P1198">
        <v>2.2599999999999998</v>
      </c>
    </row>
    <row r="1199" spans="4:16" x14ac:dyDescent="0.25">
      <c r="D1199" t="s">
        <v>2692</v>
      </c>
      <c r="E1199" t="s">
        <v>135</v>
      </c>
      <c r="F1199" t="s">
        <v>667</v>
      </c>
      <c r="G1199" t="s">
        <v>2425</v>
      </c>
      <c r="H1199" t="s">
        <v>1218</v>
      </c>
      <c r="I1199" s="13">
        <v>44356</v>
      </c>
      <c r="J1199">
        <v>2</v>
      </c>
      <c r="K1199" t="s">
        <v>177</v>
      </c>
      <c r="L1199" t="s">
        <v>139</v>
      </c>
      <c r="M1199" t="s">
        <v>743</v>
      </c>
      <c r="N1199" t="s">
        <v>2693</v>
      </c>
      <c r="O1199">
        <v>1</v>
      </c>
      <c r="P1199">
        <v>2.2400000000000002</v>
      </c>
    </row>
    <row r="1200" spans="4:16" x14ac:dyDescent="0.25">
      <c r="D1200" t="s">
        <v>2694</v>
      </c>
      <c r="E1200" t="s">
        <v>135</v>
      </c>
      <c r="F1200" t="s">
        <v>667</v>
      </c>
      <c r="G1200" t="s">
        <v>2425</v>
      </c>
      <c r="H1200" t="s">
        <v>1218</v>
      </c>
      <c r="I1200" s="13">
        <v>44356</v>
      </c>
      <c r="J1200">
        <v>2</v>
      </c>
      <c r="K1200" t="s">
        <v>177</v>
      </c>
      <c r="L1200" t="s">
        <v>139</v>
      </c>
      <c r="M1200" t="s">
        <v>743</v>
      </c>
      <c r="N1200" t="s">
        <v>2695</v>
      </c>
      <c r="O1200">
        <v>1</v>
      </c>
      <c r="P1200">
        <v>2.2400000000000002</v>
      </c>
    </row>
    <row r="1201" spans="4:16" x14ac:dyDescent="0.25">
      <c r="D1201" t="s">
        <v>2696</v>
      </c>
      <c r="E1201" t="s">
        <v>135</v>
      </c>
      <c r="F1201" t="s">
        <v>667</v>
      </c>
      <c r="G1201" t="s">
        <v>2425</v>
      </c>
      <c r="H1201" t="s">
        <v>1218</v>
      </c>
      <c r="I1201" s="13">
        <v>44363</v>
      </c>
      <c r="J1201">
        <v>2</v>
      </c>
      <c r="K1201" t="s">
        <v>177</v>
      </c>
      <c r="L1201" t="s">
        <v>139</v>
      </c>
      <c r="M1201" t="s">
        <v>743</v>
      </c>
      <c r="N1201" t="s">
        <v>2697</v>
      </c>
      <c r="O1201">
        <v>1</v>
      </c>
      <c r="P1201">
        <v>2.23</v>
      </c>
    </row>
    <row r="1202" spans="4:16" x14ac:dyDescent="0.25">
      <c r="D1202" t="s">
        <v>2698</v>
      </c>
      <c r="E1202" t="s">
        <v>135</v>
      </c>
      <c r="F1202" t="s">
        <v>2699</v>
      </c>
      <c r="G1202" t="s">
        <v>2700</v>
      </c>
      <c r="H1202" t="s">
        <v>1218</v>
      </c>
      <c r="I1202" s="13">
        <v>44378</v>
      </c>
      <c r="J1202">
        <v>2</v>
      </c>
      <c r="K1202" t="s">
        <v>177</v>
      </c>
      <c r="L1202" t="s">
        <v>139</v>
      </c>
      <c r="M1202" t="s">
        <v>284</v>
      </c>
      <c r="N1202" t="s">
        <v>2701</v>
      </c>
      <c r="O1202">
        <v>1</v>
      </c>
      <c r="P1202">
        <v>2.1800000000000002</v>
      </c>
    </row>
    <row r="1203" spans="4:16" x14ac:dyDescent="0.25">
      <c r="D1203" t="s">
        <v>2702</v>
      </c>
      <c r="E1203" t="s">
        <v>135</v>
      </c>
      <c r="F1203" t="s">
        <v>379</v>
      </c>
      <c r="G1203" t="s">
        <v>1917</v>
      </c>
      <c r="H1203" t="s">
        <v>1218</v>
      </c>
      <c r="I1203" s="13">
        <v>44378</v>
      </c>
      <c r="J1203">
        <v>2</v>
      </c>
      <c r="K1203" t="s">
        <v>177</v>
      </c>
      <c r="L1203" t="s">
        <v>139</v>
      </c>
      <c r="M1203" t="s">
        <v>146</v>
      </c>
      <c r="N1203" t="s">
        <v>2703</v>
      </c>
      <c r="O1203">
        <v>1</v>
      </c>
      <c r="P1203">
        <v>2.1800000000000002</v>
      </c>
    </row>
    <row r="1204" spans="4:16" x14ac:dyDescent="0.25">
      <c r="D1204" t="s">
        <v>2704</v>
      </c>
      <c r="E1204" t="s">
        <v>135</v>
      </c>
      <c r="F1204" t="s">
        <v>379</v>
      </c>
      <c r="G1204" t="s">
        <v>1917</v>
      </c>
      <c r="H1204" t="s">
        <v>1218</v>
      </c>
      <c r="I1204" s="13">
        <v>44378</v>
      </c>
      <c r="J1204">
        <v>2</v>
      </c>
      <c r="K1204" t="s">
        <v>177</v>
      </c>
      <c r="L1204" t="s">
        <v>139</v>
      </c>
      <c r="M1204" t="s">
        <v>284</v>
      </c>
      <c r="N1204" t="s">
        <v>2705</v>
      </c>
      <c r="O1204">
        <v>1</v>
      </c>
      <c r="P1204">
        <v>2.1800000000000002</v>
      </c>
    </row>
    <row r="1205" spans="4:16" x14ac:dyDescent="0.25">
      <c r="D1205" t="s">
        <v>2706</v>
      </c>
      <c r="E1205" t="s">
        <v>135</v>
      </c>
      <c r="F1205" t="s">
        <v>1679</v>
      </c>
      <c r="G1205" t="s">
        <v>1899</v>
      </c>
      <c r="H1205" t="s">
        <v>1218</v>
      </c>
      <c r="I1205" s="13">
        <v>44382</v>
      </c>
      <c r="J1205">
        <v>2</v>
      </c>
      <c r="K1205" t="s">
        <v>177</v>
      </c>
      <c r="L1205" t="s">
        <v>139</v>
      </c>
      <c r="M1205" t="s">
        <v>1361</v>
      </c>
      <c r="N1205" t="s">
        <v>2707</v>
      </c>
      <c r="O1205">
        <v>1</v>
      </c>
      <c r="P1205">
        <v>2.17</v>
      </c>
    </row>
    <row r="1206" spans="4:16" x14ac:dyDescent="0.25">
      <c r="D1206" t="s">
        <v>2708</v>
      </c>
      <c r="E1206" t="s">
        <v>135</v>
      </c>
      <c r="F1206" t="s">
        <v>656</v>
      </c>
      <c r="G1206" t="s">
        <v>1382</v>
      </c>
      <c r="H1206" t="s">
        <v>1218</v>
      </c>
      <c r="I1206" s="13">
        <v>44384</v>
      </c>
      <c r="J1206">
        <v>2</v>
      </c>
      <c r="K1206" t="s">
        <v>177</v>
      </c>
      <c r="L1206" t="s">
        <v>139</v>
      </c>
      <c r="M1206" t="s">
        <v>193</v>
      </c>
      <c r="N1206" t="s">
        <v>2709</v>
      </c>
      <c r="O1206">
        <v>1</v>
      </c>
      <c r="P1206">
        <v>2.17</v>
      </c>
    </row>
    <row r="1207" spans="4:16" x14ac:dyDescent="0.25">
      <c r="D1207" t="s">
        <v>2710</v>
      </c>
      <c r="E1207" t="s">
        <v>135</v>
      </c>
      <c r="F1207" t="s">
        <v>656</v>
      </c>
      <c r="G1207" t="s">
        <v>1382</v>
      </c>
      <c r="H1207" t="s">
        <v>1218</v>
      </c>
      <c r="I1207" s="13">
        <v>44383</v>
      </c>
      <c r="J1207">
        <v>2</v>
      </c>
      <c r="K1207" t="s">
        <v>177</v>
      </c>
      <c r="L1207" t="s">
        <v>139</v>
      </c>
      <c r="M1207" t="s">
        <v>193</v>
      </c>
      <c r="N1207" t="s">
        <v>2711</v>
      </c>
      <c r="O1207">
        <v>1</v>
      </c>
      <c r="P1207">
        <v>2.17</v>
      </c>
    </row>
    <row r="1208" spans="4:16" x14ac:dyDescent="0.25">
      <c r="D1208" t="s">
        <v>2712</v>
      </c>
      <c r="E1208" t="s">
        <v>135</v>
      </c>
      <c r="F1208" t="s">
        <v>656</v>
      </c>
      <c r="G1208" t="s">
        <v>1382</v>
      </c>
      <c r="H1208" t="s">
        <v>1218</v>
      </c>
      <c r="I1208" s="13">
        <v>44383</v>
      </c>
      <c r="J1208">
        <v>2</v>
      </c>
      <c r="K1208" t="s">
        <v>177</v>
      </c>
      <c r="L1208" t="s">
        <v>139</v>
      </c>
      <c r="M1208" t="s">
        <v>160</v>
      </c>
      <c r="N1208" t="s">
        <v>2713</v>
      </c>
      <c r="O1208">
        <v>1</v>
      </c>
      <c r="P1208">
        <v>2.17</v>
      </c>
    </row>
    <row r="1209" spans="4:16" x14ac:dyDescent="0.25">
      <c r="D1209" t="s">
        <v>2714</v>
      </c>
      <c r="E1209" t="s">
        <v>135</v>
      </c>
      <c r="F1209" t="s">
        <v>656</v>
      </c>
      <c r="G1209" t="s">
        <v>1382</v>
      </c>
      <c r="H1209" t="s">
        <v>1218</v>
      </c>
      <c r="I1209" s="13">
        <v>44383</v>
      </c>
      <c r="J1209">
        <v>2</v>
      </c>
      <c r="K1209" t="s">
        <v>177</v>
      </c>
      <c r="L1209" t="s">
        <v>139</v>
      </c>
      <c r="M1209" t="s">
        <v>216</v>
      </c>
      <c r="N1209" t="s">
        <v>2715</v>
      </c>
      <c r="O1209">
        <v>1</v>
      </c>
      <c r="P1209">
        <v>2.17</v>
      </c>
    </row>
    <row r="1210" spans="4:16" x14ac:dyDescent="0.25">
      <c r="D1210" t="s">
        <v>2716</v>
      </c>
      <c r="E1210" t="s">
        <v>135</v>
      </c>
      <c r="F1210" t="s">
        <v>656</v>
      </c>
      <c r="G1210" t="s">
        <v>1382</v>
      </c>
      <c r="H1210" t="s">
        <v>1218</v>
      </c>
      <c r="I1210" s="13">
        <v>44383</v>
      </c>
      <c r="J1210">
        <v>2</v>
      </c>
      <c r="K1210" t="s">
        <v>177</v>
      </c>
      <c r="L1210" t="s">
        <v>139</v>
      </c>
      <c r="M1210" t="s">
        <v>216</v>
      </c>
      <c r="N1210" t="s">
        <v>2717</v>
      </c>
      <c r="O1210">
        <v>1</v>
      </c>
      <c r="P1210">
        <v>2.17</v>
      </c>
    </row>
    <row r="1211" spans="4:16" x14ac:dyDescent="0.25">
      <c r="D1211" t="s">
        <v>2718</v>
      </c>
      <c r="E1211" t="s">
        <v>135</v>
      </c>
      <c r="F1211" t="s">
        <v>656</v>
      </c>
      <c r="G1211" t="s">
        <v>1382</v>
      </c>
      <c r="H1211" t="s">
        <v>1218</v>
      </c>
      <c r="I1211" s="13">
        <v>44383</v>
      </c>
      <c r="J1211">
        <v>2</v>
      </c>
      <c r="K1211" t="s">
        <v>177</v>
      </c>
      <c r="L1211" t="s">
        <v>139</v>
      </c>
      <c r="M1211" t="s">
        <v>216</v>
      </c>
      <c r="N1211" t="s">
        <v>2719</v>
      </c>
      <c r="O1211">
        <v>1</v>
      </c>
      <c r="P1211">
        <v>2.17</v>
      </c>
    </row>
    <row r="1212" spans="4:16" x14ac:dyDescent="0.25">
      <c r="D1212" t="s">
        <v>2720</v>
      </c>
      <c r="E1212" t="s">
        <v>135</v>
      </c>
      <c r="F1212" t="s">
        <v>2002</v>
      </c>
      <c r="G1212" t="s">
        <v>1917</v>
      </c>
      <c r="H1212" t="s">
        <v>1218</v>
      </c>
      <c r="I1212" s="13">
        <v>44405</v>
      </c>
      <c r="J1212">
        <v>2</v>
      </c>
      <c r="K1212" t="s">
        <v>177</v>
      </c>
      <c r="L1212" t="s">
        <v>139</v>
      </c>
      <c r="M1212" t="s">
        <v>913</v>
      </c>
      <c r="N1212" t="s">
        <v>2721</v>
      </c>
      <c r="O1212">
        <v>1</v>
      </c>
      <c r="P1212">
        <v>2.11</v>
      </c>
    </row>
    <row r="1213" spans="4:16" x14ac:dyDescent="0.25">
      <c r="D1213" t="s">
        <v>2722</v>
      </c>
      <c r="E1213" t="s">
        <v>135</v>
      </c>
      <c r="F1213" t="s">
        <v>379</v>
      </c>
      <c r="G1213" t="s">
        <v>782</v>
      </c>
      <c r="H1213" t="s">
        <v>1218</v>
      </c>
      <c r="I1213" s="13">
        <v>44405</v>
      </c>
      <c r="J1213">
        <v>2</v>
      </c>
      <c r="K1213" t="s">
        <v>177</v>
      </c>
      <c r="L1213" t="s">
        <v>139</v>
      </c>
      <c r="M1213" t="s">
        <v>240</v>
      </c>
      <c r="N1213" t="s">
        <v>2723</v>
      </c>
      <c r="O1213">
        <v>1</v>
      </c>
      <c r="P1213">
        <v>2.11</v>
      </c>
    </row>
    <row r="1214" spans="4:16" x14ac:dyDescent="0.25">
      <c r="D1214" t="s">
        <v>2724</v>
      </c>
      <c r="E1214" t="s">
        <v>135</v>
      </c>
      <c r="F1214" t="s">
        <v>379</v>
      </c>
      <c r="G1214" t="s">
        <v>782</v>
      </c>
      <c r="H1214" t="s">
        <v>1218</v>
      </c>
      <c r="I1214" s="13">
        <v>44405</v>
      </c>
      <c r="J1214">
        <v>2</v>
      </c>
      <c r="K1214" t="s">
        <v>177</v>
      </c>
      <c r="L1214" t="s">
        <v>139</v>
      </c>
      <c r="M1214" t="s">
        <v>386</v>
      </c>
      <c r="N1214" t="s">
        <v>2725</v>
      </c>
      <c r="O1214">
        <v>1</v>
      </c>
      <c r="P1214">
        <v>2.11</v>
      </c>
    </row>
    <row r="1215" spans="4:16" x14ac:dyDescent="0.25">
      <c r="D1215" t="s">
        <v>2726</v>
      </c>
      <c r="E1215" t="s">
        <v>135</v>
      </c>
      <c r="F1215" t="s">
        <v>379</v>
      </c>
      <c r="G1215" t="s">
        <v>782</v>
      </c>
      <c r="H1215" t="s">
        <v>1218</v>
      </c>
      <c r="I1215" s="13">
        <v>44405</v>
      </c>
      <c r="J1215">
        <v>2</v>
      </c>
      <c r="K1215" t="s">
        <v>177</v>
      </c>
      <c r="L1215" t="s">
        <v>139</v>
      </c>
      <c r="M1215" t="s">
        <v>240</v>
      </c>
      <c r="N1215" t="s">
        <v>2727</v>
      </c>
      <c r="O1215">
        <v>1</v>
      </c>
      <c r="P1215">
        <v>2.11</v>
      </c>
    </row>
    <row r="1216" spans="4:16" x14ac:dyDescent="0.25">
      <c r="D1216" t="s">
        <v>2728</v>
      </c>
      <c r="E1216" t="s">
        <v>135</v>
      </c>
      <c r="F1216" t="s">
        <v>2620</v>
      </c>
      <c r="G1216" t="s">
        <v>2729</v>
      </c>
      <c r="H1216" t="s">
        <v>1218</v>
      </c>
      <c r="I1216" s="13">
        <v>44405</v>
      </c>
      <c r="J1216">
        <v>2</v>
      </c>
      <c r="K1216" t="s">
        <v>177</v>
      </c>
      <c r="L1216" t="s">
        <v>139</v>
      </c>
      <c r="M1216" t="s">
        <v>284</v>
      </c>
      <c r="N1216" t="s">
        <v>2730</v>
      </c>
      <c r="O1216">
        <v>1</v>
      </c>
      <c r="P1216">
        <v>2.11</v>
      </c>
    </row>
    <row r="1217" spans="4:16" x14ac:dyDescent="0.25">
      <c r="D1217" t="s">
        <v>2731</v>
      </c>
      <c r="E1217" t="s">
        <v>135</v>
      </c>
      <c r="F1217" t="s">
        <v>667</v>
      </c>
      <c r="G1217" t="s">
        <v>668</v>
      </c>
      <c r="H1217" t="s">
        <v>1218</v>
      </c>
      <c r="I1217" s="13">
        <v>44412</v>
      </c>
      <c r="J1217">
        <v>2</v>
      </c>
      <c r="K1217" t="s">
        <v>177</v>
      </c>
      <c r="L1217" t="s">
        <v>139</v>
      </c>
      <c r="M1217" t="s">
        <v>800</v>
      </c>
      <c r="N1217" t="s">
        <v>2732</v>
      </c>
      <c r="O1217">
        <v>1</v>
      </c>
      <c r="P1217">
        <v>2.09</v>
      </c>
    </row>
    <row r="1218" spans="4:16" x14ac:dyDescent="0.25">
      <c r="D1218" t="s">
        <v>2733</v>
      </c>
      <c r="E1218" t="s">
        <v>135</v>
      </c>
      <c r="F1218" t="s">
        <v>667</v>
      </c>
      <c r="G1218" t="s">
        <v>2734</v>
      </c>
      <c r="H1218" t="s">
        <v>1218</v>
      </c>
      <c r="I1218" s="13">
        <v>44412</v>
      </c>
      <c r="J1218">
        <v>2</v>
      </c>
      <c r="K1218" t="s">
        <v>177</v>
      </c>
      <c r="L1218" t="s">
        <v>139</v>
      </c>
      <c r="M1218" t="s">
        <v>800</v>
      </c>
      <c r="N1218" t="s">
        <v>2735</v>
      </c>
      <c r="O1218">
        <v>1</v>
      </c>
      <c r="P1218">
        <v>2.09</v>
      </c>
    </row>
    <row r="1219" spans="4:16" x14ac:dyDescent="0.25">
      <c r="D1219" t="s">
        <v>2736</v>
      </c>
      <c r="E1219" t="s">
        <v>135</v>
      </c>
      <c r="F1219" t="s">
        <v>667</v>
      </c>
      <c r="G1219" t="s">
        <v>2734</v>
      </c>
      <c r="H1219" t="s">
        <v>1218</v>
      </c>
      <c r="I1219" s="13">
        <v>44413</v>
      </c>
      <c r="J1219">
        <v>2</v>
      </c>
      <c r="K1219" t="s">
        <v>177</v>
      </c>
      <c r="L1219" t="s">
        <v>139</v>
      </c>
      <c r="M1219" t="s">
        <v>669</v>
      </c>
      <c r="N1219" t="s">
        <v>2737</v>
      </c>
      <c r="O1219">
        <v>1</v>
      </c>
      <c r="P1219">
        <v>2.09</v>
      </c>
    </row>
    <row r="1220" spans="4:16" x14ac:dyDescent="0.25">
      <c r="D1220" t="s">
        <v>2738</v>
      </c>
      <c r="E1220" t="s">
        <v>135</v>
      </c>
      <c r="F1220" t="s">
        <v>379</v>
      </c>
      <c r="G1220" t="s">
        <v>1917</v>
      </c>
      <c r="H1220" t="s">
        <v>1218</v>
      </c>
      <c r="I1220" s="13">
        <v>44473</v>
      </c>
      <c r="J1220">
        <v>2</v>
      </c>
      <c r="K1220" t="s">
        <v>177</v>
      </c>
      <c r="L1220" t="s">
        <v>139</v>
      </c>
      <c r="M1220" t="s">
        <v>146</v>
      </c>
      <c r="N1220" t="s">
        <v>2739</v>
      </c>
      <c r="O1220">
        <v>1</v>
      </c>
      <c r="P1220">
        <v>1.92</v>
      </c>
    </row>
    <row r="1221" spans="4:16" x14ac:dyDescent="0.25">
      <c r="D1221" t="s">
        <v>2740</v>
      </c>
      <c r="E1221" t="s">
        <v>135</v>
      </c>
      <c r="F1221" t="s">
        <v>379</v>
      </c>
      <c r="G1221" t="s">
        <v>1917</v>
      </c>
      <c r="H1221" t="s">
        <v>1218</v>
      </c>
      <c r="I1221" s="13">
        <v>44473</v>
      </c>
      <c r="J1221">
        <v>2</v>
      </c>
      <c r="K1221" t="s">
        <v>177</v>
      </c>
      <c r="L1221" t="s">
        <v>139</v>
      </c>
      <c r="M1221" t="s">
        <v>146</v>
      </c>
      <c r="N1221" t="s">
        <v>2741</v>
      </c>
      <c r="O1221">
        <v>1</v>
      </c>
      <c r="P1221">
        <v>1.92</v>
      </c>
    </row>
    <row r="1222" spans="4:16" x14ac:dyDescent="0.25">
      <c r="D1222" t="s">
        <v>2742</v>
      </c>
      <c r="E1222" t="s">
        <v>135</v>
      </c>
      <c r="F1222" t="s">
        <v>379</v>
      </c>
      <c r="G1222" t="s">
        <v>2743</v>
      </c>
      <c r="H1222" t="s">
        <v>1218</v>
      </c>
      <c r="I1222" s="13">
        <v>44473</v>
      </c>
      <c r="J1222">
        <v>2</v>
      </c>
      <c r="K1222" t="s">
        <v>177</v>
      </c>
      <c r="L1222" t="s">
        <v>139</v>
      </c>
      <c r="M1222" t="s">
        <v>240</v>
      </c>
      <c r="N1222" t="s">
        <v>2744</v>
      </c>
      <c r="O1222">
        <v>1</v>
      </c>
      <c r="P1222">
        <v>1.92</v>
      </c>
    </row>
    <row r="1223" spans="4:16" x14ac:dyDescent="0.25">
      <c r="D1223" t="s">
        <v>2745</v>
      </c>
      <c r="E1223" t="s">
        <v>135</v>
      </c>
      <c r="F1223" t="s">
        <v>379</v>
      </c>
      <c r="G1223" t="s">
        <v>2743</v>
      </c>
      <c r="H1223" t="s">
        <v>1218</v>
      </c>
      <c r="I1223" s="13">
        <v>44473</v>
      </c>
      <c r="J1223">
        <v>2</v>
      </c>
      <c r="K1223" t="s">
        <v>177</v>
      </c>
      <c r="L1223" t="s">
        <v>139</v>
      </c>
      <c r="M1223" t="s">
        <v>490</v>
      </c>
      <c r="N1223" t="s">
        <v>2746</v>
      </c>
      <c r="O1223">
        <v>1</v>
      </c>
      <c r="P1223">
        <v>1.92</v>
      </c>
    </row>
    <row r="1224" spans="4:16" x14ac:dyDescent="0.25">
      <c r="D1224" t="s">
        <v>2747</v>
      </c>
      <c r="E1224" t="s">
        <v>135</v>
      </c>
      <c r="F1224" t="s">
        <v>379</v>
      </c>
      <c r="G1224" t="s">
        <v>2748</v>
      </c>
      <c r="H1224" t="s">
        <v>1218</v>
      </c>
      <c r="I1224" s="13">
        <v>44477</v>
      </c>
      <c r="J1224">
        <v>2</v>
      </c>
      <c r="K1224" t="s">
        <v>177</v>
      </c>
      <c r="L1224" t="s">
        <v>139</v>
      </c>
      <c r="M1224" t="s">
        <v>352</v>
      </c>
      <c r="N1224" t="s">
        <v>2749</v>
      </c>
      <c r="O1224">
        <v>1</v>
      </c>
      <c r="P1224">
        <v>1.91</v>
      </c>
    </row>
    <row r="1225" spans="4:16" hidden="1" x14ac:dyDescent="0.25">
      <c r="D1225" t="s">
        <v>2750</v>
      </c>
      <c r="E1225" t="s">
        <v>135</v>
      </c>
      <c r="F1225" t="s">
        <v>2413</v>
      </c>
      <c r="G1225" t="s">
        <v>2751</v>
      </c>
      <c r="H1225" t="s">
        <v>3641</v>
      </c>
      <c r="I1225" s="13">
        <v>44490</v>
      </c>
      <c r="J1225">
        <v>2</v>
      </c>
      <c r="K1225" t="s">
        <v>177</v>
      </c>
      <c r="L1225" t="s">
        <v>164</v>
      </c>
      <c r="M1225" t="s">
        <v>207</v>
      </c>
      <c r="N1225" t="s">
        <v>2752</v>
      </c>
      <c r="O1225">
        <v>1</v>
      </c>
      <c r="P1225">
        <v>1.88</v>
      </c>
    </row>
    <row r="1226" spans="4:16" hidden="1" x14ac:dyDescent="0.25">
      <c r="D1226" t="s">
        <v>2753</v>
      </c>
      <c r="E1226" t="s">
        <v>135</v>
      </c>
      <c r="F1226" t="s">
        <v>379</v>
      </c>
      <c r="G1226" t="s">
        <v>782</v>
      </c>
      <c r="H1226" t="s">
        <v>3641</v>
      </c>
      <c r="I1226" s="13">
        <v>44488</v>
      </c>
      <c r="J1226">
        <v>2</v>
      </c>
      <c r="K1226" t="s">
        <v>177</v>
      </c>
      <c r="L1226" t="s">
        <v>139</v>
      </c>
      <c r="M1226" t="s">
        <v>165</v>
      </c>
      <c r="N1226" t="s">
        <v>2754</v>
      </c>
      <c r="O1226">
        <v>1</v>
      </c>
      <c r="P1226">
        <v>1.88</v>
      </c>
    </row>
    <row r="1227" spans="4:16" x14ac:dyDescent="0.25">
      <c r="D1227" t="s">
        <v>2755</v>
      </c>
      <c r="E1227" t="s">
        <v>135</v>
      </c>
      <c r="F1227" t="s">
        <v>2464</v>
      </c>
      <c r="G1227" t="s">
        <v>2406</v>
      </c>
      <c r="H1227" t="s">
        <v>1218</v>
      </c>
      <c r="I1227" s="13">
        <v>44491</v>
      </c>
      <c r="J1227">
        <v>2</v>
      </c>
      <c r="K1227" t="s">
        <v>177</v>
      </c>
      <c r="L1227" t="s">
        <v>139</v>
      </c>
      <c r="M1227" t="s">
        <v>856</v>
      </c>
      <c r="N1227" t="s">
        <v>2756</v>
      </c>
      <c r="O1227">
        <v>1</v>
      </c>
      <c r="P1227">
        <v>1.87</v>
      </c>
    </row>
    <row r="1228" spans="4:16" x14ac:dyDescent="0.25">
      <c r="D1228" t="s">
        <v>2757</v>
      </c>
      <c r="E1228" t="s">
        <v>135</v>
      </c>
      <c r="F1228" t="s">
        <v>379</v>
      </c>
      <c r="G1228" t="s">
        <v>782</v>
      </c>
      <c r="H1228" t="s">
        <v>1218</v>
      </c>
      <c r="I1228" s="13">
        <v>44497</v>
      </c>
      <c r="J1228">
        <v>2</v>
      </c>
      <c r="K1228" t="s">
        <v>177</v>
      </c>
      <c r="L1228" t="s">
        <v>139</v>
      </c>
      <c r="M1228" t="s">
        <v>982</v>
      </c>
      <c r="N1228" t="s">
        <v>2758</v>
      </c>
      <c r="O1228">
        <v>1</v>
      </c>
      <c r="P1228">
        <v>1.86</v>
      </c>
    </row>
    <row r="1229" spans="4:16" x14ac:dyDescent="0.25">
      <c r="D1229" t="s">
        <v>2759</v>
      </c>
      <c r="E1229" t="s">
        <v>135</v>
      </c>
      <c r="F1229" t="s">
        <v>379</v>
      </c>
      <c r="G1229" t="s">
        <v>2748</v>
      </c>
      <c r="H1229" t="s">
        <v>1218</v>
      </c>
      <c r="I1229" s="13">
        <v>44515</v>
      </c>
      <c r="J1229">
        <v>2</v>
      </c>
      <c r="K1229" t="s">
        <v>177</v>
      </c>
      <c r="L1229" t="s">
        <v>139</v>
      </c>
      <c r="M1229" t="s">
        <v>352</v>
      </c>
      <c r="N1229" t="s">
        <v>2760</v>
      </c>
      <c r="O1229">
        <v>1</v>
      </c>
      <c r="P1229">
        <v>1.81</v>
      </c>
    </row>
    <row r="1230" spans="4:16" x14ac:dyDescent="0.25">
      <c r="D1230" t="s">
        <v>2761</v>
      </c>
      <c r="E1230" t="s">
        <v>135</v>
      </c>
      <c r="F1230" t="s">
        <v>379</v>
      </c>
      <c r="G1230" t="s">
        <v>2748</v>
      </c>
      <c r="H1230" t="s">
        <v>1218</v>
      </c>
      <c r="I1230" s="13">
        <v>44515</v>
      </c>
      <c r="J1230">
        <v>2</v>
      </c>
      <c r="K1230" t="s">
        <v>177</v>
      </c>
      <c r="L1230" t="s">
        <v>139</v>
      </c>
      <c r="M1230" t="s">
        <v>352</v>
      </c>
      <c r="N1230" t="s">
        <v>2762</v>
      </c>
      <c r="O1230">
        <v>1</v>
      </c>
      <c r="P1230">
        <v>1.81</v>
      </c>
    </row>
    <row r="1231" spans="4:16" x14ac:dyDescent="0.25">
      <c r="D1231" t="s">
        <v>2763</v>
      </c>
      <c r="E1231" t="s">
        <v>135</v>
      </c>
      <c r="F1231" t="s">
        <v>379</v>
      </c>
      <c r="G1231" t="s">
        <v>2748</v>
      </c>
      <c r="H1231" t="s">
        <v>1218</v>
      </c>
      <c r="I1231" s="13">
        <v>44515</v>
      </c>
      <c r="J1231">
        <v>2</v>
      </c>
      <c r="K1231" t="s">
        <v>177</v>
      </c>
      <c r="L1231" t="s">
        <v>139</v>
      </c>
      <c r="M1231" t="s">
        <v>352</v>
      </c>
      <c r="N1231" t="s">
        <v>2764</v>
      </c>
      <c r="O1231">
        <v>1</v>
      </c>
      <c r="P1231">
        <v>1.81</v>
      </c>
    </row>
    <row r="1232" spans="4:16" x14ac:dyDescent="0.25">
      <c r="D1232" t="s">
        <v>2765</v>
      </c>
      <c r="E1232" t="s">
        <v>135</v>
      </c>
      <c r="F1232" t="s">
        <v>379</v>
      </c>
      <c r="G1232" t="s">
        <v>2766</v>
      </c>
      <c r="H1232" t="s">
        <v>1218</v>
      </c>
      <c r="I1232" s="13">
        <v>44523</v>
      </c>
      <c r="J1232">
        <v>2</v>
      </c>
      <c r="K1232" t="s">
        <v>177</v>
      </c>
      <c r="L1232" t="s">
        <v>139</v>
      </c>
      <c r="M1232" t="s">
        <v>146</v>
      </c>
      <c r="N1232" t="s">
        <v>2767</v>
      </c>
      <c r="O1232">
        <v>1</v>
      </c>
      <c r="P1232">
        <v>1.79</v>
      </c>
    </row>
    <row r="1233" spans="4:16" hidden="1" x14ac:dyDescent="0.25">
      <c r="D1233" t="s">
        <v>2768</v>
      </c>
      <c r="E1233" t="s">
        <v>135</v>
      </c>
      <c r="F1233" t="s">
        <v>379</v>
      </c>
      <c r="G1233" t="s">
        <v>2769</v>
      </c>
      <c r="H1233" t="s">
        <v>3641</v>
      </c>
      <c r="I1233" s="13">
        <v>44545</v>
      </c>
      <c r="J1233">
        <v>2</v>
      </c>
      <c r="K1233" t="s">
        <v>177</v>
      </c>
      <c r="L1233" t="s">
        <v>139</v>
      </c>
      <c r="M1233" t="s">
        <v>160</v>
      </c>
      <c r="N1233" t="s">
        <v>2770</v>
      </c>
      <c r="O1233">
        <v>1</v>
      </c>
      <c r="P1233">
        <v>1.73</v>
      </c>
    </row>
    <row r="1234" spans="4:16" hidden="1" x14ac:dyDescent="0.25">
      <c r="D1234" t="s">
        <v>2771</v>
      </c>
      <c r="E1234" t="s">
        <v>135</v>
      </c>
      <c r="F1234" t="s">
        <v>379</v>
      </c>
      <c r="G1234" t="s">
        <v>782</v>
      </c>
      <c r="H1234" t="s">
        <v>3641</v>
      </c>
      <c r="I1234" s="13">
        <v>44545</v>
      </c>
      <c r="J1234">
        <v>2</v>
      </c>
      <c r="K1234" t="s">
        <v>177</v>
      </c>
      <c r="L1234" t="s">
        <v>139</v>
      </c>
      <c r="M1234" t="s">
        <v>154</v>
      </c>
      <c r="N1234" t="s">
        <v>2772</v>
      </c>
      <c r="O1234">
        <v>1</v>
      </c>
      <c r="P1234">
        <v>1.73</v>
      </c>
    </row>
    <row r="1235" spans="4:16" hidden="1" x14ac:dyDescent="0.25">
      <c r="D1235" t="s">
        <v>2773</v>
      </c>
      <c r="E1235" t="s">
        <v>135</v>
      </c>
      <c r="F1235" t="s">
        <v>379</v>
      </c>
      <c r="G1235" t="s">
        <v>782</v>
      </c>
      <c r="H1235" t="s">
        <v>3641</v>
      </c>
      <c r="I1235" s="13">
        <v>44545</v>
      </c>
      <c r="J1235">
        <v>2</v>
      </c>
      <c r="K1235" t="s">
        <v>177</v>
      </c>
      <c r="L1235" t="s">
        <v>139</v>
      </c>
      <c r="M1235" t="s">
        <v>170</v>
      </c>
      <c r="N1235" t="s">
        <v>2774</v>
      </c>
      <c r="O1235">
        <v>1</v>
      </c>
      <c r="P1235">
        <v>1.73</v>
      </c>
    </row>
    <row r="1236" spans="4:16" hidden="1" x14ac:dyDescent="0.25">
      <c r="D1236" t="s">
        <v>2775</v>
      </c>
      <c r="E1236" t="s">
        <v>135</v>
      </c>
      <c r="F1236" t="s">
        <v>2002</v>
      </c>
      <c r="G1236" t="s">
        <v>2776</v>
      </c>
      <c r="H1236" t="s">
        <v>3641</v>
      </c>
      <c r="I1236" s="13">
        <v>44545</v>
      </c>
      <c r="J1236">
        <v>2</v>
      </c>
      <c r="K1236" t="s">
        <v>177</v>
      </c>
      <c r="L1236" t="s">
        <v>139</v>
      </c>
      <c r="M1236" t="s">
        <v>712</v>
      </c>
      <c r="N1236" t="s">
        <v>2777</v>
      </c>
      <c r="O1236">
        <v>1</v>
      </c>
      <c r="P1236">
        <v>1.73</v>
      </c>
    </row>
    <row r="1237" spans="4:16" hidden="1" x14ac:dyDescent="0.25">
      <c r="D1237" t="s">
        <v>2778</v>
      </c>
      <c r="E1237" t="s">
        <v>135</v>
      </c>
      <c r="F1237" t="s">
        <v>379</v>
      </c>
      <c r="G1237" t="s">
        <v>782</v>
      </c>
      <c r="H1237" t="s">
        <v>3641</v>
      </c>
      <c r="I1237" s="13">
        <v>44550</v>
      </c>
      <c r="J1237">
        <v>2</v>
      </c>
      <c r="K1237" t="s">
        <v>177</v>
      </c>
      <c r="L1237" t="s">
        <v>139</v>
      </c>
      <c r="M1237" t="s">
        <v>151</v>
      </c>
      <c r="N1237" t="s">
        <v>2779</v>
      </c>
      <c r="O1237">
        <v>1</v>
      </c>
      <c r="P1237">
        <v>1.71</v>
      </c>
    </row>
    <row r="1238" spans="4:16" hidden="1" x14ac:dyDescent="0.25">
      <c r="D1238" t="s">
        <v>2780</v>
      </c>
      <c r="E1238" t="s">
        <v>135</v>
      </c>
      <c r="F1238" t="s">
        <v>379</v>
      </c>
      <c r="G1238" t="s">
        <v>2769</v>
      </c>
      <c r="H1238" t="s">
        <v>3641</v>
      </c>
      <c r="I1238" s="13">
        <v>44586</v>
      </c>
      <c r="J1238">
        <v>2</v>
      </c>
      <c r="K1238" t="s">
        <v>177</v>
      </c>
      <c r="L1238" t="s">
        <v>139</v>
      </c>
      <c r="M1238" t="s">
        <v>193</v>
      </c>
      <c r="N1238" t="s">
        <v>2781</v>
      </c>
      <c r="O1238">
        <v>1</v>
      </c>
      <c r="P1238">
        <v>1.61</v>
      </c>
    </row>
    <row r="1239" spans="4:16" x14ac:dyDescent="0.25">
      <c r="D1239" t="s">
        <v>2782</v>
      </c>
      <c r="E1239" t="s">
        <v>135</v>
      </c>
      <c r="F1239" t="s">
        <v>1679</v>
      </c>
      <c r="G1239" t="s">
        <v>1899</v>
      </c>
      <c r="H1239" t="s">
        <v>1218</v>
      </c>
      <c r="I1239" s="13">
        <v>44636</v>
      </c>
      <c r="J1239">
        <v>1</v>
      </c>
      <c r="K1239" t="s">
        <v>177</v>
      </c>
      <c r="L1239" t="s">
        <v>139</v>
      </c>
      <c r="M1239" t="s">
        <v>452</v>
      </c>
      <c r="N1239" t="s">
        <v>2783</v>
      </c>
      <c r="O1239">
        <v>1</v>
      </c>
      <c r="P1239">
        <v>1.48</v>
      </c>
    </row>
    <row r="1240" spans="4:16" x14ac:dyDescent="0.25">
      <c r="D1240" t="s">
        <v>2784</v>
      </c>
      <c r="E1240" t="s">
        <v>135</v>
      </c>
      <c r="F1240" t="s">
        <v>667</v>
      </c>
      <c r="G1240" t="s">
        <v>2186</v>
      </c>
      <c r="H1240" t="s">
        <v>1218</v>
      </c>
      <c r="I1240" s="13">
        <v>44747</v>
      </c>
      <c r="J1240">
        <v>1</v>
      </c>
      <c r="K1240" t="s">
        <v>177</v>
      </c>
      <c r="L1240" t="s">
        <v>139</v>
      </c>
      <c r="M1240" t="s">
        <v>509</v>
      </c>
      <c r="N1240" t="s">
        <v>2785</v>
      </c>
      <c r="O1240">
        <v>1</v>
      </c>
      <c r="P1240">
        <v>1.17</v>
      </c>
    </row>
    <row r="1241" spans="4:16" hidden="1" x14ac:dyDescent="0.25">
      <c r="D1241" t="s">
        <v>2786</v>
      </c>
      <c r="E1241" t="s">
        <v>135</v>
      </c>
      <c r="F1241" t="s">
        <v>379</v>
      </c>
      <c r="G1241" t="s">
        <v>2787</v>
      </c>
      <c r="H1241" t="s">
        <v>3641</v>
      </c>
      <c r="I1241" s="13">
        <v>44760</v>
      </c>
      <c r="J1241">
        <v>1</v>
      </c>
      <c r="K1241" t="s">
        <v>177</v>
      </c>
      <c r="L1241" t="s">
        <v>139</v>
      </c>
      <c r="M1241" t="s">
        <v>421</v>
      </c>
      <c r="N1241" t="s">
        <v>2788</v>
      </c>
      <c r="O1241">
        <v>1</v>
      </c>
      <c r="P1241">
        <v>1.1399999999999999</v>
      </c>
    </row>
    <row r="1242" spans="4:16" hidden="1" x14ac:dyDescent="0.25">
      <c r="D1242" t="s">
        <v>2789</v>
      </c>
      <c r="E1242" t="s">
        <v>135</v>
      </c>
      <c r="F1242" t="s">
        <v>379</v>
      </c>
      <c r="G1242" t="s">
        <v>2787</v>
      </c>
      <c r="H1242" t="s">
        <v>3641</v>
      </c>
      <c r="I1242" s="13">
        <v>44760</v>
      </c>
      <c r="J1242">
        <v>1</v>
      </c>
      <c r="K1242" t="s">
        <v>177</v>
      </c>
      <c r="L1242" t="s">
        <v>139</v>
      </c>
      <c r="M1242" t="s">
        <v>421</v>
      </c>
      <c r="N1242" t="s">
        <v>2790</v>
      </c>
      <c r="O1242">
        <v>1</v>
      </c>
      <c r="P1242">
        <v>1.1399999999999999</v>
      </c>
    </row>
    <row r="1243" spans="4:16" hidden="1" x14ac:dyDescent="0.25">
      <c r="D1243" t="s">
        <v>2791</v>
      </c>
      <c r="E1243" t="s">
        <v>135</v>
      </c>
      <c r="F1243" t="s">
        <v>379</v>
      </c>
      <c r="G1243" t="s">
        <v>2787</v>
      </c>
      <c r="H1243" t="s">
        <v>3641</v>
      </c>
      <c r="I1243" s="13">
        <v>44760</v>
      </c>
      <c r="J1243">
        <v>1</v>
      </c>
      <c r="K1243" t="s">
        <v>177</v>
      </c>
      <c r="L1243" t="s">
        <v>139</v>
      </c>
      <c r="M1243" t="s">
        <v>352</v>
      </c>
      <c r="N1243" t="s">
        <v>2792</v>
      </c>
      <c r="O1243">
        <v>1</v>
      </c>
      <c r="P1243">
        <v>1.1399999999999999</v>
      </c>
    </row>
    <row r="1244" spans="4:16" hidden="1" x14ac:dyDescent="0.25">
      <c r="D1244" t="s">
        <v>2793</v>
      </c>
      <c r="E1244" t="s">
        <v>135</v>
      </c>
      <c r="F1244" t="s">
        <v>379</v>
      </c>
      <c r="G1244" t="s">
        <v>2787</v>
      </c>
      <c r="H1244" t="s">
        <v>3641</v>
      </c>
      <c r="I1244" s="13">
        <v>44764</v>
      </c>
      <c r="J1244">
        <v>1</v>
      </c>
      <c r="K1244" t="s">
        <v>177</v>
      </c>
      <c r="L1244" t="s">
        <v>139</v>
      </c>
      <c r="M1244" t="s">
        <v>352</v>
      </c>
      <c r="N1244" t="s">
        <v>2794</v>
      </c>
      <c r="O1244">
        <v>1</v>
      </c>
      <c r="P1244">
        <v>1.1299999999999999</v>
      </c>
    </row>
    <row r="1245" spans="4:16" hidden="1" x14ac:dyDescent="0.25">
      <c r="D1245" t="s">
        <v>2795</v>
      </c>
      <c r="E1245" t="s">
        <v>135</v>
      </c>
      <c r="F1245" t="s">
        <v>379</v>
      </c>
      <c r="G1245" t="s">
        <v>2787</v>
      </c>
      <c r="H1245" t="s">
        <v>3641</v>
      </c>
      <c r="I1245" s="13">
        <v>44770</v>
      </c>
      <c r="J1245">
        <v>1</v>
      </c>
      <c r="K1245" t="s">
        <v>177</v>
      </c>
      <c r="L1245" t="s">
        <v>139</v>
      </c>
      <c r="M1245" t="s">
        <v>227</v>
      </c>
      <c r="N1245" t="s">
        <v>2796</v>
      </c>
      <c r="O1245">
        <v>1</v>
      </c>
      <c r="P1245">
        <v>1.1100000000000001</v>
      </c>
    </row>
    <row r="1246" spans="4:16" hidden="1" x14ac:dyDescent="0.25">
      <c r="D1246" t="s">
        <v>2797</v>
      </c>
      <c r="E1246" t="s">
        <v>135</v>
      </c>
      <c r="F1246" t="s">
        <v>379</v>
      </c>
      <c r="G1246" t="s">
        <v>2787</v>
      </c>
      <c r="H1246" t="s">
        <v>3641</v>
      </c>
      <c r="I1246" s="13">
        <v>44770</v>
      </c>
      <c r="J1246">
        <v>1</v>
      </c>
      <c r="K1246" t="s">
        <v>177</v>
      </c>
      <c r="L1246" t="s">
        <v>139</v>
      </c>
      <c r="M1246" t="s">
        <v>372</v>
      </c>
      <c r="N1246" t="s">
        <v>2798</v>
      </c>
      <c r="O1246">
        <v>1</v>
      </c>
      <c r="P1246">
        <v>1.1100000000000001</v>
      </c>
    </row>
    <row r="1247" spans="4:16" hidden="1" x14ac:dyDescent="0.25">
      <c r="D1247" t="s">
        <v>2799</v>
      </c>
      <c r="E1247" t="s">
        <v>135</v>
      </c>
      <c r="F1247" t="s">
        <v>379</v>
      </c>
      <c r="G1247" t="s">
        <v>2787</v>
      </c>
      <c r="H1247" t="s">
        <v>3641</v>
      </c>
      <c r="I1247" s="13">
        <v>44776</v>
      </c>
      <c r="J1247">
        <v>1</v>
      </c>
      <c r="K1247" t="s">
        <v>177</v>
      </c>
      <c r="L1247" t="s">
        <v>139</v>
      </c>
      <c r="M1247" t="s">
        <v>372</v>
      </c>
      <c r="N1247" t="s">
        <v>2800</v>
      </c>
      <c r="O1247">
        <v>1</v>
      </c>
      <c r="P1247">
        <v>1.0900000000000001</v>
      </c>
    </row>
    <row r="1248" spans="4:16" hidden="1" x14ac:dyDescent="0.25">
      <c r="D1248" t="s">
        <v>2801</v>
      </c>
      <c r="E1248" t="s">
        <v>135</v>
      </c>
      <c r="F1248" t="s">
        <v>379</v>
      </c>
      <c r="G1248" t="s">
        <v>2787</v>
      </c>
      <c r="H1248" t="s">
        <v>3641</v>
      </c>
      <c r="I1248" s="13">
        <v>44784</v>
      </c>
      <c r="J1248">
        <v>1</v>
      </c>
      <c r="K1248" t="s">
        <v>177</v>
      </c>
      <c r="L1248" t="s">
        <v>139</v>
      </c>
      <c r="M1248" t="s">
        <v>372</v>
      </c>
      <c r="N1248" t="s">
        <v>2802</v>
      </c>
      <c r="O1248">
        <v>1</v>
      </c>
      <c r="P1248">
        <v>1.07</v>
      </c>
    </row>
    <row r="1249" spans="4:16" hidden="1" x14ac:dyDescent="0.25">
      <c r="D1249" t="s">
        <v>2803</v>
      </c>
      <c r="E1249" t="s">
        <v>135</v>
      </c>
      <c r="F1249" t="s">
        <v>379</v>
      </c>
      <c r="G1249" t="s">
        <v>2787</v>
      </c>
      <c r="H1249" t="s">
        <v>3641</v>
      </c>
      <c r="I1249" s="13">
        <v>44784</v>
      </c>
      <c r="J1249">
        <v>1</v>
      </c>
      <c r="K1249" t="s">
        <v>177</v>
      </c>
      <c r="L1249" t="s">
        <v>139</v>
      </c>
      <c r="M1249" t="s">
        <v>284</v>
      </c>
      <c r="N1249" t="s">
        <v>2804</v>
      </c>
      <c r="O1249">
        <v>1</v>
      </c>
      <c r="P1249">
        <v>1.07</v>
      </c>
    </row>
    <row r="1250" spans="4:16" hidden="1" x14ac:dyDescent="0.25">
      <c r="D1250" t="s">
        <v>2805</v>
      </c>
      <c r="E1250" t="s">
        <v>135</v>
      </c>
      <c r="F1250" t="s">
        <v>379</v>
      </c>
      <c r="G1250" t="s">
        <v>2806</v>
      </c>
      <c r="H1250" t="s">
        <v>3641</v>
      </c>
      <c r="I1250" s="13">
        <v>44790</v>
      </c>
      <c r="J1250">
        <v>1</v>
      </c>
      <c r="K1250" t="s">
        <v>177</v>
      </c>
      <c r="L1250" t="s">
        <v>139</v>
      </c>
      <c r="M1250" t="s">
        <v>386</v>
      </c>
      <c r="N1250" t="s">
        <v>2807</v>
      </c>
      <c r="O1250">
        <v>1</v>
      </c>
      <c r="P1250">
        <v>1.06</v>
      </c>
    </row>
    <row r="1251" spans="4:16" hidden="1" x14ac:dyDescent="0.25">
      <c r="D1251" t="s">
        <v>2808</v>
      </c>
      <c r="E1251" t="s">
        <v>135</v>
      </c>
      <c r="F1251" t="s">
        <v>379</v>
      </c>
      <c r="G1251" t="s">
        <v>2806</v>
      </c>
      <c r="H1251" t="s">
        <v>3641</v>
      </c>
      <c r="I1251" s="13">
        <v>44790</v>
      </c>
      <c r="J1251">
        <v>1</v>
      </c>
      <c r="K1251" t="s">
        <v>177</v>
      </c>
      <c r="L1251" t="s">
        <v>139</v>
      </c>
      <c r="M1251" t="s">
        <v>146</v>
      </c>
      <c r="N1251" t="s">
        <v>2809</v>
      </c>
      <c r="O1251">
        <v>1</v>
      </c>
      <c r="P1251">
        <v>1.06</v>
      </c>
    </row>
    <row r="1252" spans="4:16" hidden="1" x14ac:dyDescent="0.25">
      <c r="D1252" t="s">
        <v>2810</v>
      </c>
      <c r="E1252" t="s">
        <v>135</v>
      </c>
      <c r="F1252" t="s">
        <v>379</v>
      </c>
      <c r="G1252" t="s">
        <v>2806</v>
      </c>
      <c r="H1252" t="s">
        <v>3641</v>
      </c>
      <c r="I1252" s="13">
        <v>44790</v>
      </c>
      <c r="J1252">
        <v>1</v>
      </c>
      <c r="K1252" t="s">
        <v>177</v>
      </c>
      <c r="L1252" t="s">
        <v>139</v>
      </c>
      <c r="M1252" t="s">
        <v>372</v>
      </c>
      <c r="N1252" t="s">
        <v>2811</v>
      </c>
      <c r="O1252">
        <v>1</v>
      </c>
      <c r="P1252">
        <v>1.06</v>
      </c>
    </row>
    <row r="1253" spans="4:16" hidden="1" x14ac:dyDescent="0.25">
      <c r="D1253" t="s">
        <v>2812</v>
      </c>
      <c r="E1253" t="s">
        <v>135</v>
      </c>
      <c r="F1253" t="s">
        <v>379</v>
      </c>
      <c r="G1253" t="s">
        <v>2806</v>
      </c>
      <c r="H1253" t="s">
        <v>3641</v>
      </c>
      <c r="I1253" s="13">
        <v>44790</v>
      </c>
      <c r="J1253">
        <v>1</v>
      </c>
      <c r="K1253" t="s">
        <v>177</v>
      </c>
      <c r="L1253" t="s">
        <v>139</v>
      </c>
      <c r="M1253" t="s">
        <v>386</v>
      </c>
      <c r="N1253" t="s">
        <v>2813</v>
      </c>
      <c r="O1253">
        <v>1</v>
      </c>
      <c r="P1253">
        <v>1.06</v>
      </c>
    </row>
    <row r="1254" spans="4:16" hidden="1" x14ac:dyDescent="0.25">
      <c r="D1254" t="s">
        <v>2814</v>
      </c>
      <c r="E1254" t="s">
        <v>135</v>
      </c>
      <c r="F1254" t="s">
        <v>379</v>
      </c>
      <c r="G1254" t="s">
        <v>2806</v>
      </c>
      <c r="H1254" t="s">
        <v>3641</v>
      </c>
      <c r="I1254" s="13">
        <v>44790</v>
      </c>
      <c r="J1254">
        <v>1</v>
      </c>
      <c r="K1254" t="s">
        <v>177</v>
      </c>
      <c r="L1254" t="s">
        <v>139</v>
      </c>
      <c r="M1254" t="s">
        <v>372</v>
      </c>
      <c r="N1254" t="s">
        <v>2815</v>
      </c>
      <c r="O1254">
        <v>1</v>
      </c>
      <c r="P1254">
        <v>1.06</v>
      </c>
    </row>
    <row r="1255" spans="4:16" hidden="1" x14ac:dyDescent="0.25">
      <c r="D1255" t="s">
        <v>2816</v>
      </c>
      <c r="E1255" t="s">
        <v>135</v>
      </c>
      <c r="F1255" t="s">
        <v>379</v>
      </c>
      <c r="G1255" t="s">
        <v>2806</v>
      </c>
      <c r="H1255" t="s">
        <v>3641</v>
      </c>
      <c r="I1255" s="13">
        <v>44790</v>
      </c>
      <c r="J1255">
        <v>1</v>
      </c>
      <c r="K1255" t="s">
        <v>177</v>
      </c>
      <c r="L1255" t="s">
        <v>139</v>
      </c>
      <c r="M1255" t="s">
        <v>386</v>
      </c>
      <c r="N1255" t="s">
        <v>2817</v>
      </c>
      <c r="O1255">
        <v>1</v>
      </c>
      <c r="P1255">
        <v>1.06</v>
      </c>
    </row>
    <row r="1256" spans="4:16" hidden="1" x14ac:dyDescent="0.25">
      <c r="D1256" t="s">
        <v>2818</v>
      </c>
      <c r="E1256" t="s">
        <v>135</v>
      </c>
      <c r="F1256" t="s">
        <v>379</v>
      </c>
      <c r="G1256" t="s">
        <v>2787</v>
      </c>
      <c r="H1256" t="s">
        <v>3641</v>
      </c>
      <c r="I1256" s="13">
        <v>44790</v>
      </c>
      <c r="J1256">
        <v>1</v>
      </c>
      <c r="K1256" t="s">
        <v>177</v>
      </c>
      <c r="L1256" t="s">
        <v>139</v>
      </c>
      <c r="M1256" t="s">
        <v>386</v>
      </c>
      <c r="N1256" t="s">
        <v>2819</v>
      </c>
      <c r="O1256">
        <v>1</v>
      </c>
      <c r="P1256">
        <v>1.06</v>
      </c>
    </row>
    <row r="1257" spans="4:16" hidden="1" x14ac:dyDescent="0.25">
      <c r="D1257" t="s">
        <v>2820</v>
      </c>
      <c r="E1257" t="s">
        <v>135</v>
      </c>
      <c r="F1257" t="s">
        <v>379</v>
      </c>
      <c r="G1257" t="s">
        <v>2787</v>
      </c>
      <c r="H1257" t="s">
        <v>3641</v>
      </c>
      <c r="I1257" s="13">
        <v>44795</v>
      </c>
      <c r="J1257">
        <v>1</v>
      </c>
      <c r="K1257" t="s">
        <v>177</v>
      </c>
      <c r="L1257" t="s">
        <v>139</v>
      </c>
      <c r="M1257" t="s">
        <v>372</v>
      </c>
      <c r="N1257" t="s">
        <v>2821</v>
      </c>
      <c r="O1257">
        <v>1</v>
      </c>
      <c r="P1257">
        <v>1.04</v>
      </c>
    </row>
    <row r="1258" spans="4:16" hidden="1" x14ac:dyDescent="0.25">
      <c r="D1258" t="s">
        <v>2822</v>
      </c>
      <c r="E1258" t="s">
        <v>135</v>
      </c>
      <c r="F1258" t="s">
        <v>379</v>
      </c>
      <c r="G1258" t="s">
        <v>2787</v>
      </c>
      <c r="H1258" t="s">
        <v>3641</v>
      </c>
      <c r="I1258" s="13">
        <v>44812</v>
      </c>
      <c r="J1258">
        <v>1</v>
      </c>
      <c r="K1258" t="s">
        <v>177</v>
      </c>
      <c r="L1258" t="s">
        <v>139</v>
      </c>
      <c r="M1258" t="s">
        <v>372</v>
      </c>
      <c r="N1258" t="s">
        <v>2823</v>
      </c>
      <c r="O1258">
        <v>1</v>
      </c>
      <c r="P1258">
        <v>1</v>
      </c>
    </row>
    <row r="1259" spans="4:16" hidden="1" x14ac:dyDescent="0.25">
      <c r="D1259" t="s">
        <v>2824</v>
      </c>
      <c r="E1259" t="s">
        <v>135</v>
      </c>
      <c r="F1259" t="s">
        <v>379</v>
      </c>
      <c r="G1259" t="s">
        <v>2787</v>
      </c>
      <c r="H1259" t="s">
        <v>3641</v>
      </c>
      <c r="I1259" s="13">
        <v>44812</v>
      </c>
      <c r="J1259">
        <v>1</v>
      </c>
      <c r="K1259" t="s">
        <v>177</v>
      </c>
      <c r="L1259" t="s">
        <v>139</v>
      </c>
      <c r="M1259" t="s">
        <v>372</v>
      </c>
      <c r="N1259" t="s">
        <v>2825</v>
      </c>
      <c r="O1259">
        <v>1</v>
      </c>
      <c r="P1259">
        <v>1</v>
      </c>
    </row>
    <row r="1260" spans="4:16" hidden="1" x14ac:dyDescent="0.25">
      <c r="D1260" t="s">
        <v>2826</v>
      </c>
      <c r="E1260" t="s">
        <v>135</v>
      </c>
      <c r="F1260" t="s">
        <v>379</v>
      </c>
      <c r="G1260" t="s">
        <v>2787</v>
      </c>
      <c r="H1260" t="s">
        <v>3641</v>
      </c>
      <c r="I1260" s="13">
        <v>44812</v>
      </c>
      <c r="J1260">
        <v>1</v>
      </c>
      <c r="K1260" t="s">
        <v>177</v>
      </c>
      <c r="L1260" t="s">
        <v>139</v>
      </c>
      <c r="M1260" t="s">
        <v>372</v>
      </c>
      <c r="N1260" t="s">
        <v>2827</v>
      </c>
      <c r="O1260">
        <v>1</v>
      </c>
      <c r="P1260">
        <v>1</v>
      </c>
    </row>
    <row r="1261" spans="4:16" hidden="1" x14ac:dyDescent="0.25">
      <c r="D1261" t="s">
        <v>2828</v>
      </c>
      <c r="E1261" t="s">
        <v>135</v>
      </c>
      <c r="F1261" t="s">
        <v>379</v>
      </c>
      <c r="G1261" t="s">
        <v>379</v>
      </c>
      <c r="H1261" t="s">
        <v>3641</v>
      </c>
      <c r="I1261" s="13">
        <v>44824</v>
      </c>
      <c r="J1261">
        <v>1</v>
      </c>
      <c r="K1261" t="s">
        <v>177</v>
      </c>
      <c r="L1261" t="s">
        <v>139</v>
      </c>
      <c r="M1261" t="s">
        <v>372</v>
      </c>
      <c r="N1261" t="s">
        <v>2829</v>
      </c>
      <c r="O1261">
        <v>1</v>
      </c>
      <c r="P1261">
        <v>0.96</v>
      </c>
    </row>
    <row r="1262" spans="4:16" hidden="1" x14ac:dyDescent="0.25">
      <c r="D1262" t="s">
        <v>2830</v>
      </c>
      <c r="E1262" t="s">
        <v>135</v>
      </c>
      <c r="F1262" t="s">
        <v>379</v>
      </c>
      <c r="G1262" t="s">
        <v>2787</v>
      </c>
      <c r="H1262" t="s">
        <v>3641</v>
      </c>
      <c r="I1262" s="13">
        <v>44824</v>
      </c>
      <c r="J1262">
        <v>1</v>
      </c>
      <c r="K1262" t="s">
        <v>177</v>
      </c>
      <c r="L1262" t="s">
        <v>139</v>
      </c>
      <c r="M1262" t="s">
        <v>372</v>
      </c>
      <c r="N1262" t="s">
        <v>2831</v>
      </c>
      <c r="O1262">
        <v>1</v>
      </c>
      <c r="P1262">
        <v>0.96</v>
      </c>
    </row>
    <row r="1263" spans="4:16" x14ac:dyDescent="0.25">
      <c r="D1263" t="s">
        <v>2832</v>
      </c>
      <c r="E1263" t="s">
        <v>135</v>
      </c>
      <c r="F1263" t="s">
        <v>1636</v>
      </c>
      <c r="G1263" t="s">
        <v>2406</v>
      </c>
      <c r="H1263" t="s">
        <v>1218</v>
      </c>
      <c r="I1263" s="13">
        <v>44831</v>
      </c>
      <c r="J1263">
        <v>1</v>
      </c>
      <c r="K1263" t="s">
        <v>177</v>
      </c>
      <c r="L1263" t="s">
        <v>139</v>
      </c>
      <c r="M1263" t="s">
        <v>355</v>
      </c>
      <c r="N1263" t="s">
        <v>2833</v>
      </c>
      <c r="O1263">
        <v>1</v>
      </c>
      <c r="P1263">
        <v>0.94</v>
      </c>
    </row>
    <row r="1264" spans="4:16" x14ac:dyDescent="0.25">
      <c r="D1264" t="s">
        <v>2834</v>
      </c>
      <c r="E1264" t="s">
        <v>135</v>
      </c>
      <c r="F1264" t="s">
        <v>379</v>
      </c>
      <c r="G1264" t="s">
        <v>2678</v>
      </c>
      <c r="H1264" t="s">
        <v>1218</v>
      </c>
      <c r="I1264" s="13">
        <v>44831</v>
      </c>
      <c r="J1264">
        <v>1</v>
      </c>
      <c r="K1264" t="s">
        <v>177</v>
      </c>
      <c r="L1264" t="s">
        <v>139</v>
      </c>
      <c r="M1264" t="s">
        <v>230</v>
      </c>
      <c r="N1264" t="s">
        <v>2835</v>
      </c>
      <c r="O1264">
        <v>1</v>
      </c>
      <c r="P1264">
        <v>0.94</v>
      </c>
    </row>
    <row r="1265" spans="4:16" hidden="1" x14ac:dyDescent="0.25">
      <c r="D1265" t="s">
        <v>2836</v>
      </c>
      <c r="E1265" t="s">
        <v>135</v>
      </c>
      <c r="F1265" t="s">
        <v>379</v>
      </c>
      <c r="G1265" t="s">
        <v>2787</v>
      </c>
      <c r="H1265" t="s">
        <v>3641</v>
      </c>
      <c r="I1265" s="13">
        <v>44840</v>
      </c>
      <c r="J1265">
        <v>1</v>
      </c>
      <c r="K1265" t="s">
        <v>177</v>
      </c>
      <c r="L1265" t="s">
        <v>139</v>
      </c>
      <c r="M1265" t="s">
        <v>421</v>
      </c>
      <c r="N1265" t="s">
        <v>2837</v>
      </c>
      <c r="O1265">
        <v>1</v>
      </c>
      <c r="P1265">
        <v>0.92</v>
      </c>
    </row>
    <row r="1266" spans="4:16" hidden="1" x14ac:dyDescent="0.25">
      <c r="D1266" t="s">
        <v>2838</v>
      </c>
      <c r="E1266" t="s">
        <v>135</v>
      </c>
      <c r="F1266" t="s">
        <v>379</v>
      </c>
      <c r="G1266" t="s">
        <v>2678</v>
      </c>
      <c r="H1266" t="s">
        <v>3641</v>
      </c>
      <c r="I1266" s="13">
        <v>44854</v>
      </c>
      <c r="J1266">
        <v>1</v>
      </c>
      <c r="K1266" t="s">
        <v>177</v>
      </c>
      <c r="L1266" t="s">
        <v>139</v>
      </c>
      <c r="M1266" t="s">
        <v>316</v>
      </c>
      <c r="N1266" t="s">
        <v>2839</v>
      </c>
      <c r="O1266">
        <v>1</v>
      </c>
      <c r="P1266">
        <v>0.88</v>
      </c>
    </row>
    <row r="1267" spans="4:16" hidden="1" x14ac:dyDescent="0.25">
      <c r="D1267" t="s">
        <v>2840</v>
      </c>
      <c r="E1267" t="s">
        <v>135</v>
      </c>
      <c r="F1267" t="s">
        <v>379</v>
      </c>
      <c r="G1267" t="s">
        <v>2787</v>
      </c>
      <c r="H1267" t="s">
        <v>3641</v>
      </c>
      <c r="I1267" s="13">
        <v>44868</v>
      </c>
      <c r="J1267">
        <v>1</v>
      </c>
      <c r="K1267" t="s">
        <v>177</v>
      </c>
      <c r="L1267" t="s">
        <v>139</v>
      </c>
      <c r="M1267" t="s">
        <v>386</v>
      </c>
      <c r="N1267" t="s">
        <v>2841</v>
      </c>
      <c r="O1267">
        <v>1</v>
      </c>
      <c r="P1267">
        <v>0.84</v>
      </c>
    </row>
    <row r="1268" spans="4:16" hidden="1" x14ac:dyDescent="0.25">
      <c r="D1268" t="s">
        <v>2842</v>
      </c>
      <c r="E1268" t="s">
        <v>135</v>
      </c>
      <c r="F1268" t="s">
        <v>379</v>
      </c>
      <c r="G1268" t="s">
        <v>2787</v>
      </c>
      <c r="H1268" t="s">
        <v>3641</v>
      </c>
      <c r="I1268" s="13">
        <v>44868</v>
      </c>
      <c r="J1268">
        <v>1</v>
      </c>
      <c r="K1268" t="s">
        <v>177</v>
      </c>
      <c r="L1268" t="s">
        <v>139</v>
      </c>
      <c r="M1268" t="s">
        <v>284</v>
      </c>
      <c r="N1268" t="s">
        <v>2843</v>
      </c>
      <c r="O1268">
        <v>1</v>
      </c>
      <c r="P1268">
        <v>0.84</v>
      </c>
    </row>
    <row r="1269" spans="4:16" hidden="1" x14ac:dyDescent="0.25">
      <c r="D1269" t="s">
        <v>2844</v>
      </c>
      <c r="E1269" t="s">
        <v>135</v>
      </c>
      <c r="F1269" t="s">
        <v>1273</v>
      </c>
      <c r="G1269" t="s">
        <v>2845</v>
      </c>
      <c r="H1269" t="s">
        <v>3641</v>
      </c>
      <c r="I1269" s="13">
        <v>44868</v>
      </c>
      <c r="J1269">
        <v>1</v>
      </c>
      <c r="K1269" t="s">
        <v>177</v>
      </c>
      <c r="L1269" t="s">
        <v>139</v>
      </c>
      <c r="M1269" t="s">
        <v>170</v>
      </c>
      <c r="N1269" t="s">
        <v>2846</v>
      </c>
      <c r="O1269">
        <v>1</v>
      </c>
      <c r="P1269">
        <v>0.84</v>
      </c>
    </row>
    <row r="1270" spans="4:16" hidden="1" x14ac:dyDescent="0.25">
      <c r="D1270" t="s">
        <v>2847</v>
      </c>
      <c r="E1270" t="s">
        <v>135</v>
      </c>
      <c r="F1270" t="s">
        <v>379</v>
      </c>
      <c r="G1270" t="s">
        <v>2845</v>
      </c>
      <c r="H1270" t="s">
        <v>3641</v>
      </c>
      <c r="I1270" s="13">
        <v>44904</v>
      </c>
      <c r="J1270">
        <v>1</v>
      </c>
      <c r="K1270" t="s">
        <v>177</v>
      </c>
      <c r="L1270" t="s">
        <v>139</v>
      </c>
      <c r="M1270" t="s">
        <v>189</v>
      </c>
      <c r="N1270" t="s">
        <v>2848</v>
      </c>
      <c r="O1270">
        <v>1</v>
      </c>
      <c r="P1270">
        <v>0.74</v>
      </c>
    </row>
    <row r="1271" spans="4:16" hidden="1" x14ac:dyDescent="0.25">
      <c r="D1271" t="s">
        <v>2849</v>
      </c>
      <c r="E1271" t="s">
        <v>135</v>
      </c>
      <c r="F1271" t="s">
        <v>379</v>
      </c>
      <c r="G1271" t="s">
        <v>2850</v>
      </c>
      <c r="H1271" t="s">
        <v>3641</v>
      </c>
      <c r="I1271" s="13">
        <v>44915</v>
      </c>
      <c r="J1271">
        <v>1</v>
      </c>
      <c r="K1271" t="s">
        <v>177</v>
      </c>
      <c r="L1271" t="s">
        <v>139</v>
      </c>
      <c r="M1271" t="s">
        <v>204</v>
      </c>
      <c r="N1271" t="s">
        <v>2851</v>
      </c>
      <c r="O1271">
        <v>1</v>
      </c>
      <c r="P1271">
        <v>0.71</v>
      </c>
    </row>
    <row r="1272" spans="4:16" hidden="1" x14ac:dyDescent="0.25">
      <c r="D1272" t="s">
        <v>2852</v>
      </c>
      <c r="E1272" t="s">
        <v>135</v>
      </c>
      <c r="F1272" t="s">
        <v>379</v>
      </c>
      <c r="G1272" t="s">
        <v>2853</v>
      </c>
      <c r="H1272" t="s">
        <v>3641</v>
      </c>
      <c r="I1272" s="13">
        <v>44928</v>
      </c>
      <c r="J1272">
        <v>1</v>
      </c>
      <c r="K1272" t="s">
        <v>177</v>
      </c>
      <c r="L1272" t="s">
        <v>139</v>
      </c>
      <c r="M1272" t="s">
        <v>856</v>
      </c>
      <c r="N1272" t="s">
        <v>2854</v>
      </c>
      <c r="O1272">
        <v>1</v>
      </c>
      <c r="P1272">
        <v>0.68</v>
      </c>
    </row>
    <row r="1273" spans="4:16" hidden="1" x14ac:dyDescent="0.25">
      <c r="D1273" t="s">
        <v>2855</v>
      </c>
      <c r="E1273" t="s">
        <v>135</v>
      </c>
      <c r="F1273" t="s">
        <v>149</v>
      </c>
      <c r="G1273" t="s">
        <v>2856</v>
      </c>
      <c r="H1273" t="s">
        <v>3641</v>
      </c>
      <c r="I1273" s="13">
        <v>45027</v>
      </c>
      <c r="J1273">
        <v>0</v>
      </c>
      <c r="K1273" t="s">
        <v>177</v>
      </c>
      <c r="L1273" t="s">
        <v>139</v>
      </c>
      <c r="M1273" t="s">
        <v>170</v>
      </c>
      <c r="N1273" t="s">
        <v>2857</v>
      </c>
      <c r="O1273">
        <v>1</v>
      </c>
      <c r="P1273">
        <v>0.41</v>
      </c>
    </row>
    <row r="1274" spans="4:16" hidden="1" x14ac:dyDescent="0.25">
      <c r="D1274" t="s">
        <v>2858</v>
      </c>
      <c r="E1274" t="s">
        <v>135</v>
      </c>
      <c r="F1274" t="s">
        <v>379</v>
      </c>
      <c r="G1274" t="s">
        <v>2859</v>
      </c>
      <c r="H1274" t="s">
        <v>3641</v>
      </c>
      <c r="I1274" s="13">
        <v>45071</v>
      </c>
      <c r="J1274">
        <v>0</v>
      </c>
      <c r="K1274" t="s">
        <v>177</v>
      </c>
      <c r="L1274" t="s">
        <v>139</v>
      </c>
      <c r="M1274" t="s">
        <v>316</v>
      </c>
      <c r="N1274" t="s">
        <v>2860</v>
      </c>
      <c r="O1274">
        <v>1</v>
      </c>
      <c r="P1274">
        <v>0.28999999999999998</v>
      </c>
    </row>
    <row r="1275" spans="4:16" hidden="1" x14ac:dyDescent="0.25">
      <c r="D1275" t="s">
        <v>2861</v>
      </c>
      <c r="E1275" t="s">
        <v>135</v>
      </c>
      <c r="F1275" t="s">
        <v>379</v>
      </c>
      <c r="G1275" t="s">
        <v>2859</v>
      </c>
      <c r="H1275" t="s">
        <v>2862</v>
      </c>
      <c r="I1275" s="13">
        <v>45070</v>
      </c>
      <c r="J1275">
        <v>0</v>
      </c>
      <c r="K1275" t="s">
        <v>177</v>
      </c>
      <c r="L1275" t="s">
        <v>139</v>
      </c>
      <c r="M1275" t="s">
        <v>316</v>
      </c>
      <c r="N1275" t="s">
        <v>2863</v>
      </c>
      <c r="O1275">
        <v>1</v>
      </c>
      <c r="P1275">
        <v>0.28999999999999998</v>
      </c>
    </row>
    <row r="1276" spans="4:16" hidden="1" x14ac:dyDescent="0.25">
      <c r="D1276" t="s">
        <v>2864</v>
      </c>
      <c r="E1276" t="s">
        <v>135</v>
      </c>
      <c r="F1276" t="s">
        <v>379</v>
      </c>
      <c r="G1276" t="s">
        <v>2859</v>
      </c>
      <c r="H1276" t="s">
        <v>2862</v>
      </c>
      <c r="I1276" s="13">
        <v>45070</v>
      </c>
      <c r="J1276">
        <v>0</v>
      </c>
      <c r="K1276" t="s">
        <v>177</v>
      </c>
      <c r="L1276" t="s">
        <v>139</v>
      </c>
      <c r="M1276" t="s">
        <v>316</v>
      </c>
      <c r="N1276" t="s">
        <v>2865</v>
      </c>
      <c r="O1276">
        <v>1</v>
      </c>
      <c r="P1276">
        <v>0.28999999999999998</v>
      </c>
    </row>
    <row r="1277" spans="4:16" hidden="1" x14ac:dyDescent="0.25">
      <c r="D1277" t="s">
        <v>2866</v>
      </c>
      <c r="E1277" t="s">
        <v>135</v>
      </c>
      <c r="F1277" t="s">
        <v>2867</v>
      </c>
      <c r="G1277" t="s">
        <v>2751</v>
      </c>
      <c r="H1277" t="s">
        <v>3641</v>
      </c>
      <c r="I1277" s="13">
        <v>45068</v>
      </c>
      <c r="J1277">
        <v>0</v>
      </c>
      <c r="K1277" t="s">
        <v>177</v>
      </c>
      <c r="L1277" t="s">
        <v>139</v>
      </c>
      <c r="M1277" t="s">
        <v>2868</v>
      </c>
      <c r="N1277" t="s">
        <v>2869</v>
      </c>
      <c r="O1277">
        <v>1</v>
      </c>
      <c r="P1277">
        <v>0.28999999999999998</v>
      </c>
    </row>
    <row r="1278" spans="4:16" hidden="1" x14ac:dyDescent="0.25">
      <c r="D1278" t="s">
        <v>2870</v>
      </c>
      <c r="E1278" t="s">
        <v>135</v>
      </c>
      <c r="F1278" t="s">
        <v>2867</v>
      </c>
      <c r="G1278" t="s">
        <v>2751</v>
      </c>
      <c r="H1278" t="s">
        <v>3641</v>
      </c>
      <c r="I1278" s="13">
        <v>45068</v>
      </c>
      <c r="J1278">
        <v>0</v>
      </c>
      <c r="K1278" t="s">
        <v>177</v>
      </c>
      <c r="L1278" t="s">
        <v>139</v>
      </c>
      <c r="M1278" t="s">
        <v>1027</v>
      </c>
      <c r="N1278" t="s">
        <v>2871</v>
      </c>
      <c r="O1278">
        <v>1</v>
      </c>
      <c r="P1278">
        <v>0.28999999999999998</v>
      </c>
    </row>
    <row r="1279" spans="4:16" hidden="1" x14ac:dyDescent="0.25">
      <c r="D1279" t="s">
        <v>2872</v>
      </c>
      <c r="E1279" t="s">
        <v>135</v>
      </c>
      <c r="F1279" t="s">
        <v>2867</v>
      </c>
      <c r="G1279" t="s">
        <v>2751</v>
      </c>
      <c r="H1279" t="s">
        <v>3641</v>
      </c>
      <c r="I1279" s="13">
        <v>45068</v>
      </c>
      <c r="J1279">
        <v>0</v>
      </c>
      <c r="K1279" t="s">
        <v>177</v>
      </c>
      <c r="L1279" t="s">
        <v>139</v>
      </c>
      <c r="M1279" t="s">
        <v>945</v>
      </c>
      <c r="N1279" t="s">
        <v>2873</v>
      </c>
      <c r="O1279">
        <v>1</v>
      </c>
      <c r="P1279">
        <v>0.28999999999999998</v>
      </c>
    </row>
    <row r="1280" spans="4:16" hidden="1" x14ac:dyDescent="0.25">
      <c r="D1280" t="s">
        <v>2874</v>
      </c>
      <c r="E1280" t="s">
        <v>135</v>
      </c>
      <c r="F1280" t="s">
        <v>2867</v>
      </c>
      <c r="G1280" t="s">
        <v>2751</v>
      </c>
      <c r="H1280" t="s">
        <v>3641</v>
      </c>
      <c r="I1280" s="13">
        <v>45068</v>
      </c>
      <c r="J1280">
        <v>0</v>
      </c>
      <c r="K1280" t="s">
        <v>177</v>
      </c>
      <c r="L1280" t="s">
        <v>139</v>
      </c>
      <c r="M1280" t="s">
        <v>468</v>
      </c>
      <c r="N1280" t="s">
        <v>2875</v>
      </c>
      <c r="O1280">
        <v>1</v>
      </c>
      <c r="P1280">
        <v>0.28999999999999998</v>
      </c>
    </row>
    <row r="1281" spans="4:16" hidden="1" x14ac:dyDescent="0.25">
      <c r="D1281" t="s">
        <v>2876</v>
      </c>
      <c r="E1281" t="s">
        <v>135</v>
      </c>
      <c r="F1281" t="s">
        <v>2867</v>
      </c>
      <c r="G1281" t="s">
        <v>2751</v>
      </c>
      <c r="H1281" t="s">
        <v>3641</v>
      </c>
      <c r="I1281" s="13">
        <v>45068</v>
      </c>
      <c r="J1281">
        <v>0</v>
      </c>
      <c r="K1281" t="s">
        <v>177</v>
      </c>
      <c r="L1281" t="s">
        <v>139</v>
      </c>
      <c r="M1281" t="s">
        <v>1034</v>
      </c>
      <c r="N1281" t="s">
        <v>2877</v>
      </c>
      <c r="O1281">
        <v>1</v>
      </c>
      <c r="P1281">
        <v>0.28999999999999998</v>
      </c>
    </row>
    <row r="1282" spans="4:16" hidden="1" x14ac:dyDescent="0.25">
      <c r="D1282" t="s">
        <v>2878</v>
      </c>
      <c r="E1282" t="s">
        <v>135</v>
      </c>
      <c r="F1282" t="s">
        <v>379</v>
      </c>
      <c r="G1282" t="s">
        <v>2879</v>
      </c>
      <c r="H1282" t="s">
        <v>3641</v>
      </c>
      <c r="I1282" s="13">
        <v>45076</v>
      </c>
      <c r="J1282">
        <v>0</v>
      </c>
      <c r="K1282" t="s">
        <v>177</v>
      </c>
      <c r="L1282" t="s">
        <v>139</v>
      </c>
      <c r="M1282" t="s">
        <v>151</v>
      </c>
      <c r="N1282" t="s">
        <v>2880</v>
      </c>
      <c r="O1282">
        <v>1</v>
      </c>
      <c r="P1282">
        <v>0.27</v>
      </c>
    </row>
    <row r="1283" spans="4:16" hidden="1" x14ac:dyDescent="0.25">
      <c r="D1283" t="s">
        <v>2881</v>
      </c>
      <c r="E1283" t="s">
        <v>135</v>
      </c>
      <c r="F1283" t="s">
        <v>379</v>
      </c>
      <c r="G1283" t="s">
        <v>2787</v>
      </c>
      <c r="H1283" t="s">
        <v>3641</v>
      </c>
      <c r="I1283" s="13">
        <v>45083</v>
      </c>
      <c r="J1283">
        <v>0</v>
      </c>
      <c r="K1283" t="s">
        <v>177</v>
      </c>
      <c r="L1283" t="s">
        <v>139</v>
      </c>
      <c r="M1283" t="s">
        <v>421</v>
      </c>
      <c r="N1283" t="s">
        <v>2882</v>
      </c>
      <c r="O1283">
        <v>1</v>
      </c>
      <c r="P1283">
        <v>0.25</v>
      </c>
    </row>
    <row r="1284" spans="4:16" hidden="1" x14ac:dyDescent="0.25">
      <c r="D1284" t="s">
        <v>2883</v>
      </c>
      <c r="E1284" t="s">
        <v>135</v>
      </c>
      <c r="F1284" t="s">
        <v>379</v>
      </c>
      <c r="G1284" t="s">
        <v>2787</v>
      </c>
      <c r="H1284" t="s">
        <v>3641</v>
      </c>
      <c r="I1284" s="13">
        <v>45083</v>
      </c>
      <c r="J1284">
        <v>0</v>
      </c>
      <c r="K1284" t="s">
        <v>177</v>
      </c>
      <c r="L1284" t="s">
        <v>139</v>
      </c>
      <c r="M1284" t="s">
        <v>421</v>
      </c>
      <c r="N1284" t="s">
        <v>2884</v>
      </c>
      <c r="O1284">
        <v>1</v>
      </c>
      <c r="P1284">
        <v>0.25</v>
      </c>
    </row>
    <row r="1285" spans="4:16" hidden="1" x14ac:dyDescent="0.25">
      <c r="D1285" t="s">
        <v>2885</v>
      </c>
      <c r="E1285" t="s">
        <v>135</v>
      </c>
      <c r="F1285" t="s">
        <v>379</v>
      </c>
      <c r="G1285" t="s">
        <v>2787</v>
      </c>
      <c r="H1285" t="s">
        <v>3641</v>
      </c>
      <c r="I1285" s="13">
        <v>45085</v>
      </c>
      <c r="J1285">
        <v>0</v>
      </c>
      <c r="K1285" t="s">
        <v>177</v>
      </c>
      <c r="L1285" t="s">
        <v>139</v>
      </c>
      <c r="M1285" t="s">
        <v>372</v>
      </c>
      <c r="N1285" t="s">
        <v>2886</v>
      </c>
      <c r="O1285">
        <v>1</v>
      </c>
      <c r="P1285">
        <v>0.25</v>
      </c>
    </row>
    <row r="1286" spans="4:16" hidden="1" x14ac:dyDescent="0.25">
      <c r="D1286" t="s">
        <v>2887</v>
      </c>
      <c r="E1286" t="s">
        <v>135</v>
      </c>
      <c r="F1286" t="s">
        <v>379</v>
      </c>
      <c r="G1286" t="s">
        <v>2787</v>
      </c>
      <c r="H1286" t="s">
        <v>3641</v>
      </c>
      <c r="I1286" s="13">
        <v>45085</v>
      </c>
      <c r="J1286">
        <v>0</v>
      </c>
      <c r="K1286" t="s">
        <v>177</v>
      </c>
      <c r="L1286" t="s">
        <v>139</v>
      </c>
      <c r="M1286" t="s">
        <v>372</v>
      </c>
      <c r="N1286" t="s">
        <v>2888</v>
      </c>
      <c r="O1286">
        <v>1</v>
      </c>
      <c r="P1286">
        <v>0.25</v>
      </c>
    </row>
    <row r="1287" spans="4:16" hidden="1" x14ac:dyDescent="0.25">
      <c r="D1287" t="s">
        <v>2889</v>
      </c>
      <c r="E1287" t="s">
        <v>135</v>
      </c>
      <c r="F1287" t="s">
        <v>379</v>
      </c>
      <c r="G1287" t="s">
        <v>2787</v>
      </c>
      <c r="H1287" t="s">
        <v>3641</v>
      </c>
      <c r="I1287" s="13">
        <v>45083</v>
      </c>
      <c r="J1287">
        <v>0</v>
      </c>
      <c r="K1287" t="s">
        <v>177</v>
      </c>
      <c r="L1287" t="s">
        <v>139</v>
      </c>
      <c r="M1287" t="s">
        <v>465</v>
      </c>
      <c r="N1287" t="s">
        <v>2890</v>
      </c>
      <c r="O1287">
        <v>1</v>
      </c>
      <c r="P1287">
        <v>0.25</v>
      </c>
    </row>
    <row r="1288" spans="4:16" hidden="1" x14ac:dyDescent="0.25">
      <c r="D1288" t="s">
        <v>2891</v>
      </c>
      <c r="E1288" t="s">
        <v>135</v>
      </c>
      <c r="F1288" t="s">
        <v>379</v>
      </c>
      <c r="G1288" t="s">
        <v>2879</v>
      </c>
      <c r="H1288" t="s">
        <v>3641</v>
      </c>
      <c r="I1288" s="13">
        <v>45083</v>
      </c>
      <c r="J1288">
        <v>0</v>
      </c>
      <c r="K1288" t="s">
        <v>177</v>
      </c>
      <c r="L1288" t="s">
        <v>139</v>
      </c>
      <c r="M1288" t="s">
        <v>170</v>
      </c>
      <c r="N1288" t="s">
        <v>2892</v>
      </c>
      <c r="O1288">
        <v>1</v>
      </c>
      <c r="P1288">
        <v>0.25</v>
      </c>
    </row>
    <row r="1289" spans="4:16" hidden="1" x14ac:dyDescent="0.25">
      <c r="D1289" t="s">
        <v>2893</v>
      </c>
      <c r="E1289" t="s">
        <v>135</v>
      </c>
      <c r="F1289" t="s">
        <v>379</v>
      </c>
      <c r="G1289" t="s">
        <v>2787</v>
      </c>
      <c r="H1289" t="s">
        <v>3641</v>
      </c>
      <c r="I1289" s="13">
        <v>45085</v>
      </c>
      <c r="J1289">
        <v>0</v>
      </c>
      <c r="K1289" t="s">
        <v>177</v>
      </c>
      <c r="L1289" t="s">
        <v>139</v>
      </c>
      <c r="M1289" t="s">
        <v>465</v>
      </c>
      <c r="N1289" t="s">
        <v>2894</v>
      </c>
      <c r="O1289">
        <v>1</v>
      </c>
      <c r="P1289">
        <v>0.25</v>
      </c>
    </row>
    <row r="1290" spans="4:16" hidden="1" x14ac:dyDescent="0.25">
      <c r="D1290" t="s">
        <v>2895</v>
      </c>
      <c r="E1290" t="s">
        <v>135</v>
      </c>
      <c r="F1290" t="s">
        <v>379</v>
      </c>
      <c r="G1290" t="s">
        <v>2787</v>
      </c>
      <c r="H1290" t="s">
        <v>3641</v>
      </c>
      <c r="I1290" s="13">
        <v>45086</v>
      </c>
      <c r="J1290">
        <v>0</v>
      </c>
      <c r="K1290" t="s">
        <v>177</v>
      </c>
      <c r="L1290" t="s">
        <v>139</v>
      </c>
      <c r="M1290" t="s">
        <v>465</v>
      </c>
      <c r="N1290" t="s">
        <v>2896</v>
      </c>
      <c r="O1290">
        <v>1</v>
      </c>
      <c r="P1290">
        <v>0.24</v>
      </c>
    </row>
    <row r="1291" spans="4:16" x14ac:dyDescent="0.25">
      <c r="D1291" t="s">
        <v>2897</v>
      </c>
      <c r="E1291" t="s">
        <v>135</v>
      </c>
      <c r="F1291" t="s">
        <v>1679</v>
      </c>
      <c r="G1291" t="s">
        <v>1679</v>
      </c>
      <c r="H1291" t="s">
        <v>1218</v>
      </c>
      <c r="I1291" s="13">
        <v>45086</v>
      </c>
      <c r="J1291">
        <v>0</v>
      </c>
      <c r="K1291" t="s">
        <v>157</v>
      </c>
      <c r="L1291" t="s">
        <v>139</v>
      </c>
      <c r="M1291" t="s">
        <v>452</v>
      </c>
      <c r="N1291" t="s">
        <v>2898</v>
      </c>
      <c r="O1291">
        <v>1</v>
      </c>
      <c r="P1291">
        <v>0.24</v>
      </c>
    </row>
    <row r="1292" spans="4:16" hidden="1" x14ac:dyDescent="0.25">
      <c r="D1292" t="s">
        <v>2899</v>
      </c>
      <c r="E1292" t="s">
        <v>135</v>
      </c>
      <c r="F1292" t="s">
        <v>379</v>
      </c>
      <c r="G1292" t="s">
        <v>2787</v>
      </c>
      <c r="H1292" t="s">
        <v>3641</v>
      </c>
      <c r="I1292" s="13">
        <v>45100</v>
      </c>
      <c r="J1292">
        <v>0</v>
      </c>
      <c r="K1292" t="s">
        <v>157</v>
      </c>
      <c r="L1292" t="s">
        <v>977</v>
      </c>
      <c r="M1292" t="s">
        <v>421</v>
      </c>
      <c r="N1292" t="s">
        <v>2900</v>
      </c>
      <c r="O1292">
        <v>1</v>
      </c>
      <c r="P1292">
        <v>0.21</v>
      </c>
    </row>
    <row r="1293" spans="4:16" hidden="1" x14ac:dyDescent="0.25">
      <c r="D1293" t="s">
        <v>2901</v>
      </c>
      <c r="E1293" t="s">
        <v>135</v>
      </c>
      <c r="F1293" t="s">
        <v>379</v>
      </c>
      <c r="G1293" t="s">
        <v>2787</v>
      </c>
      <c r="H1293" t="s">
        <v>3641</v>
      </c>
      <c r="I1293" s="13">
        <v>45100</v>
      </c>
      <c r="J1293">
        <v>0</v>
      </c>
      <c r="K1293" t="s">
        <v>157</v>
      </c>
      <c r="L1293" t="s">
        <v>977</v>
      </c>
      <c r="M1293" t="s">
        <v>421</v>
      </c>
      <c r="N1293" t="s">
        <v>2902</v>
      </c>
      <c r="O1293">
        <v>1</v>
      </c>
      <c r="P1293">
        <v>0.21</v>
      </c>
    </row>
    <row r="1294" spans="4:16" hidden="1" x14ac:dyDescent="0.25">
      <c r="D1294" t="s">
        <v>2903</v>
      </c>
      <c r="E1294" t="s">
        <v>135</v>
      </c>
      <c r="F1294" t="s">
        <v>379</v>
      </c>
      <c r="G1294" t="s">
        <v>2787</v>
      </c>
      <c r="H1294" t="s">
        <v>3641</v>
      </c>
      <c r="I1294" s="13">
        <v>45100</v>
      </c>
      <c r="J1294">
        <v>0</v>
      </c>
      <c r="K1294" t="s">
        <v>157</v>
      </c>
      <c r="L1294" t="s">
        <v>977</v>
      </c>
      <c r="M1294" t="s">
        <v>421</v>
      </c>
      <c r="N1294" t="s">
        <v>2904</v>
      </c>
      <c r="O1294">
        <v>1</v>
      </c>
      <c r="P1294">
        <v>0.21</v>
      </c>
    </row>
    <row r="1295" spans="4:16" hidden="1" x14ac:dyDescent="0.25">
      <c r="D1295" t="s">
        <v>2905</v>
      </c>
      <c r="E1295" t="s">
        <v>135</v>
      </c>
      <c r="F1295" t="s">
        <v>379</v>
      </c>
      <c r="G1295" t="s">
        <v>2787</v>
      </c>
      <c r="H1295" t="s">
        <v>3641</v>
      </c>
      <c r="I1295" s="13">
        <v>45097</v>
      </c>
      <c r="J1295">
        <v>0</v>
      </c>
      <c r="K1295" t="s">
        <v>145</v>
      </c>
      <c r="L1295" t="s">
        <v>139</v>
      </c>
      <c r="M1295" t="s">
        <v>421</v>
      </c>
      <c r="N1295" t="s">
        <v>2906</v>
      </c>
      <c r="O1295">
        <v>1</v>
      </c>
      <c r="P1295">
        <v>0.21</v>
      </c>
    </row>
    <row r="1296" spans="4:16" hidden="1" x14ac:dyDescent="0.25">
      <c r="D1296" t="s">
        <v>2907</v>
      </c>
      <c r="E1296" t="s">
        <v>135</v>
      </c>
      <c r="F1296" t="s">
        <v>379</v>
      </c>
      <c r="G1296" t="s">
        <v>2787</v>
      </c>
      <c r="H1296" t="s">
        <v>3641</v>
      </c>
      <c r="I1296" s="13">
        <v>45100</v>
      </c>
      <c r="J1296">
        <v>0</v>
      </c>
      <c r="K1296" t="s">
        <v>177</v>
      </c>
      <c r="L1296" t="s">
        <v>139</v>
      </c>
      <c r="M1296" t="s">
        <v>421</v>
      </c>
      <c r="N1296" t="s">
        <v>2908</v>
      </c>
      <c r="O1296">
        <v>1</v>
      </c>
      <c r="P1296">
        <v>0.21</v>
      </c>
    </row>
    <row r="1297" spans="4:16" hidden="1" x14ac:dyDescent="0.25">
      <c r="D1297" t="s">
        <v>2909</v>
      </c>
      <c r="E1297" t="s">
        <v>135</v>
      </c>
      <c r="F1297" t="s">
        <v>379</v>
      </c>
      <c r="G1297" t="s">
        <v>2787</v>
      </c>
      <c r="H1297" t="s">
        <v>3641</v>
      </c>
      <c r="I1297" s="13">
        <v>45097</v>
      </c>
      <c r="J1297">
        <v>0</v>
      </c>
      <c r="K1297" t="s">
        <v>177</v>
      </c>
      <c r="L1297" t="s">
        <v>139</v>
      </c>
      <c r="M1297" t="s">
        <v>465</v>
      </c>
      <c r="N1297" t="s">
        <v>2910</v>
      </c>
      <c r="O1297">
        <v>1</v>
      </c>
      <c r="P1297">
        <v>0.21</v>
      </c>
    </row>
    <row r="1298" spans="4:16" hidden="1" x14ac:dyDescent="0.25">
      <c r="D1298" t="s">
        <v>2911</v>
      </c>
      <c r="E1298" t="s">
        <v>135</v>
      </c>
      <c r="F1298" t="s">
        <v>379</v>
      </c>
      <c r="G1298" t="s">
        <v>2787</v>
      </c>
      <c r="H1298" t="s">
        <v>3641</v>
      </c>
      <c r="I1298" s="13">
        <v>45100</v>
      </c>
      <c r="J1298">
        <v>0</v>
      </c>
      <c r="K1298" t="s">
        <v>177</v>
      </c>
      <c r="L1298" t="s">
        <v>139</v>
      </c>
      <c r="M1298" t="s">
        <v>465</v>
      </c>
      <c r="N1298" t="s">
        <v>2912</v>
      </c>
      <c r="O1298">
        <v>1</v>
      </c>
      <c r="P1298">
        <v>0.21</v>
      </c>
    </row>
    <row r="1299" spans="4:16" hidden="1" x14ac:dyDescent="0.25">
      <c r="D1299" t="s">
        <v>2913</v>
      </c>
      <c r="E1299" t="s">
        <v>135</v>
      </c>
      <c r="F1299" t="s">
        <v>379</v>
      </c>
      <c r="G1299" t="s">
        <v>2787</v>
      </c>
      <c r="H1299" t="s">
        <v>3641</v>
      </c>
      <c r="I1299" s="13">
        <v>45100</v>
      </c>
      <c r="J1299">
        <v>0</v>
      </c>
      <c r="K1299" t="s">
        <v>177</v>
      </c>
      <c r="L1299" t="s">
        <v>139</v>
      </c>
      <c r="M1299" t="s">
        <v>146</v>
      </c>
      <c r="N1299" t="s">
        <v>2914</v>
      </c>
      <c r="O1299">
        <v>1</v>
      </c>
      <c r="P1299">
        <v>0.21</v>
      </c>
    </row>
    <row r="1300" spans="4:16" hidden="1" x14ac:dyDescent="0.25">
      <c r="D1300" t="s">
        <v>2915</v>
      </c>
      <c r="E1300" t="s">
        <v>135</v>
      </c>
      <c r="F1300" t="s">
        <v>379</v>
      </c>
      <c r="G1300" t="s">
        <v>2787</v>
      </c>
      <c r="H1300" t="s">
        <v>3641</v>
      </c>
      <c r="I1300" s="13">
        <v>45097</v>
      </c>
      <c r="J1300">
        <v>0</v>
      </c>
      <c r="K1300" t="s">
        <v>177</v>
      </c>
      <c r="L1300" t="s">
        <v>139</v>
      </c>
      <c r="M1300" t="s">
        <v>372</v>
      </c>
      <c r="N1300" t="s">
        <v>2916</v>
      </c>
      <c r="O1300">
        <v>1</v>
      </c>
      <c r="P1300">
        <v>0.21</v>
      </c>
    </row>
    <row r="1301" spans="4:16" hidden="1" x14ac:dyDescent="0.25">
      <c r="D1301" t="s">
        <v>2917</v>
      </c>
      <c r="E1301" t="s">
        <v>135</v>
      </c>
      <c r="F1301" t="s">
        <v>379</v>
      </c>
      <c r="G1301" t="s">
        <v>2787</v>
      </c>
      <c r="H1301" t="s">
        <v>3641</v>
      </c>
      <c r="I1301" s="13">
        <v>45097</v>
      </c>
      <c r="J1301">
        <v>0</v>
      </c>
      <c r="K1301" t="s">
        <v>177</v>
      </c>
      <c r="L1301" t="s">
        <v>139</v>
      </c>
      <c r="M1301" t="s">
        <v>372</v>
      </c>
      <c r="N1301" t="s">
        <v>2918</v>
      </c>
      <c r="O1301">
        <v>1</v>
      </c>
      <c r="P1301">
        <v>0.21</v>
      </c>
    </row>
    <row r="1302" spans="4:16" hidden="1" x14ac:dyDescent="0.25">
      <c r="D1302" t="s">
        <v>2919</v>
      </c>
      <c r="E1302" t="s">
        <v>135</v>
      </c>
      <c r="F1302" t="s">
        <v>379</v>
      </c>
      <c r="G1302" t="s">
        <v>2787</v>
      </c>
      <c r="H1302" t="s">
        <v>3641</v>
      </c>
      <c r="I1302" s="13">
        <v>45100</v>
      </c>
      <c r="J1302">
        <v>0</v>
      </c>
      <c r="K1302" t="s">
        <v>177</v>
      </c>
      <c r="L1302" t="s">
        <v>139</v>
      </c>
      <c r="M1302" t="s">
        <v>372</v>
      </c>
      <c r="N1302" t="s">
        <v>2920</v>
      </c>
      <c r="O1302">
        <v>1</v>
      </c>
      <c r="P1302">
        <v>0.21</v>
      </c>
    </row>
    <row r="1303" spans="4:16" hidden="1" x14ac:dyDescent="0.25">
      <c r="D1303" t="s">
        <v>2921</v>
      </c>
      <c r="E1303" t="s">
        <v>135</v>
      </c>
      <c r="F1303" t="s">
        <v>379</v>
      </c>
      <c r="G1303" t="s">
        <v>2787</v>
      </c>
      <c r="H1303" t="s">
        <v>3641</v>
      </c>
      <c r="I1303" s="13">
        <v>45100</v>
      </c>
      <c r="J1303">
        <v>0</v>
      </c>
      <c r="K1303" t="s">
        <v>177</v>
      </c>
      <c r="L1303" t="s">
        <v>139</v>
      </c>
      <c r="M1303" t="s">
        <v>421</v>
      </c>
      <c r="N1303" t="s">
        <v>2922</v>
      </c>
      <c r="O1303">
        <v>1</v>
      </c>
      <c r="P1303">
        <v>0.21</v>
      </c>
    </row>
    <row r="1304" spans="4:16" hidden="1" x14ac:dyDescent="0.25">
      <c r="D1304" t="s">
        <v>2923</v>
      </c>
      <c r="E1304" t="s">
        <v>135</v>
      </c>
      <c r="F1304" t="s">
        <v>379</v>
      </c>
      <c r="G1304" t="s">
        <v>2787</v>
      </c>
      <c r="H1304" t="s">
        <v>3641</v>
      </c>
      <c r="I1304" s="13">
        <v>45100</v>
      </c>
      <c r="J1304">
        <v>0</v>
      </c>
      <c r="K1304" t="s">
        <v>177</v>
      </c>
      <c r="L1304" t="s">
        <v>139</v>
      </c>
      <c r="M1304" t="s">
        <v>421</v>
      </c>
      <c r="N1304" t="s">
        <v>2924</v>
      </c>
      <c r="O1304">
        <v>1</v>
      </c>
      <c r="P1304">
        <v>0.21</v>
      </c>
    </row>
    <row r="1305" spans="4:16" hidden="1" x14ac:dyDescent="0.25">
      <c r="D1305" t="s">
        <v>2925</v>
      </c>
      <c r="E1305" t="s">
        <v>135</v>
      </c>
      <c r="F1305" t="s">
        <v>379</v>
      </c>
      <c r="G1305" t="s">
        <v>2787</v>
      </c>
      <c r="H1305" t="s">
        <v>3641</v>
      </c>
      <c r="I1305" s="13">
        <v>45100</v>
      </c>
      <c r="J1305">
        <v>0</v>
      </c>
      <c r="K1305" t="s">
        <v>177</v>
      </c>
      <c r="L1305" t="s">
        <v>139</v>
      </c>
      <c r="M1305" t="s">
        <v>421</v>
      </c>
      <c r="N1305" t="s">
        <v>2926</v>
      </c>
      <c r="O1305">
        <v>1</v>
      </c>
      <c r="P1305">
        <v>0.21</v>
      </c>
    </row>
    <row r="1306" spans="4:16" hidden="1" x14ac:dyDescent="0.25">
      <c r="D1306" t="s">
        <v>2927</v>
      </c>
      <c r="E1306" t="s">
        <v>135</v>
      </c>
      <c r="F1306" t="s">
        <v>379</v>
      </c>
      <c r="G1306" t="s">
        <v>2879</v>
      </c>
      <c r="H1306" t="s">
        <v>3641</v>
      </c>
      <c r="I1306" s="13">
        <v>45104</v>
      </c>
      <c r="J1306">
        <v>0</v>
      </c>
      <c r="K1306" t="s">
        <v>177</v>
      </c>
      <c r="L1306" t="s">
        <v>139</v>
      </c>
      <c r="M1306" t="s">
        <v>154</v>
      </c>
      <c r="N1306" t="s">
        <v>2928</v>
      </c>
      <c r="O1306">
        <v>1</v>
      </c>
      <c r="P1306">
        <v>0.2</v>
      </c>
    </row>
    <row r="1307" spans="4:16" hidden="1" x14ac:dyDescent="0.25">
      <c r="D1307" t="s">
        <v>2929</v>
      </c>
      <c r="E1307" t="s">
        <v>135</v>
      </c>
      <c r="F1307" t="s">
        <v>667</v>
      </c>
      <c r="G1307" t="s">
        <v>2751</v>
      </c>
      <c r="H1307" t="s">
        <v>3641</v>
      </c>
      <c r="I1307" s="13">
        <v>45106</v>
      </c>
      <c r="J1307">
        <v>0</v>
      </c>
      <c r="K1307" t="s">
        <v>157</v>
      </c>
      <c r="L1307" t="s">
        <v>977</v>
      </c>
      <c r="M1307" t="s">
        <v>800</v>
      </c>
      <c r="N1307" t="s">
        <v>2930</v>
      </c>
      <c r="O1307">
        <v>1</v>
      </c>
      <c r="P1307">
        <v>0.19</v>
      </c>
    </row>
    <row r="1308" spans="4:16" hidden="1" x14ac:dyDescent="0.25">
      <c r="D1308" t="s">
        <v>2931</v>
      </c>
      <c r="E1308" t="s">
        <v>135</v>
      </c>
      <c r="F1308" t="s">
        <v>379</v>
      </c>
      <c r="G1308" t="s">
        <v>2787</v>
      </c>
      <c r="H1308" t="s">
        <v>3641</v>
      </c>
      <c r="I1308" s="13">
        <v>45117</v>
      </c>
      <c r="J1308">
        <v>0</v>
      </c>
      <c r="K1308" t="s">
        <v>177</v>
      </c>
      <c r="L1308" t="s">
        <v>139</v>
      </c>
      <c r="M1308" t="s">
        <v>222</v>
      </c>
      <c r="N1308" t="s">
        <v>2932</v>
      </c>
      <c r="O1308">
        <v>1</v>
      </c>
      <c r="P1308">
        <v>0.16</v>
      </c>
    </row>
    <row r="1309" spans="4:16" hidden="1" x14ac:dyDescent="0.25">
      <c r="D1309" t="s">
        <v>2933</v>
      </c>
      <c r="E1309" t="s">
        <v>135</v>
      </c>
      <c r="F1309" t="s">
        <v>379</v>
      </c>
      <c r="G1309" t="s">
        <v>2787</v>
      </c>
      <c r="H1309" t="s">
        <v>3641</v>
      </c>
      <c r="I1309" s="13">
        <v>45117</v>
      </c>
      <c r="J1309">
        <v>0</v>
      </c>
      <c r="K1309" t="s">
        <v>177</v>
      </c>
      <c r="L1309" t="s">
        <v>139</v>
      </c>
      <c r="M1309" t="s">
        <v>222</v>
      </c>
      <c r="N1309" t="s">
        <v>2934</v>
      </c>
      <c r="O1309">
        <v>1</v>
      </c>
      <c r="P1309">
        <v>0.16</v>
      </c>
    </row>
    <row r="1310" spans="4:16" hidden="1" x14ac:dyDescent="0.25">
      <c r="D1310" t="s">
        <v>2935</v>
      </c>
      <c r="E1310" t="s">
        <v>135</v>
      </c>
      <c r="F1310" t="s">
        <v>379</v>
      </c>
      <c r="G1310" t="s">
        <v>2787</v>
      </c>
      <c r="H1310" t="s">
        <v>3641</v>
      </c>
      <c r="I1310" s="13">
        <v>45117</v>
      </c>
      <c r="J1310">
        <v>0</v>
      </c>
      <c r="K1310" t="s">
        <v>177</v>
      </c>
      <c r="L1310" t="s">
        <v>139</v>
      </c>
      <c r="M1310" t="s">
        <v>227</v>
      </c>
      <c r="N1310" t="s">
        <v>2936</v>
      </c>
      <c r="O1310">
        <v>1</v>
      </c>
      <c r="P1310">
        <v>0.16</v>
      </c>
    </row>
    <row r="1311" spans="4:16" hidden="1" x14ac:dyDescent="0.25">
      <c r="D1311" t="s">
        <v>2937</v>
      </c>
      <c r="E1311" t="s">
        <v>135</v>
      </c>
      <c r="F1311" t="s">
        <v>379</v>
      </c>
      <c r="G1311" t="s">
        <v>2787</v>
      </c>
      <c r="H1311" t="s">
        <v>3641</v>
      </c>
      <c r="I1311" s="13">
        <v>45117</v>
      </c>
      <c r="J1311">
        <v>0</v>
      </c>
      <c r="K1311" t="s">
        <v>177</v>
      </c>
      <c r="L1311" t="s">
        <v>139</v>
      </c>
      <c r="M1311" t="s">
        <v>421</v>
      </c>
      <c r="N1311" t="s">
        <v>2938</v>
      </c>
      <c r="O1311">
        <v>1</v>
      </c>
      <c r="P1311">
        <v>0.16</v>
      </c>
    </row>
    <row r="1312" spans="4:16" hidden="1" x14ac:dyDescent="0.25">
      <c r="D1312" t="s">
        <v>2939</v>
      </c>
      <c r="E1312" t="s">
        <v>135</v>
      </c>
      <c r="F1312" t="s">
        <v>379</v>
      </c>
      <c r="G1312" t="s">
        <v>2787</v>
      </c>
      <c r="H1312" t="s">
        <v>3641</v>
      </c>
      <c r="I1312" s="13">
        <v>45117</v>
      </c>
      <c r="J1312">
        <v>0</v>
      </c>
      <c r="K1312" t="s">
        <v>177</v>
      </c>
      <c r="L1312" t="s">
        <v>139</v>
      </c>
      <c r="M1312" t="s">
        <v>421</v>
      </c>
      <c r="N1312" t="s">
        <v>2940</v>
      </c>
      <c r="O1312">
        <v>1</v>
      </c>
      <c r="P1312">
        <v>0.16</v>
      </c>
    </row>
    <row r="1313" spans="4:16" hidden="1" x14ac:dyDescent="0.25">
      <c r="D1313" t="s">
        <v>2941</v>
      </c>
      <c r="E1313" t="s">
        <v>135</v>
      </c>
      <c r="F1313" t="s">
        <v>379</v>
      </c>
      <c r="G1313" t="s">
        <v>2787</v>
      </c>
      <c r="H1313" t="s">
        <v>3641</v>
      </c>
      <c r="I1313" s="13">
        <v>45117</v>
      </c>
      <c r="J1313">
        <v>0</v>
      </c>
      <c r="K1313" t="s">
        <v>177</v>
      </c>
      <c r="L1313" t="s">
        <v>139</v>
      </c>
      <c r="M1313" t="s">
        <v>421</v>
      </c>
      <c r="N1313" t="s">
        <v>2942</v>
      </c>
      <c r="O1313">
        <v>1</v>
      </c>
      <c r="P1313">
        <v>0.16</v>
      </c>
    </row>
    <row r="1314" spans="4:16" hidden="1" x14ac:dyDescent="0.25">
      <c r="D1314" t="s">
        <v>2943</v>
      </c>
      <c r="E1314" t="s">
        <v>135</v>
      </c>
      <c r="F1314" t="s">
        <v>379</v>
      </c>
      <c r="G1314" t="s">
        <v>2787</v>
      </c>
      <c r="H1314" t="s">
        <v>3641</v>
      </c>
      <c r="I1314" s="13">
        <v>45117</v>
      </c>
      <c r="J1314">
        <v>0</v>
      </c>
      <c r="K1314" t="s">
        <v>177</v>
      </c>
      <c r="L1314" t="s">
        <v>139</v>
      </c>
      <c r="M1314" t="s">
        <v>421</v>
      </c>
      <c r="N1314" t="s">
        <v>2944</v>
      </c>
      <c r="O1314">
        <v>1</v>
      </c>
      <c r="P1314">
        <v>0.16</v>
      </c>
    </row>
    <row r="1315" spans="4:16" hidden="1" x14ac:dyDescent="0.25">
      <c r="D1315" t="s">
        <v>2945</v>
      </c>
      <c r="E1315" t="s">
        <v>135</v>
      </c>
      <c r="F1315" t="s">
        <v>379</v>
      </c>
      <c r="G1315" t="s">
        <v>2787</v>
      </c>
      <c r="H1315" t="s">
        <v>3641</v>
      </c>
      <c r="I1315" s="13">
        <v>45117</v>
      </c>
      <c r="J1315">
        <v>0</v>
      </c>
      <c r="K1315" t="s">
        <v>177</v>
      </c>
      <c r="L1315" t="s">
        <v>139</v>
      </c>
      <c r="M1315" t="s">
        <v>421</v>
      </c>
      <c r="N1315" t="s">
        <v>2946</v>
      </c>
      <c r="O1315">
        <v>1</v>
      </c>
      <c r="P1315">
        <v>0.16</v>
      </c>
    </row>
    <row r="1316" spans="4:16" hidden="1" x14ac:dyDescent="0.25">
      <c r="D1316" t="s">
        <v>2947</v>
      </c>
      <c r="E1316" t="s">
        <v>135</v>
      </c>
      <c r="F1316" t="s">
        <v>2464</v>
      </c>
      <c r="G1316" t="s">
        <v>2406</v>
      </c>
      <c r="H1316" t="s">
        <v>2862</v>
      </c>
      <c r="I1316" s="13">
        <v>45134</v>
      </c>
      <c r="J1316">
        <v>0</v>
      </c>
      <c r="K1316" t="s">
        <v>157</v>
      </c>
      <c r="L1316" t="s">
        <v>977</v>
      </c>
      <c r="M1316" t="s">
        <v>856</v>
      </c>
      <c r="N1316" t="s">
        <v>2948</v>
      </c>
      <c r="O1316">
        <v>1</v>
      </c>
      <c r="P1316">
        <v>0.11</v>
      </c>
    </row>
    <row r="1317" spans="4:16" hidden="1" x14ac:dyDescent="0.25">
      <c r="D1317" t="s">
        <v>905</v>
      </c>
      <c r="E1317" t="s">
        <v>135</v>
      </c>
      <c r="F1317" t="s">
        <v>143</v>
      </c>
      <c r="G1317" t="s">
        <v>2751</v>
      </c>
      <c r="H1317" t="s">
        <v>3641</v>
      </c>
      <c r="I1317" s="13">
        <v>45140</v>
      </c>
      <c r="J1317">
        <v>0</v>
      </c>
      <c r="K1317" t="s">
        <v>157</v>
      </c>
      <c r="L1317" t="s">
        <v>2949</v>
      </c>
      <c r="M1317" t="s">
        <v>320</v>
      </c>
      <c r="N1317" t="s">
        <v>2950</v>
      </c>
      <c r="O1317">
        <v>1</v>
      </c>
      <c r="P1317">
        <v>0.1</v>
      </c>
    </row>
    <row r="1318" spans="4:16" hidden="1" x14ac:dyDescent="0.25">
      <c r="D1318" t="s">
        <v>2951</v>
      </c>
      <c r="E1318" t="s">
        <v>135</v>
      </c>
      <c r="F1318" t="s">
        <v>143</v>
      </c>
      <c r="G1318" t="s">
        <v>2751</v>
      </c>
      <c r="H1318" t="s">
        <v>3641</v>
      </c>
      <c r="I1318" s="13">
        <v>45140</v>
      </c>
      <c r="J1318">
        <v>0</v>
      </c>
      <c r="K1318" t="s">
        <v>157</v>
      </c>
      <c r="L1318" t="s">
        <v>977</v>
      </c>
      <c r="M1318" t="s">
        <v>320</v>
      </c>
      <c r="N1318" t="s">
        <v>2952</v>
      </c>
      <c r="O1318">
        <v>1</v>
      </c>
      <c r="P1318">
        <v>0.1</v>
      </c>
    </row>
    <row r="1319" spans="4:16" hidden="1" x14ac:dyDescent="0.25">
      <c r="D1319" t="s">
        <v>2953</v>
      </c>
      <c r="E1319" t="s">
        <v>135</v>
      </c>
      <c r="F1319" t="s">
        <v>2954</v>
      </c>
      <c r="G1319" t="s">
        <v>2751</v>
      </c>
      <c r="H1319" t="s">
        <v>3641</v>
      </c>
      <c r="I1319" s="13">
        <v>45142</v>
      </c>
      <c r="J1319">
        <v>0</v>
      </c>
      <c r="K1319" t="s">
        <v>157</v>
      </c>
      <c r="L1319" t="s">
        <v>139</v>
      </c>
      <c r="M1319" t="s">
        <v>1430</v>
      </c>
      <c r="N1319" t="s">
        <v>2955</v>
      </c>
      <c r="O1319">
        <v>1</v>
      </c>
      <c r="P1319">
        <v>0.09</v>
      </c>
    </row>
    <row r="1320" spans="4:16" hidden="1" x14ac:dyDescent="0.25">
      <c r="D1320" t="s">
        <v>2956</v>
      </c>
      <c r="E1320" t="s">
        <v>135</v>
      </c>
      <c r="F1320" t="s">
        <v>2413</v>
      </c>
      <c r="G1320" t="s">
        <v>2751</v>
      </c>
      <c r="H1320" t="s">
        <v>3641</v>
      </c>
      <c r="I1320" s="13">
        <v>45155</v>
      </c>
      <c r="J1320">
        <v>0</v>
      </c>
      <c r="K1320" t="s">
        <v>157</v>
      </c>
      <c r="L1320" t="s">
        <v>977</v>
      </c>
      <c r="M1320" t="s">
        <v>216</v>
      </c>
      <c r="N1320" t="s">
        <v>2957</v>
      </c>
      <c r="O1320">
        <v>1</v>
      </c>
      <c r="P1320">
        <v>0.06</v>
      </c>
    </row>
    <row r="1321" spans="4:16" hidden="1" x14ac:dyDescent="0.25">
      <c r="D1321" t="s">
        <v>2958</v>
      </c>
      <c r="E1321" t="s">
        <v>135</v>
      </c>
      <c r="F1321" t="s">
        <v>379</v>
      </c>
      <c r="G1321" t="s">
        <v>2787</v>
      </c>
      <c r="H1321" t="s">
        <v>3641</v>
      </c>
      <c r="I1321" s="13">
        <v>45160</v>
      </c>
      <c r="J1321">
        <v>0</v>
      </c>
      <c r="K1321" t="s">
        <v>157</v>
      </c>
      <c r="L1321" t="s">
        <v>977</v>
      </c>
      <c r="M1321" t="s">
        <v>421</v>
      </c>
      <c r="N1321" t="s">
        <v>2959</v>
      </c>
      <c r="O1321">
        <v>1</v>
      </c>
      <c r="P1321">
        <v>0.04</v>
      </c>
    </row>
    <row r="1322" spans="4:16" hidden="1" x14ac:dyDescent="0.25">
      <c r="D1322" t="s">
        <v>2960</v>
      </c>
      <c r="E1322" t="s">
        <v>135</v>
      </c>
      <c r="F1322" t="s">
        <v>379</v>
      </c>
      <c r="G1322" t="s">
        <v>2787</v>
      </c>
      <c r="H1322" t="s">
        <v>3641</v>
      </c>
      <c r="I1322" s="13">
        <v>45160</v>
      </c>
      <c r="J1322">
        <v>0</v>
      </c>
      <c r="K1322" t="s">
        <v>157</v>
      </c>
      <c r="L1322" t="s">
        <v>977</v>
      </c>
      <c r="M1322" t="s">
        <v>421</v>
      </c>
      <c r="N1322" t="s">
        <v>2961</v>
      </c>
      <c r="O1322">
        <v>1</v>
      </c>
      <c r="P1322">
        <v>0.04</v>
      </c>
    </row>
    <row r="1323" spans="4:16" hidden="1" x14ac:dyDescent="0.25">
      <c r="D1323" t="s">
        <v>2962</v>
      </c>
      <c r="E1323" t="s">
        <v>135</v>
      </c>
      <c r="F1323" t="s">
        <v>379</v>
      </c>
      <c r="G1323" t="s">
        <v>2787</v>
      </c>
      <c r="H1323" t="s">
        <v>3641</v>
      </c>
      <c r="I1323" s="13">
        <v>45160</v>
      </c>
      <c r="J1323">
        <v>0</v>
      </c>
      <c r="K1323" t="s">
        <v>157</v>
      </c>
      <c r="L1323" t="s">
        <v>977</v>
      </c>
      <c r="M1323" t="s">
        <v>284</v>
      </c>
      <c r="N1323" t="s">
        <v>2963</v>
      </c>
      <c r="O1323">
        <v>1</v>
      </c>
      <c r="P1323">
        <v>0.04</v>
      </c>
    </row>
    <row r="1324" spans="4:16" hidden="1" x14ac:dyDescent="0.25">
      <c r="D1324" t="s">
        <v>2964</v>
      </c>
      <c r="E1324" t="s">
        <v>135</v>
      </c>
      <c r="F1324" t="s">
        <v>379</v>
      </c>
      <c r="G1324" t="s">
        <v>2787</v>
      </c>
      <c r="H1324" t="s">
        <v>3641</v>
      </c>
      <c r="I1324" s="13">
        <v>45160</v>
      </c>
      <c r="J1324">
        <v>0</v>
      </c>
      <c r="K1324" t="s">
        <v>157</v>
      </c>
      <c r="L1324" t="s">
        <v>977</v>
      </c>
      <c r="M1324" t="s">
        <v>146</v>
      </c>
      <c r="N1324" t="s">
        <v>2965</v>
      </c>
      <c r="O1324">
        <v>1</v>
      </c>
      <c r="P1324">
        <v>0.04</v>
      </c>
    </row>
    <row r="1325" spans="4:16" hidden="1" x14ac:dyDescent="0.25">
      <c r="D1325" t="s">
        <v>2966</v>
      </c>
      <c r="E1325" t="s">
        <v>135</v>
      </c>
      <c r="F1325" t="s">
        <v>379</v>
      </c>
      <c r="G1325" t="s">
        <v>2787</v>
      </c>
      <c r="H1325" t="s">
        <v>3641</v>
      </c>
      <c r="I1325" s="13">
        <v>45160</v>
      </c>
      <c r="J1325">
        <v>0</v>
      </c>
      <c r="K1325" t="s">
        <v>157</v>
      </c>
      <c r="L1325" t="s">
        <v>977</v>
      </c>
      <c r="M1325" t="s">
        <v>146</v>
      </c>
      <c r="N1325" t="s">
        <v>2967</v>
      </c>
      <c r="O1325">
        <v>1</v>
      </c>
      <c r="P1325">
        <v>0.04</v>
      </c>
    </row>
    <row r="1326" spans="4:16" hidden="1" x14ac:dyDescent="0.25">
      <c r="D1326" t="s">
        <v>2968</v>
      </c>
      <c r="E1326" t="s">
        <v>135</v>
      </c>
      <c r="F1326" t="s">
        <v>379</v>
      </c>
      <c r="G1326" t="s">
        <v>2787</v>
      </c>
      <c r="H1326" t="s">
        <v>3641</v>
      </c>
      <c r="I1326" s="13">
        <v>45160</v>
      </c>
      <c r="J1326">
        <v>0</v>
      </c>
      <c r="K1326" t="s">
        <v>157</v>
      </c>
      <c r="L1326" t="s">
        <v>977</v>
      </c>
      <c r="M1326" t="s">
        <v>421</v>
      </c>
      <c r="N1326" t="s">
        <v>2969</v>
      </c>
      <c r="O1326">
        <v>1</v>
      </c>
      <c r="P1326">
        <v>0.04</v>
      </c>
    </row>
    <row r="1327" spans="4:16" hidden="1" x14ac:dyDescent="0.25">
      <c r="D1327" t="s">
        <v>2970</v>
      </c>
      <c r="E1327" t="s">
        <v>135</v>
      </c>
      <c r="F1327" t="s">
        <v>379</v>
      </c>
      <c r="G1327" t="s">
        <v>2787</v>
      </c>
      <c r="H1327" t="s">
        <v>3641</v>
      </c>
      <c r="I1327" s="13">
        <v>45160</v>
      </c>
      <c r="J1327">
        <v>0</v>
      </c>
      <c r="K1327" t="s">
        <v>157</v>
      </c>
      <c r="L1327" t="s">
        <v>977</v>
      </c>
      <c r="M1327" t="s">
        <v>421</v>
      </c>
      <c r="N1327" t="s">
        <v>2971</v>
      </c>
      <c r="O1327">
        <v>1</v>
      </c>
      <c r="P1327">
        <v>0.04</v>
      </c>
    </row>
    <row r="1328" spans="4:16" hidden="1" x14ac:dyDescent="0.25">
      <c r="D1328" t="s">
        <v>2972</v>
      </c>
      <c r="E1328" t="s">
        <v>135</v>
      </c>
      <c r="F1328" t="s">
        <v>379</v>
      </c>
      <c r="G1328" t="s">
        <v>2787</v>
      </c>
      <c r="H1328" t="s">
        <v>3641</v>
      </c>
      <c r="I1328" s="13">
        <v>45160</v>
      </c>
      <c r="J1328">
        <v>0</v>
      </c>
      <c r="K1328" t="s">
        <v>157</v>
      </c>
      <c r="L1328" t="s">
        <v>977</v>
      </c>
      <c r="M1328" t="s">
        <v>421</v>
      </c>
      <c r="N1328" t="s">
        <v>2973</v>
      </c>
      <c r="O1328">
        <v>1</v>
      </c>
      <c r="P1328">
        <v>0.04</v>
      </c>
    </row>
    <row r="1329" spans="4:16" hidden="1" x14ac:dyDescent="0.25">
      <c r="D1329" t="s">
        <v>2974</v>
      </c>
      <c r="E1329" t="s">
        <v>135</v>
      </c>
      <c r="F1329" t="s">
        <v>379</v>
      </c>
      <c r="G1329" t="s">
        <v>2787</v>
      </c>
      <c r="H1329" t="s">
        <v>3641</v>
      </c>
      <c r="I1329" s="13">
        <v>45160</v>
      </c>
      <c r="J1329">
        <v>0</v>
      </c>
      <c r="K1329" t="s">
        <v>177</v>
      </c>
      <c r="L1329" t="s">
        <v>139</v>
      </c>
      <c r="M1329" t="s">
        <v>421</v>
      </c>
      <c r="N1329" t="s">
        <v>2975</v>
      </c>
      <c r="O1329">
        <v>1</v>
      </c>
      <c r="P1329">
        <v>0.04</v>
      </c>
    </row>
    <row r="1330" spans="4:16" hidden="1" x14ac:dyDescent="0.25">
      <c r="D1330" t="s">
        <v>2976</v>
      </c>
      <c r="E1330" t="s">
        <v>135</v>
      </c>
      <c r="F1330" t="s">
        <v>379</v>
      </c>
      <c r="G1330" t="s">
        <v>2787</v>
      </c>
      <c r="H1330" t="s">
        <v>3641</v>
      </c>
      <c r="I1330" s="13">
        <v>45169</v>
      </c>
      <c r="J1330">
        <v>0</v>
      </c>
      <c r="K1330" t="s">
        <v>157</v>
      </c>
      <c r="L1330" t="s">
        <v>977</v>
      </c>
      <c r="M1330" t="s">
        <v>421</v>
      </c>
      <c r="N1330" t="s">
        <v>2977</v>
      </c>
      <c r="O1330">
        <v>1</v>
      </c>
      <c r="P1330">
        <v>0.02</v>
      </c>
    </row>
    <row r="1331" spans="4:16" hidden="1" x14ac:dyDescent="0.25">
      <c r="D1331" t="s">
        <v>2978</v>
      </c>
      <c r="E1331" t="s">
        <v>135</v>
      </c>
      <c r="F1331" t="s">
        <v>149</v>
      </c>
      <c r="G1331" t="s">
        <v>2856</v>
      </c>
      <c r="H1331" t="s">
        <v>3641</v>
      </c>
      <c r="I1331" s="13">
        <v>45167</v>
      </c>
      <c r="J1331">
        <v>0</v>
      </c>
      <c r="K1331" t="s">
        <v>157</v>
      </c>
      <c r="L1331" t="s">
        <v>139</v>
      </c>
      <c r="M1331" t="s">
        <v>170</v>
      </c>
      <c r="N1331" t="s">
        <v>2979</v>
      </c>
      <c r="O1331">
        <v>1</v>
      </c>
      <c r="P1331">
        <v>0.02</v>
      </c>
    </row>
    <row r="1332" spans="4:16" hidden="1" x14ac:dyDescent="0.25">
      <c r="D1332" t="s">
        <v>2980</v>
      </c>
      <c r="E1332" t="s">
        <v>135</v>
      </c>
      <c r="F1332" t="s">
        <v>379</v>
      </c>
      <c r="G1332" t="s">
        <v>2850</v>
      </c>
      <c r="H1332" t="s">
        <v>3641</v>
      </c>
      <c r="I1332" s="13">
        <v>45170</v>
      </c>
      <c r="J1332">
        <v>0</v>
      </c>
      <c r="K1332" t="s">
        <v>157</v>
      </c>
      <c r="L1332" t="s">
        <v>977</v>
      </c>
      <c r="M1332" t="s">
        <v>204</v>
      </c>
      <c r="N1332" t="s">
        <v>2981</v>
      </c>
      <c r="O1332">
        <v>1</v>
      </c>
      <c r="P1332">
        <v>0.01</v>
      </c>
    </row>
    <row r="1333" spans="4:16" hidden="1" x14ac:dyDescent="0.25">
      <c r="D1333" t="s">
        <v>2982</v>
      </c>
      <c r="E1333" t="s">
        <v>2983</v>
      </c>
      <c r="F1333" t="s">
        <v>149</v>
      </c>
      <c r="G1333" t="s">
        <v>149</v>
      </c>
      <c r="H1333" t="s">
        <v>137</v>
      </c>
      <c r="I1333" s="13">
        <v>38952</v>
      </c>
      <c r="J1333">
        <v>17</v>
      </c>
      <c r="K1333" t="s">
        <v>138</v>
      </c>
      <c r="L1333" t="s">
        <v>164</v>
      </c>
      <c r="M1333" t="s">
        <v>140</v>
      </c>
      <c r="N1333" t="s">
        <v>2984</v>
      </c>
      <c r="O1333">
        <v>1</v>
      </c>
      <c r="P1333">
        <v>17.05</v>
      </c>
    </row>
    <row r="1334" spans="4:16" hidden="1" x14ac:dyDescent="0.25">
      <c r="D1334" t="s">
        <v>2985</v>
      </c>
      <c r="E1334" t="s">
        <v>2983</v>
      </c>
      <c r="F1334" t="s">
        <v>149</v>
      </c>
      <c r="G1334" t="s">
        <v>2986</v>
      </c>
      <c r="H1334" t="s">
        <v>137</v>
      </c>
      <c r="I1334" s="13">
        <v>38952</v>
      </c>
      <c r="J1334">
        <v>17</v>
      </c>
      <c r="K1334" t="s">
        <v>145</v>
      </c>
      <c r="L1334" t="s">
        <v>139</v>
      </c>
      <c r="M1334" t="s">
        <v>140</v>
      </c>
      <c r="N1334" t="s">
        <v>2987</v>
      </c>
      <c r="O1334">
        <v>1</v>
      </c>
      <c r="P1334">
        <v>17.05</v>
      </c>
    </row>
    <row r="1335" spans="4:16" hidden="1" x14ac:dyDescent="0.25">
      <c r="D1335" t="s">
        <v>2988</v>
      </c>
      <c r="E1335" t="s">
        <v>2983</v>
      </c>
      <c r="F1335" t="s">
        <v>143</v>
      </c>
      <c r="G1335" t="s">
        <v>144</v>
      </c>
      <c r="H1335" t="s">
        <v>239</v>
      </c>
      <c r="I1335" s="13">
        <v>39223</v>
      </c>
      <c r="J1335">
        <v>16</v>
      </c>
      <c r="K1335" t="s">
        <v>177</v>
      </c>
      <c r="L1335" t="s">
        <v>139</v>
      </c>
      <c r="M1335" t="s">
        <v>391</v>
      </c>
      <c r="N1335" t="s">
        <v>2989</v>
      </c>
      <c r="O1335">
        <v>1</v>
      </c>
      <c r="P1335">
        <v>16.309999999999999</v>
      </c>
    </row>
    <row r="1336" spans="4:16" hidden="1" x14ac:dyDescent="0.25">
      <c r="D1336" t="s">
        <v>2990</v>
      </c>
      <c r="E1336" t="s">
        <v>2983</v>
      </c>
      <c r="F1336" t="s">
        <v>143</v>
      </c>
      <c r="G1336" t="s">
        <v>144</v>
      </c>
      <c r="H1336" t="s">
        <v>239</v>
      </c>
      <c r="I1336" s="13">
        <v>39223</v>
      </c>
      <c r="J1336">
        <v>16</v>
      </c>
      <c r="K1336" t="s">
        <v>177</v>
      </c>
      <c r="L1336" t="s">
        <v>139</v>
      </c>
      <c r="M1336" t="s">
        <v>391</v>
      </c>
      <c r="N1336" t="s">
        <v>2991</v>
      </c>
      <c r="O1336">
        <v>1</v>
      </c>
      <c r="P1336">
        <v>16.309999999999999</v>
      </c>
    </row>
    <row r="1337" spans="4:16" hidden="1" x14ac:dyDescent="0.25">
      <c r="D1337" t="s">
        <v>2992</v>
      </c>
      <c r="E1337" t="s">
        <v>2983</v>
      </c>
      <c r="F1337" t="s">
        <v>143</v>
      </c>
      <c r="G1337" t="s">
        <v>723</v>
      </c>
      <c r="H1337" t="s">
        <v>239</v>
      </c>
      <c r="I1337" s="13">
        <v>39233</v>
      </c>
      <c r="J1337">
        <v>16</v>
      </c>
      <c r="K1337" t="s">
        <v>177</v>
      </c>
      <c r="L1337" t="s">
        <v>139</v>
      </c>
      <c r="M1337" t="s">
        <v>391</v>
      </c>
      <c r="N1337" t="s">
        <v>2993</v>
      </c>
      <c r="O1337">
        <v>1</v>
      </c>
      <c r="P1337">
        <v>16.28</v>
      </c>
    </row>
    <row r="1338" spans="4:16" hidden="1" x14ac:dyDescent="0.25">
      <c r="D1338" t="s">
        <v>2994</v>
      </c>
      <c r="E1338" t="s">
        <v>2983</v>
      </c>
      <c r="F1338" t="s">
        <v>143</v>
      </c>
      <c r="G1338" t="s">
        <v>144</v>
      </c>
      <c r="H1338" t="s">
        <v>239</v>
      </c>
      <c r="I1338" s="13">
        <v>39233</v>
      </c>
      <c r="J1338">
        <v>16</v>
      </c>
      <c r="K1338" t="s">
        <v>177</v>
      </c>
      <c r="L1338" t="s">
        <v>139</v>
      </c>
      <c r="M1338" t="s">
        <v>391</v>
      </c>
      <c r="N1338" t="s">
        <v>2995</v>
      </c>
      <c r="O1338">
        <v>1</v>
      </c>
      <c r="P1338">
        <v>16.28</v>
      </c>
    </row>
    <row r="1339" spans="4:16" hidden="1" x14ac:dyDescent="0.25">
      <c r="D1339" t="s">
        <v>2996</v>
      </c>
      <c r="E1339" t="s">
        <v>2983</v>
      </c>
      <c r="F1339" t="s">
        <v>143</v>
      </c>
      <c r="G1339" t="s">
        <v>144</v>
      </c>
      <c r="H1339" t="s">
        <v>239</v>
      </c>
      <c r="I1339" s="13">
        <v>39268</v>
      </c>
      <c r="J1339">
        <v>16</v>
      </c>
      <c r="K1339" t="s">
        <v>177</v>
      </c>
      <c r="L1339" t="s">
        <v>139</v>
      </c>
      <c r="M1339" t="s">
        <v>391</v>
      </c>
      <c r="N1339" t="s">
        <v>2997</v>
      </c>
      <c r="O1339">
        <v>1</v>
      </c>
      <c r="P1339">
        <v>16.18</v>
      </c>
    </row>
    <row r="1340" spans="4:16" hidden="1" x14ac:dyDescent="0.25">
      <c r="D1340" t="s">
        <v>2998</v>
      </c>
      <c r="E1340" t="s">
        <v>2983</v>
      </c>
      <c r="F1340" t="s">
        <v>143</v>
      </c>
      <c r="G1340" t="s">
        <v>144</v>
      </c>
      <c r="H1340" t="s">
        <v>239</v>
      </c>
      <c r="I1340" s="13">
        <v>39289</v>
      </c>
      <c r="J1340">
        <v>16</v>
      </c>
      <c r="K1340" t="s">
        <v>177</v>
      </c>
      <c r="L1340" t="s">
        <v>139</v>
      </c>
      <c r="M1340" t="s">
        <v>391</v>
      </c>
      <c r="N1340" t="s">
        <v>2999</v>
      </c>
      <c r="O1340">
        <v>1</v>
      </c>
      <c r="P1340">
        <v>16.13</v>
      </c>
    </row>
    <row r="1341" spans="4:16" hidden="1" x14ac:dyDescent="0.25">
      <c r="D1341" t="s">
        <v>3000</v>
      </c>
      <c r="E1341" t="s">
        <v>2983</v>
      </c>
      <c r="F1341" t="s">
        <v>143</v>
      </c>
      <c r="G1341" t="s">
        <v>144</v>
      </c>
      <c r="H1341" t="s">
        <v>239</v>
      </c>
      <c r="I1341" s="13">
        <v>39287</v>
      </c>
      <c r="J1341">
        <v>16</v>
      </c>
      <c r="K1341" t="s">
        <v>177</v>
      </c>
      <c r="L1341" t="s">
        <v>139</v>
      </c>
      <c r="M1341" t="s">
        <v>391</v>
      </c>
      <c r="N1341" t="s">
        <v>3001</v>
      </c>
      <c r="O1341">
        <v>1</v>
      </c>
      <c r="P1341">
        <v>16.13</v>
      </c>
    </row>
    <row r="1342" spans="4:16" hidden="1" x14ac:dyDescent="0.25">
      <c r="D1342" t="s">
        <v>3002</v>
      </c>
      <c r="E1342" t="s">
        <v>2983</v>
      </c>
      <c r="F1342" t="s">
        <v>149</v>
      </c>
      <c r="G1342" t="s">
        <v>149</v>
      </c>
      <c r="H1342" t="s">
        <v>239</v>
      </c>
      <c r="I1342" s="13">
        <v>40186</v>
      </c>
      <c r="J1342">
        <v>14</v>
      </c>
      <c r="K1342" t="s">
        <v>177</v>
      </c>
      <c r="L1342" t="s">
        <v>164</v>
      </c>
      <c r="M1342" t="s">
        <v>140</v>
      </c>
      <c r="N1342" t="s">
        <v>3003</v>
      </c>
      <c r="O1342">
        <v>1</v>
      </c>
      <c r="P1342">
        <v>13.67</v>
      </c>
    </row>
    <row r="1343" spans="4:16" hidden="1" x14ac:dyDescent="0.25">
      <c r="D1343" t="s">
        <v>3004</v>
      </c>
      <c r="E1343" t="s">
        <v>2983</v>
      </c>
      <c r="F1343" t="s">
        <v>149</v>
      </c>
      <c r="G1343" t="s">
        <v>149</v>
      </c>
      <c r="H1343" t="s">
        <v>239</v>
      </c>
      <c r="I1343" s="13">
        <v>40186</v>
      </c>
      <c r="J1343">
        <v>14</v>
      </c>
      <c r="K1343" t="s">
        <v>145</v>
      </c>
      <c r="L1343" t="s">
        <v>164</v>
      </c>
      <c r="M1343" t="s">
        <v>140</v>
      </c>
      <c r="N1343" t="s">
        <v>3005</v>
      </c>
      <c r="O1343">
        <v>1</v>
      </c>
      <c r="P1343">
        <v>13.67</v>
      </c>
    </row>
    <row r="1344" spans="4:16" hidden="1" x14ac:dyDescent="0.25">
      <c r="D1344" t="s">
        <v>3006</v>
      </c>
      <c r="E1344" t="s">
        <v>2983</v>
      </c>
      <c r="F1344" t="s">
        <v>149</v>
      </c>
      <c r="G1344" t="s">
        <v>2986</v>
      </c>
      <c r="H1344" t="s">
        <v>239</v>
      </c>
      <c r="I1344" s="13">
        <v>40186</v>
      </c>
      <c r="J1344">
        <v>14</v>
      </c>
      <c r="K1344" t="s">
        <v>177</v>
      </c>
      <c r="L1344" t="s">
        <v>164</v>
      </c>
      <c r="M1344" t="s">
        <v>140</v>
      </c>
      <c r="N1344" t="s">
        <v>3007</v>
      </c>
      <c r="O1344">
        <v>1</v>
      </c>
      <c r="P1344">
        <v>13.67</v>
      </c>
    </row>
    <row r="1345" spans="4:16" hidden="1" x14ac:dyDescent="0.25">
      <c r="D1345" t="s">
        <v>3008</v>
      </c>
      <c r="E1345" t="s">
        <v>2983</v>
      </c>
      <c r="F1345" t="s">
        <v>149</v>
      </c>
      <c r="G1345" t="s">
        <v>2986</v>
      </c>
      <c r="H1345" t="s">
        <v>239</v>
      </c>
      <c r="I1345" s="13">
        <v>40186</v>
      </c>
      <c r="J1345">
        <v>14</v>
      </c>
      <c r="K1345" t="s">
        <v>145</v>
      </c>
      <c r="L1345" t="s">
        <v>139</v>
      </c>
      <c r="M1345" t="s">
        <v>140</v>
      </c>
      <c r="N1345" t="s">
        <v>3009</v>
      </c>
      <c r="O1345">
        <v>1</v>
      </c>
      <c r="P1345">
        <v>13.67</v>
      </c>
    </row>
    <row r="1346" spans="4:16" hidden="1" x14ac:dyDescent="0.25">
      <c r="D1346" t="s">
        <v>3010</v>
      </c>
      <c r="E1346" t="s">
        <v>2983</v>
      </c>
      <c r="F1346" t="s">
        <v>149</v>
      </c>
      <c r="G1346" t="s">
        <v>3011</v>
      </c>
      <c r="H1346" t="s">
        <v>239</v>
      </c>
      <c r="I1346" s="13">
        <v>40186</v>
      </c>
      <c r="J1346">
        <v>14</v>
      </c>
      <c r="K1346" t="s">
        <v>177</v>
      </c>
      <c r="L1346" t="s">
        <v>139</v>
      </c>
      <c r="M1346" t="s">
        <v>227</v>
      </c>
      <c r="N1346" t="s">
        <v>3012</v>
      </c>
      <c r="O1346">
        <v>1</v>
      </c>
      <c r="P1346">
        <v>13.67</v>
      </c>
    </row>
    <row r="1347" spans="4:16" hidden="1" x14ac:dyDescent="0.25">
      <c r="D1347" t="s">
        <v>3013</v>
      </c>
      <c r="E1347" t="s">
        <v>2983</v>
      </c>
      <c r="F1347" t="s">
        <v>149</v>
      </c>
      <c r="G1347" t="s">
        <v>149</v>
      </c>
      <c r="H1347" t="s">
        <v>239</v>
      </c>
      <c r="I1347" s="13">
        <v>40186</v>
      </c>
      <c r="J1347">
        <v>14</v>
      </c>
      <c r="K1347" t="s">
        <v>177</v>
      </c>
      <c r="L1347" t="s">
        <v>139</v>
      </c>
      <c r="M1347" t="s">
        <v>227</v>
      </c>
      <c r="N1347" t="s">
        <v>3014</v>
      </c>
      <c r="O1347">
        <v>1</v>
      </c>
      <c r="P1347">
        <v>13.67</v>
      </c>
    </row>
    <row r="1348" spans="4:16" x14ac:dyDescent="0.25">
      <c r="D1348" t="s">
        <v>3015</v>
      </c>
      <c r="E1348" t="s">
        <v>2983</v>
      </c>
      <c r="F1348" t="s">
        <v>379</v>
      </c>
      <c r="G1348" t="s">
        <v>379</v>
      </c>
      <c r="H1348" t="s">
        <v>1218</v>
      </c>
      <c r="I1348" s="13">
        <v>41939</v>
      </c>
      <c r="J1348">
        <v>9</v>
      </c>
      <c r="K1348" t="s">
        <v>177</v>
      </c>
      <c r="L1348" t="s">
        <v>139</v>
      </c>
      <c r="M1348" t="s">
        <v>140</v>
      </c>
      <c r="N1348" t="s">
        <v>3016</v>
      </c>
      <c r="O1348">
        <v>1</v>
      </c>
      <c r="P1348">
        <v>8.8699999999999992</v>
      </c>
    </row>
    <row r="1349" spans="4:16" x14ac:dyDescent="0.25">
      <c r="D1349" t="s">
        <v>3017</v>
      </c>
      <c r="E1349" t="s">
        <v>2983</v>
      </c>
      <c r="F1349" t="s">
        <v>379</v>
      </c>
      <c r="G1349" t="s">
        <v>3018</v>
      </c>
      <c r="H1349" t="s">
        <v>1218</v>
      </c>
      <c r="I1349" s="13">
        <v>41936</v>
      </c>
      <c r="J1349">
        <v>9</v>
      </c>
      <c r="K1349" t="s">
        <v>177</v>
      </c>
      <c r="L1349" t="s">
        <v>139</v>
      </c>
      <c r="M1349" t="s">
        <v>140</v>
      </c>
      <c r="N1349" t="s">
        <v>3019</v>
      </c>
      <c r="O1349">
        <v>1</v>
      </c>
      <c r="P1349">
        <v>8.8699999999999992</v>
      </c>
    </row>
    <row r="1350" spans="4:16" x14ac:dyDescent="0.25">
      <c r="D1350" t="s">
        <v>3020</v>
      </c>
      <c r="E1350" t="s">
        <v>2983</v>
      </c>
      <c r="F1350" t="s">
        <v>1247</v>
      </c>
      <c r="G1350" t="s">
        <v>3021</v>
      </c>
      <c r="H1350" t="s">
        <v>1218</v>
      </c>
      <c r="I1350" s="13">
        <v>42045</v>
      </c>
      <c r="J1350">
        <v>9</v>
      </c>
      <c r="K1350" t="s">
        <v>177</v>
      </c>
      <c r="L1350" t="s">
        <v>139</v>
      </c>
      <c r="M1350" t="s">
        <v>146</v>
      </c>
      <c r="N1350" t="s">
        <v>3022</v>
      </c>
      <c r="O1350">
        <v>1</v>
      </c>
      <c r="P1350">
        <v>8.58</v>
      </c>
    </row>
    <row r="1351" spans="4:16" x14ac:dyDescent="0.25">
      <c r="D1351" t="s">
        <v>3023</v>
      </c>
      <c r="E1351" t="s">
        <v>2983</v>
      </c>
      <c r="F1351" t="s">
        <v>379</v>
      </c>
      <c r="G1351" t="s">
        <v>379</v>
      </c>
      <c r="H1351" t="s">
        <v>1218</v>
      </c>
      <c r="I1351" s="13">
        <v>42527</v>
      </c>
      <c r="J1351">
        <v>7</v>
      </c>
      <c r="K1351" t="s">
        <v>177</v>
      </c>
      <c r="L1351" t="s">
        <v>139</v>
      </c>
      <c r="M1351" t="s">
        <v>140</v>
      </c>
      <c r="N1351" t="s">
        <v>3024</v>
      </c>
      <c r="O1351">
        <v>1</v>
      </c>
      <c r="P1351">
        <v>7.26</v>
      </c>
    </row>
    <row r="1352" spans="4:16" x14ac:dyDescent="0.25">
      <c r="D1352" t="s">
        <v>3025</v>
      </c>
      <c r="E1352" t="s">
        <v>2983</v>
      </c>
      <c r="F1352" t="s">
        <v>2185</v>
      </c>
      <c r="G1352" t="s">
        <v>3026</v>
      </c>
      <c r="H1352" t="s">
        <v>1218</v>
      </c>
      <c r="I1352" s="13">
        <v>42712</v>
      </c>
      <c r="J1352">
        <v>7</v>
      </c>
      <c r="K1352" t="s">
        <v>177</v>
      </c>
      <c r="L1352" t="s">
        <v>139</v>
      </c>
      <c r="M1352" t="s">
        <v>421</v>
      </c>
      <c r="N1352" t="s">
        <v>3027</v>
      </c>
      <c r="O1352">
        <v>1</v>
      </c>
      <c r="P1352">
        <v>6.75</v>
      </c>
    </row>
    <row r="1353" spans="4:16" x14ac:dyDescent="0.25">
      <c r="D1353" t="s">
        <v>3028</v>
      </c>
      <c r="E1353" t="s">
        <v>2983</v>
      </c>
      <c r="F1353" t="s">
        <v>2185</v>
      </c>
      <c r="G1353" t="s">
        <v>3026</v>
      </c>
      <c r="H1353" t="s">
        <v>1218</v>
      </c>
      <c r="I1353" s="13">
        <v>42712</v>
      </c>
      <c r="J1353">
        <v>7</v>
      </c>
      <c r="K1353" t="s">
        <v>177</v>
      </c>
      <c r="L1353" t="s">
        <v>139</v>
      </c>
      <c r="M1353" t="s">
        <v>421</v>
      </c>
      <c r="N1353" t="s">
        <v>3029</v>
      </c>
      <c r="O1353">
        <v>1</v>
      </c>
      <c r="P1353">
        <v>6.75</v>
      </c>
    </row>
    <row r="1354" spans="4:16" hidden="1" x14ac:dyDescent="0.25">
      <c r="D1354" t="s">
        <v>3030</v>
      </c>
      <c r="E1354" t="s">
        <v>2983</v>
      </c>
      <c r="F1354" t="s">
        <v>181</v>
      </c>
      <c r="G1354" t="s">
        <v>795</v>
      </c>
      <c r="H1354" t="s">
        <v>3641</v>
      </c>
      <c r="I1354" s="13">
        <v>44861</v>
      </c>
      <c r="J1354">
        <v>1</v>
      </c>
      <c r="K1354" t="s">
        <v>157</v>
      </c>
      <c r="L1354" t="s">
        <v>977</v>
      </c>
      <c r="M1354" t="s">
        <v>140</v>
      </c>
      <c r="N1354" t="s">
        <v>3031</v>
      </c>
      <c r="O1354">
        <v>1</v>
      </c>
      <c r="P1354">
        <v>0.86</v>
      </c>
    </row>
    <row r="1355" spans="4:16" hidden="1" x14ac:dyDescent="0.25">
      <c r="D1355" t="s">
        <v>3032</v>
      </c>
      <c r="E1355" t="s">
        <v>2983</v>
      </c>
      <c r="F1355" t="s">
        <v>181</v>
      </c>
      <c r="G1355" t="s">
        <v>795</v>
      </c>
      <c r="H1355" t="s">
        <v>3641</v>
      </c>
      <c r="I1355" s="13">
        <v>44861</v>
      </c>
      <c r="J1355">
        <v>1</v>
      </c>
      <c r="K1355" t="s">
        <v>157</v>
      </c>
      <c r="L1355" t="s">
        <v>977</v>
      </c>
      <c r="M1355" t="s">
        <v>140</v>
      </c>
      <c r="N1355" t="s">
        <v>3033</v>
      </c>
      <c r="O1355">
        <v>1</v>
      </c>
      <c r="P1355">
        <v>0.86</v>
      </c>
    </row>
    <row r="1356" spans="4:16" hidden="1" x14ac:dyDescent="0.25">
      <c r="D1356" t="s">
        <v>3034</v>
      </c>
      <c r="E1356" t="s">
        <v>2983</v>
      </c>
      <c r="F1356" t="s">
        <v>181</v>
      </c>
      <c r="G1356" t="s">
        <v>795</v>
      </c>
      <c r="H1356" t="s">
        <v>3641</v>
      </c>
      <c r="I1356" s="13">
        <v>44861</v>
      </c>
      <c r="J1356">
        <v>1</v>
      </c>
      <c r="K1356" t="s">
        <v>157</v>
      </c>
      <c r="L1356" t="s">
        <v>977</v>
      </c>
      <c r="M1356" t="s">
        <v>140</v>
      </c>
      <c r="N1356" t="s">
        <v>3035</v>
      </c>
      <c r="O1356">
        <v>1</v>
      </c>
      <c r="P1356">
        <v>0.86</v>
      </c>
    </row>
    <row r="1357" spans="4:16" hidden="1" x14ac:dyDescent="0.25">
      <c r="D1357" t="s">
        <v>3036</v>
      </c>
      <c r="E1357" t="s">
        <v>2983</v>
      </c>
      <c r="F1357" t="s">
        <v>181</v>
      </c>
      <c r="G1357" t="s">
        <v>795</v>
      </c>
      <c r="H1357" t="s">
        <v>3641</v>
      </c>
      <c r="I1357" s="13">
        <v>44861</v>
      </c>
      <c r="J1357">
        <v>1</v>
      </c>
      <c r="K1357" t="s">
        <v>157</v>
      </c>
      <c r="L1357" t="s">
        <v>977</v>
      </c>
      <c r="M1357" t="s">
        <v>140</v>
      </c>
      <c r="N1357" t="s">
        <v>3037</v>
      </c>
      <c r="O1357">
        <v>1</v>
      </c>
      <c r="P1357">
        <v>0.86</v>
      </c>
    </row>
    <row r="1358" spans="4:16" hidden="1" x14ac:dyDescent="0.25">
      <c r="D1358" t="s">
        <v>3038</v>
      </c>
      <c r="E1358" t="s">
        <v>2983</v>
      </c>
      <c r="F1358" t="s">
        <v>181</v>
      </c>
      <c r="G1358" t="s">
        <v>795</v>
      </c>
      <c r="H1358" t="s">
        <v>3641</v>
      </c>
      <c r="I1358" s="13">
        <v>44861</v>
      </c>
      <c r="J1358">
        <v>1</v>
      </c>
      <c r="K1358" t="s">
        <v>157</v>
      </c>
      <c r="L1358" t="s">
        <v>977</v>
      </c>
      <c r="M1358" t="s">
        <v>140</v>
      </c>
      <c r="N1358" t="s">
        <v>3039</v>
      </c>
      <c r="O1358">
        <v>1</v>
      </c>
      <c r="P1358">
        <v>0.86</v>
      </c>
    </row>
    <row r="1359" spans="4:16" x14ac:dyDescent="0.25">
      <c r="D1359" t="s">
        <v>3040</v>
      </c>
      <c r="E1359" t="s">
        <v>2983</v>
      </c>
      <c r="F1359" t="s">
        <v>3041</v>
      </c>
      <c r="G1359" t="s">
        <v>3042</v>
      </c>
      <c r="H1359" t="s">
        <v>1218</v>
      </c>
      <c r="I1359" s="13">
        <v>45112</v>
      </c>
      <c r="J1359">
        <v>0</v>
      </c>
      <c r="K1359" t="s">
        <v>157</v>
      </c>
      <c r="L1359" t="s">
        <v>977</v>
      </c>
      <c r="M1359" t="s">
        <v>490</v>
      </c>
      <c r="N1359" t="s">
        <v>3043</v>
      </c>
      <c r="O1359">
        <v>1</v>
      </c>
      <c r="P1359">
        <v>0.17</v>
      </c>
    </row>
    <row r="1360" spans="4:16" x14ac:dyDescent="0.25">
      <c r="D1360" t="s">
        <v>3044</v>
      </c>
      <c r="E1360" t="s">
        <v>2983</v>
      </c>
      <c r="F1360" t="s">
        <v>3041</v>
      </c>
      <c r="G1360" t="s">
        <v>3042</v>
      </c>
      <c r="H1360" t="s">
        <v>1218</v>
      </c>
      <c r="I1360" s="13">
        <v>45112</v>
      </c>
      <c r="J1360">
        <v>0</v>
      </c>
      <c r="K1360" t="s">
        <v>177</v>
      </c>
      <c r="L1360" t="s">
        <v>139</v>
      </c>
      <c r="M1360" t="s">
        <v>490</v>
      </c>
      <c r="N1360" t="s">
        <v>3045</v>
      </c>
      <c r="O1360">
        <v>1</v>
      </c>
      <c r="P1360">
        <v>0.17</v>
      </c>
    </row>
    <row r="1361" spans="4:16" hidden="1" x14ac:dyDescent="0.25">
      <c r="D1361" t="s">
        <v>3046</v>
      </c>
      <c r="E1361" t="s">
        <v>3047</v>
      </c>
      <c r="F1361" t="s">
        <v>143</v>
      </c>
      <c r="G1361" t="s">
        <v>3048</v>
      </c>
      <c r="H1361" t="s">
        <v>137</v>
      </c>
      <c r="I1361" s="13">
        <v>38384</v>
      </c>
      <c r="J1361">
        <v>19</v>
      </c>
      <c r="K1361" t="s">
        <v>145</v>
      </c>
      <c r="L1361" t="s">
        <v>139</v>
      </c>
      <c r="M1361" t="s">
        <v>268</v>
      </c>
      <c r="N1361" t="s">
        <v>3049</v>
      </c>
      <c r="O1361">
        <v>1</v>
      </c>
      <c r="P1361">
        <v>18.61</v>
      </c>
    </row>
    <row r="1362" spans="4:16" hidden="1" x14ac:dyDescent="0.25">
      <c r="D1362" t="s">
        <v>3050</v>
      </c>
      <c r="E1362" t="s">
        <v>3047</v>
      </c>
      <c r="F1362" t="s">
        <v>149</v>
      </c>
      <c r="G1362" t="s">
        <v>3051</v>
      </c>
      <c r="H1362" t="s">
        <v>137</v>
      </c>
      <c r="I1362" s="13">
        <v>38545</v>
      </c>
      <c r="J1362">
        <v>18</v>
      </c>
      <c r="K1362" t="s">
        <v>145</v>
      </c>
      <c r="L1362" t="s">
        <v>164</v>
      </c>
      <c r="M1362" t="s">
        <v>146</v>
      </c>
      <c r="N1362" t="s">
        <v>3052</v>
      </c>
      <c r="O1362">
        <v>1</v>
      </c>
      <c r="P1362">
        <v>18.16</v>
      </c>
    </row>
    <row r="1363" spans="4:16" hidden="1" x14ac:dyDescent="0.25">
      <c r="D1363" t="s">
        <v>3053</v>
      </c>
      <c r="E1363" t="s">
        <v>3047</v>
      </c>
      <c r="F1363" t="s">
        <v>149</v>
      </c>
      <c r="G1363" t="s">
        <v>3051</v>
      </c>
      <c r="H1363" t="s">
        <v>137</v>
      </c>
      <c r="I1363" s="13">
        <v>38595</v>
      </c>
      <c r="J1363">
        <v>18</v>
      </c>
      <c r="K1363" t="s">
        <v>145</v>
      </c>
      <c r="L1363" t="s">
        <v>139</v>
      </c>
      <c r="M1363" t="s">
        <v>193</v>
      </c>
      <c r="N1363" t="s">
        <v>3054</v>
      </c>
      <c r="O1363">
        <v>1</v>
      </c>
      <c r="P1363">
        <v>18.03</v>
      </c>
    </row>
    <row r="1364" spans="4:16" hidden="1" x14ac:dyDescent="0.25">
      <c r="D1364" t="s">
        <v>3055</v>
      </c>
      <c r="E1364" t="s">
        <v>3047</v>
      </c>
      <c r="F1364" t="s">
        <v>149</v>
      </c>
      <c r="G1364" t="s">
        <v>3051</v>
      </c>
      <c r="H1364" t="s">
        <v>137</v>
      </c>
      <c r="I1364" s="13">
        <v>38595</v>
      </c>
      <c r="J1364">
        <v>18</v>
      </c>
      <c r="K1364" t="s">
        <v>177</v>
      </c>
      <c r="L1364" t="s">
        <v>139</v>
      </c>
      <c r="M1364" t="s">
        <v>216</v>
      </c>
      <c r="N1364" t="s">
        <v>3056</v>
      </c>
      <c r="O1364">
        <v>1</v>
      </c>
      <c r="P1364">
        <v>18.03</v>
      </c>
    </row>
    <row r="1365" spans="4:16" hidden="1" x14ac:dyDescent="0.25">
      <c r="D1365" t="s">
        <v>3057</v>
      </c>
      <c r="E1365" t="s">
        <v>3047</v>
      </c>
      <c r="F1365" t="s">
        <v>149</v>
      </c>
      <c r="G1365" t="s">
        <v>3051</v>
      </c>
      <c r="H1365" t="s">
        <v>137</v>
      </c>
      <c r="I1365" s="13">
        <v>38733</v>
      </c>
      <c r="J1365">
        <v>18</v>
      </c>
      <c r="K1365" t="s">
        <v>177</v>
      </c>
      <c r="L1365" t="s">
        <v>164</v>
      </c>
      <c r="M1365" t="s">
        <v>193</v>
      </c>
      <c r="N1365" t="s">
        <v>3058</v>
      </c>
      <c r="O1365">
        <v>1</v>
      </c>
      <c r="P1365">
        <v>17.649999999999999</v>
      </c>
    </row>
    <row r="1366" spans="4:16" hidden="1" x14ac:dyDescent="0.25">
      <c r="D1366" t="s">
        <v>3059</v>
      </c>
      <c r="E1366" t="s">
        <v>3047</v>
      </c>
      <c r="F1366" t="s">
        <v>149</v>
      </c>
      <c r="G1366" t="s">
        <v>3051</v>
      </c>
      <c r="H1366" t="s">
        <v>137</v>
      </c>
      <c r="I1366" s="13">
        <v>38733</v>
      </c>
      <c r="J1366">
        <v>18</v>
      </c>
      <c r="K1366" t="s">
        <v>177</v>
      </c>
      <c r="L1366" t="s">
        <v>164</v>
      </c>
      <c r="M1366" t="s">
        <v>216</v>
      </c>
      <c r="N1366" t="s">
        <v>3060</v>
      </c>
      <c r="O1366">
        <v>1</v>
      </c>
      <c r="P1366">
        <v>17.649999999999999</v>
      </c>
    </row>
    <row r="1367" spans="4:16" hidden="1" x14ac:dyDescent="0.25">
      <c r="D1367" t="s">
        <v>3061</v>
      </c>
      <c r="E1367" t="s">
        <v>3047</v>
      </c>
      <c r="F1367" t="s">
        <v>143</v>
      </c>
      <c r="G1367" t="s">
        <v>221</v>
      </c>
      <c r="H1367" t="s">
        <v>137</v>
      </c>
      <c r="I1367" s="13">
        <v>38890</v>
      </c>
      <c r="J1367">
        <v>17</v>
      </c>
      <c r="K1367" t="s">
        <v>145</v>
      </c>
      <c r="L1367" t="s">
        <v>139</v>
      </c>
      <c r="M1367" t="s">
        <v>140</v>
      </c>
      <c r="N1367" t="s">
        <v>3062</v>
      </c>
      <c r="O1367">
        <v>1</v>
      </c>
      <c r="P1367">
        <v>17.22</v>
      </c>
    </row>
    <row r="1368" spans="4:16" hidden="1" x14ac:dyDescent="0.25">
      <c r="D1368" t="s">
        <v>3063</v>
      </c>
      <c r="E1368" t="s">
        <v>3047</v>
      </c>
      <c r="F1368" t="s">
        <v>149</v>
      </c>
      <c r="G1368" t="s">
        <v>3051</v>
      </c>
      <c r="H1368" t="s">
        <v>137</v>
      </c>
      <c r="I1368" s="13">
        <v>38923</v>
      </c>
      <c r="J1368">
        <v>17</v>
      </c>
      <c r="K1368" t="s">
        <v>145</v>
      </c>
      <c r="L1368" t="s">
        <v>139</v>
      </c>
      <c r="M1368" t="s">
        <v>352</v>
      </c>
      <c r="N1368" t="s">
        <v>3064</v>
      </c>
      <c r="O1368">
        <v>1</v>
      </c>
      <c r="P1368">
        <v>17.13</v>
      </c>
    </row>
    <row r="1369" spans="4:16" hidden="1" x14ac:dyDescent="0.25">
      <c r="D1369" t="s">
        <v>3065</v>
      </c>
      <c r="E1369" t="s">
        <v>3047</v>
      </c>
      <c r="F1369" t="s">
        <v>143</v>
      </c>
      <c r="G1369" t="s">
        <v>3066</v>
      </c>
      <c r="H1369" t="s">
        <v>137</v>
      </c>
      <c r="I1369" s="13">
        <v>38965</v>
      </c>
      <c r="J1369">
        <v>17</v>
      </c>
      <c r="K1369" t="s">
        <v>138</v>
      </c>
      <c r="L1369" t="s">
        <v>139</v>
      </c>
      <c r="M1369" t="s">
        <v>805</v>
      </c>
      <c r="N1369" t="s">
        <v>3067</v>
      </c>
      <c r="O1369">
        <v>1</v>
      </c>
      <c r="P1369">
        <v>17.010000000000002</v>
      </c>
    </row>
    <row r="1370" spans="4:16" hidden="1" x14ac:dyDescent="0.25">
      <c r="D1370" t="s">
        <v>3068</v>
      </c>
      <c r="E1370" t="s">
        <v>3047</v>
      </c>
      <c r="F1370" t="s">
        <v>149</v>
      </c>
      <c r="G1370" t="s">
        <v>3051</v>
      </c>
      <c r="H1370" t="s">
        <v>137</v>
      </c>
      <c r="I1370" s="13">
        <v>38971</v>
      </c>
      <c r="J1370">
        <v>17</v>
      </c>
      <c r="K1370" t="s">
        <v>138</v>
      </c>
      <c r="L1370" t="s">
        <v>139</v>
      </c>
      <c r="M1370" t="s">
        <v>140</v>
      </c>
      <c r="N1370" t="s">
        <v>3069</v>
      </c>
      <c r="O1370">
        <v>1</v>
      </c>
      <c r="P1370">
        <v>17</v>
      </c>
    </row>
    <row r="1371" spans="4:16" hidden="1" x14ac:dyDescent="0.25">
      <c r="D1371" t="s">
        <v>3070</v>
      </c>
      <c r="E1371" t="s">
        <v>3047</v>
      </c>
      <c r="F1371" t="s">
        <v>143</v>
      </c>
      <c r="G1371" t="s">
        <v>3066</v>
      </c>
      <c r="H1371" t="s">
        <v>137</v>
      </c>
      <c r="I1371" s="13">
        <v>38974</v>
      </c>
      <c r="J1371">
        <v>17</v>
      </c>
      <c r="K1371" t="s">
        <v>157</v>
      </c>
      <c r="L1371" t="s">
        <v>977</v>
      </c>
      <c r="M1371" t="s">
        <v>222</v>
      </c>
      <c r="N1371" t="s">
        <v>3071</v>
      </c>
      <c r="O1371">
        <v>1</v>
      </c>
      <c r="P1371">
        <v>16.989999999999998</v>
      </c>
    </row>
    <row r="1372" spans="4:16" hidden="1" x14ac:dyDescent="0.25">
      <c r="D1372" t="s">
        <v>3072</v>
      </c>
      <c r="E1372" t="s">
        <v>3047</v>
      </c>
      <c r="F1372" t="s">
        <v>143</v>
      </c>
      <c r="G1372" t="s">
        <v>3066</v>
      </c>
      <c r="H1372" t="s">
        <v>137</v>
      </c>
      <c r="I1372" s="13">
        <v>38974</v>
      </c>
      <c r="J1372">
        <v>17</v>
      </c>
      <c r="K1372" t="s">
        <v>145</v>
      </c>
      <c r="L1372" t="s">
        <v>139</v>
      </c>
      <c r="M1372" t="s">
        <v>227</v>
      </c>
      <c r="N1372" t="s">
        <v>3073</v>
      </c>
      <c r="O1372">
        <v>1</v>
      </c>
      <c r="P1372">
        <v>16.989999999999998</v>
      </c>
    </row>
    <row r="1373" spans="4:16" hidden="1" x14ac:dyDescent="0.25">
      <c r="D1373" t="s">
        <v>3074</v>
      </c>
      <c r="E1373" t="s">
        <v>3047</v>
      </c>
      <c r="F1373" t="s">
        <v>149</v>
      </c>
      <c r="G1373" t="s">
        <v>3051</v>
      </c>
      <c r="H1373" t="s">
        <v>176</v>
      </c>
      <c r="I1373" s="13">
        <v>39086</v>
      </c>
      <c r="J1373">
        <v>17</v>
      </c>
      <c r="K1373" t="s">
        <v>177</v>
      </c>
      <c r="L1373" t="s">
        <v>164</v>
      </c>
      <c r="M1373" t="s">
        <v>216</v>
      </c>
      <c r="N1373" t="s">
        <v>3075</v>
      </c>
      <c r="O1373">
        <v>1</v>
      </c>
      <c r="P1373">
        <v>16.68</v>
      </c>
    </row>
    <row r="1374" spans="4:16" hidden="1" x14ac:dyDescent="0.25">
      <c r="D1374" t="s">
        <v>3076</v>
      </c>
      <c r="E1374" t="s">
        <v>3047</v>
      </c>
      <c r="F1374" t="s">
        <v>149</v>
      </c>
      <c r="G1374" t="s">
        <v>3051</v>
      </c>
      <c r="H1374" t="s">
        <v>137</v>
      </c>
      <c r="I1374" s="13">
        <v>39086</v>
      </c>
      <c r="J1374">
        <v>17</v>
      </c>
      <c r="K1374" t="s">
        <v>177</v>
      </c>
      <c r="L1374" t="s">
        <v>164</v>
      </c>
      <c r="M1374" t="s">
        <v>193</v>
      </c>
      <c r="N1374" t="s">
        <v>3077</v>
      </c>
      <c r="O1374">
        <v>1</v>
      </c>
      <c r="P1374">
        <v>16.68</v>
      </c>
    </row>
    <row r="1375" spans="4:16" hidden="1" x14ac:dyDescent="0.25">
      <c r="D1375" t="s">
        <v>3078</v>
      </c>
      <c r="E1375" t="s">
        <v>3047</v>
      </c>
      <c r="F1375" t="s">
        <v>149</v>
      </c>
      <c r="G1375" t="s">
        <v>3051</v>
      </c>
      <c r="H1375" t="s">
        <v>137</v>
      </c>
      <c r="I1375" s="13">
        <v>39086</v>
      </c>
      <c r="J1375">
        <v>17</v>
      </c>
      <c r="K1375" t="s">
        <v>177</v>
      </c>
      <c r="L1375" t="s">
        <v>139</v>
      </c>
      <c r="M1375" t="s">
        <v>216</v>
      </c>
      <c r="N1375" t="s">
        <v>3079</v>
      </c>
      <c r="O1375">
        <v>1</v>
      </c>
      <c r="P1375">
        <v>16.68</v>
      </c>
    </row>
    <row r="1376" spans="4:16" hidden="1" x14ac:dyDescent="0.25">
      <c r="D1376" t="s">
        <v>3080</v>
      </c>
      <c r="E1376" t="s">
        <v>3047</v>
      </c>
      <c r="F1376" t="s">
        <v>143</v>
      </c>
      <c r="G1376" t="s">
        <v>3081</v>
      </c>
      <c r="H1376" t="s">
        <v>176</v>
      </c>
      <c r="I1376" s="13">
        <v>39247</v>
      </c>
      <c r="J1376">
        <v>16</v>
      </c>
      <c r="K1376" t="s">
        <v>157</v>
      </c>
      <c r="L1376" t="s">
        <v>139</v>
      </c>
      <c r="M1376" t="s">
        <v>268</v>
      </c>
      <c r="N1376" t="s">
        <v>3082</v>
      </c>
      <c r="O1376">
        <v>1</v>
      </c>
      <c r="P1376">
        <v>16.239999999999998</v>
      </c>
    </row>
    <row r="1377" spans="4:16" hidden="1" x14ac:dyDescent="0.25">
      <c r="D1377" t="s">
        <v>3083</v>
      </c>
      <c r="E1377" t="s">
        <v>3047</v>
      </c>
      <c r="F1377" t="s">
        <v>149</v>
      </c>
      <c r="G1377" t="s">
        <v>3051</v>
      </c>
      <c r="H1377" t="s">
        <v>239</v>
      </c>
      <c r="I1377" s="13">
        <v>39259</v>
      </c>
      <c r="J1377">
        <v>16</v>
      </c>
      <c r="K1377" t="s">
        <v>157</v>
      </c>
      <c r="L1377" t="s">
        <v>977</v>
      </c>
      <c r="M1377" t="s">
        <v>352</v>
      </c>
      <c r="N1377" t="s">
        <v>3084</v>
      </c>
      <c r="O1377">
        <v>1</v>
      </c>
      <c r="P1377">
        <v>16.21</v>
      </c>
    </row>
    <row r="1378" spans="4:16" hidden="1" x14ac:dyDescent="0.25">
      <c r="D1378" t="s">
        <v>3085</v>
      </c>
      <c r="E1378" t="s">
        <v>3047</v>
      </c>
      <c r="F1378" t="s">
        <v>149</v>
      </c>
      <c r="G1378" t="s">
        <v>3051</v>
      </c>
      <c r="H1378" t="s">
        <v>137</v>
      </c>
      <c r="I1378" s="13">
        <v>39287</v>
      </c>
      <c r="J1378">
        <v>16</v>
      </c>
      <c r="K1378" t="s">
        <v>157</v>
      </c>
      <c r="L1378" t="s">
        <v>139</v>
      </c>
      <c r="M1378" t="s">
        <v>151</v>
      </c>
      <c r="N1378" t="s">
        <v>3086</v>
      </c>
      <c r="O1378">
        <v>1</v>
      </c>
      <c r="P1378">
        <v>16.13</v>
      </c>
    </row>
    <row r="1379" spans="4:16" hidden="1" x14ac:dyDescent="0.25">
      <c r="D1379" t="s">
        <v>3087</v>
      </c>
      <c r="E1379" t="s">
        <v>3047</v>
      </c>
      <c r="F1379" t="s">
        <v>149</v>
      </c>
      <c r="G1379" t="s">
        <v>3051</v>
      </c>
      <c r="H1379" t="s">
        <v>137</v>
      </c>
      <c r="I1379" s="13">
        <v>39287</v>
      </c>
      <c r="J1379">
        <v>16</v>
      </c>
      <c r="K1379" t="s">
        <v>157</v>
      </c>
      <c r="L1379" t="s">
        <v>139</v>
      </c>
      <c r="M1379" t="s">
        <v>151</v>
      </c>
      <c r="N1379" t="s">
        <v>3088</v>
      </c>
      <c r="O1379">
        <v>1</v>
      </c>
      <c r="P1379">
        <v>16.13</v>
      </c>
    </row>
    <row r="1380" spans="4:16" hidden="1" x14ac:dyDescent="0.25">
      <c r="D1380" t="s">
        <v>3089</v>
      </c>
      <c r="E1380" t="s">
        <v>3047</v>
      </c>
      <c r="F1380" t="s">
        <v>149</v>
      </c>
      <c r="G1380" t="s">
        <v>3051</v>
      </c>
      <c r="H1380" t="s">
        <v>137</v>
      </c>
      <c r="I1380" s="13">
        <v>39287</v>
      </c>
      <c r="J1380">
        <v>16</v>
      </c>
      <c r="K1380" t="s">
        <v>157</v>
      </c>
      <c r="L1380" t="s">
        <v>139</v>
      </c>
      <c r="M1380" t="s">
        <v>154</v>
      </c>
      <c r="N1380" t="s">
        <v>3090</v>
      </c>
      <c r="O1380">
        <v>1</v>
      </c>
      <c r="P1380">
        <v>16.13</v>
      </c>
    </row>
    <row r="1381" spans="4:16" hidden="1" x14ac:dyDescent="0.25">
      <c r="D1381" t="s">
        <v>3091</v>
      </c>
      <c r="E1381" t="s">
        <v>3047</v>
      </c>
      <c r="F1381" t="s">
        <v>149</v>
      </c>
      <c r="G1381" t="s">
        <v>3051</v>
      </c>
      <c r="H1381" t="s">
        <v>239</v>
      </c>
      <c r="I1381" s="13">
        <v>39330</v>
      </c>
      <c r="J1381">
        <v>16</v>
      </c>
      <c r="K1381" t="s">
        <v>177</v>
      </c>
      <c r="L1381" t="s">
        <v>164</v>
      </c>
      <c r="M1381" t="s">
        <v>372</v>
      </c>
      <c r="N1381" t="s">
        <v>3092</v>
      </c>
      <c r="O1381">
        <v>1</v>
      </c>
      <c r="P1381">
        <v>16.010000000000002</v>
      </c>
    </row>
    <row r="1382" spans="4:16" hidden="1" x14ac:dyDescent="0.25">
      <c r="D1382" t="s">
        <v>3093</v>
      </c>
      <c r="E1382" t="s">
        <v>3047</v>
      </c>
      <c r="F1382" t="s">
        <v>149</v>
      </c>
      <c r="G1382" t="s">
        <v>3051</v>
      </c>
      <c r="H1382" t="s">
        <v>176</v>
      </c>
      <c r="I1382" s="13">
        <v>39336</v>
      </c>
      <c r="J1382">
        <v>16</v>
      </c>
      <c r="K1382" t="s">
        <v>177</v>
      </c>
      <c r="L1382" t="s">
        <v>164</v>
      </c>
      <c r="M1382" t="s">
        <v>712</v>
      </c>
      <c r="N1382" t="s">
        <v>3094</v>
      </c>
      <c r="O1382">
        <v>1</v>
      </c>
      <c r="P1382">
        <v>16</v>
      </c>
    </row>
    <row r="1383" spans="4:16" hidden="1" x14ac:dyDescent="0.25">
      <c r="D1383" t="s">
        <v>3095</v>
      </c>
      <c r="E1383" t="s">
        <v>3047</v>
      </c>
      <c r="F1383" t="s">
        <v>143</v>
      </c>
      <c r="G1383" t="s">
        <v>3066</v>
      </c>
      <c r="H1383" t="s">
        <v>176</v>
      </c>
      <c r="I1383" s="13">
        <v>39385</v>
      </c>
      <c r="J1383">
        <v>16</v>
      </c>
      <c r="K1383" t="s">
        <v>157</v>
      </c>
      <c r="L1383" t="s">
        <v>977</v>
      </c>
      <c r="M1383" t="s">
        <v>352</v>
      </c>
      <c r="N1383" t="s">
        <v>3096</v>
      </c>
      <c r="O1383">
        <v>1</v>
      </c>
      <c r="P1383">
        <v>15.86</v>
      </c>
    </row>
    <row r="1384" spans="4:16" hidden="1" x14ac:dyDescent="0.25">
      <c r="D1384" t="s">
        <v>3097</v>
      </c>
      <c r="E1384" t="s">
        <v>3047</v>
      </c>
      <c r="F1384" t="s">
        <v>149</v>
      </c>
      <c r="G1384" t="s">
        <v>3051</v>
      </c>
      <c r="H1384" t="s">
        <v>176</v>
      </c>
      <c r="I1384" s="13">
        <v>39408</v>
      </c>
      <c r="J1384">
        <v>16</v>
      </c>
      <c r="K1384" t="s">
        <v>177</v>
      </c>
      <c r="L1384" t="s">
        <v>164</v>
      </c>
      <c r="M1384" t="s">
        <v>712</v>
      </c>
      <c r="N1384" t="s">
        <v>3098</v>
      </c>
      <c r="O1384">
        <v>1</v>
      </c>
      <c r="P1384">
        <v>15.8</v>
      </c>
    </row>
    <row r="1385" spans="4:16" hidden="1" x14ac:dyDescent="0.25">
      <c r="D1385" t="s">
        <v>3099</v>
      </c>
      <c r="E1385" t="s">
        <v>3047</v>
      </c>
      <c r="F1385" t="s">
        <v>149</v>
      </c>
      <c r="G1385" t="s">
        <v>3051</v>
      </c>
      <c r="H1385" t="s">
        <v>176</v>
      </c>
      <c r="I1385" s="13">
        <v>39409</v>
      </c>
      <c r="J1385">
        <v>16</v>
      </c>
      <c r="K1385" t="s">
        <v>177</v>
      </c>
      <c r="L1385" t="s">
        <v>139</v>
      </c>
      <c r="M1385" t="s">
        <v>965</v>
      </c>
      <c r="N1385" t="s">
        <v>3100</v>
      </c>
      <c r="O1385">
        <v>1</v>
      </c>
      <c r="P1385">
        <v>15.8</v>
      </c>
    </row>
    <row r="1386" spans="4:16" hidden="1" x14ac:dyDescent="0.25">
      <c r="D1386" t="s">
        <v>3101</v>
      </c>
      <c r="E1386" t="s">
        <v>3047</v>
      </c>
      <c r="F1386" t="s">
        <v>143</v>
      </c>
      <c r="G1386" t="s">
        <v>143</v>
      </c>
      <c r="H1386" t="s">
        <v>239</v>
      </c>
      <c r="I1386" s="13">
        <v>39427</v>
      </c>
      <c r="J1386">
        <v>16</v>
      </c>
      <c r="K1386" t="s">
        <v>177</v>
      </c>
      <c r="L1386" t="s">
        <v>139</v>
      </c>
      <c r="M1386" t="s">
        <v>264</v>
      </c>
      <c r="N1386" t="s">
        <v>3102</v>
      </c>
      <c r="O1386">
        <v>1</v>
      </c>
      <c r="P1386">
        <v>15.75</v>
      </c>
    </row>
    <row r="1387" spans="4:16" hidden="1" x14ac:dyDescent="0.25">
      <c r="D1387" t="s">
        <v>3103</v>
      </c>
      <c r="E1387" t="s">
        <v>3047</v>
      </c>
      <c r="F1387" t="s">
        <v>143</v>
      </c>
      <c r="G1387" t="s">
        <v>3104</v>
      </c>
      <c r="H1387" t="s">
        <v>239</v>
      </c>
      <c r="I1387" s="13">
        <v>39427</v>
      </c>
      <c r="J1387">
        <v>16</v>
      </c>
      <c r="K1387" t="s">
        <v>177</v>
      </c>
      <c r="L1387" t="s">
        <v>139</v>
      </c>
      <c r="M1387" t="s">
        <v>264</v>
      </c>
      <c r="N1387" t="s">
        <v>3105</v>
      </c>
      <c r="O1387">
        <v>1</v>
      </c>
      <c r="P1387">
        <v>15.75</v>
      </c>
    </row>
    <row r="1388" spans="4:16" hidden="1" x14ac:dyDescent="0.25">
      <c r="D1388" t="s">
        <v>3106</v>
      </c>
      <c r="E1388" t="s">
        <v>3047</v>
      </c>
      <c r="F1388" t="s">
        <v>143</v>
      </c>
      <c r="G1388" t="s">
        <v>3104</v>
      </c>
      <c r="H1388" t="s">
        <v>239</v>
      </c>
      <c r="I1388" s="13">
        <v>39427</v>
      </c>
      <c r="J1388">
        <v>16</v>
      </c>
      <c r="K1388" t="s">
        <v>177</v>
      </c>
      <c r="L1388" t="s">
        <v>139</v>
      </c>
      <c r="M1388" t="s">
        <v>264</v>
      </c>
      <c r="N1388" t="s">
        <v>3107</v>
      </c>
      <c r="O1388">
        <v>1</v>
      </c>
      <c r="P1388">
        <v>15.75</v>
      </c>
    </row>
    <row r="1389" spans="4:16" hidden="1" x14ac:dyDescent="0.25">
      <c r="D1389" t="s">
        <v>3108</v>
      </c>
      <c r="E1389" t="s">
        <v>3047</v>
      </c>
      <c r="F1389" t="s">
        <v>143</v>
      </c>
      <c r="G1389" t="s">
        <v>143</v>
      </c>
      <c r="H1389" t="s">
        <v>239</v>
      </c>
      <c r="I1389" s="13">
        <v>39427</v>
      </c>
      <c r="J1389">
        <v>16</v>
      </c>
      <c r="K1389" t="s">
        <v>145</v>
      </c>
      <c r="L1389" t="s">
        <v>139</v>
      </c>
      <c r="M1389" t="s">
        <v>264</v>
      </c>
      <c r="N1389" t="s">
        <v>3109</v>
      </c>
      <c r="O1389">
        <v>1</v>
      </c>
      <c r="P1389">
        <v>15.75</v>
      </c>
    </row>
    <row r="1390" spans="4:16" hidden="1" x14ac:dyDescent="0.25">
      <c r="D1390" t="s">
        <v>3110</v>
      </c>
      <c r="E1390" t="s">
        <v>3047</v>
      </c>
      <c r="F1390" t="s">
        <v>143</v>
      </c>
      <c r="G1390" t="s">
        <v>3066</v>
      </c>
      <c r="H1390" t="s">
        <v>239</v>
      </c>
      <c r="I1390" s="13">
        <v>39428</v>
      </c>
      <c r="J1390">
        <v>16</v>
      </c>
      <c r="K1390" t="s">
        <v>177</v>
      </c>
      <c r="L1390" t="s">
        <v>139</v>
      </c>
      <c r="M1390" t="s">
        <v>398</v>
      </c>
      <c r="N1390" t="s">
        <v>3111</v>
      </c>
      <c r="O1390">
        <v>1</v>
      </c>
      <c r="P1390">
        <v>15.75</v>
      </c>
    </row>
    <row r="1391" spans="4:16" hidden="1" x14ac:dyDescent="0.25">
      <c r="D1391" t="s">
        <v>3112</v>
      </c>
      <c r="E1391" t="s">
        <v>3047</v>
      </c>
      <c r="F1391" t="s">
        <v>143</v>
      </c>
      <c r="G1391" t="s">
        <v>3113</v>
      </c>
      <c r="H1391" t="s">
        <v>239</v>
      </c>
      <c r="I1391" s="13">
        <v>39449</v>
      </c>
      <c r="J1391">
        <v>16</v>
      </c>
      <c r="K1391" t="s">
        <v>157</v>
      </c>
      <c r="L1391" t="s">
        <v>977</v>
      </c>
      <c r="M1391" t="s">
        <v>222</v>
      </c>
      <c r="N1391" t="s">
        <v>3114</v>
      </c>
      <c r="O1391">
        <v>1</v>
      </c>
      <c r="P1391">
        <v>15.69</v>
      </c>
    </row>
    <row r="1392" spans="4:16" hidden="1" x14ac:dyDescent="0.25">
      <c r="D1392" t="s">
        <v>3115</v>
      </c>
      <c r="E1392" t="s">
        <v>3047</v>
      </c>
      <c r="F1392" t="s">
        <v>149</v>
      </c>
      <c r="G1392" t="s">
        <v>3051</v>
      </c>
      <c r="H1392" t="s">
        <v>239</v>
      </c>
      <c r="I1392" s="13">
        <v>39463</v>
      </c>
      <c r="J1392">
        <v>16</v>
      </c>
      <c r="K1392" t="s">
        <v>177</v>
      </c>
      <c r="L1392" t="s">
        <v>139</v>
      </c>
      <c r="M1392" t="s">
        <v>207</v>
      </c>
      <c r="N1392" t="s">
        <v>3116</v>
      </c>
      <c r="O1392">
        <v>1</v>
      </c>
      <c r="P1392">
        <v>15.65</v>
      </c>
    </row>
    <row r="1393" spans="4:16" hidden="1" x14ac:dyDescent="0.25">
      <c r="D1393" t="s">
        <v>3117</v>
      </c>
      <c r="E1393" t="s">
        <v>3047</v>
      </c>
      <c r="F1393" t="s">
        <v>149</v>
      </c>
      <c r="G1393" t="s">
        <v>3051</v>
      </c>
      <c r="H1393" t="s">
        <v>239</v>
      </c>
      <c r="I1393" s="13">
        <v>39463</v>
      </c>
      <c r="J1393">
        <v>16</v>
      </c>
      <c r="K1393" t="s">
        <v>177</v>
      </c>
      <c r="L1393" t="s">
        <v>139</v>
      </c>
      <c r="M1393" t="s">
        <v>207</v>
      </c>
      <c r="N1393" t="s">
        <v>3118</v>
      </c>
      <c r="O1393">
        <v>1</v>
      </c>
      <c r="P1393">
        <v>15.65</v>
      </c>
    </row>
    <row r="1394" spans="4:16" hidden="1" x14ac:dyDescent="0.25">
      <c r="D1394" t="s">
        <v>3119</v>
      </c>
      <c r="E1394" t="s">
        <v>3047</v>
      </c>
      <c r="F1394" t="s">
        <v>143</v>
      </c>
      <c r="G1394" t="s">
        <v>3066</v>
      </c>
      <c r="H1394" t="s">
        <v>239</v>
      </c>
      <c r="I1394" s="13">
        <v>39492</v>
      </c>
      <c r="J1394">
        <v>16</v>
      </c>
      <c r="K1394" t="s">
        <v>177</v>
      </c>
      <c r="L1394" t="s">
        <v>164</v>
      </c>
      <c r="M1394" t="s">
        <v>785</v>
      </c>
      <c r="N1394" t="s">
        <v>3120</v>
      </c>
      <c r="O1394">
        <v>1</v>
      </c>
      <c r="P1394">
        <v>15.57</v>
      </c>
    </row>
    <row r="1395" spans="4:16" hidden="1" x14ac:dyDescent="0.25">
      <c r="D1395" t="s">
        <v>3121</v>
      </c>
      <c r="E1395" t="s">
        <v>3047</v>
      </c>
      <c r="F1395" t="s">
        <v>143</v>
      </c>
      <c r="G1395" t="s">
        <v>3066</v>
      </c>
      <c r="H1395" t="s">
        <v>239</v>
      </c>
      <c r="I1395" s="13">
        <v>39505</v>
      </c>
      <c r="J1395">
        <v>16</v>
      </c>
      <c r="K1395" t="s">
        <v>177</v>
      </c>
      <c r="L1395" t="s">
        <v>139</v>
      </c>
      <c r="M1395" t="s">
        <v>800</v>
      </c>
      <c r="N1395" t="s">
        <v>3122</v>
      </c>
      <c r="O1395">
        <v>1</v>
      </c>
      <c r="P1395">
        <v>15.53</v>
      </c>
    </row>
    <row r="1396" spans="4:16" hidden="1" x14ac:dyDescent="0.25">
      <c r="D1396" t="s">
        <v>3123</v>
      </c>
      <c r="E1396" t="s">
        <v>3047</v>
      </c>
      <c r="F1396" t="s">
        <v>143</v>
      </c>
      <c r="G1396" t="s">
        <v>3066</v>
      </c>
      <c r="H1396" t="s">
        <v>239</v>
      </c>
      <c r="I1396" s="13">
        <v>39569</v>
      </c>
      <c r="J1396">
        <v>15</v>
      </c>
      <c r="K1396" t="s">
        <v>177</v>
      </c>
      <c r="L1396" t="s">
        <v>139</v>
      </c>
      <c r="M1396" t="s">
        <v>945</v>
      </c>
      <c r="N1396" t="s">
        <v>3124</v>
      </c>
      <c r="O1396">
        <v>1</v>
      </c>
      <c r="P1396">
        <v>15.36</v>
      </c>
    </row>
    <row r="1397" spans="4:16" hidden="1" x14ac:dyDescent="0.25">
      <c r="D1397" t="s">
        <v>3125</v>
      </c>
      <c r="E1397" t="s">
        <v>3047</v>
      </c>
      <c r="F1397" t="s">
        <v>143</v>
      </c>
      <c r="G1397" t="s">
        <v>3104</v>
      </c>
      <c r="H1397" t="s">
        <v>239</v>
      </c>
      <c r="I1397" s="13">
        <v>39577</v>
      </c>
      <c r="J1397">
        <v>15</v>
      </c>
      <c r="K1397" t="s">
        <v>177</v>
      </c>
      <c r="L1397" t="s">
        <v>139</v>
      </c>
      <c r="M1397" t="s">
        <v>805</v>
      </c>
      <c r="N1397" t="s">
        <v>3126</v>
      </c>
      <c r="O1397">
        <v>1</v>
      </c>
      <c r="P1397">
        <v>15.34</v>
      </c>
    </row>
    <row r="1398" spans="4:16" hidden="1" x14ac:dyDescent="0.25">
      <c r="D1398" t="s">
        <v>3127</v>
      </c>
      <c r="E1398" t="s">
        <v>3047</v>
      </c>
      <c r="F1398" t="s">
        <v>149</v>
      </c>
      <c r="G1398" t="s">
        <v>3051</v>
      </c>
      <c r="H1398" t="s">
        <v>239</v>
      </c>
      <c r="I1398" s="13">
        <v>39583</v>
      </c>
      <c r="J1398">
        <v>15</v>
      </c>
      <c r="K1398" t="s">
        <v>177</v>
      </c>
      <c r="L1398" t="s">
        <v>139</v>
      </c>
      <c r="M1398" t="s">
        <v>207</v>
      </c>
      <c r="N1398" t="s">
        <v>3128</v>
      </c>
      <c r="O1398">
        <v>1</v>
      </c>
      <c r="P1398">
        <v>15.32</v>
      </c>
    </row>
    <row r="1399" spans="4:16" hidden="1" x14ac:dyDescent="0.25">
      <c r="D1399" t="s">
        <v>3129</v>
      </c>
      <c r="E1399" t="s">
        <v>3047</v>
      </c>
      <c r="F1399" t="s">
        <v>149</v>
      </c>
      <c r="G1399" t="s">
        <v>3051</v>
      </c>
      <c r="H1399" t="s">
        <v>239</v>
      </c>
      <c r="I1399" s="13">
        <v>39583</v>
      </c>
      <c r="J1399">
        <v>15</v>
      </c>
      <c r="K1399" t="s">
        <v>177</v>
      </c>
      <c r="L1399" t="s">
        <v>139</v>
      </c>
      <c r="M1399" t="s">
        <v>207</v>
      </c>
      <c r="N1399" t="s">
        <v>3130</v>
      </c>
      <c r="O1399">
        <v>1</v>
      </c>
      <c r="P1399">
        <v>15.32</v>
      </c>
    </row>
    <row r="1400" spans="4:16" hidden="1" x14ac:dyDescent="0.25">
      <c r="D1400" t="s">
        <v>3131</v>
      </c>
      <c r="E1400" t="s">
        <v>3047</v>
      </c>
      <c r="F1400" t="s">
        <v>149</v>
      </c>
      <c r="G1400" t="s">
        <v>3051</v>
      </c>
      <c r="H1400" t="s">
        <v>239</v>
      </c>
      <c r="I1400" s="13">
        <v>39597</v>
      </c>
      <c r="J1400">
        <v>15</v>
      </c>
      <c r="K1400" t="s">
        <v>145</v>
      </c>
      <c r="L1400" t="s">
        <v>164</v>
      </c>
      <c r="M1400" t="s">
        <v>240</v>
      </c>
      <c r="N1400" t="s">
        <v>3132</v>
      </c>
      <c r="O1400">
        <v>1</v>
      </c>
      <c r="P1400">
        <v>15.28</v>
      </c>
    </row>
    <row r="1401" spans="4:16" hidden="1" x14ac:dyDescent="0.25">
      <c r="D1401" t="s">
        <v>3133</v>
      </c>
      <c r="E1401" t="s">
        <v>3047</v>
      </c>
      <c r="F1401" t="s">
        <v>149</v>
      </c>
      <c r="G1401" t="s">
        <v>3051</v>
      </c>
      <c r="H1401" t="s">
        <v>239</v>
      </c>
      <c r="I1401" s="13">
        <v>39601</v>
      </c>
      <c r="J1401">
        <v>15</v>
      </c>
      <c r="K1401" t="s">
        <v>138</v>
      </c>
      <c r="L1401" t="s">
        <v>139</v>
      </c>
      <c r="M1401" t="s">
        <v>240</v>
      </c>
      <c r="N1401" t="s">
        <v>3134</v>
      </c>
      <c r="O1401">
        <v>1</v>
      </c>
      <c r="P1401">
        <v>15.27</v>
      </c>
    </row>
    <row r="1402" spans="4:16" hidden="1" x14ac:dyDescent="0.25">
      <c r="D1402" t="s">
        <v>3135</v>
      </c>
      <c r="E1402" t="s">
        <v>3047</v>
      </c>
      <c r="F1402" t="s">
        <v>149</v>
      </c>
      <c r="G1402" t="s">
        <v>3051</v>
      </c>
      <c r="H1402" t="s">
        <v>239</v>
      </c>
      <c r="I1402" s="13">
        <v>39615</v>
      </c>
      <c r="J1402">
        <v>15</v>
      </c>
      <c r="K1402" t="s">
        <v>177</v>
      </c>
      <c r="L1402" t="s">
        <v>164</v>
      </c>
      <c r="M1402" t="s">
        <v>352</v>
      </c>
      <c r="N1402" t="s">
        <v>3136</v>
      </c>
      <c r="O1402">
        <v>1</v>
      </c>
      <c r="P1402">
        <v>15.23</v>
      </c>
    </row>
    <row r="1403" spans="4:16" hidden="1" x14ac:dyDescent="0.25">
      <c r="D1403" t="s">
        <v>3137</v>
      </c>
      <c r="E1403" t="s">
        <v>3047</v>
      </c>
      <c r="F1403" t="s">
        <v>143</v>
      </c>
      <c r="G1403" t="s">
        <v>3048</v>
      </c>
      <c r="H1403" t="s">
        <v>239</v>
      </c>
      <c r="I1403" s="13">
        <v>39661</v>
      </c>
      <c r="J1403">
        <v>15</v>
      </c>
      <c r="K1403" t="s">
        <v>177</v>
      </c>
      <c r="L1403" t="s">
        <v>139</v>
      </c>
      <c r="M1403" t="s">
        <v>509</v>
      </c>
      <c r="N1403" t="s">
        <v>3138</v>
      </c>
      <c r="O1403">
        <v>1</v>
      </c>
      <c r="P1403">
        <v>15.11</v>
      </c>
    </row>
    <row r="1404" spans="4:16" hidden="1" x14ac:dyDescent="0.25">
      <c r="D1404" t="s">
        <v>3139</v>
      </c>
      <c r="E1404" t="s">
        <v>3047</v>
      </c>
      <c r="F1404" t="s">
        <v>143</v>
      </c>
      <c r="G1404" t="s">
        <v>3066</v>
      </c>
      <c r="H1404" t="s">
        <v>239</v>
      </c>
      <c r="I1404" s="13">
        <v>39661</v>
      </c>
      <c r="J1404">
        <v>15</v>
      </c>
      <c r="K1404" t="s">
        <v>177</v>
      </c>
      <c r="L1404" t="s">
        <v>139</v>
      </c>
      <c r="M1404" t="s">
        <v>230</v>
      </c>
      <c r="N1404" t="s">
        <v>3140</v>
      </c>
      <c r="O1404">
        <v>1</v>
      </c>
      <c r="P1404">
        <v>15.11</v>
      </c>
    </row>
    <row r="1405" spans="4:16" hidden="1" x14ac:dyDescent="0.25">
      <c r="D1405" t="s">
        <v>3141</v>
      </c>
      <c r="E1405" t="s">
        <v>3047</v>
      </c>
      <c r="F1405" t="s">
        <v>143</v>
      </c>
      <c r="G1405" t="s">
        <v>3066</v>
      </c>
      <c r="H1405" t="s">
        <v>239</v>
      </c>
      <c r="I1405" s="13">
        <v>39661</v>
      </c>
      <c r="J1405">
        <v>15</v>
      </c>
      <c r="K1405" t="s">
        <v>177</v>
      </c>
      <c r="L1405" t="s">
        <v>139</v>
      </c>
      <c r="M1405" t="s">
        <v>509</v>
      </c>
      <c r="N1405" t="s">
        <v>3142</v>
      </c>
      <c r="O1405">
        <v>1</v>
      </c>
      <c r="P1405">
        <v>15.11</v>
      </c>
    </row>
    <row r="1406" spans="4:16" hidden="1" x14ac:dyDescent="0.25">
      <c r="D1406" t="s">
        <v>3143</v>
      </c>
      <c r="E1406" t="s">
        <v>3047</v>
      </c>
      <c r="F1406" t="s">
        <v>143</v>
      </c>
      <c r="G1406" t="s">
        <v>3066</v>
      </c>
      <c r="H1406" t="s">
        <v>239</v>
      </c>
      <c r="I1406" s="13">
        <v>39672</v>
      </c>
      <c r="J1406">
        <v>15</v>
      </c>
      <c r="K1406" t="s">
        <v>145</v>
      </c>
      <c r="L1406" t="s">
        <v>164</v>
      </c>
      <c r="M1406" t="s">
        <v>465</v>
      </c>
      <c r="N1406" t="s">
        <v>3144</v>
      </c>
      <c r="O1406">
        <v>1</v>
      </c>
      <c r="P1406">
        <v>15.08</v>
      </c>
    </row>
    <row r="1407" spans="4:16" hidden="1" x14ac:dyDescent="0.25">
      <c r="D1407" t="s">
        <v>3145</v>
      </c>
      <c r="E1407" t="s">
        <v>3047</v>
      </c>
      <c r="F1407" t="s">
        <v>143</v>
      </c>
      <c r="G1407" t="s">
        <v>3048</v>
      </c>
      <c r="H1407" t="s">
        <v>176</v>
      </c>
      <c r="I1407" s="13">
        <v>39673</v>
      </c>
      <c r="J1407">
        <v>15</v>
      </c>
      <c r="K1407" t="s">
        <v>177</v>
      </c>
      <c r="L1407" t="s">
        <v>139</v>
      </c>
      <c r="M1407" t="s">
        <v>805</v>
      </c>
      <c r="N1407" t="s">
        <v>3146</v>
      </c>
      <c r="O1407">
        <v>1</v>
      </c>
      <c r="P1407">
        <v>15.07</v>
      </c>
    </row>
    <row r="1408" spans="4:16" hidden="1" x14ac:dyDescent="0.25">
      <c r="D1408" t="s">
        <v>3147</v>
      </c>
      <c r="E1408" t="s">
        <v>3047</v>
      </c>
      <c r="F1408" t="s">
        <v>225</v>
      </c>
      <c r="G1408" t="s">
        <v>3148</v>
      </c>
      <c r="H1408" t="s">
        <v>239</v>
      </c>
      <c r="I1408" s="13">
        <v>39679</v>
      </c>
      <c r="J1408">
        <v>15</v>
      </c>
      <c r="K1408" t="s">
        <v>177</v>
      </c>
      <c r="L1408" t="s">
        <v>164</v>
      </c>
      <c r="M1408" t="s">
        <v>785</v>
      </c>
      <c r="N1408" t="s">
        <v>3149</v>
      </c>
      <c r="O1408">
        <v>1</v>
      </c>
      <c r="P1408">
        <v>15.06</v>
      </c>
    </row>
    <row r="1409" spans="4:16" hidden="1" x14ac:dyDescent="0.25">
      <c r="D1409" t="s">
        <v>3150</v>
      </c>
      <c r="E1409" t="s">
        <v>3047</v>
      </c>
      <c r="F1409" t="s">
        <v>149</v>
      </c>
      <c r="G1409" t="s">
        <v>3051</v>
      </c>
      <c r="H1409" t="s">
        <v>239</v>
      </c>
      <c r="I1409" s="13">
        <v>39686</v>
      </c>
      <c r="J1409">
        <v>15</v>
      </c>
      <c r="K1409" t="s">
        <v>177</v>
      </c>
      <c r="L1409" t="s">
        <v>164</v>
      </c>
      <c r="M1409" t="s">
        <v>178</v>
      </c>
      <c r="N1409" t="s">
        <v>3151</v>
      </c>
      <c r="O1409">
        <v>1</v>
      </c>
      <c r="P1409">
        <v>15.04</v>
      </c>
    </row>
    <row r="1410" spans="4:16" hidden="1" x14ac:dyDescent="0.25">
      <c r="D1410" t="s">
        <v>3152</v>
      </c>
      <c r="E1410" t="s">
        <v>3047</v>
      </c>
      <c r="F1410" t="s">
        <v>149</v>
      </c>
      <c r="G1410" t="s">
        <v>149</v>
      </c>
      <c r="H1410" t="s">
        <v>239</v>
      </c>
      <c r="I1410" s="13">
        <v>39685</v>
      </c>
      <c r="J1410">
        <v>15</v>
      </c>
      <c r="K1410" t="s">
        <v>177</v>
      </c>
      <c r="L1410" t="s">
        <v>139</v>
      </c>
      <c r="M1410" t="s">
        <v>165</v>
      </c>
      <c r="N1410" t="s">
        <v>3153</v>
      </c>
      <c r="O1410">
        <v>1</v>
      </c>
      <c r="P1410">
        <v>15.04</v>
      </c>
    </row>
    <row r="1411" spans="4:16" hidden="1" x14ac:dyDescent="0.25">
      <c r="D1411" t="s">
        <v>3154</v>
      </c>
      <c r="E1411" t="s">
        <v>3047</v>
      </c>
      <c r="F1411" t="s">
        <v>149</v>
      </c>
      <c r="G1411" t="s">
        <v>3051</v>
      </c>
      <c r="H1411" t="s">
        <v>239</v>
      </c>
      <c r="I1411" s="13">
        <v>39685</v>
      </c>
      <c r="J1411">
        <v>15</v>
      </c>
      <c r="K1411" t="s">
        <v>177</v>
      </c>
      <c r="L1411" t="s">
        <v>139</v>
      </c>
      <c r="M1411" t="s">
        <v>165</v>
      </c>
      <c r="N1411" t="s">
        <v>3155</v>
      </c>
      <c r="O1411">
        <v>1</v>
      </c>
      <c r="P1411">
        <v>15.04</v>
      </c>
    </row>
    <row r="1412" spans="4:16" hidden="1" x14ac:dyDescent="0.25">
      <c r="D1412" t="s">
        <v>3156</v>
      </c>
      <c r="E1412" t="s">
        <v>3047</v>
      </c>
      <c r="F1412" t="s">
        <v>149</v>
      </c>
      <c r="G1412" t="s">
        <v>3051</v>
      </c>
      <c r="H1412" t="s">
        <v>239</v>
      </c>
      <c r="I1412" s="13">
        <v>39685</v>
      </c>
      <c r="J1412">
        <v>15</v>
      </c>
      <c r="K1412" t="s">
        <v>145</v>
      </c>
      <c r="L1412" t="s">
        <v>139</v>
      </c>
      <c r="M1412" t="s">
        <v>165</v>
      </c>
      <c r="N1412" t="s">
        <v>3157</v>
      </c>
      <c r="O1412">
        <v>1</v>
      </c>
      <c r="P1412">
        <v>15.04</v>
      </c>
    </row>
    <row r="1413" spans="4:16" hidden="1" x14ac:dyDescent="0.25">
      <c r="D1413" t="s">
        <v>3158</v>
      </c>
      <c r="E1413" t="s">
        <v>3047</v>
      </c>
      <c r="F1413" t="s">
        <v>149</v>
      </c>
      <c r="G1413" t="s">
        <v>3051</v>
      </c>
      <c r="H1413" t="s">
        <v>239</v>
      </c>
      <c r="I1413" s="13">
        <v>39685</v>
      </c>
      <c r="J1413">
        <v>15</v>
      </c>
      <c r="K1413" t="s">
        <v>177</v>
      </c>
      <c r="L1413" t="s">
        <v>139</v>
      </c>
      <c r="M1413" t="s">
        <v>165</v>
      </c>
      <c r="N1413" t="s">
        <v>3159</v>
      </c>
      <c r="O1413">
        <v>1</v>
      </c>
      <c r="P1413">
        <v>15.04</v>
      </c>
    </row>
    <row r="1414" spans="4:16" hidden="1" x14ac:dyDescent="0.25">
      <c r="D1414" t="s">
        <v>3160</v>
      </c>
      <c r="E1414" t="s">
        <v>3047</v>
      </c>
      <c r="F1414" t="s">
        <v>149</v>
      </c>
      <c r="G1414" t="s">
        <v>3051</v>
      </c>
      <c r="H1414" t="s">
        <v>239</v>
      </c>
      <c r="I1414" s="13">
        <v>39685</v>
      </c>
      <c r="J1414">
        <v>15</v>
      </c>
      <c r="K1414" t="s">
        <v>177</v>
      </c>
      <c r="L1414" t="s">
        <v>139</v>
      </c>
      <c r="M1414" t="s">
        <v>151</v>
      </c>
      <c r="N1414" t="s">
        <v>3161</v>
      </c>
      <c r="O1414">
        <v>1</v>
      </c>
      <c r="P1414">
        <v>15.04</v>
      </c>
    </row>
    <row r="1415" spans="4:16" hidden="1" x14ac:dyDescent="0.25">
      <c r="D1415" t="s">
        <v>3162</v>
      </c>
      <c r="E1415" t="s">
        <v>3047</v>
      </c>
      <c r="F1415" t="s">
        <v>225</v>
      </c>
      <c r="G1415" t="s">
        <v>3163</v>
      </c>
      <c r="H1415" t="s">
        <v>239</v>
      </c>
      <c r="I1415" s="13">
        <v>39685</v>
      </c>
      <c r="J1415">
        <v>15</v>
      </c>
      <c r="K1415" t="s">
        <v>177</v>
      </c>
      <c r="L1415" t="s">
        <v>139</v>
      </c>
      <c r="M1415" t="s">
        <v>204</v>
      </c>
      <c r="N1415" t="s">
        <v>3164</v>
      </c>
      <c r="O1415">
        <v>1</v>
      </c>
      <c r="P1415">
        <v>15.04</v>
      </c>
    </row>
    <row r="1416" spans="4:16" hidden="1" x14ac:dyDescent="0.25">
      <c r="D1416" t="s">
        <v>3165</v>
      </c>
      <c r="E1416" t="s">
        <v>3047</v>
      </c>
      <c r="F1416" t="s">
        <v>149</v>
      </c>
      <c r="G1416" t="s">
        <v>3051</v>
      </c>
      <c r="H1416" t="s">
        <v>239</v>
      </c>
      <c r="I1416" s="13">
        <v>39685</v>
      </c>
      <c r="J1416">
        <v>15</v>
      </c>
      <c r="K1416" t="s">
        <v>177</v>
      </c>
      <c r="L1416" t="s">
        <v>139</v>
      </c>
      <c r="M1416" t="s">
        <v>165</v>
      </c>
      <c r="N1416" t="s">
        <v>3166</v>
      </c>
      <c r="O1416">
        <v>1</v>
      </c>
      <c r="P1416">
        <v>15.04</v>
      </c>
    </row>
    <row r="1417" spans="4:16" hidden="1" x14ac:dyDescent="0.25">
      <c r="D1417" t="s">
        <v>3167</v>
      </c>
      <c r="E1417" t="s">
        <v>3047</v>
      </c>
      <c r="F1417" t="s">
        <v>225</v>
      </c>
      <c r="G1417" t="s">
        <v>3163</v>
      </c>
      <c r="H1417" t="s">
        <v>239</v>
      </c>
      <c r="I1417" s="13">
        <v>39685</v>
      </c>
      <c r="J1417">
        <v>15</v>
      </c>
      <c r="K1417" t="s">
        <v>145</v>
      </c>
      <c r="L1417" t="s">
        <v>139</v>
      </c>
      <c r="M1417" t="s">
        <v>204</v>
      </c>
      <c r="N1417" t="s">
        <v>3168</v>
      </c>
      <c r="O1417">
        <v>1</v>
      </c>
      <c r="P1417">
        <v>15.04</v>
      </c>
    </row>
    <row r="1418" spans="4:16" hidden="1" x14ac:dyDescent="0.25">
      <c r="D1418" t="s">
        <v>3169</v>
      </c>
      <c r="E1418" t="s">
        <v>3047</v>
      </c>
      <c r="F1418" t="s">
        <v>149</v>
      </c>
      <c r="G1418" t="s">
        <v>3051</v>
      </c>
      <c r="H1418" t="s">
        <v>239</v>
      </c>
      <c r="I1418" s="13">
        <v>39685</v>
      </c>
      <c r="J1418">
        <v>15</v>
      </c>
      <c r="K1418" t="s">
        <v>177</v>
      </c>
      <c r="L1418" t="s">
        <v>139</v>
      </c>
      <c r="M1418" t="s">
        <v>165</v>
      </c>
      <c r="N1418" t="s">
        <v>3170</v>
      </c>
      <c r="O1418">
        <v>1</v>
      </c>
      <c r="P1418">
        <v>15.04</v>
      </c>
    </row>
    <row r="1419" spans="4:16" hidden="1" x14ac:dyDescent="0.25">
      <c r="D1419" t="s">
        <v>3171</v>
      </c>
      <c r="E1419" t="s">
        <v>3047</v>
      </c>
      <c r="F1419" t="s">
        <v>149</v>
      </c>
      <c r="G1419" t="s">
        <v>3172</v>
      </c>
      <c r="H1419" t="s">
        <v>239</v>
      </c>
      <c r="I1419" s="13">
        <v>39693</v>
      </c>
      <c r="J1419">
        <v>15</v>
      </c>
      <c r="K1419" t="s">
        <v>177</v>
      </c>
      <c r="L1419" t="s">
        <v>139</v>
      </c>
      <c r="M1419" t="s">
        <v>165</v>
      </c>
      <c r="N1419" t="s">
        <v>3173</v>
      </c>
      <c r="O1419">
        <v>1</v>
      </c>
      <c r="P1419">
        <v>15.02</v>
      </c>
    </row>
    <row r="1420" spans="4:16" hidden="1" x14ac:dyDescent="0.25">
      <c r="D1420" t="s">
        <v>3174</v>
      </c>
      <c r="E1420" t="s">
        <v>3047</v>
      </c>
      <c r="F1420" t="s">
        <v>149</v>
      </c>
      <c r="G1420" t="s">
        <v>3172</v>
      </c>
      <c r="H1420" t="s">
        <v>239</v>
      </c>
      <c r="I1420" s="13">
        <v>39695</v>
      </c>
      <c r="J1420">
        <v>15</v>
      </c>
      <c r="K1420" t="s">
        <v>177</v>
      </c>
      <c r="L1420" t="s">
        <v>139</v>
      </c>
      <c r="M1420" t="s">
        <v>165</v>
      </c>
      <c r="N1420" t="s">
        <v>3175</v>
      </c>
      <c r="O1420">
        <v>1</v>
      </c>
      <c r="P1420">
        <v>15.01</v>
      </c>
    </row>
    <row r="1421" spans="4:16" hidden="1" x14ac:dyDescent="0.25">
      <c r="D1421" t="s">
        <v>3176</v>
      </c>
      <c r="E1421" t="s">
        <v>3047</v>
      </c>
      <c r="F1421" t="s">
        <v>143</v>
      </c>
      <c r="G1421" t="s">
        <v>3104</v>
      </c>
      <c r="H1421" t="s">
        <v>137</v>
      </c>
      <c r="I1421" s="13">
        <v>39696</v>
      </c>
      <c r="J1421">
        <v>15</v>
      </c>
      <c r="K1421" t="s">
        <v>145</v>
      </c>
      <c r="L1421" t="s">
        <v>139</v>
      </c>
      <c r="M1421" t="s">
        <v>200</v>
      </c>
      <c r="N1421" t="s">
        <v>3177</v>
      </c>
      <c r="O1421">
        <v>1</v>
      </c>
      <c r="P1421">
        <v>15.01</v>
      </c>
    </row>
    <row r="1422" spans="4:16" hidden="1" x14ac:dyDescent="0.25">
      <c r="D1422" t="s">
        <v>3178</v>
      </c>
      <c r="E1422" t="s">
        <v>3047</v>
      </c>
      <c r="F1422" t="s">
        <v>225</v>
      </c>
      <c r="G1422" t="s">
        <v>225</v>
      </c>
      <c r="H1422" t="s">
        <v>239</v>
      </c>
      <c r="I1422" s="13">
        <v>39701</v>
      </c>
      <c r="J1422">
        <v>15</v>
      </c>
      <c r="K1422" t="s">
        <v>177</v>
      </c>
      <c r="L1422" t="s">
        <v>164</v>
      </c>
      <c r="M1422" t="s">
        <v>140</v>
      </c>
      <c r="N1422" t="s">
        <v>3179</v>
      </c>
      <c r="O1422">
        <v>1</v>
      </c>
      <c r="P1422">
        <v>15</v>
      </c>
    </row>
    <row r="1423" spans="4:16" hidden="1" x14ac:dyDescent="0.25">
      <c r="D1423" t="s">
        <v>3180</v>
      </c>
      <c r="E1423" t="s">
        <v>3047</v>
      </c>
      <c r="F1423" t="s">
        <v>149</v>
      </c>
      <c r="G1423" t="s">
        <v>3051</v>
      </c>
      <c r="H1423" t="s">
        <v>239</v>
      </c>
      <c r="I1423" s="13">
        <v>39734</v>
      </c>
      <c r="J1423">
        <v>15</v>
      </c>
      <c r="K1423" t="s">
        <v>177</v>
      </c>
      <c r="L1423" t="s">
        <v>164</v>
      </c>
      <c r="M1423" t="s">
        <v>856</v>
      </c>
      <c r="N1423" t="s">
        <v>3181</v>
      </c>
      <c r="O1423">
        <v>1</v>
      </c>
      <c r="P1423">
        <v>14.91</v>
      </c>
    </row>
    <row r="1424" spans="4:16" hidden="1" x14ac:dyDescent="0.25">
      <c r="D1424" t="s">
        <v>3182</v>
      </c>
      <c r="E1424" t="s">
        <v>3047</v>
      </c>
      <c r="F1424" t="s">
        <v>143</v>
      </c>
      <c r="G1424" t="s">
        <v>3104</v>
      </c>
      <c r="H1424" t="s">
        <v>239</v>
      </c>
      <c r="I1424" s="13">
        <v>39759</v>
      </c>
      <c r="J1424">
        <v>15</v>
      </c>
      <c r="K1424" t="s">
        <v>145</v>
      </c>
      <c r="L1424" t="s">
        <v>139</v>
      </c>
      <c r="M1424" t="s">
        <v>200</v>
      </c>
      <c r="N1424" t="s">
        <v>3183</v>
      </c>
      <c r="O1424">
        <v>1</v>
      </c>
      <c r="P1424">
        <v>14.84</v>
      </c>
    </row>
    <row r="1425" spans="4:16" hidden="1" x14ac:dyDescent="0.25">
      <c r="D1425" t="s">
        <v>3184</v>
      </c>
      <c r="E1425" t="s">
        <v>3047</v>
      </c>
      <c r="F1425" t="s">
        <v>143</v>
      </c>
      <c r="G1425" t="s">
        <v>3104</v>
      </c>
      <c r="H1425" t="s">
        <v>239</v>
      </c>
      <c r="I1425" s="13">
        <v>39778</v>
      </c>
      <c r="J1425">
        <v>15</v>
      </c>
      <c r="K1425" t="s">
        <v>177</v>
      </c>
      <c r="L1425" t="s">
        <v>139</v>
      </c>
      <c r="M1425" t="s">
        <v>200</v>
      </c>
      <c r="N1425" t="s">
        <v>3185</v>
      </c>
      <c r="O1425">
        <v>1</v>
      </c>
      <c r="P1425">
        <v>14.79</v>
      </c>
    </row>
    <row r="1426" spans="4:16" hidden="1" x14ac:dyDescent="0.25">
      <c r="D1426" t="s">
        <v>3186</v>
      </c>
      <c r="E1426" t="s">
        <v>3047</v>
      </c>
      <c r="F1426" t="s">
        <v>149</v>
      </c>
      <c r="G1426" t="s">
        <v>3051</v>
      </c>
      <c r="H1426" t="s">
        <v>239</v>
      </c>
      <c r="I1426" s="13">
        <v>39797</v>
      </c>
      <c r="J1426">
        <v>15</v>
      </c>
      <c r="K1426" t="s">
        <v>177</v>
      </c>
      <c r="L1426" t="s">
        <v>139</v>
      </c>
      <c r="M1426" t="s">
        <v>151</v>
      </c>
      <c r="N1426" t="s">
        <v>3187</v>
      </c>
      <c r="O1426">
        <v>1</v>
      </c>
      <c r="P1426">
        <v>14.73</v>
      </c>
    </row>
    <row r="1427" spans="4:16" hidden="1" x14ac:dyDescent="0.25">
      <c r="D1427" t="s">
        <v>3188</v>
      </c>
      <c r="E1427" t="s">
        <v>3047</v>
      </c>
      <c r="F1427" t="s">
        <v>143</v>
      </c>
      <c r="G1427" t="s">
        <v>3066</v>
      </c>
      <c r="H1427" t="s">
        <v>239</v>
      </c>
      <c r="I1427" s="13">
        <v>39822</v>
      </c>
      <c r="J1427">
        <v>15</v>
      </c>
      <c r="K1427" t="s">
        <v>177</v>
      </c>
      <c r="L1427" t="s">
        <v>139</v>
      </c>
      <c r="M1427" t="s">
        <v>913</v>
      </c>
      <c r="N1427" t="s">
        <v>3189</v>
      </c>
      <c r="O1427">
        <v>1</v>
      </c>
      <c r="P1427">
        <v>14.67</v>
      </c>
    </row>
    <row r="1428" spans="4:16" hidden="1" x14ac:dyDescent="0.25">
      <c r="D1428" t="s">
        <v>3190</v>
      </c>
      <c r="E1428" t="s">
        <v>3047</v>
      </c>
      <c r="F1428" t="s">
        <v>149</v>
      </c>
      <c r="G1428" t="s">
        <v>3051</v>
      </c>
      <c r="H1428" t="s">
        <v>239</v>
      </c>
      <c r="I1428" s="13">
        <v>39874</v>
      </c>
      <c r="J1428">
        <v>15</v>
      </c>
      <c r="K1428" t="s">
        <v>177</v>
      </c>
      <c r="L1428" t="s">
        <v>139</v>
      </c>
      <c r="M1428" t="s">
        <v>207</v>
      </c>
      <c r="N1428" t="s">
        <v>3191</v>
      </c>
      <c r="O1428">
        <v>1</v>
      </c>
      <c r="P1428">
        <v>14.52</v>
      </c>
    </row>
    <row r="1429" spans="4:16" hidden="1" x14ac:dyDescent="0.25">
      <c r="D1429" t="s">
        <v>3192</v>
      </c>
      <c r="E1429" t="s">
        <v>3047</v>
      </c>
      <c r="F1429" t="s">
        <v>149</v>
      </c>
      <c r="G1429" t="s">
        <v>3051</v>
      </c>
      <c r="H1429" t="s">
        <v>239</v>
      </c>
      <c r="I1429" s="13">
        <v>39882</v>
      </c>
      <c r="J1429">
        <v>14</v>
      </c>
      <c r="K1429" t="s">
        <v>177</v>
      </c>
      <c r="L1429" t="s">
        <v>139</v>
      </c>
      <c r="M1429" t="s">
        <v>1189</v>
      </c>
      <c r="N1429" t="s">
        <v>3193</v>
      </c>
      <c r="O1429">
        <v>1</v>
      </c>
      <c r="P1429">
        <v>14.5</v>
      </c>
    </row>
    <row r="1430" spans="4:16" hidden="1" x14ac:dyDescent="0.25">
      <c r="D1430" t="s">
        <v>3194</v>
      </c>
      <c r="E1430" t="s">
        <v>3047</v>
      </c>
      <c r="F1430" t="s">
        <v>143</v>
      </c>
      <c r="G1430" t="s">
        <v>3104</v>
      </c>
      <c r="H1430" t="s">
        <v>137</v>
      </c>
      <c r="I1430" s="13">
        <v>39899</v>
      </c>
      <c r="J1430">
        <v>14</v>
      </c>
      <c r="K1430" t="s">
        <v>177</v>
      </c>
      <c r="L1430" t="s">
        <v>139</v>
      </c>
      <c r="M1430" t="s">
        <v>200</v>
      </c>
      <c r="N1430" t="s">
        <v>3195</v>
      </c>
      <c r="O1430">
        <v>1</v>
      </c>
      <c r="P1430">
        <v>14.46</v>
      </c>
    </row>
    <row r="1431" spans="4:16" hidden="1" x14ac:dyDescent="0.25">
      <c r="D1431" t="s">
        <v>3196</v>
      </c>
      <c r="E1431" t="s">
        <v>3047</v>
      </c>
      <c r="F1431" t="s">
        <v>143</v>
      </c>
      <c r="G1431" t="s">
        <v>3048</v>
      </c>
      <c r="H1431" t="s">
        <v>239</v>
      </c>
      <c r="I1431" s="13">
        <v>39906</v>
      </c>
      <c r="J1431">
        <v>14</v>
      </c>
      <c r="K1431" t="s">
        <v>177</v>
      </c>
      <c r="L1431" t="s">
        <v>139</v>
      </c>
      <c r="M1431" t="s">
        <v>596</v>
      </c>
      <c r="N1431" t="s">
        <v>3197</v>
      </c>
      <c r="O1431">
        <v>1</v>
      </c>
      <c r="P1431">
        <v>14.44</v>
      </c>
    </row>
    <row r="1432" spans="4:16" hidden="1" x14ac:dyDescent="0.25">
      <c r="D1432" t="s">
        <v>3198</v>
      </c>
      <c r="E1432" t="s">
        <v>3047</v>
      </c>
      <c r="F1432" t="s">
        <v>173</v>
      </c>
      <c r="G1432" t="s">
        <v>3051</v>
      </c>
      <c r="H1432" t="s">
        <v>239</v>
      </c>
      <c r="I1432" s="13">
        <v>39913</v>
      </c>
      <c r="J1432">
        <v>14</v>
      </c>
      <c r="K1432" t="s">
        <v>177</v>
      </c>
      <c r="L1432" t="s">
        <v>139</v>
      </c>
      <c r="M1432" t="s">
        <v>178</v>
      </c>
      <c r="N1432" t="s">
        <v>3199</v>
      </c>
      <c r="O1432">
        <v>1</v>
      </c>
      <c r="P1432">
        <v>14.42</v>
      </c>
    </row>
    <row r="1433" spans="4:16" hidden="1" x14ac:dyDescent="0.25">
      <c r="D1433" t="s">
        <v>3200</v>
      </c>
      <c r="E1433" t="s">
        <v>3047</v>
      </c>
      <c r="F1433" t="s">
        <v>143</v>
      </c>
      <c r="G1433" t="s">
        <v>3048</v>
      </c>
      <c r="H1433" t="s">
        <v>176</v>
      </c>
      <c r="I1433" s="13">
        <v>39920</v>
      </c>
      <c r="J1433">
        <v>14</v>
      </c>
      <c r="K1433" t="s">
        <v>177</v>
      </c>
      <c r="L1433" t="s">
        <v>139</v>
      </c>
      <c r="M1433" t="s">
        <v>154</v>
      </c>
      <c r="N1433" t="s">
        <v>3201</v>
      </c>
      <c r="O1433">
        <v>1</v>
      </c>
      <c r="P1433">
        <v>14.4</v>
      </c>
    </row>
    <row r="1434" spans="4:16" hidden="1" x14ac:dyDescent="0.25">
      <c r="D1434" t="s">
        <v>3202</v>
      </c>
      <c r="E1434" t="s">
        <v>3047</v>
      </c>
      <c r="F1434" t="s">
        <v>143</v>
      </c>
      <c r="G1434" t="s">
        <v>3104</v>
      </c>
      <c r="H1434" t="s">
        <v>239</v>
      </c>
      <c r="I1434" s="13">
        <v>39944</v>
      </c>
      <c r="J1434">
        <v>14</v>
      </c>
      <c r="K1434" t="s">
        <v>177</v>
      </c>
      <c r="L1434" t="s">
        <v>139</v>
      </c>
      <c r="M1434" t="s">
        <v>264</v>
      </c>
      <c r="N1434" t="s">
        <v>3203</v>
      </c>
      <c r="O1434">
        <v>1</v>
      </c>
      <c r="P1434">
        <v>14.33</v>
      </c>
    </row>
    <row r="1435" spans="4:16" hidden="1" x14ac:dyDescent="0.25">
      <c r="D1435" t="s">
        <v>3204</v>
      </c>
      <c r="E1435" t="s">
        <v>3047</v>
      </c>
      <c r="F1435" t="s">
        <v>143</v>
      </c>
      <c r="G1435" t="s">
        <v>3066</v>
      </c>
      <c r="H1435" t="s">
        <v>239</v>
      </c>
      <c r="I1435" s="13">
        <v>39972</v>
      </c>
      <c r="J1435">
        <v>14</v>
      </c>
      <c r="K1435" t="s">
        <v>177</v>
      </c>
      <c r="L1435" t="s">
        <v>164</v>
      </c>
      <c r="M1435" t="s">
        <v>945</v>
      </c>
      <c r="N1435" t="s">
        <v>3205</v>
      </c>
      <c r="O1435">
        <v>1</v>
      </c>
      <c r="P1435">
        <v>14.26</v>
      </c>
    </row>
    <row r="1436" spans="4:16" hidden="1" x14ac:dyDescent="0.25">
      <c r="D1436" t="s">
        <v>3206</v>
      </c>
      <c r="E1436" t="s">
        <v>3047</v>
      </c>
      <c r="F1436" t="s">
        <v>143</v>
      </c>
      <c r="G1436" t="s">
        <v>3048</v>
      </c>
      <c r="H1436" t="s">
        <v>239</v>
      </c>
      <c r="I1436" s="13">
        <v>39972</v>
      </c>
      <c r="J1436">
        <v>14</v>
      </c>
      <c r="K1436" t="s">
        <v>177</v>
      </c>
      <c r="L1436" t="s">
        <v>164</v>
      </c>
      <c r="M1436" t="s">
        <v>945</v>
      </c>
      <c r="N1436" t="s">
        <v>3207</v>
      </c>
      <c r="O1436">
        <v>1</v>
      </c>
      <c r="P1436">
        <v>14.26</v>
      </c>
    </row>
    <row r="1437" spans="4:16" hidden="1" x14ac:dyDescent="0.25">
      <c r="D1437" t="s">
        <v>3208</v>
      </c>
      <c r="E1437" t="s">
        <v>3047</v>
      </c>
      <c r="F1437" t="s">
        <v>143</v>
      </c>
      <c r="G1437" t="s">
        <v>3209</v>
      </c>
      <c r="H1437" t="s">
        <v>239</v>
      </c>
      <c r="I1437" s="13">
        <v>39979</v>
      </c>
      <c r="J1437">
        <v>14</v>
      </c>
      <c r="K1437" t="s">
        <v>177</v>
      </c>
      <c r="L1437" t="s">
        <v>139</v>
      </c>
      <c r="M1437" t="s">
        <v>264</v>
      </c>
      <c r="N1437" t="s">
        <v>3210</v>
      </c>
      <c r="O1437">
        <v>1</v>
      </c>
      <c r="P1437">
        <v>14.24</v>
      </c>
    </row>
    <row r="1438" spans="4:16" hidden="1" x14ac:dyDescent="0.25">
      <c r="D1438" t="s">
        <v>3211</v>
      </c>
      <c r="E1438" t="s">
        <v>3047</v>
      </c>
      <c r="F1438" t="s">
        <v>225</v>
      </c>
      <c r="G1438" t="s">
        <v>225</v>
      </c>
      <c r="H1438" t="s">
        <v>239</v>
      </c>
      <c r="I1438" s="13">
        <v>40030</v>
      </c>
      <c r="J1438">
        <v>14</v>
      </c>
      <c r="K1438" t="s">
        <v>177</v>
      </c>
      <c r="L1438" t="s">
        <v>139</v>
      </c>
      <c r="M1438" t="s">
        <v>140</v>
      </c>
      <c r="N1438" t="s">
        <v>3212</v>
      </c>
      <c r="O1438">
        <v>1</v>
      </c>
      <c r="P1438">
        <v>14.1</v>
      </c>
    </row>
    <row r="1439" spans="4:16" hidden="1" x14ac:dyDescent="0.25">
      <c r="D1439" t="s">
        <v>3213</v>
      </c>
      <c r="E1439" t="s">
        <v>3047</v>
      </c>
      <c r="F1439" t="s">
        <v>143</v>
      </c>
      <c r="G1439" t="s">
        <v>3048</v>
      </c>
      <c r="H1439" t="s">
        <v>176</v>
      </c>
      <c r="I1439" s="13">
        <v>40029</v>
      </c>
      <c r="J1439">
        <v>14</v>
      </c>
      <c r="K1439" t="s">
        <v>177</v>
      </c>
      <c r="L1439" t="s">
        <v>139</v>
      </c>
      <c r="M1439" t="s">
        <v>805</v>
      </c>
      <c r="N1439" t="s">
        <v>3214</v>
      </c>
      <c r="O1439">
        <v>1</v>
      </c>
      <c r="P1439">
        <v>14.1</v>
      </c>
    </row>
    <row r="1440" spans="4:16" hidden="1" x14ac:dyDescent="0.25">
      <c r="D1440" t="s">
        <v>3215</v>
      </c>
      <c r="E1440" t="s">
        <v>3047</v>
      </c>
      <c r="F1440" t="s">
        <v>143</v>
      </c>
      <c r="G1440" t="s">
        <v>3066</v>
      </c>
      <c r="H1440" t="s">
        <v>176</v>
      </c>
      <c r="I1440" s="13">
        <v>40029</v>
      </c>
      <c r="J1440">
        <v>14</v>
      </c>
      <c r="K1440" t="s">
        <v>177</v>
      </c>
      <c r="L1440" t="s">
        <v>139</v>
      </c>
      <c r="M1440" t="s">
        <v>805</v>
      </c>
      <c r="N1440" t="s">
        <v>3216</v>
      </c>
      <c r="O1440">
        <v>1</v>
      </c>
      <c r="P1440">
        <v>14.1</v>
      </c>
    </row>
    <row r="1441" spans="4:16" hidden="1" x14ac:dyDescent="0.25">
      <c r="D1441" t="s">
        <v>3217</v>
      </c>
      <c r="E1441" t="s">
        <v>3047</v>
      </c>
      <c r="F1441" t="s">
        <v>143</v>
      </c>
      <c r="G1441" t="s">
        <v>143</v>
      </c>
      <c r="H1441" t="s">
        <v>239</v>
      </c>
      <c r="I1441" s="13">
        <v>40032</v>
      </c>
      <c r="J1441">
        <v>14</v>
      </c>
      <c r="K1441" t="s">
        <v>177</v>
      </c>
      <c r="L1441" t="s">
        <v>139</v>
      </c>
      <c r="M1441" t="s">
        <v>913</v>
      </c>
      <c r="N1441" t="s">
        <v>3218</v>
      </c>
      <c r="O1441">
        <v>1</v>
      </c>
      <c r="P1441">
        <v>14.09</v>
      </c>
    </row>
    <row r="1442" spans="4:16" hidden="1" x14ac:dyDescent="0.25">
      <c r="D1442" t="s">
        <v>3219</v>
      </c>
      <c r="E1442" t="s">
        <v>3047</v>
      </c>
      <c r="F1442" t="s">
        <v>143</v>
      </c>
      <c r="G1442" t="s">
        <v>3220</v>
      </c>
      <c r="H1442" t="s">
        <v>239</v>
      </c>
      <c r="I1442" s="13">
        <v>40035</v>
      </c>
      <c r="J1442">
        <v>14</v>
      </c>
      <c r="K1442" t="s">
        <v>177</v>
      </c>
      <c r="L1442" t="s">
        <v>139</v>
      </c>
      <c r="M1442" t="s">
        <v>227</v>
      </c>
      <c r="N1442" t="s">
        <v>3221</v>
      </c>
      <c r="O1442">
        <v>1</v>
      </c>
      <c r="P1442">
        <v>14.08</v>
      </c>
    </row>
    <row r="1443" spans="4:16" hidden="1" x14ac:dyDescent="0.25">
      <c r="D1443" t="s">
        <v>3222</v>
      </c>
      <c r="E1443" t="s">
        <v>3047</v>
      </c>
      <c r="F1443" t="s">
        <v>143</v>
      </c>
      <c r="G1443" t="s">
        <v>3066</v>
      </c>
      <c r="H1443" t="s">
        <v>239</v>
      </c>
      <c r="I1443" s="13">
        <v>40046</v>
      </c>
      <c r="J1443">
        <v>14</v>
      </c>
      <c r="K1443" t="s">
        <v>177</v>
      </c>
      <c r="L1443" t="s">
        <v>139</v>
      </c>
      <c r="M1443" t="s">
        <v>913</v>
      </c>
      <c r="N1443" t="s">
        <v>3223</v>
      </c>
      <c r="O1443">
        <v>1</v>
      </c>
      <c r="P1443">
        <v>14.05</v>
      </c>
    </row>
    <row r="1444" spans="4:16" hidden="1" x14ac:dyDescent="0.25">
      <c r="D1444" t="s">
        <v>3224</v>
      </c>
      <c r="E1444" t="s">
        <v>3047</v>
      </c>
      <c r="F1444" t="s">
        <v>149</v>
      </c>
      <c r="G1444" t="s">
        <v>3051</v>
      </c>
      <c r="H1444" t="s">
        <v>239</v>
      </c>
      <c r="I1444" s="13">
        <v>40063</v>
      </c>
      <c r="J1444">
        <v>14</v>
      </c>
      <c r="K1444" t="s">
        <v>177</v>
      </c>
      <c r="L1444" t="s">
        <v>139</v>
      </c>
      <c r="M1444" t="s">
        <v>151</v>
      </c>
      <c r="N1444" t="s">
        <v>3225</v>
      </c>
      <c r="O1444">
        <v>1</v>
      </c>
      <c r="P1444">
        <v>14.01</v>
      </c>
    </row>
    <row r="1445" spans="4:16" hidden="1" x14ac:dyDescent="0.25">
      <c r="D1445" t="s">
        <v>3226</v>
      </c>
      <c r="E1445" t="s">
        <v>3047</v>
      </c>
      <c r="F1445" t="s">
        <v>143</v>
      </c>
      <c r="G1445" t="s">
        <v>3104</v>
      </c>
      <c r="H1445" t="s">
        <v>239</v>
      </c>
      <c r="I1445" s="13">
        <v>40071</v>
      </c>
      <c r="J1445">
        <v>14</v>
      </c>
      <c r="K1445" t="s">
        <v>177</v>
      </c>
      <c r="L1445" t="s">
        <v>139</v>
      </c>
      <c r="M1445" t="s">
        <v>200</v>
      </c>
      <c r="N1445" t="s">
        <v>3227</v>
      </c>
      <c r="O1445">
        <v>1</v>
      </c>
      <c r="P1445">
        <v>13.98</v>
      </c>
    </row>
    <row r="1446" spans="4:16" hidden="1" x14ac:dyDescent="0.25">
      <c r="D1446" t="s">
        <v>3228</v>
      </c>
      <c r="E1446" t="s">
        <v>3047</v>
      </c>
      <c r="F1446" t="s">
        <v>149</v>
      </c>
      <c r="G1446" t="s">
        <v>3051</v>
      </c>
      <c r="H1446" t="s">
        <v>239</v>
      </c>
      <c r="I1446" s="13">
        <v>40100</v>
      </c>
      <c r="J1446">
        <v>14</v>
      </c>
      <c r="K1446" t="s">
        <v>177</v>
      </c>
      <c r="L1446" t="s">
        <v>139</v>
      </c>
      <c r="M1446" t="s">
        <v>207</v>
      </c>
      <c r="N1446" t="s">
        <v>3229</v>
      </c>
      <c r="O1446">
        <v>1</v>
      </c>
      <c r="P1446">
        <v>13.9</v>
      </c>
    </row>
    <row r="1447" spans="4:16" hidden="1" x14ac:dyDescent="0.25">
      <c r="D1447" t="s">
        <v>3230</v>
      </c>
      <c r="E1447" t="s">
        <v>3047</v>
      </c>
      <c r="F1447" t="s">
        <v>225</v>
      </c>
      <c r="G1447" t="s">
        <v>3148</v>
      </c>
      <c r="H1447" t="s">
        <v>239</v>
      </c>
      <c r="I1447" s="13">
        <v>40119</v>
      </c>
      <c r="J1447">
        <v>14</v>
      </c>
      <c r="K1447" t="s">
        <v>177</v>
      </c>
      <c r="L1447" t="s">
        <v>139</v>
      </c>
      <c r="M1447" t="s">
        <v>204</v>
      </c>
      <c r="N1447" t="s">
        <v>3231</v>
      </c>
      <c r="O1447">
        <v>1</v>
      </c>
      <c r="P1447">
        <v>13.85</v>
      </c>
    </row>
    <row r="1448" spans="4:16" hidden="1" x14ac:dyDescent="0.25">
      <c r="D1448" t="s">
        <v>3232</v>
      </c>
      <c r="E1448" t="s">
        <v>3047</v>
      </c>
      <c r="F1448" t="s">
        <v>225</v>
      </c>
      <c r="G1448" t="s">
        <v>225</v>
      </c>
      <c r="H1448" t="s">
        <v>239</v>
      </c>
      <c r="I1448" s="13">
        <v>40182</v>
      </c>
      <c r="J1448">
        <v>14</v>
      </c>
      <c r="K1448" t="s">
        <v>177</v>
      </c>
      <c r="L1448" t="s">
        <v>139</v>
      </c>
      <c r="M1448" t="s">
        <v>140</v>
      </c>
      <c r="N1448" t="s">
        <v>3233</v>
      </c>
      <c r="O1448">
        <v>1</v>
      </c>
      <c r="P1448">
        <v>13.68</v>
      </c>
    </row>
    <row r="1449" spans="4:16" hidden="1" x14ac:dyDescent="0.25">
      <c r="D1449" t="s">
        <v>3234</v>
      </c>
      <c r="E1449" t="s">
        <v>3047</v>
      </c>
      <c r="F1449" t="s">
        <v>143</v>
      </c>
      <c r="G1449" t="s">
        <v>3066</v>
      </c>
      <c r="H1449" t="s">
        <v>239</v>
      </c>
      <c r="I1449" s="13">
        <v>40184</v>
      </c>
      <c r="J1449">
        <v>14</v>
      </c>
      <c r="K1449" t="s">
        <v>177</v>
      </c>
      <c r="L1449" t="s">
        <v>164</v>
      </c>
      <c r="M1449" t="s">
        <v>945</v>
      </c>
      <c r="N1449" t="s">
        <v>3235</v>
      </c>
      <c r="O1449">
        <v>1</v>
      </c>
      <c r="P1449">
        <v>13.67</v>
      </c>
    </row>
    <row r="1450" spans="4:16" hidden="1" x14ac:dyDescent="0.25">
      <c r="D1450" t="s">
        <v>3236</v>
      </c>
      <c r="E1450" t="s">
        <v>3047</v>
      </c>
      <c r="F1450" t="s">
        <v>149</v>
      </c>
      <c r="G1450" t="s">
        <v>3051</v>
      </c>
      <c r="H1450" t="s">
        <v>239</v>
      </c>
      <c r="I1450" s="13">
        <v>40198</v>
      </c>
      <c r="J1450">
        <v>14</v>
      </c>
      <c r="K1450" t="s">
        <v>177</v>
      </c>
      <c r="L1450" t="s">
        <v>139</v>
      </c>
      <c r="M1450" t="s">
        <v>268</v>
      </c>
      <c r="N1450" t="s">
        <v>3237</v>
      </c>
      <c r="O1450">
        <v>1</v>
      </c>
      <c r="P1450">
        <v>13.64</v>
      </c>
    </row>
    <row r="1451" spans="4:16" hidden="1" x14ac:dyDescent="0.25">
      <c r="D1451" t="s">
        <v>3238</v>
      </c>
      <c r="E1451" t="s">
        <v>3047</v>
      </c>
      <c r="F1451" t="s">
        <v>149</v>
      </c>
      <c r="G1451" t="s">
        <v>3051</v>
      </c>
      <c r="H1451" t="s">
        <v>239</v>
      </c>
      <c r="I1451" s="13">
        <v>40204</v>
      </c>
      <c r="J1451">
        <v>14</v>
      </c>
      <c r="K1451" t="s">
        <v>177</v>
      </c>
      <c r="L1451" t="s">
        <v>139</v>
      </c>
      <c r="M1451" t="s">
        <v>965</v>
      </c>
      <c r="N1451" t="s">
        <v>3239</v>
      </c>
      <c r="O1451">
        <v>1</v>
      </c>
      <c r="P1451">
        <v>13.62</v>
      </c>
    </row>
    <row r="1452" spans="4:16" hidden="1" x14ac:dyDescent="0.25">
      <c r="D1452" t="s">
        <v>3240</v>
      </c>
      <c r="E1452" t="s">
        <v>3047</v>
      </c>
      <c r="F1452" t="s">
        <v>173</v>
      </c>
      <c r="G1452" t="s">
        <v>3051</v>
      </c>
      <c r="H1452" t="s">
        <v>239</v>
      </c>
      <c r="I1452" s="13">
        <v>40225</v>
      </c>
      <c r="J1452">
        <v>14</v>
      </c>
      <c r="K1452" t="s">
        <v>177</v>
      </c>
      <c r="L1452" t="s">
        <v>139</v>
      </c>
      <c r="M1452" t="s">
        <v>216</v>
      </c>
      <c r="N1452" t="s">
        <v>3241</v>
      </c>
      <c r="O1452">
        <v>1</v>
      </c>
      <c r="P1452">
        <v>13.56</v>
      </c>
    </row>
    <row r="1453" spans="4:16" hidden="1" x14ac:dyDescent="0.25">
      <c r="D1453" t="s">
        <v>3242</v>
      </c>
      <c r="E1453" t="s">
        <v>3047</v>
      </c>
      <c r="F1453" t="s">
        <v>149</v>
      </c>
      <c r="G1453" t="s">
        <v>3172</v>
      </c>
      <c r="H1453" t="s">
        <v>239</v>
      </c>
      <c r="I1453" s="13">
        <v>40240</v>
      </c>
      <c r="J1453">
        <v>14</v>
      </c>
      <c r="K1453" t="s">
        <v>177</v>
      </c>
      <c r="L1453" t="s">
        <v>139</v>
      </c>
      <c r="M1453" t="s">
        <v>316</v>
      </c>
      <c r="N1453" t="s">
        <v>3243</v>
      </c>
      <c r="O1453">
        <v>1</v>
      </c>
      <c r="P1453">
        <v>13.52</v>
      </c>
    </row>
    <row r="1454" spans="4:16" hidden="1" x14ac:dyDescent="0.25">
      <c r="D1454" t="s">
        <v>3244</v>
      </c>
      <c r="E1454" t="s">
        <v>3047</v>
      </c>
      <c r="F1454" t="s">
        <v>149</v>
      </c>
      <c r="G1454" t="s">
        <v>3172</v>
      </c>
      <c r="H1454" t="s">
        <v>239</v>
      </c>
      <c r="I1454" s="13">
        <v>40245</v>
      </c>
      <c r="J1454">
        <v>14</v>
      </c>
      <c r="K1454" t="s">
        <v>177</v>
      </c>
      <c r="L1454" t="s">
        <v>139</v>
      </c>
      <c r="M1454" t="s">
        <v>316</v>
      </c>
      <c r="N1454" t="s">
        <v>3245</v>
      </c>
      <c r="O1454">
        <v>1</v>
      </c>
      <c r="P1454">
        <v>13.51</v>
      </c>
    </row>
    <row r="1455" spans="4:16" hidden="1" x14ac:dyDescent="0.25">
      <c r="D1455" t="s">
        <v>3246</v>
      </c>
      <c r="E1455" t="s">
        <v>3047</v>
      </c>
      <c r="F1455" t="s">
        <v>149</v>
      </c>
      <c r="G1455" t="s">
        <v>3051</v>
      </c>
      <c r="H1455" t="s">
        <v>239</v>
      </c>
      <c r="I1455" s="13">
        <v>40392</v>
      </c>
      <c r="J1455">
        <v>13</v>
      </c>
      <c r="K1455" t="s">
        <v>177</v>
      </c>
      <c r="L1455" t="s">
        <v>139</v>
      </c>
      <c r="M1455" t="s">
        <v>193</v>
      </c>
      <c r="N1455" t="s">
        <v>3247</v>
      </c>
      <c r="O1455">
        <v>1</v>
      </c>
      <c r="P1455">
        <v>13.1</v>
      </c>
    </row>
    <row r="1456" spans="4:16" hidden="1" x14ac:dyDescent="0.25">
      <c r="D1456" t="s">
        <v>3248</v>
      </c>
      <c r="E1456" t="s">
        <v>3047</v>
      </c>
      <c r="F1456" t="s">
        <v>173</v>
      </c>
      <c r="G1456" t="s">
        <v>3051</v>
      </c>
      <c r="H1456" t="s">
        <v>239</v>
      </c>
      <c r="I1456" s="13">
        <v>40392</v>
      </c>
      <c r="J1456">
        <v>13</v>
      </c>
      <c r="K1456" t="s">
        <v>177</v>
      </c>
      <c r="L1456" t="s">
        <v>139</v>
      </c>
      <c r="M1456" t="s">
        <v>193</v>
      </c>
      <c r="N1456" t="s">
        <v>3249</v>
      </c>
      <c r="O1456">
        <v>1</v>
      </c>
      <c r="P1456">
        <v>13.1</v>
      </c>
    </row>
    <row r="1457" spans="4:16" hidden="1" x14ac:dyDescent="0.25">
      <c r="D1457" t="s">
        <v>3250</v>
      </c>
      <c r="E1457" t="s">
        <v>3047</v>
      </c>
      <c r="F1457" t="s">
        <v>379</v>
      </c>
      <c r="G1457" t="s">
        <v>3251</v>
      </c>
      <c r="H1457" t="s">
        <v>239</v>
      </c>
      <c r="I1457" s="13">
        <v>40402</v>
      </c>
      <c r="J1457">
        <v>13</v>
      </c>
      <c r="K1457" t="s">
        <v>177</v>
      </c>
      <c r="L1457" t="s">
        <v>139</v>
      </c>
      <c r="M1457" t="s">
        <v>268</v>
      </c>
      <c r="N1457" t="s">
        <v>3252</v>
      </c>
      <c r="O1457">
        <v>1</v>
      </c>
      <c r="P1457">
        <v>13.08</v>
      </c>
    </row>
    <row r="1458" spans="4:16" hidden="1" x14ac:dyDescent="0.25">
      <c r="D1458" t="s">
        <v>3253</v>
      </c>
      <c r="E1458" t="s">
        <v>3047</v>
      </c>
      <c r="F1458" t="s">
        <v>143</v>
      </c>
      <c r="G1458" t="s">
        <v>3048</v>
      </c>
      <c r="H1458" t="s">
        <v>239</v>
      </c>
      <c r="I1458" s="13">
        <v>40424</v>
      </c>
      <c r="J1458">
        <v>13</v>
      </c>
      <c r="K1458" t="s">
        <v>177</v>
      </c>
      <c r="L1458" t="s">
        <v>139</v>
      </c>
      <c r="M1458" t="s">
        <v>230</v>
      </c>
      <c r="N1458" t="s">
        <v>3254</v>
      </c>
      <c r="O1458">
        <v>1</v>
      </c>
      <c r="P1458">
        <v>13.02</v>
      </c>
    </row>
    <row r="1459" spans="4:16" x14ac:dyDescent="0.25">
      <c r="D1459" t="s">
        <v>3255</v>
      </c>
      <c r="E1459" t="s">
        <v>3047</v>
      </c>
      <c r="F1459" t="s">
        <v>143</v>
      </c>
      <c r="G1459" t="s">
        <v>3104</v>
      </c>
      <c r="H1459" t="s">
        <v>1218</v>
      </c>
      <c r="I1459" s="13">
        <v>40660</v>
      </c>
      <c r="J1459">
        <v>12</v>
      </c>
      <c r="K1459" t="s">
        <v>177</v>
      </c>
      <c r="L1459" t="s">
        <v>139</v>
      </c>
      <c r="M1459" t="s">
        <v>805</v>
      </c>
      <c r="N1459" t="s">
        <v>3256</v>
      </c>
      <c r="O1459">
        <v>1</v>
      </c>
      <c r="P1459">
        <v>12.37</v>
      </c>
    </row>
    <row r="1460" spans="4:16" hidden="1" x14ac:dyDescent="0.25">
      <c r="D1460" t="s">
        <v>3257</v>
      </c>
      <c r="E1460" t="s">
        <v>3047</v>
      </c>
      <c r="F1460" t="s">
        <v>143</v>
      </c>
      <c r="G1460" t="s">
        <v>3066</v>
      </c>
      <c r="H1460" t="s">
        <v>239</v>
      </c>
      <c r="I1460" s="13">
        <v>40673</v>
      </c>
      <c r="J1460">
        <v>12</v>
      </c>
      <c r="K1460" t="s">
        <v>177</v>
      </c>
      <c r="L1460" t="s">
        <v>164</v>
      </c>
      <c r="M1460" t="s">
        <v>945</v>
      </c>
      <c r="N1460" t="s">
        <v>3258</v>
      </c>
      <c r="O1460">
        <v>1</v>
      </c>
      <c r="P1460">
        <v>12.33</v>
      </c>
    </row>
    <row r="1461" spans="4:16" hidden="1" x14ac:dyDescent="0.25">
      <c r="D1461" t="s">
        <v>3259</v>
      </c>
      <c r="E1461" t="s">
        <v>3047</v>
      </c>
      <c r="F1461" t="s">
        <v>143</v>
      </c>
      <c r="G1461" t="s">
        <v>144</v>
      </c>
      <c r="H1461" t="s">
        <v>239</v>
      </c>
      <c r="I1461" s="13">
        <v>40758</v>
      </c>
      <c r="J1461">
        <v>12</v>
      </c>
      <c r="K1461" t="s">
        <v>177</v>
      </c>
      <c r="L1461" t="s">
        <v>139</v>
      </c>
      <c r="M1461" t="s">
        <v>154</v>
      </c>
      <c r="N1461" t="s">
        <v>3260</v>
      </c>
      <c r="O1461">
        <v>1</v>
      </c>
      <c r="P1461">
        <v>12.1</v>
      </c>
    </row>
    <row r="1462" spans="4:16" hidden="1" x14ac:dyDescent="0.25">
      <c r="D1462" t="s">
        <v>3261</v>
      </c>
      <c r="E1462" t="s">
        <v>3047</v>
      </c>
      <c r="F1462" t="s">
        <v>143</v>
      </c>
      <c r="G1462" t="s">
        <v>144</v>
      </c>
      <c r="H1462" t="s">
        <v>239</v>
      </c>
      <c r="I1462" s="13">
        <v>40764</v>
      </c>
      <c r="J1462">
        <v>12</v>
      </c>
      <c r="K1462" t="s">
        <v>177</v>
      </c>
      <c r="L1462" t="s">
        <v>139</v>
      </c>
      <c r="M1462" t="s">
        <v>154</v>
      </c>
      <c r="N1462" t="s">
        <v>3262</v>
      </c>
      <c r="O1462">
        <v>1</v>
      </c>
      <c r="P1462">
        <v>12.09</v>
      </c>
    </row>
    <row r="1463" spans="4:16" hidden="1" x14ac:dyDescent="0.25">
      <c r="D1463" t="s">
        <v>3263</v>
      </c>
      <c r="E1463" t="s">
        <v>3047</v>
      </c>
      <c r="F1463" t="s">
        <v>143</v>
      </c>
      <c r="G1463" t="s">
        <v>3264</v>
      </c>
      <c r="H1463" t="s">
        <v>239</v>
      </c>
      <c r="I1463" s="13">
        <v>40779</v>
      </c>
      <c r="J1463">
        <v>12</v>
      </c>
      <c r="K1463" t="s">
        <v>177</v>
      </c>
      <c r="L1463" t="s">
        <v>139</v>
      </c>
      <c r="M1463" t="s">
        <v>398</v>
      </c>
      <c r="N1463" t="s">
        <v>3265</v>
      </c>
      <c r="O1463">
        <v>1</v>
      </c>
      <c r="P1463">
        <v>12.04</v>
      </c>
    </row>
    <row r="1464" spans="4:16" hidden="1" x14ac:dyDescent="0.25">
      <c r="D1464" t="s">
        <v>3266</v>
      </c>
      <c r="E1464" t="s">
        <v>3047</v>
      </c>
      <c r="F1464" t="s">
        <v>225</v>
      </c>
      <c r="G1464" t="s">
        <v>3148</v>
      </c>
      <c r="H1464" t="s">
        <v>239</v>
      </c>
      <c r="I1464" s="13">
        <v>40794</v>
      </c>
      <c r="J1464">
        <v>12</v>
      </c>
      <c r="K1464" t="s">
        <v>177</v>
      </c>
      <c r="L1464" t="s">
        <v>139</v>
      </c>
      <c r="M1464" t="s">
        <v>204</v>
      </c>
      <c r="N1464" t="s">
        <v>3267</v>
      </c>
      <c r="O1464">
        <v>1</v>
      </c>
      <c r="P1464">
        <v>12</v>
      </c>
    </row>
    <row r="1465" spans="4:16" hidden="1" x14ac:dyDescent="0.25">
      <c r="D1465" t="s">
        <v>3268</v>
      </c>
      <c r="E1465" t="s">
        <v>3047</v>
      </c>
      <c r="F1465" t="s">
        <v>143</v>
      </c>
      <c r="G1465" t="s">
        <v>1750</v>
      </c>
      <c r="H1465" t="s">
        <v>239</v>
      </c>
      <c r="I1465" s="13">
        <v>40879</v>
      </c>
      <c r="J1465">
        <v>12</v>
      </c>
      <c r="K1465" t="s">
        <v>177</v>
      </c>
      <c r="L1465" t="s">
        <v>139</v>
      </c>
      <c r="M1465" t="s">
        <v>907</v>
      </c>
      <c r="N1465" t="s">
        <v>3269</v>
      </c>
      <c r="O1465">
        <v>1</v>
      </c>
      <c r="P1465">
        <v>11.77</v>
      </c>
    </row>
    <row r="1466" spans="4:16" hidden="1" x14ac:dyDescent="0.25">
      <c r="D1466" t="s">
        <v>3270</v>
      </c>
      <c r="E1466" t="s">
        <v>3047</v>
      </c>
      <c r="F1466" t="s">
        <v>149</v>
      </c>
      <c r="G1466" t="s">
        <v>3051</v>
      </c>
      <c r="H1466" t="s">
        <v>239</v>
      </c>
      <c r="I1466" s="13">
        <v>41080</v>
      </c>
      <c r="J1466">
        <v>11</v>
      </c>
      <c r="K1466" t="s">
        <v>145</v>
      </c>
      <c r="L1466" t="s">
        <v>139</v>
      </c>
      <c r="M1466" t="s">
        <v>284</v>
      </c>
      <c r="N1466" t="s">
        <v>3271</v>
      </c>
      <c r="O1466">
        <v>1</v>
      </c>
      <c r="P1466">
        <v>11.22</v>
      </c>
    </row>
    <row r="1467" spans="4:16" hidden="1" x14ac:dyDescent="0.25">
      <c r="D1467" t="s">
        <v>3272</v>
      </c>
      <c r="E1467" t="s">
        <v>3047</v>
      </c>
      <c r="F1467" t="s">
        <v>149</v>
      </c>
      <c r="G1467" t="s">
        <v>149</v>
      </c>
      <c r="H1467" t="s">
        <v>239</v>
      </c>
      <c r="I1467" s="13">
        <v>41082</v>
      </c>
      <c r="J1467">
        <v>11</v>
      </c>
      <c r="K1467" t="s">
        <v>177</v>
      </c>
      <c r="L1467" t="s">
        <v>139</v>
      </c>
      <c r="M1467" t="s">
        <v>140</v>
      </c>
      <c r="N1467" t="s">
        <v>3273</v>
      </c>
      <c r="O1467">
        <v>1</v>
      </c>
      <c r="P1467">
        <v>11.21</v>
      </c>
    </row>
    <row r="1468" spans="4:16" hidden="1" x14ac:dyDescent="0.25">
      <c r="D1468" t="s">
        <v>3274</v>
      </c>
      <c r="E1468" t="s">
        <v>3047</v>
      </c>
      <c r="F1468" t="s">
        <v>143</v>
      </c>
      <c r="G1468" t="s">
        <v>3275</v>
      </c>
      <c r="H1468" t="s">
        <v>239</v>
      </c>
      <c r="I1468" s="13">
        <v>41120</v>
      </c>
      <c r="J1468">
        <v>11</v>
      </c>
      <c r="K1468" t="s">
        <v>177</v>
      </c>
      <c r="L1468" t="s">
        <v>139</v>
      </c>
      <c r="M1468" t="s">
        <v>907</v>
      </c>
      <c r="N1468" t="s">
        <v>3276</v>
      </c>
      <c r="O1468">
        <v>1</v>
      </c>
      <c r="P1468">
        <v>11.11</v>
      </c>
    </row>
    <row r="1469" spans="4:16" hidden="1" x14ac:dyDescent="0.25">
      <c r="D1469" t="s">
        <v>3277</v>
      </c>
      <c r="E1469" t="s">
        <v>3047</v>
      </c>
      <c r="F1469" t="s">
        <v>143</v>
      </c>
      <c r="G1469" t="s">
        <v>3275</v>
      </c>
      <c r="H1469" t="s">
        <v>239</v>
      </c>
      <c r="I1469" s="13">
        <v>41120</v>
      </c>
      <c r="J1469">
        <v>11</v>
      </c>
      <c r="K1469" t="s">
        <v>177</v>
      </c>
      <c r="L1469" t="s">
        <v>139</v>
      </c>
      <c r="M1469" t="s">
        <v>907</v>
      </c>
      <c r="N1469" t="s">
        <v>3278</v>
      </c>
      <c r="O1469">
        <v>1</v>
      </c>
      <c r="P1469">
        <v>11.11</v>
      </c>
    </row>
    <row r="1470" spans="4:16" hidden="1" x14ac:dyDescent="0.25">
      <c r="D1470" t="s">
        <v>3279</v>
      </c>
      <c r="E1470" t="s">
        <v>3047</v>
      </c>
      <c r="F1470" t="s">
        <v>143</v>
      </c>
      <c r="G1470" t="s">
        <v>3066</v>
      </c>
      <c r="H1470" t="s">
        <v>239</v>
      </c>
      <c r="I1470" s="13">
        <v>41201</v>
      </c>
      <c r="J1470">
        <v>11</v>
      </c>
      <c r="K1470" t="s">
        <v>177</v>
      </c>
      <c r="L1470" t="s">
        <v>139</v>
      </c>
      <c r="M1470" t="s">
        <v>222</v>
      </c>
      <c r="N1470" t="s">
        <v>3280</v>
      </c>
      <c r="O1470">
        <v>1</v>
      </c>
      <c r="P1470">
        <v>10.89</v>
      </c>
    </row>
    <row r="1471" spans="4:16" hidden="1" x14ac:dyDescent="0.25">
      <c r="D1471" t="s">
        <v>3281</v>
      </c>
      <c r="E1471" t="s">
        <v>3047</v>
      </c>
      <c r="F1471" t="s">
        <v>379</v>
      </c>
      <c r="G1471" t="s">
        <v>782</v>
      </c>
      <c r="H1471" t="s">
        <v>239</v>
      </c>
      <c r="I1471" s="13">
        <v>41368</v>
      </c>
      <c r="J1471">
        <v>10</v>
      </c>
      <c r="K1471" t="s">
        <v>177</v>
      </c>
      <c r="L1471" t="s">
        <v>139</v>
      </c>
      <c r="M1471" t="s">
        <v>1034</v>
      </c>
      <c r="N1471" t="s">
        <v>3282</v>
      </c>
      <c r="O1471">
        <v>1</v>
      </c>
      <c r="P1471">
        <v>10.43</v>
      </c>
    </row>
    <row r="1472" spans="4:16" hidden="1" x14ac:dyDescent="0.25">
      <c r="D1472" t="s">
        <v>3283</v>
      </c>
      <c r="E1472" t="s">
        <v>3047</v>
      </c>
      <c r="F1472" t="s">
        <v>379</v>
      </c>
      <c r="G1472" t="s">
        <v>3284</v>
      </c>
      <c r="H1472" t="s">
        <v>239</v>
      </c>
      <c r="I1472" s="13">
        <v>41379</v>
      </c>
      <c r="J1472">
        <v>10</v>
      </c>
      <c r="K1472" t="s">
        <v>177</v>
      </c>
      <c r="L1472" t="s">
        <v>139</v>
      </c>
      <c r="M1472" t="s">
        <v>945</v>
      </c>
      <c r="N1472" t="s">
        <v>3285</v>
      </c>
      <c r="O1472">
        <v>1</v>
      </c>
      <c r="P1472">
        <v>10.4</v>
      </c>
    </row>
    <row r="1473" spans="4:16" hidden="1" x14ac:dyDescent="0.25">
      <c r="D1473" t="s">
        <v>3286</v>
      </c>
      <c r="E1473" t="s">
        <v>3047</v>
      </c>
      <c r="F1473" t="s">
        <v>149</v>
      </c>
      <c r="G1473" t="s">
        <v>3051</v>
      </c>
      <c r="H1473" t="s">
        <v>239</v>
      </c>
      <c r="I1473" s="13">
        <v>41432</v>
      </c>
      <c r="J1473">
        <v>10</v>
      </c>
      <c r="K1473" t="s">
        <v>177</v>
      </c>
      <c r="L1473" t="s">
        <v>139</v>
      </c>
      <c r="M1473" t="s">
        <v>227</v>
      </c>
      <c r="N1473" t="s">
        <v>3287</v>
      </c>
      <c r="O1473">
        <v>1</v>
      </c>
      <c r="P1473">
        <v>10.26</v>
      </c>
    </row>
    <row r="1474" spans="4:16" hidden="1" x14ac:dyDescent="0.25">
      <c r="D1474" t="s">
        <v>3288</v>
      </c>
      <c r="E1474" t="s">
        <v>3047</v>
      </c>
      <c r="F1474" t="s">
        <v>149</v>
      </c>
      <c r="G1474" t="s">
        <v>3051</v>
      </c>
      <c r="H1474" t="s">
        <v>239</v>
      </c>
      <c r="I1474" s="13">
        <v>41460</v>
      </c>
      <c r="J1474">
        <v>10</v>
      </c>
      <c r="K1474" t="s">
        <v>177</v>
      </c>
      <c r="L1474" t="s">
        <v>139</v>
      </c>
      <c r="M1474" t="s">
        <v>386</v>
      </c>
      <c r="N1474" t="s">
        <v>3289</v>
      </c>
      <c r="O1474">
        <v>1</v>
      </c>
      <c r="P1474">
        <v>10.18</v>
      </c>
    </row>
    <row r="1475" spans="4:16" hidden="1" x14ac:dyDescent="0.25">
      <c r="D1475" t="s">
        <v>3290</v>
      </c>
      <c r="E1475" t="s">
        <v>3047</v>
      </c>
      <c r="F1475" t="s">
        <v>149</v>
      </c>
      <c r="G1475" t="s">
        <v>3051</v>
      </c>
      <c r="H1475" t="s">
        <v>239</v>
      </c>
      <c r="I1475" s="13">
        <v>41460</v>
      </c>
      <c r="J1475">
        <v>10</v>
      </c>
      <c r="K1475" t="s">
        <v>177</v>
      </c>
      <c r="L1475" t="s">
        <v>139</v>
      </c>
      <c r="M1475" t="s">
        <v>386</v>
      </c>
      <c r="N1475" t="s">
        <v>3291</v>
      </c>
      <c r="O1475">
        <v>1</v>
      </c>
      <c r="P1475">
        <v>10.18</v>
      </c>
    </row>
    <row r="1476" spans="4:16" hidden="1" x14ac:dyDescent="0.25">
      <c r="D1476" t="s">
        <v>3292</v>
      </c>
      <c r="E1476" t="s">
        <v>3047</v>
      </c>
      <c r="F1476" t="s">
        <v>143</v>
      </c>
      <c r="G1476" t="s">
        <v>3293</v>
      </c>
      <c r="H1476" t="s">
        <v>239</v>
      </c>
      <c r="I1476" s="13">
        <v>41458</v>
      </c>
      <c r="J1476">
        <v>10</v>
      </c>
      <c r="K1476" t="s">
        <v>177</v>
      </c>
      <c r="L1476" t="s">
        <v>139</v>
      </c>
      <c r="M1476" t="s">
        <v>596</v>
      </c>
      <c r="N1476" t="s">
        <v>3294</v>
      </c>
      <c r="O1476">
        <v>1</v>
      </c>
      <c r="P1476">
        <v>10.18</v>
      </c>
    </row>
    <row r="1477" spans="4:16" hidden="1" x14ac:dyDescent="0.25">
      <c r="D1477" t="s">
        <v>3295</v>
      </c>
      <c r="E1477" t="s">
        <v>3047</v>
      </c>
      <c r="F1477" t="s">
        <v>379</v>
      </c>
      <c r="G1477" t="s">
        <v>3296</v>
      </c>
      <c r="H1477" t="s">
        <v>239</v>
      </c>
      <c r="I1477" s="13">
        <v>41470</v>
      </c>
      <c r="J1477">
        <v>10</v>
      </c>
      <c r="K1477" t="s">
        <v>177</v>
      </c>
      <c r="L1477" t="s">
        <v>139</v>
      </c>
      <c r="M1477" t="s">
        <v>398</v>
      </c>
      <c r="N1477" t="s">
        <v>3297</v>
      </c>
      <c r="O1477">
        <v>1</v>
      </c>
      <c r="P1477">
        <v>10.15</v>
      </c>
    </row>
    <row r="1478" spans="4:16" hidden="1" x14ac:dyDescent="0.25">
      <c r="D1478" t="s">
        <v>3298</v>
      </c>
      <c r="E1478" t="s">
        <v>3047</v>
      </c>
      <c r="F1478" t="s">
        <v>149</v>
      </c>
      <c r="G1478" t="s">
        <v>3172</v>
      </c>
      <c r="H1478" t="s">
        <v>239</v>
      </c>
      <c r="I1478" s="13">
        <v>41526</v>
      </c>
      <c r="J1478">
        <v>10</v>
      </c>
      <c r="K1478" t="s">
        <v>177</v>
      </c>
      <c r="L1478" t="s">
        <v>139</v>
      </c>
      <c r="M1478" t="s">
        <v>165</v>
      </c>
      <c r="N1478" t="s">
        <v>3299</v>
      </c>
      <c r="O1478">
        <v>1</v>
      </c>
      <c r="P1478">
        <v>10</v>
      </c>
    </row>
    <row r="1479" spans="4:16" hidden="1" x14ac:dyDescent="0.25">
      <c r="D1479" t="s">
        <v>3300</v>
      </c>
      <c r="E1479" t="s">
        <v>3047</v>
      </c>
      <c r="F1479" t="s">
        <v>149</v>
      </c>
      <c r="G1479" t="s">
        <v>3172</v>
      </c>
      <c r="H1479" t="s">
        <v>239</v>
      </c>
      <c r="I1479" s="13">
        <v>41526</v>
      </c>
      <c r="J1479">
        <v>10</v>
      </c>
      <c r="K1479" t="s">
        <v>177</v>
      </c>
      <c r="L1479" t="s">
        <v>139</v>
      </c>
      <c r="M1479" t="s">
        <v>165</v>
      </c>
      <c r="N1479" t="s">
        <v>3301</v>
      </c>
      <c r="O1479">
        <v>1</v>
      </c>
      <c r="P1479">
        <v>10</v>
      </c>
    </row>
    <row r="1480" spans="4:16" hidden="1" x14ac:dyDescent="0.25">
      <c r="D1480" t="s">
        <v>3302</v>
      </c>
      <c r="E1480" t="s">
        <v>3047</v>
      </c>
      <c r="F1480" t="s">
        <v>143</v>
      </c>
      <c r="G1480" t="s">
        <v>143</v>
      </c>
      <c r="H1480" t="s">
        <v>239</v>
      </c>
      <c r="I1480" s="13">
        <v>41535</v>
      </c>
      <c r="J1480">
        <v>10</v>
      </c>
      <c r="K1480" t="s">
        <v>177</v>
      </c>
      <c r="L1480" t="s">
        <v>139</v>
      </c>
      <c r="M1480" t="s">
        <v>200</v>
      </c>
      <c r="N1480" t="s">
        <v>3303</v>
      </c>
      <c r="O1480">
        <v>1</v>
      </c>
      <c r="P1480">
        <v>9.9700000000000006</v>
      </c>
    </row>
    <row r="1481" spans="4:16" hidden="1" x14ac:dyDescent="0.25">
      <c r="D1481" t="s">
        <v>3304</v>
      </c>
      <c r="E1481" t="s">
        <v>3047</v>
      </c>
      <c r="F1481" t="s">
        <v>143</v>
      </c>
      <c r="G1481" t="s">
        <v>143</v>
      </c>
      <c r="H1481" t="s">
        <v>239</v>
      </c>
      <c r="I1481" s="13">
        <v>41535</v>
      </c>
      <c r="J1481">
        <v>10</v>
      </c>
      <c r="K1481" t="s">
        <v>177</v>
      </c>
      <c r="L1481" t="s">
        <v>139</v>
      </c>
      <c r="M1481" t="s">
        <v>200</v>
      </c>
      <c r="N1481" t="s">
        <v>3305</v>
      </c>
      <c r="O1481">
        <v>1</v>
      </c>
      <c r="P1481">
        <v>9.9700000000000006</v>
      </c>
    </row>
    <row r="1482" spans="4:16" hidden="1" x14ac:dyDescent="0.25">
      <c r="D1482" t="s">
        <v>3306</v>
      </c>
      <c r="E1482" t="s">
        <v>3047</v>
      </c>
      <c r="F1482" t="s">
        <v>143</v>
      </c>
      <c r="G1482" t="s">
        <v>143</v>
      </c>
      <c r="H1482" t="s">
        <v>239</v>
      </c>
      <c r="I1482" s="13">
        <v>41535</v>
      </c>
      <c r="J1482">
        <v>10</v>
      </c>
      <c r="K1482" t="s">
        <v>177</v>
      </c>
      <c r="L1482" t="s">
        <v>139</v>
      </c>
      <c r="M1482" t="s">
        <v>200</v>
      </c>
      <c r="N1482" t="s">
        <v>3307</v>
      </c>
      <c r="O1482">
        <v>1</v>
      </c>
      <c r="P1482">
        <v>9.9700000000000006</v>
      </c>
    </row>
    <row r="1483" spans="4:16" hidden="1" x14ac:dyDescent="0.25">
      <c r="D1483" t="s">
        <v>3308</v>
      </c>
      <c r="E1483" t="s">
        <v>3047</v>
      </c>
      <c r="F1483" t="s">
        <v>143</v>
      </c>
      <c r="G1483" t="s">
        <v>3275</v>
      </c>
      <c r="H1483" t="s">
        <v>239</v>
      </c>
      <c r="I1483" s="13">
        <v>41535</v>
      </c>
      <c r="J1483">
        <v>10</v>
      </c>
      <c r="K1483" t="s">
        <v>177</v>
      </c>
      <c r="L1483" t="s">
        <v>139</v>
      </c>
      <c r="M1483" t="s">
        <v>264</v>
      </c>
      <c r="N1483" t="s">
        <v>3309</v>
      </c>
      <c r="O1483">
        <v>1</v>
      </c>
      <c r="P1483">
        <v>9.9700000000000006</v>
      </c>
    </row>
    <row r="1484" spans="4:16" hidden="1" x14ac:dyDescent="0.25">
      <c r="D1484" t="s">
        <v>3310</v>
      </c>
      <c r="E1484" t="s">
        <v>3047</v>
      </c>
      <c r="F1484" t="s">
        <v>143</v>
      </c>
      <c r="G1484" t="s">
        <v>3066</v>
      </c>
      <c r="H1484" t="s">
        <v>239</v>
      </c>
      <c r="I1484" s="13">
        <v>41535</v>
      </c>
      <c r="J1484">
        <v>10</v>
      </c>
      <c r="K1484" t="s">
        <v>145</v>
      </c>
      <c r="L1484" t="s">
        <v>139</v>
      </c>
      <c r="M1484" t="s">
        <v>805</v>
      </c>
      <c r="N1484" t="s">
        <v>3311</v>
      </c>
      <c r="O1484">
        <v>1</v>
      </c>
      <c r="P1484">
        <v>9.9700000000000006</v>
      </c>
    </row>
    <row r="1485" spans="4:16" hidden="1" x14ac:dyDescent="0.25">
      <c r="D1485" t="s">
        <v>3312</v>
      </c>
      <c r="E1485" t="s">
        <v>3047</v>
      </c>
      <c r="F1485" t="s">
        <v>149</v>
      </c>
      <c r="G1485" t="s">
        <v>3172</v>
      </c>
      <c r="H1485" t="s">
        <v>239</v>
      </c>
      <c r="I1485" s="13">
        <v>41542</v>
      </c>
      <c r="J1485">
        <v>10</v>
      </c>
      <c r="K1485" t="s">
        <v>177</v>
      </c>
      <c r="L1485" t="s">
        <v>139</v>
      </c>
      <c r="M1485" t="s">
        <v>165</v>
      </c>
      <c r="N1485" t="s">
        <v>3313</v>
      </c>
      <c r="O1485">
        <v>1</v>
      </c>
      <c r="P1485">
        <v>9.9499999999999993</v>
      </c>
    </row>
    <row r="1486" spans="4:16" hidden="1" x14ac:dyDescent="0.25">
      <c r="D1486" t="s">
        <v>3314</v>
      </c>
      <c r="E1486" t="s">
        <v>3047</v>
      </c>
      <c r="F1486" t="s">
        <v>143</v>
      </c>
      <c r="G1486" t="s">
        <v>3066</v>
      </c>
      <c r="H1486" t="s">
        <v>239</v>
      </c>
      <c r="I1486" s="13">
        <v>41554</v>
      </c>
      <c r="J1486">
        <v>10</v>
      </c>
      <c r="K1486" t="s">
        <v>177</v>
      </c>
      <c r="L1486" t="s">
        <v>139</v>
      </c>
      <c r="M1486" t="s">
        <v>800</v>
      </c>
      <c r="N1486" t="s">
        <v>3315</v>
      </c>
      <c r="O1486">
        <v>1</v>
      </c>
      <c r="P1486">
        <v>9.92</v>
      </c>
    </row>
    <row r="1487" spans="4:16" hidden="1" x14ac:dyDescent="0.25">
      <c r="D1487" t="s">
        <v>3316</v>
      </c>
      <c r="E1487" t="s">
        <v>3047</v>
      </c>
      <c r="F1487" t="s">
        <v>149</v>
      </c>
      <c r="G1487" t="s">
        <v>3172</v>
      </c>
      <c r="H1487" t="s">
        <v>239</v>
      </c>
      <c r="I1487" s="13">
        <v>41556</v>
      </c>
      <c r="J1487">
        <v>10</v>
      </c>
      <c r="K1487" t="s">
        <v>177</v>
      </c>
      <c r="L1487" t="s">
        <v>139</v>
      </c>
      <c r="M1487" t="s">
        <v>165</v>
      </c>
      <c r="N1487" t="s">
        <v>3317</v>
      </c>
      <c r="O1487">
        <v>1</v>
      </c>
      <c r="P1487">
        <v>9.92</v>
      </c>
    </row>
    <row r="1488" spans="4:16" hidden="1" x14ac:dyDescent="0.25">
      <c r="D1488" t="s">
        <v>3318</v>
      </c>
      <c r="E1488" t="s">
        <v>3047</v>
      </c>
      <c r="F1488" t="s">
        <v>149</v>
      </c>
      <c r="G1488" t="s">
        <v>3172</v>
      </c>
      <c r="H1488" t="s">
        <v>239</v>
      </c>
      <c r="I1488" s="13">
        <v>41556</v>
      </c>
      <c r="J1488">
        <v>10</v>
      </c>
      <c r="K1488" t="s">
        <v>177</v>
      </c>
      <c r="L1488" t="s">
        <v>139</v>
      </c>
      <c r="M1488" t="s">
        <v>165</v>
      </c>
      <c r="N1488" t="s">
        <v>3319</v>
      </c>
      <c r="O1488">
        <v>1</v>
      </c>
      <c r="P1488">
        <v>9.92</v>
      </c>
    </row>
    <row r="1489" spans="4:16" hidden="1" x14ac:dyDescent="0.25">
      <c r="D1489" t="s">
        <v>3320</v>
      </c>
      <c r="E1489" t="s">
        <v>3047</v>
      </c>
      <c r="F1489" t="s">
        <v>149</v>
      </c>
      <c r="G1489" t="s">
        <v>3172</v>
      </c>
      <c r="H1489" t="s">
        <v>239</v>
      </c>
      <c r="I1489" s="13">
        <v>41556</v>
      </c>
      <c r="J1489">
        <v>10</v>
      </c>
      <c r="K1489" t="s">
        <v>177</v>
      </c>
      <c r="L1489" t="s">
        <v>139</v>
      </c>
      <c r="M1489" t="s">
        <v>165</v>
      </c>
      <c r="N1489" t="s">
        <v>3321</v>
      </c>
      <c r="O1489">
        <v>1</v>
      </c>
      <c r="P1489">
        <v>9.92</v>
      </c>
    </row>
    <row r="1490" spans="4:16" hidden="1" x14ac:dyDescent="0.25">
      <c r="D1490" t="s">
        <v>3322</v>
      </c>
      <c r="E1490" t="s">
        <v>3047</v>
      </c>
      <c r="F1490" t="s">
        <v>379</v>
      </c>
      <c r="G1490" t="s">
        <v>3296</v>
      </c>
      <c r="H1490" t="s">
        <v>239</v>
      </c>
      <c r="I1490" s="13">
        <v>41582</v>
      </c>
      <c r="J1490">
        <v>10</v>
      </c>
      <c r="K1490" t="s">
        <v>177</v>
      </c>
      <c r="L1490" t="s">
        <v>139</v>
      </c>
      <c r="M1490" t="s">
        <v>1027</v>
      </c>
      <c r="N1490" t="s">
        <v>3323</v>
      </c>
      <c r="O1490">
        <v>1</v>
      </c>
      <c r="P1490">
        <v>9.84</v>
      </c>
    </row>
    <row r="1491" spans="4:16" hidden="1" x14ac:dyDescent="0.25">
      <c r="D1491" t="s">
        <v>3324</v>
      </c>
      <c r="E1491" t="s">
        <v>3047</v>
      </c>
      <c r="F1491" t="s">
        <v>149</v>
      </c>
      <c r="G1491" t="s">
        <v>3051</v>
      </c>
      <c r="H1491" t="s">
        <v>239</v>
      </c>
      <c r="I1491" s="13">
        <v>41591</v>
      </c>
      <c r="J1491">
        <v>10</v>
      </c>
      <c r="K1491" t="s">
        <v>177</v>
      </c>
      <c r="L1491" t="s">
        <v>139</v>
      </c>
      <c r="M1491" t="s">
        <v>227</v>
      </c>
      <c r="N1491" t="s">
        <v>3325</v>
      </c>
      <c r="O1491">
        <v>1</v>
      </c>
      <c r="P1491">
        <v>9.82</v>
      </c>
    </row>
    <row r="1492" spans="4:16" hidden="1" x14ac:dyDescent="0.25">
      <c r="D1492" t="s">
        <v>3326</v>
      </c>
      <c r="E1492" t="s">
        <v>3047</v>
      </c>
      <c r="F1492" t="s">
        <v>149</v>
      </c>
      <c r="G1492" t="s">
        <v>3051</v>
      </c>
      <c r="H1492" t="s">
        <v>239</v>
      </c>
      <c r="I1492" s="13">
        <v>41591</v>
      </c>
      <c r="J1492">
        <v>10</v>
      </c>
      <c r="K1492" t="s">
        <v>177</v>
      </c>
      <c r="L1492" t="s">
        <v>139</v>
      </c>
      <c r="M1492" t="s">
        <v>227</v>
      </c>
      <c r="N1492" t="s">
        <v>3327</v>
      </c>
      <c r="O1492">
        <v>1</v>
      </c>
      <c r="P1492">
        <v>9.82</v>
      </c>
    </row>
    <row r="1493" spans="4:16" hidden="1" x14ac:dyDescent="0.25">
      <c r="D1493" t="s">
        <v>3328</v>
      </c>
      <c r="E1493" t="s">
        <v>3047</v>
      </c>
      <c r="F1493" t="s">
        <v>149</v>
      </c>
      <c r="G1493" t="s">
        <v>3051</v>
      </c>
      <c r="H1493" t="s">
        <v>239</v>
      </c>
      <c r="I1493" s="13">
        <v>41591</v>
      </c>
      <c r="J1493">
        <v>10</v>
      </c>
      <c r="K1493" t="s">
        <v>177</v>
      </c>
      <c r="L1493" t="s">
        <v>139</v>
      </c>
      <c r="M1493" t="s">
        <v>982</v>
      </c>
      <c r="N1493" t="s">
        <v>3329</v>
      </c>
      <c r="O1493">
        <v>1</v>
      </c>
      <c r="P1493">
        <v>9.82</v>
      </c>
    </row>
    <row r="1494" spans="4:16" hidden="1" x14ac:dyDescent="0.25">
      <c r="D1494" t="s">
        <v>3330</v>
      </c>
      <c r="E1494" t="s">
        <v>3047</v>
      </c>
      <c r="F1494" t="s">
        <v>149</v>
      </c>
      <c r="G1494" t="s">
        <v>3172</v>
      </c>
      <c r="H1494" t="s">
        <v>239</v>
      </c>
      <c r="I1494" s="13">
        <v>41596</v>
      </c>
      <c r="J1494">
        <v>10</v>
      </c>
      <c r="K1494" t="s">
        <v>177</v>
      </c>
      <c r="L1494" t="s">
        <v>139</v>
      </c>
      <c r="M1494" t="s">
        <v>165</v>
      </c>
      <c r="N1494" t="s">
        <v>3331</v>
      </c>
      <c r="O1494">
        <v>1</v>
      </c>
      <c r="P1494">
        <v>9.81</v>
      </c>
    </row>
    <row r="1495" spans="4:16" hidden="1" x14ac:dyDescent="0.25">
      <c r="D1495" t="s">
        <v>3332</v>
      </c>
      <c r="E1495" t="s">
        <v>3047</v>
      </c>
      <c r="F1495" t="s">
        <v>149</v>
      </c>
      <c r="G1495" t="s">
        <v>3051</v>
      </c>
      <c r="H1495" t="s">
        <v>239</v>
      </c>
      <c r="I1495" s="13">
        <v>41596</v>
      </c>
      <c r="J1495">
        <v>10</v>
      </c>
      <c r="K1495" t="s">
        <v>177</v>
      </c>
      <c r="L1495" t="s">
        <v>139</v>
      </c>
      <c r="M1495" t="s">
        <v>165</v>
      </c>
      <c r="N1495" t="s">
        <v>3333</v>
      </c>
      <c r="O1495">
        <v>1</v>
      </c>
      <c r="P1495">
        <v>9.81</v>
      </c>
    </row>
    <row r="1496" spans="4:16" hidden="1" x14ac:dyDescent="0.25">
      <c r="D1496" t="s">
        <v>3334</v>
      </c>
      <c r="E1496" t="s">
        <v>3047</v>
      </c>
      <c r="F1496" t="s">
        <v>143</v>
      </c>
      <c r="G1496" t="s">
        <v>835</v>
      </c>
      <c r="H1496" t="s">
        <v>239</v>
      </c>
      <c r="I1496" s="13">
        <v>41604</v>
      </c>
      <c r="J1496">
        <v>10</v>
      </c>
      <c r="K1496" t="s">
        <v>177</v>
      </c>
      <c r="L1496" t="s">
        <v>139</v>
      </c>
      <c r="M1496" t="s">
        <v>712</v>
      </c>
      <c r="N1496" t="s">
        <v>3335</v>
      </c>
      <c r="O1496">
        <v>1</v>
      </c>
      <c r="P1496">
        <v>9.7799999999999994</v>
      </c>
    </row>
    <row r="1497" spans="4:16" hidden="1" x14ac:dyDescent="0.25">
      <c r="D1497" t="s">
        <v>3336</v>
      </c>
      <c r="E1497" t="s">
        <v>3047</v>
      </c>
      <c r="F1497" t="s">
        <v>143</v>
      </c>
      <c r="G1497" t="s">
        <v>835</v>
      </c>
      <c r="H1497" t="s">
        <v>239</v>
      </c>
      <c r="I1497" s="13">
        <v>41604</v>
      </c>
      <c r="J1497">
        <v>10</v>
      </c>
      <c r="K1497" t="s">
        <v>177</v>
      </c>
      <c r="L1497" t="s">
        <v>139</v>
      </c>
      <c r="M1497" t="s">
        <v>712</v>
      </c>
      <c r="N1497" t="s">
        <v>3337</v>
      </c>
      <c r="O1497">
        <v>1</v>
      </c>
      <c r="P1497">
        <v>9.7799999999999994</v>
      </c>
    </row>
    <row r="1498" spans="4:16" hidden="1" x14ac:dyDescent="0.25">
      <c r="D1498" t="s">
        <v>3338</v>
      </c>
      <c r="E1498" t="s">
        <v>3047</v>
      </c>
      <c r="F1498" t="s">
        <v>149</v>
      </c>
      <c r="G1498" t="s">
        <v>3172</v>
      </c>
      <c r="H1498" t="s">
        <v>239</v>
      </c>
      <c r="I1498" s="13">
        <v>41610</v>
      </c>
      <c r="J1498">
        <v>10</v>
      </c>
      <c r="K1498" t="s">
        <v>177</v>
      </c>
      <c r="L1498" t="s">
        <v>139</v>
      </c>
      <c r="M1498" t="s">
        <v>856</v>
      </c>
      <c r="N1498" t="s">
        <v>3339</v>
      </c>
      <c r="O1498">
        <v>1</v>
      </c>
      <c r="P1498">
        <v>9.77</v>
      </c>
    </row>
    <row r="1499" spans="4:16" hidden="1" x14ac:dyDescent="0.25">
      <c r="D1499" t="s">
        <v>3340</v>
      </c>
      <c r="E1499" t="s">
        <v>3047</v>
      </c>
      <c r="F1499" t="s">
        <v>149</v>
      </c>
      <c r="G1499" t="s">
        <v>3172</v>
      </c>
      <c r="H1499" t="s">
        <v>239</v>
      </c>
      <c r="I1499" s="13">
        <v>41614</v>
      </c>
      <c r="J1499">
        <v>10</v>
      </c>
      <c r="K1499" t="s">
        <v>177</v>
      </c>
      <c r="L1499" t="s">
        <v>139</v>
      </c>
      <c r="M1499" t="s">
        <v>178</v>
      </c>
      <c r="N1499" t="s">
        <v>3341</v>
      </c>
      <c r="O1499">
        <v>1</v>
      </c>
      <c r="P1499">
        <v>9.76</v>
      </c>
    </row>
    <row r="1500" spans="4:16" hidden="1" x14ac:dyDescent="0.25">
      <c r="D1500" t="s">
        <v>3342</v>
      </c>
      <c r="E1500" t="s">
        <v>3047</v>
      </c>
      <c r="F1500" t="s">
        <v>149</v>
      </c>
      <c r="G1500" t="s">
        <v>3051</v>
      </c>
      <c r="H1500" t="s">
        <v>239</v>
      </c>
      <c r="I1500" s="13">
        <v>41621</v>
      </c>
      <c r="J1500">
        <v>10</v>
      </c>
      <c r="K1500" t="s">
        <v>177</v>
      </c>
      <c r="L1500" t="s">
        <v>139</v>
      </c>
      <c r="M1500" t="s">
        <v>193</v>
      </c>
      <c r="N1500" t="s">
        <v>3343</v>
      </c>
      <c r="O1500">
        <v>1</v>
      </c>
      <c r="P1500">
        <v>9.74</v>
      </c>
    </row>
    <row r="1501" spans="4:16" hidden="1" x14ac:dyDescent="0.25">
      <c r="D1501" t="s">
        <v>3344</v>
      </c>
      <c r="E1501" t="s">
        <v>3047</v>
      </c>
      <c r="F1501" t="s">
        <v>149</v>
      </c>
      <c r="G1501" t="s">
        <v>3051</v>
      </c>
      <c r="H1501" t="s">
        <v>239</v>
      </c>
      <c r="I1501" s="13">
        <v>41620</v>
      </c>
      <c r="J1501">
        <v>10</v>
      </c>
      <c r="K1501" t="s">
        <v>177</v>
      </c>
      <c r="L1501" t="s">
        <v>139</v>
      </c>
      <c r="M1501" t="s">
        <v>316</v>
      </c>
      <c r="N1501" t="s">
        <v>3345</v>
      </c>
      <c r="O1501">
        <v>1</v>
      </c>
      <c r="P1501">
        <v>9.74</v>
      </c>
    </row>
    <row r="1502" spans="4:16" hidden="1" x14ac:dyDescent="0.25">
      <c r="D1502" t="s">
        <v>3346</v>
      </c>
      <c r="E1502" t="s">
        <v>3047</v>
      </c>
      <c r="F1502" t="s">
        <v>149</v>
      </c>
      <c r="G1502" t="s">
        <v>3051</v>
      </c>
      <c r="H1502" t="s">
        <v>239</v>
      </c>
      <c r="I1502" s="13">
        <v>41620</v>
      </c>
      <c r="J1502">
        <v>10</v>
      </c>
      <c r="K1502" t="s">
        <v>177</v>
      </c>
      <c r="L1502" t="s">
        <v>139</v>
      </c>
      <c r="M1502" t="s">
        <v>316</v>
      </c>
      <c r="N1502" t="s">
        <v>3347</v>
      </c>
      <c r="O1502">
        <v>1</v>
      </c>
      <c r="P1502">
        <v>9.74</v>
      </c>
    </row>
    <row r="1503" spans="4:16" hidden="1" x14ac:dyDescent="0.25">
      <c r="D1503" t="s">
        <v>3348</v>
      </c>
      <c r="E1503" t="s">
        <v>3047</v>
      </c>
      <c r="F1503" t="s">
        <v>379</v>
      </c>
      <c r="G1503" t="s">
        <v>782</v>
      </c>
      <c r="H1503" t="s">
        <v>239</v>
      </c>
      <c r="I1503" s="13">
        <v>41646</v>
      </c>
      <c r="J1503">
        <v>10</v>
      </c>
      <c r="K1503" t="s">
        <v>177</v>
      </c>
      <c r="L1503" t="s">
        <v>139</v>
      </c>
      <c r="M1503" t="s">
        <v>805</v>
      </c>
      <c r="N1503" t="s">
        <v>3349</v>
      </c>
      <c r="O1503">
        <v>1</v>
      </c>
      <c r="P1503">
        <v>9.67</v>
      </c>
    </row>
    <row r="1504" spans="4:16" x14ac:dyDescent="0.25">
      <c r="D1504" t="s">
        <v>3350</v>
      </c>
      <c r="E1504" t="s">
        <v>3047</v>
      </c>
      <c r="F1504" t="s">
        <v>143</v>
      </c>
      <c r="G1504" t="s">
        <v>3264</v>
      </c>
      <c r="H1504" t="s">
        <v>1218</v>
      </c>
      <c r="I1504" s="13">
        <v>41722</v>
      </c>
      <c r="J1504">
        <v>9</v>
      </c>
      <c r="K1504" t="s">
        <v>177</v>
      </c>
      <c r="L1504" t="s">
        <v>139</v>
      </c>
      <c r="M1504" t="s">
        <v>712</v>
      </c>
      <c r="N1504" t="s">
        <v>3351</v>
      </c>
      <c r="O1504">
        <v>1</v>
      </c>
      <c r="P1504">
        <v>9.4600000000000009</v>
      </c>
    </row>
    <row r="1505" spans="4:16" x14ac:dyDescent="0.25">
      <c r="D1505" t="s">
        <v>3352</v>
      </c>
      <c r="E1505" t="s">
        <v>3047</v>
      </c>
      <c r="F1505" t="s">
        <v>379</v>
      </c>
      <c r="G1505" t="s">
        <v>3296</v>
      </c>
      <c r="H1505" t="s">
        <v>1218</v>
      </c>
      <c r="I1505" s="13">
        <v>41803</v>
      </c>
      <c r="J1505">
        <v>9</v>
      </c>
      <c r="K1505" t="s">
        <v>177</v>
      </c>
      <c r="L1505" t="s">
        <v>139</v>
      </c>
      <c r="M1505" t="s">
        <v>204</v>
      </c>
      <c r="N1505" t="s">
        <v>3353</v>
      </c>
      <c r="O1505">
        <v>1</v>
      </c>
      <c r="P1505">
        <v>9.24</v>
      </c>
    </row>
    <row r="1506" spans="4:16" x14ac:dyDescent="0.25">
      <c r="D1506" t="s">
        <v>3354</v>
      </c>
      <c r="E1506" t="s">
        <v>3047</v>
      </c>
      <c r="F1506" t="s">
        <v>143</v>
      </c>
      <c r="G1506" t="s">
        <v>143</v>
      </c>
      <c r="H1506" t="s">
        <v>1218</v>
      </c>
      <c r="I1506" s="13">
        <v>41871</v>
      </c>
      <c r="J1506">
        <v>9</v>
      </c>
      <c r="K1506" t="s">
        <v>177</v>
      </c>
      <c r="L1506" t="s">
        <v>139</v>
      </c>
      <c r="M1506" t="s">
        <v>200</v>
      </c>
      <c r="N1506" t="s">
        <v>3355</v>
      </c>
      <c r="O1506">
        <v>1</v>
      </c>
      <c r="P1506">
        <v>9.0500000000000007</v>
      </c>
    </row>
    <row r="1507" spans="4:16" x14ac:dyDescent="0.25">
      <c r="D1507" t="s">
        <v>3356</v>
      </c>
      <c r="E1507" t="s">
        <v>3047</v>
      </c>
      <c r="F1507" t="s">
        <v>143</v>
      </c>
      <c r="G1507" t="s">
        <v>143</v>
      </c>
      <c r="H1507" t="s">
        <v>1218</v>
      </c>
      <c r="I1507" s="13">
        <v>41871</v>
      </c>
      <c r="J1507">
        <v>9</v>
      </c>
      <c r="K1507" t="s">
        <v>177</v>
      </c>
      <c r="L1507" t="s">
        <v>139</v>
      </c>
      <c r="M1507" t="s">
        <v>200</v>
      </c>
      <c r="N1507" t="s">
        <v>3357</v>
      </c>
      <c r="O1507">
        <v>1</v>
      </c>
      <c r="P1507">
        <v>9.0500000000000007</v>
      </c>
    </row>
    <row r="1508" spans="4:16" x14ac:dyDescent="0.25">
      <c r="D1508" t="s">
        <v>3358</v>
      </c>
      <c r="E1508" t="s">
        <v>3047</v>
      </c>
      <c r="F1508" t="s">
        <v>143</v>
      </c>
      <c r="G1508" t="s">
        <v>3359</v>
      </c>
      <c r="H1508" t="s">
        <v>1218</v>
      </c>
      <c r="I1508" s="13">
        <v>41884</v>
      </c>
      <c r="J1508">
        <v>9</v>
      </c>
      <c r="K1508" t="s">
        <v>177</v>
      </c>
      <c r="L1508" t="s">
        <v>139</v>
      </c>
      <c r="M1508" t="s">
        <v>268</v>
      </c>
      <c r="N1508" t="s">
        <v>3360</v>
      </c>
      <c r="O1508">
        <v>1</v>
      </c>
      <c r="P1508">
        <v>9.02</v>
      </c>
    </row>
    <row r="1509" spans="4:16" x14ac:dyDescent="0.25">
      <c r="D1509" t="s">
        <v>3361</v>
      </c>
      <c r="E1509" t="s">
        <v>3047</v>
      </c>
      <c r="F1509" t="s">
        <v>379</v>
      </c>
      <c r="G1509" t="s">
        <v>782</v>
      </c>
      <c r="H1509" t="s">
        <v>1218</v>
      </c>
      <c r="I1509" s="13">
        <v>41891</v>
      </c>
      <c r="J1509">
        <v>9</v>
      </c>
      <c r="K1509" t="s">
        <v>177</v>
      </c>
      <c r="L1509" t="s">
        <v>139</v>
      </c>
      <c r="M1509" t="s">
        <v>945</v>
      </c>
      <c r="N1509" t="s">
        <v>3362</v>
      </c>
      <c r="O1509">
        <v>1</v>
      </c>
      <c r="P1509">
        <v>9</v>
      </c>
    </row>
    <row r="1510" spans="4:16" x14ac:dyDescent="0.25">
      <c r="D1510" t="s">
        <v>3363</v>
      </c>
      <c r="E1510" t="s">
        <v>3047</v>
      </c>
      <c r="F1510" t="s">
        <v>379</v>
      </c>
      <c r="G1510" t="s">
        <v>3296</v>
      </c>
      <c r="H1510" t="s">
        <v>1218</v>
      </c>
      <c r="I1510" s="13">
        <v>41905</v>
      </c>
      <c r="J1510">
        <v>9</v>
      </c>
      <c r="K1510" t="s">
        <v>177</v>
      </c>
      <c r="L1510" t="s">
        <v>139</v>
      </c>
      <c r="M1510" t="s">
        <v>1034</v>
      </c>
      <c r="N1510" t="s">
        <v>3364</v>
      </c>
      <c r="O1510">
        <v>1</v>
      </c>
      <c r="P1510">
        <v>8.9600000000000009</v>
      </c>
    </row>
    <row r="1511" spans="4:16" x14ac:dyDescent="0.25">
      <c r="D1511" t="s">
        <v>3365</v>
      </c>
      <c r="E1511" t="s">
        <v>3047</v>
      </c>
      <c r="F1511" t="s">
        <v>149</v>
      </c>
      <c r="G1511" t="s">
        <v>3172</v>
      </c>
      <c r="H1511" t="s">
        <v>1218</v>
      </c>
      <c r="I1511" s="13">
        <v>41911</v>
      </c>
      <c r="J1511">
        <v>9</v>
      </c>
      <c r="K1511" t="s">
        <v>177</v>
      </c>
      <c r="L1511" t="s">
        <v>139</v>
      </c>
      <c r="M1511" t="s">
        <v>1361</v>
      </c>
      <c r="N1511" t="s">
        <v>3366</v>
      </c>
      <c r="O1511">
        <v>1</v>
      </c>
      <c r="P1511">
        <v>8.94</v>
      </c>
    </row>
    <row r="1512" spans="4:16" x14ac:dyDescent="0.25">
      <c r="D1512" t="s">
        <v>3367</v>
      </c>
      <c r="E1512" t="s">
        <v>3047</v>
      </c>
      <c r="F1512" t="s">
        <v>181</v>
      </c>
      <c r="G1512" t="s">
        <v>181</v>
      </c>
      <c r="H1512" t="s">
        <v>1218</v>
      </c>
      <c r="I1512" s="13">
        <v>41969</v>
      </c>
      <c r="J1512">
        <v>9</v>
      </c>
      <c r="K1512" t="s">
        <v>177</v>
      </c>
      <c r="L1512" t="s">
        <v>139</v>
      </c>
      <c r="M1512" t="s">
        <v>1430</v>
      </c>
      <c r="N1512" t="s">
        <v>3368</v>
      </c>
      <c r="O1512">
        <v>1</v>
      </c>
      <c r="P1512">
        <v>8.7799999999999994</v>
      </c>
    </row>
    <row r="1513" spans="4:16" x14ac:dyDescent="0.25">
      <c r="D1513" t="s">
        <v>3369</v>
      </c>
      <c r="E1513" t="s">
        <v>3047</v>
      </c>
      <c r="F1513" t="s">
        <v>379</v>
      </c>
      <c r="G1513" t="s">
        <v>3370</v>
      </c>
      <c r="H1513" t="s">
        <v>1218</v>
      </c>
      <c r="I1513" s="13">
        <v>41975</v>
      </c>
      <c r="J1513">
        <v>9</v>
      </c>
      <c r="K1513" t="s">
        <v>177</v>
      </c>
      <c r="L1513" t="s">
        <v>139</v>
      </c>
      <c r="M1513" t="s">
        <v>227</v>
      </c>
      <c r="N1513" t="s">
        <v>3371</v>
      </c>
      <c r="O1513">
        <v>1</v>
      </c>
      <c r="P1513">
        <v>8.77</v>
      </c>
    </row>
    <row r="1514" spans="4:16" x14ac:dyDescent="0.25">
      <c r="D1514" t="s">
        <v>3372</v>
      </c>
      <c r="E1514" t="s">
        <v>3047</v>
      </c>
      <c r="F1514" t="s">
        <v>379</v>
      </c>
      <c r="G1514" t="s">
        <v>3373</v>
      </c>
      <c r="H1514" t="s">
        <v>1218</v>
      </c>
      <c r="I1514" s="13">
        <v>41975</v>
      </c>
      <c r="J1514">
        <v>9</v>
      </c>
      <c r="K1514" t="s">
        <v>177</v>
      </c>
      <c r="L1514" t="s">
        <v>139</v>
      </c>
      <c r="M1514" t="s">
        <v>386</v>
      </c>
      <c r="N1514" t="s">
        <v>3374</v>
      </c>
      <c r="O1514">
        <v>1</v>
      </c>
      <c r="P1514">
        <v>8.77</v>
      </c>
    </row>
    <row r="1515" spans="4:16" x14ac:dyDescent="0.25">
      <c r="D1515" t="s">
        <v>3375</v>
      </c>
      <c r="E1515" t="s">
        <v>3047</v>
      </c>
      <c r="F1515" t="s">
        <v>379</v>
      </c>
      <c r="G1515" t="s">
        <v>379</v>
      </c>
      <c r="H1515" t="s">
        <v>1218</v>
      </c>
      <c r="I1515" s="13">
        <v>41975</v>
      </c>
      <c r="J1515">
        <v>9</v>
      </c>
      <c r="K1515" t="s">
        <v>177</v>
      </c>
      <c r="L1515" t="s">
        <v>139</v>
      </c>
      <c r="M1515" t="s">
        <v>140</v>
      </c>
      <c r="N1515" t="s">
        <v>3376</v>
      </c>
      <c r="O1515">
        <v>1</v>
      </c>
      <c r="P1515">
        <v>8.77</v>
      </c>
    </row>
    <row r="1516" spans="4:16" x14ac:dyDescent="0.25">
      <c r="D1516" t="s">
        <v>3377</v>
      </c>
      <c r="E1516" t="s">
        <v>3047</v>
      </c>
      <c r="F1516" t="s">
        <v>149</v>
      </c>
      <c r="G1516" t="s">
        <v>3172</v>
      </c>
      <c r="H1516" t="s">
        <v>1218</v>
      </c>
      <c r="I1516" s="13">
        <v>41976</v>
      </c>
      <c r="J1516">
        <v>9</v>
      </c>
      <c r="K1516" t="s">
        <v>177</v>
      </c>
      <c r="L1516" t="s">
        <v>139</v>
      </c>
      <c r="M1516" t="s">
        <v>178</v>
      </c>
      <c r="N1516" t="s">
        <v>3378</v>
      </c>
      <c r="O1516">
        <v>1</v>
      </c>
      <c r="P1516">
        <v>8.76</v>
      </c>
    </row>
    <row r="1517" spans="4:16" x14ac:dyDescent="0.25">
      <c r="D1517" t="s">
        <v>3379</v>
      </c>
      <c r="E1517" t="s">
        <v>3047</v>
      </c>
      <c r="F1517" t="s">
        <v>3380</v>
      </c>
      <c r="G1517" t="s">
        <v>3381</v>
      </c>
      <c r="H1517" t="s">
        <v>1218</v>
      </c>
      <c r="I1517" s="13">
        <v>42073</v>
      </c>
      <c r="J1517">
        <v>8</v>
      </c>
      <c r="K1517" t="s">
        <v>157</v>
      </c>
      <c r="L1517" t="s">
        <v>977</v>
      </c>
      <c r="M1517" t="s">
        <v>596</v>
      </c>
      <c r="N1517" t="s">
        <v>3382</v>
      </c>
      <c r="O1517">
        <v>1</v>
      </c>
      <c r="P1517">
        <v>8.5</v>
      </c>
    </row>
    <row r="1518" spans="4:16" x14ac:dyDescent="0.25">
      <c r="D1518" t="s">
        <v>3383</v>
      </c>
      <c r="E1518" t="s">
        <v>3047</v>
      </c>
      <c r="F1518" t="s">
        <v>379</v>
      </c>
      <c r="G1518" t="s">
        <v>3296</v>
      </c>
      <c r="H1518" t="s">
        <v>1218</v>
      </c>
      <c r="I1518" s="13">
        <v>42082</v>
      </c>
      <c r="J1518">
        <v>8</v>
      </c>
      <c r="K1518" t="s">
        <v>177</v>
      </c>
      <c r="L1518" t="s">
        <v>139</v>
      </c>
      <c r="M1518" t="s">
        <v>204</v>
      </c>
      <c r="N1518" t="s">
        <v>3384</v>
      </c>
      <c r="O1518">
        <v>1</v>
      </c>
      <c r="P1518">
        <v>8.4700000000000006</v>
      </c>
    </row>
    <row r="1519" spans="4:16" x14ac:dyDescent="0.25">
      <c r="D1519" t="s">
        <v>3385</v>
      </c>
      <c r="E1519" t="s">
        <v>3047</v>
      </c>
      <c r="F1519" t="s">
        <v>379</v>
      </c>
      <c r="G1519" t="s">
        <v>3296</v>
      </c>
      <c r="H1519" t="s">
        <v>1218</v>
      </c>
      <c r="I1519" s="13">
        <v>42136</v>
      </c>
      <c r="J1519">
        <v>8</v>
      </c>
      <c r="K1519" t="s">
        <v>177</v>
      </c>
      <c r="L1519" t="s">
        <v>139</v>
      </c>
      <c r="M1519" t="s">
        <v>398</v>
      </c>
      <c r="N1519" t="s">
        <v>3386</v>
      </c>
      <c r="O1519">
        <v>1</v>
      </c>
      <c r="P1519">
        <v>8.33</v>
      </c>
    </row>
    <row r="1520" spans="4:16" x14ac:dyDescent="0.25">
      <c r="D1520" t="s">
        <v>3387</v>
      </c>
      <c r="E1520" t="s">
        <v>3047</v>
      </c>
      <c r="F1520" t="s">
        <v>143</v>
      </c>
      <c r="G1520" t="s">
        <v>143</v>
      </c>
      <c r="H1520" t="s">
        <v>1218</v>
      </c>
      <c r="I1520" s="13">
        <v>42160</v>
      </c>
      <c r="J1520">
        <v>8</v>
      </c>
      <c r="K1520" t="s">
        <v>177</v>
      </c>
      <c r="L1520" t="s">
        <v>139</v>
      </c>
      <c r="M1520" t="s">
        <v>200</v>
      </c>
      <c r="N1520" t="s">
        <v>3388</v>
      </c>
      <c r="O1520">
        <v>1</v>
      </c>
      <c r="P1520">
        <v>8.26</v>
      </c>
    </row>
    <row r="1521" spans="4:16" x14ac:dyDescent="0.25">
      <c r="D1521" t="s">
        <v>3389</v>
      </c>
      <c r="E1521" t="s">
        <v>3047</v>
      </c>
      <c r="F1521" t="s">
        <v>149</v>
      </c>
      <c r="G1521" t="s">
        <v>3172</v>
      </c>
      <c r="H1521" t="s">
        <v>1218</v>
      </c>
      <c r="I1521" s="13">
        <v>42223</v>
      </c>
      <c r="J1521">
        <v>8</v>
      </c>
      <c r="K1521" t="s">
        <v>177</v>
      </c>
      <c r="L1521" t="s">
        <v>139</v>
      </c>
      <c r="M1521" t="s">
        <v>160</v>
      </c>
      <c r="N1521" t="s">
        <v>3390</v>
      </c>
      <c r="O1521">
        <v>1</v>
      </c>
      <c r="P1521">
        <v>8.09</v>
      </c>
    </row>
    <row r="1522" spans="4:16" x14ac:dyDescent="0.25">
      <c r="D1522" t="s">
        <v>3391</v>
      </c>
      <c r="E1522" t="s">
        <v>3047</v>
      </c>
      <c r="F1522" t="s">
        <v>379</v>
      </c>
      <c r="G1522" t="s">
        <v>782</v>
      </c>
      <c r="H1522" t="s">
        <v>1218</v>
      </c>
      <c r="I1522" s="13">
        <v>42264</v>
      </c>
      <c r="J1522">
        <v>8</v>
      </c>
      <c r="K1522" t="s">
        <v>177</v>
      </c>
      <c r="L1522" t="s">
        <v>139</v>
      </c>
      <c r="M1522" t="s">
        <v>268</v>
      </c>
      <c r="N1522" t="s">
        <v>3392</v>
      </c>
      <c r="O1522">
        <v>1</v>
      </c>
      <c r="P1522">
        <v>7.98</v>
      </c>
    </row>
    <row r="1523" spans="4:16" x14ac:dyDescent="0.25">
      <c r="D1523" t="s">
        <v>3393</v>
      </c>
      <c r="E1523" t="s">
        <v>3047</v>
      </c>
      <c r="F1523" t="s">
        <v>143</v>
      </c>
      <c r="G1523" t="s">
        <v>143</v>
      </c>
      <c r="H1523" t="s">
        <v>1218</v>
      </c>
      <c r="I1523" s="13">
        <v>42333</v>
      </c>
      <c r="J1523">
        <v>8</v>
      </c>
      <c r="K1523" t="s">
        <v>177</v>
      </c>
      <c r="L1523" t="s">
        <v>139</v>
      </c>
      <c r="M1523" t="s">
        <v>261</v>
      </c>
      <c r="N1523" t="s">
        <v>3394</v>
      </c>
      <c r="O1523">
        <v>1</v>
      </c>
      <c r="P1523">
        <v>7.79</v>
      </c>
    </row>
    <row r="1524" spans="4:16" x14ac:dyDescent="0.25">
      <c r="D1524" t="s">
        <v>3395</v>
      </c>
      <c r="E1524" t="s">
        <v>3047</v>
      </c>
      <c r="F1524" t="s">
        <v>379</v>
      </c>
      <c r="G1524" t="s">
        <v>3396</v>
      </c>
      <c r="H1524" t="s">
        <v>1218</v>
      </c>
      <c r="I1524" s="13">
        <v>42331</v>
      </c>
      <c r="J1524">
        <v>8</v>
      </c>
      <c r="K1524" t="s">
        <v>145</v>
      </c>
      <c r="L1524" t="s">
        <v>139</v>
      </c>
      <c r="M1524" t="s">
        <v>398</v>
      </c>
      <c r="N1524" t="s">
        <v>3397</v>
      </c>
      <c r="O1524">
        <v>1</v>
      </c>
      <c r="P1524">
        <v>7.79</v>
      </c>
    </row>
    <row r="1525" spans="4:16" x14ac:dyDescent="0.25">
      <c r="D1525" t="s">
        <v>3398</v>
      </c>
      <c r="E1525" t="s">
        <v>3047</v>
      </c>
      <c r="F1525" t="s">
        <v>379</v>
      </c>
      <c r="G1525" t="s">
        <v>3396</v>
      </c>
      <c r="H1525" t="s">
        <v>1218</v>
      </c>
      <c r="I1525" s="13">
        <v>42331</v>
      </c>
      <c r="J1525">
        <v>8</v>
      </c>
      <c r="K1525" t="s">
        <v>177</v>
      </c>
      <c r="L1525" t="s">
        <v>139</v>
      </c>
      <c r="M1525" t="s">
        <v>398</v>
      </c>
      <c r="N1525" t="s">
        <v>3399</v>
      </c>
      <c r="O1525">
        <v>1</v>
      </c>
      <c r="P1525">
        <v>7.79</v>
      </c>
    </row>
    <row r="1526" spans="4:16" x14ac:dyDescent="0.25">
      <c r="D1526" t="s">
        <v>3400</v>
      </c>
      <c r="E1526" t="s">
        <v>3047</v>
      </c>
      <c r="F1526" t="s">
        <v>379</v>
      </c>
      <c r="G1526" t="s">
        <v>3396</v>
      </c>
      <c r="H1526" t="s">
        <v>1218</v>
      </c>
      <c r="I1526" s="13">
        <v>42331</v>
      </c>
      <c r="J1526">
        <v>8</v>
      </c>
      <c r="K1526" t="s">
        <v>177</v>
      </c>
      <c r="L1526" t="s">
        <v>139</v>
      </c>
      <c r="M1526" t="s">
        <v>398</v>
      </c>
      <c r="N1526" t="s">
        <v>3401</v>
      </c>
      <c r="O1526">
        <v>1</v>
      </c>
      <c r="P1526">
        <v>7.79</v>
      </c>
    </row>
    <row r="1527" spans="4:16" x14ac:dyDescent="0.25">
      <c r="D1527" t="s">
        <v>3402</v>
      </c>
      <c r="E1527" t="s">
        <v>3047</v>
      </c>
      <c r="F1527" t="s">
        <v>379</v>
      </c>
      <c r="G1527" t="s">
        <v>3396</v>
      </c>
      <c r="H1527" t="s">
        <v>1218</v>
      </c>
      <c r="I1527" s="13">
        <v>42331</v>
      </c>
      <c r="J1527">
        <v>8</v>
      </c>
      <c r="K1527" t="s">
        <v>177</v>
      </c>
      <c r="L1527" t="s">
        <v>139</v>
      </c>
      <c r="M1527" t="s">
        <v>398</v>
      </c>
      <c r="N1527" t="s">
        <v>3403</v>
      </c>
      <c r="O1527">
        <v>1</v>
      </c>
      <c r="P1527">
        <v>7.79</v>
      </c>
    </row>
    <row r="1528" spans="4:16" x14ac:dyDescent="0.25">
      <c r="D1528" t="s">
        <v>3404</v>
      </c>
      <c r="E1528" t="s">
        <v>3047</v>
      </c>
      <c r="F1528" t="s">
        <v>379</v>
      </c>
      <c r="G1528" t="s">
        <v>3396</v>
      </c>
      <c r="H1528" t="s">
        <v>1218</v>
      </c>
      <c r="I1528" s="13">
        <v>42331</v>
      </c>
      <c r="J1528">
        <v>8</v>
      </c>
      <c r="K1528" t="s">
        <v>177</v>
      </c>
      <c r="L1528" t="s">
        <v>139</v>
      </c>
      <c r="M1528" t="s">
        <v>398</v>
      </c>
      <c r="N1528" t="s">
        <v>3405</v>
      </c>
      <c r="O1528">
        <v>1</v>
      </c>
      <c r="P1528">
        <v>7.79</v>
      </c>
    </row>
    <row r="1529" spans="4:16" x14ac:dyDescent="0.25">
      <c r="D1529" t="s">
        <v>3406</v>
      </c>
      <c r="E1529" t="s">
        <v>3047</v>
      </c>
      <c r="F1529" t="s">
        <v>181</v>
      </c>
      <c r="G1529" t="s">
        <v>181</v>
      </c>
      <c r="H1529" t="s">
        <v>1218</v>
      </c>
      <c r="I1529" s="13">
        <v>42349</v>
      </c>
      <c r="J1529">
        <v>8</v>
      </c>
      <c r="K1529" t="s">
        <v>177</v>
      </c>
      <c r="L1529" t="s">
        <v>139</v>
      </c>
      <c r="M1529" t="s">
        <v>391</v>
      </c>
      <c r="N1529" t="s">
        <v>3407</v>
      </c>
      <c r="O1529">
        <v>1</v>
      </c>
      <c r="P1529">
        <v>7.74</v>
      </c>
    </row>
    <row r="1530" spans="4:16" x14ac:dyDescent="0.25">
      <c r="D1530" t="s">
        <v>3408</v>
      </c>
      <c r="E1530" t="s">
        <v>3047</v>
      </c>
      <c r="F1530" t="s">
        <v>379</v>
      </c>
      <c r="G1530" t="s">
        <v>3396</v>
      </c>
      <c r="H1530" t="s">
        <v>1218</v>
      </c>
      <c r="I1530" s="13">
        <v>42395</v>
      </c>
      <c r="J1530">
        <v>8</v>
      </c>
      <c r="K1530" t="s">
        <v>177</v>
      </c>
      <c r="L1530" t="s">
        <v>139</v>
      </c>
      <c r="M1530" t="s">
        <v>398</v>
      </c>
      <c r="N1530" t="s">
        <v>3409</v>
      </c>
      <c r="O1530">
        <v>1</v>
      </c>
      <c r="P1530">
        <v>7.62</v>
      </c>
    </row>
    <row r="1531" spans="4:16" x14ac:dyDescent="0.25">
      <c r="D1531" t="s">
        <v>3410</v>
      </c>
      <c r="E1531" t="s">
        <v>3047</v>
      </c>
      <c r="F1531" t="s">
        <v>379</v>
      </c>
      <c r="G1531" t="s">
        <v>379</v>
      </c>
      <c r="H1531" t="s">
        <v>1218</v>
      </c>
      <c r="I1531" s="13">
        <v>42471</v>
      </c>
      <c r="J1531">
        <v>7</v>
      </c>
      <c r="K1531" t="s">
        <v>177</v>
      </c>
      <c r="L1531" t="s">
        <v>139</v>
      </c>
      <c r="M1531" t="s">
        <v>146</v>
      </c>
      <c r="N1531" t="s">
        <v>3411</v>
      </c>
      <c r="O1531">
        <v>1</v>
      </c>
      <c r="P1531">
        <v>7.41</v>
      </c>
    </row>
    <row r="1532" spans="4:16" x14ac:dyDescent="0.25">
      <c r="D1532" t="s">
        <v>3412</v>
      </c>
      <c r="E1532" t="s">
        <v>3047</v>
      </c>
      <c r="F1532" t="s">
        <v>143</v>
      </c>
      <c r="G1532" t="s">
        <v>3359</v>
      </c>
      <c r="H1532" t="s">
        <v>1218</v>
      </c>
      <c r="I1532" s="13">
        <v>42489</v>
      </c>
      <c r="J1532">
        <v>7</v>
      </c>
      <c r="K1532" t="s">
        <v>177</v>
      </c>
      <c r="L1532" t="s">
        <v>139</v>
      </c>
      <c r="M1532" t="s">
        <v>264</v>
      </c>
      <c r="N1532" t="s">
        <v>3413</v>
      </c>
      <c r="O1532">
        <v>1</v>
      </c>
      <c r="P1532">
        <v>7.36</v>
      </c>
    </row>
    <row r="1533" spans="4:16" x14ac:dyDescent="0.25">
      <c r="D1533" t="s">
        <v>3414</v>
      </c>
      <c r="E1533" t="s">
        <v>3047</v>
      </c>
      <c r="F1533" t="s">
        <v>181</v>
      </c>
      <c r="G1533" t="s">
        <v>181</v>
      </c>
      <c r="H1533" t="s">
        <v>1218</v>
      </c>
      <c r="I1533" s="13">
        <v>42562</v>
      </c>
      <c r="J1533">
        <v>7</v>
      </c>
      <c r="K1533" t="s">
        <v>177</v>
      </c>
      <c r="L1533" t="s">
        <v>139</v>
      </c>
      <c r="M1533" t="s">
        <v>573</v>
      </c>
      <c r="N1533" t="s">
        <v>3415</v>
      </c>
      <c r="O1533">
        <v>1</v>
      </c>
      <c r="P1533">
        <v>7.16</v>
      </c>
    </row>
    <row r="1534" spans="4:16" x14ac:dyDescent="0.25">
      <c r="D1534" t="s">
        <v>3416</v>
      </c>
      <c r="E1534" t="s">
        <v>3047</v>
      </c>
      <c r="F1534" t="s">
        <v>143</v>
      </c>
      <c r="G1534" t="s">
        <v>3359</v>
      </c>
      <c r="H1534" t="s">
        <v>1218</v>
      </c>
      <c r="I1534" s="13">
        <v>42738</v>
      </c>
      <c r="J1534">
        <v>7</v>
      </c>
      <c r="K1534" t="s">
        <v>177</v>
      </c>
      <c r="L1534" t="s">
        <v>139</v>
      </c>
      <c r="M1534" t="s">
        <v>805</v>
      </c>
      <c r="N1534" t="s">
        <v>3417</v>
      </c>
      <c r="O1534">
        <v>1</v>
      </c>
      <c r="P1534">
        <v>6.68</v>
      </c>
    </row>
    <row r="1535" spans="4:16" x14ac:dyDescent="0.25">
      <c r="D1535" t="s">
        <v>3418</v>
      </c>
      <c r="E1535" t="s">
        <v>3047</v>
      </c>
      <c r="F1535" t="s">
        <v>379</v>
      </c>
      <c r="G1535" t="s">
        <v>3296</v>
      </c>
      <c r="H1535" t="s">
        <v>1218</v>
      </c>
      <c r="I1535" s="13">
        <v>42754</v>
      </c>
      <c r="J1535">
        <v>7</v>
      </c>
      <c r="K1535" t="s">
        <v>177</v>
      </c>
      <c r="L1535" t="s">
        <v>139</v>
      </c>
      <c r="M1535" t="s">
        <v>204</v>
      </c>
      <c r="N1535" t="s">
        <v>3419</v>
      </c>
      <c r="O1535">
        <v>1</v>
      </c>
      <c r="P1535">
        <v>6.63</v>
      </c>
    </row>
    <row r="1536" spans="4:16" x14ac:dyDescent="0.25">
      <c r="D1536" t="s">
        <v>3420</v>
      </c>
      <c r="E1536" t="s">
        <v>3047</v>
      </c>
      <c r="F1536" t="s">
        <v>379</v>
      </c>
      <c r="G1536" t="s">
        <v>3421</v>
      </c>
      <c r="H1536" t="s">
        <v>1218</v>
      </c>
      <c r="I1536" s="13">
        <v>42893</v>
      </c>
      <c r="J1536">
        <v>6</v>
      </c>
      <c r="K1536" t="s">
        <v>177</v>
      </c>
      <c r="L1536" t="s">
        <v>139</v>
      </c>
      <c r="M1536" t="s">
        <v>268</v>
      </c>
      <c r="N1536" t="s">
        <v>3422</v>
      </c>
      <c r="O1536">
        <v>1</v>
      </c>
      <c r="P1536">
        <v>6.25</v>
      </c>
    </row>
    <row r="1537" spans="4:16" x14ac:dyDescent="0.25">
      <c r="D1537" t="s">
        <v>3423</v>
      </c>
      <c r="E1537" t="s">
        <v>3047</v>
      </c>
      <c r="F1537" t="s">
        <v>379</v>
      </c>
      <c r="G1537" t="s">
        <v>3296</v>
      </c>
      <c r="H1537" t="s">
        <v>1218</v>
      </c>
      <c r="I1537" s="13">
        <v>42923</v>
      </c>
      <c r="J1537">
        <v>6</v>
      </c>
      <c r="K1537" t="s">
        <v>177</v>
      </c>
      <c r="L1537" t="s">
        <v>139</v>
      </c>
      <c r="M1537" t="s">
        <v>355</v>
      </c>
      <c r="N1537" t="s">
        <v>3424</v>
      </c>
      <c r="O1537">
        <v>1</v>
      </c>
      <c r="P1537">
        <v>6.17</v>
      </c>
    </row>
    <row r="1538" spans="4:16" x14ac:dyDescent="0.25">
      <c r="D1538" t="s">
        <v>3425</v>
      </c>
      <c r="E1538" t="s">
        <v>3047</v>
      </c>
      <c r="F1538" t="s">
        <v>143</v>
      </c>
      <c r="G1538" t="s">
        <v>3296</v>
      </c>
      <c r="H1538" t="s">
        <v>1218</v>
      </c>
      <c r="I1538" s="13">
        <v>42951</v>
      </c>
      <c r="J1538">
        <v>6</v>
      </c>
      <c r="K1538" t="s">
        <v>177</v>
      </c>
      <c r="L1538" t="s">
        <v>139</v>
      </c>
      <c r="M1538" t="s">
        <v>945</v>
      </c>
      <c r="N1538" t="s">
        <v>3426</v>
      </c>
      <c r="O1538">
        <v>1</v>
      </c>
      <c r="P1538">
        <v>6.09</v>
      </c>
    </row>
    <row r="1539" spans="4:16" x14ac:dyDescent="0.25">
      <c r="D1539" t="s">
        <v>3427</v>
      </c>
      <c r="E1539" t="s">
        <v>3047</v>
      </c>
      <c r="F1539" t="s">
        <v>149</v>
      </c>
      <c r="G1539" t="s">
        <v>90</v>
      </c>
      <c r="H1539" t="s">
        <v>1218</v>
      </c>
      <c r="I1539" s="13">
        <v>43068</v>
      </c>
      <c r="J1539">
        <v>6</v>
      </c>
      <c r="K1539" t="s">
        <v>177</v>
      </c>
      <c r="L1539" t="s">
        <v>139</v>
      </c>
      <c r="M1539" t="s">
        <v>178</v>
      </c>
      <c r="N1539" t="s">
        <v>3428</v>
      </c>
      <c r="O1539">
        <v>1</v>
      </c>
      <c r="P1539">
        <v>5.77</v>
      </c>
    </row>
    <row r="1540" spans="4:16" x14ac:dyDescent="0.25">
      <c r="D1540" t="s">
        <v>3429</v>
      </c>
      <c r="E1540" t="s">
        <v>3047</v>
      </c>
      <c r="F1540" t="s">
        <v>3430</v>
      </c>
      <c r="G1540" t="s">
        <v>1326</v>
      </c>
      <c r="H1540" t="s">
        <v>1218</v>
      </c>
      <c r="I1540" s="13">
        <v>43090</v>
      </c>
      <c r="J1540">
        <v>6</v>
      </c>
      <c r="K1540" t="s">
        <v>177</v>
      </c>
      <c r="L1540" t="s">
        <v>139</v>
      </c>
      <c r="M1540" t="s">
        <v>183</v>
      </c>
      <c r="N1540" t="s">
        <v>3431</v>
      </c>
      <c r="O1540">
        <v>1</v>
      </c>
      <c r="P1540">
        <v>5.71</v>
      </c>
    </row>
    <row r="1541" spans="4:16" x14ac:dyDescent="0.25">
      <c r="D1541" t="s">
        <v>3432</v>
      </c>
      <c r="E1541" t="s">
        <v>3047</v>
      </c>
      <c r="F1541" t="s">
        <v>3430</v>
      </c>
      <c r="G1541" t="s">
        <v>1326</v>
      </c>
      <c r="H1541" t="s">
        <v>1218</v>
      </c>
      <c r="I1541" s="13">
        <v>43090</v>
      </c>
      <c r="J1541">
        <v>6</v>
      </c>
      <c r="K1541" t="s">
        <v>177</v>
      </c>
      <c r="L1541" t="s">
        <v>139</v>
      </c>
      <c r="M1541" t="s">
        <v>183</v>
      </c>
      <c r="N1541" t="s">
        <v>3433</v>
      </c>
      <c r="O1541">
        <v>1</v>
      </c>
      <c r="P1541">
        <v>5.71</v>
      </c>
    </row>
    <row r="1542" spans="4:16" x14ac:dyDescent="0.25">
      <c r="D1542" t="s">
        <v>3434</v>
      </c>
      <c r="E1542" t="s">
        <v>3047</v>
      </c>
      <c r="F1542" t="s">
        <v>379</v>
      </c>
      <c r="G1542" t="s">
        <v>3435</v>
      </c>
      <c r="H1542" t="s">
        <v>1218</v>
      </c>
      <c r="I1542" s="13">
        <v>43160</v>
      </c>
      <c r="J1542">
        <v>6</v>
      </c>
      <c r="K1542" t="s">
        <v>177</v>
      </c>
      <c r="L1542" t="s">
        <v>139</v>
      </c>
      <c r="M1542" t="s">
        <v>240</v>
      </c>
      <c r="N1542" t="s">
        <v>3436</v>
      </c>
      <c r="O1542">
        <v>1</v>
      </c>
      <c r="P1542">
        <v>5.52</v>
      </c>
    </row>
    <row r="1543" spans="4:16" x14ac:dyDescent="0.25">
      <c r="D1543" t="s">
        <v>3437</v>
      </c>
      <c r="E1543" t="s">
        <v>3047</v>
      </c>
      <c r="F1543" t="s">
        <v>379</v>
      </c>
      <c r="G1543" t="s">
        <v>782</v>
      </c>
      <c r="H1543" t="s">
        <v>1218</v>
      </c>
      <c r="I1543" s="13">
        <v>43160</v>
      </c>
      <c r="J1543">
        <v>6</v>
      </c>
      <c r="K1543" t="s">
        <v>177</v>
      </c>
      <c r="L1543" t="s">
        <v>139</v>
      </c>
      <c r="M1543" t="s">
        <v>386</v>
      </c>
      <c r="N1543" t="s">
        <v>3438</v>
      </c>
      <c r="O1543">
        <v>1</v>
      </c>
      <c r="P1543">
        <v>5.52</v>
      </c>
    </row>
    <row r="1544" spans="4:16" x14ac:dyDescent="0.25">
      <c r="D1544" t="s">
        <v>3439</v>
      </c>
      <c r="E1544" t="s">
        <v>3047</v>
      </c>
      <c r="F1544" t="s">
        <v>379</v>
      </c>
      <c r="G1544" t="s">
        <v>782</v>
      </c>
      <c r="H1544" t="s">
        <v>1218</v>
      </c>
      <c r="I1544" s="13">
        <v>43255</v>
      </c>
      <c r="J1544">
        <v>5</v>
      </c>
      <c r="K1544" t="s">
        <v>177</v>
      </c>
      <c r="L1544" t="s">
        <v>139</v>
      </c>
      <c r="M1544" t="s">
        <v>165</v>
      </c>
      <c r="N1544" t="s">
        <v>3440</v>
      </c>
      <c r="O1544">
        <v>1</v>
      </c>
      <c r="P1544">
        <v>5.26</v>
      </c>
    </row>
    <row r="1545" spans="4:16" x14ac:dyDescent="0.25">
      <c r="D1545" t="s">
        <v>3441</v>
      </c>
      <c r="E1545" t="s">
        <v>3047</v>
      </c>
      <c r="F1545" t="s">
        <v>2239</v>
      </c>
      <c r="G1545" t="s">
        <v>3442</v>
      </c>
      <c r="H1545" t="s">
        <v>1218</v>
      </c>
      <c r="I1545" s="13">
        <v>43278</v>
      </c>
      <c r="J1545">
        <v>5</v>
      </c>
      <c r="K1545" t="s">
        <v>177</v>
      </c>
      <c r="L1545" t="s">
        <v>139</v>
      </c>
      <c r="M1545" t="s">
        <v>284</v>
      </c>
      <c r="N1545" t="s">
        <v>3443</v>
      </c>
      <c r="O1545">
        <v>1</v>
      </c>
      <c r="P1545">
        <v>5.2</v>
      </c>
    </row>
    <row r="1546" spans="4:16" hidden="1" x14ac:dyDescent="0.25">
      <c r="D1546" t="s">
        <v>3444</v>
      </c>
      <c r="E1546" t="s">
        <v>3047</v>
      </c>
      <c r="F1546" t="s">
        <v>2239</v>
      </c>
      <c r="G1546" t="s">
        <v>3445</v>
      </c>
      <c r="H1546" t="s">
        <v>1218</v>
      </c>
      <c r="I1546" s="13">
        <v>43280</v>
      </c>
      <c r="J1546">
        <v>5</v>
      </c>
      <c r="K1546" t="s">
        <v>177</v>
      </c>
      <c r="L1546" t="s">
        <v>164</v>
      </c>
      <c r="M1546" t="s">
        <v>284</v>
      </c>
      <c r="N1546" t="s">
        <v>3446</v>
      </c>
      <c r="O1546">
        <v>1</v>
      </c>
      <c r="P1546">
        <v>5.19</v>
      </c>
    </row>
    <row r="1547" spans="4:16" x14ac:dyDescent="0.25">
      <c r="D1547" t="s">
        <v>3447</v>
      </c>
      <c r="E1547" t="s">
        <v>3047</v>
      </c>
      <c r="F1547" t="s">
        <v>379</v>
      </c>
      <c r="G1547" t="s">
        <v>3448</v>
      </c>
      <c r="H1547" t="s">
        <v>1218</v>
      </c>
      <c r="I1547" s="13">
        <v>43286</v>
      </c>
      <c r="J1547">
        <v>5</v>
      </c>
      <c r="K1547" t="s">
        <v>177</v>
      </c>
      <c r="L1547" t="s">
        <v>139</v>
      </c>
      <c r="M1547" t="s">
        <v>146</v>
      </c>
      <c r="N1547" t="s">
        <v>3449</v>
      </c>
      <c r="O1547">
        <v>1</v>
      </c>
      <c r="P1547">
        <v>5.18</v>
      </c>
    </row>
    <row r="1548" spans="4:16" x14ac:dyDescent="0.25">
      <c r="D1548" t="s">
        <v>3450</v>
      </c>
      <c r="E1548" t="s">
        <v>3047</v>
      </c>
      <c r="F1548" t="s">
        <v>2239</v>
      </c>
      <c r="G1548" t="s">
        <v>3442</v>
      </c>
      <c r="H1548" t="s">
        <v>1218</v>
      </c>
      <c r="I1548" s="13">
        <v>43286</v>
      </c>
      <c r="J1548">
        <v>5</v>
      </c>
      <c r="K1548" t="s">
        <v>177</v>
      </c>
      <c r="L1548" t="s">
        <v>139</v>
      </c>
      <c r="M1548" t="s">
        <v>284</v>
      </c>
      <c r="N1548" t="s">
        <v>3451</v>
      </c>
      <c r="O1548">
        <v>1</v>
      </c>
      <c r="P1548">
        <v>5.18</v>
      </c>
    </row>
    <row r="1549" spans="4:16" x14ac:dyDescent="0.25">
      <c r="D1549" t="s">
        <v>3452</v>
      </c>
      <c r="E1549" t="s">
        <v>3047</v>
      </c>
      <c r="F1549" t="s">
        <v>379</v>
      </c>
      <c r="G1549" t="s">
        <v>3396</v>
      </c>
      <c r="H1549" t="s">
        <v>1218</v>
      </c>
      <c r="I1549" s="13">
        <v>43286</v>
      </c>
      <c r="J1549">
        <v>5</v>
      </c>
      <c r="K1549" t="s">
        <v>177</v>
      </c>
      <c r="L1549" t="s">
        <v>139</v>
      </c>
      <c r="M1549" t="s">
        <v>222</v>
      </c>
      <c r="N1549" t="s">
        <v>3453</v>
      </c>
      <c r="O1549">
        <v>1</v>
      </c>
      <c r="P1549">
        <v>5.18</v>
      </c>
    </row>
    <row r="1550" spans="4:16" x14ac:dyDescent="0.25">
      <c r="D1550" t="s">
        <v>3454</v>
      </c>
      <c r="E1550" t="s">
        <v>3047</v>
      </c>
      <c r="F1550" t="s">
        <v>2239</v>
      </c>
      <c r="G1550" t="s">
        <v>3445</v>
      </c>
      <c r="H1550" t="s">
        <v>1218</v>
      </c>
      <c r="I1550" s="13">
        <v>43286</v>
      </c>
      <c r="J1550">
        <v>5</v>
      </c>
      <c r="K1550" t="s">
        <v>177</v>
      </c>
      <c r="L1550" t="s">
        <v>139</v>
      </c>
      <c r="M1550" t="s">
        <v>284</v>
      </c>
      <c r="N1550" t="s">
        <v>3455</v>
      </c>
      <c r="O1550">
        <v>1</v>
      </c>
      <c r="P1550">
        <v>5.18</v>
      </c>
    </row>
    <row r="1551" spans="4:16" x14ac:dyDescent="0.25">
      <c r="D1551" t="s">
        <v>3456</v>
      </c>
      <c r="E1551" t="s">
        <v>3047</v>
      </c>
      <c r="F1551" t="s">
        <v>2239</v>
      </c>
      <c r="G1551" t="s">
        <v>3396</v>
      </c>
      <c r="H1551" t="s">
        <v>1218</v>
      </c>
      <c r="I1551" s="13">
        <v>43292</v>
      </c>
      <c r="J1551">
        <v>5</v>
      </c>
      <c r="K1551" t="s">
        <v>177</v>
      </c>
      <c r="L1551" t="s">
        <v>139</v>
      </c>
      <c r="M1551" t="s">
        <v>372</v>
      </c>
      <c r="N1551" t="s">
        <v>3457</v>
      </c>
      <c r="O1551">
        <v>1</v>
      </c>
      <c r="P1551">
        <v>5.16</v>
      </c>
    </row>
    <row r="1552" spans="4:16" x14ac:dyDescent="0.25">
      <c r="D1552" t="s">
        <v>3458</v>
      </c>
      <c r="E1552" t="s">
        <v>3047</v>
      </c>
      <c r="F1552" t="s">
        <v>149</v>
      </c>
      <c r="G1552" t="s">
        <v>3172</v>
      </c>
      <c r="H1552" t="s">
        <v>1218</v>
      </c>
      <c r="I1552" s="13">
        <v>43299</v>
      </c>
      <c r="J1552">
        <v>5</v>
      </c>
      <c r="K1552" t="s">
        <v>177</v>
      </c>
      <c r="L1552" t="s">
        <v>139</v>
      </c>
      <c r="M1552" t="s">
        <v>856</v>
      </c>
      <c r="N1552" t="s">
        <v>3459</v>
      </c>
      <c r="O1552">
        <v>1</v>
      </c>
      <c r="P1552">
        <v>5.14</v>
      </c>
    </row>
    <row r="1553" spans="4:16" x14ac:dyDescent="0.25">
      <c r="D1553" t="s">
        <v>3460</v>
      </c>
      <c r="E1553" t="s">
        <v>3047</v>
      </c>
      <c r="F1553" t="s">
        <v>379</v>
      </c>
      <c r="G1553" t="s">
        <v>3461</v>
      </c>
      <c r="H1553" t="s">
        <v>1218</v>
      </c>
      <c r="I1553" s="13">
        <v>43487</v>
      </c>
      <c r="J1553">
        <v>5</v>
      </c>
      <c r="K1553" t="s">
        <v>177</v>
      </c>
      <c r="L1553" t="s">
        <v>139</v>
      </c>
      <c r="M1553" t="s">
        <v>227</v>
      </c>
      <c r="N1553" t="s">
        <v>3462</v>
      </c>
      <c r="O1553">
        <v>1</v>
      </c>
      <c r="P1553">
        <v>4.63</v>
      </c>
    </row>
    <row r="1554" spans="4:16" x14ac:dyDescent="0.25">
      <c r="D1554" t="s">
        <v>3463</v>
      </c>
      <c r="E1554" t="s">
        <v>3047</v>
      </c>
      <c r="F1554" t="s">
        <v>379</v>
      </c>
      <c r="G1554" t="s">
        <v>3464</v>
      </c>
      <c r="H1554" t="s">
        <v>1218</v>
      </c>
      <c r="I1554" s="13">
        <v>43488</v>
      </c>
      <c r="J1554">
        <v>5</v>
      </c>
      <c r="K1554" t="s">
        <v>177</v>
      </c>
      <c r="L1554" t="s">
        <v>139</v>
      </c>
      <c r="M1554" t="s">
        <v>204</v>
      </c>
      <c r="N1554" t="s">
        <v>3465</v>
      </c>
      <c r="O1554">
        <v>1</v>
      </c>
      <c r="P1554">
        <v>4.62</v>
      </c>
    </row>
    <row r="1555" spans="4:16" x14ac:dyDescent="0.25">
      <c r="D1555" t="s">
        <v>3466</v>
      </c>
      <c r="E1555" t="s">
        <v>3047</v>
      </c>
      <c r="F1555" t="s">
        <v>379</v>
      </c>
      <c r="G1555" t="s">
        <v>3461</v>
      </c>
      <c r="H1555" t="s">
        <v>1218</v>
      </c>
      <c r="I1555" s="13">
        <v>43489</v>
      </c>
      <c r="J1555">
        <v>5</v>
      </c>
      <c r="K1555" t="s">
        <v>177</v>
      </c>
      <c r="L1555" t="s">
        <v>139</v>
      </c>
      <c r="M1555" t="s">
        <v>227</v>
      </c>
      <c r="N1555" t="s">
        <v>3467</v>
      </c>
      <c r="O1555">
        <v>1</v>
      </c>
      <c r="P1555">
        <v>4.62</v>
      </c>
    </row>
    <row r="1556" spans="4:16" x14ac:dyDescent="0.25">
      <c r="D1556" t="s">
        <v>3468</v>
      </c>
      <c r="E1556" t="s">
        <v>3047</v>
      </c>
      <c r="F1556" t="s">
        <v>2185</v>
      </c>
      <c r="G1556" t="s">
        <v>3359</v>
      </c>
      <c r="H1556" t="s">
        <v>1218</v>
      </c>
      <c r="I1556" s="13">
        <v>43511</v>
      </c>
      <c r="J1556">
        <v>5</v>
      </c>
      <c r="K1556" t="s">
        <v>177</v>
      </c>
      <c r="L1556" t="s">
        <v>139</v>
      </c>
      <c r="M1556" t="s">
        <v>805</v>
      </c>
      <c r="N1556" t="s">
        <v>3469</v>
      </c>
      <c r="O1556">
        <v>1</v>
      </c>
      <c r="P1556">
        <v>4.5599999999999996</v>
      </c>
    </row>
    <row r="1557" spans="4:16" x14ac:dyDescent="0.25">
      <c r="D1557" t="s">
        <v>3470</v>
      </c>
      <c r="E1557" t="s">
        <v>3047</v>
      </c>
      <c r="F1557" t="s">
        <v>2185</v>
      </c>
      <c r="G1557" t="s">
        <v>3471</v>
      </c>
      <c r="H1557" t="s">
        <v>1218</v>
      </c>
      <c r="I1557" s="13">
        <v>43570</v>
      </c>
      <c r="J1557">
        <v>4</v>
      </c>
      <c r="K1557" t="s">
        <v>177</v>
      </c>
      <c r="L1557" t="s">
        <v>139</v>
      </c>
      <c r="M1557" t="s">
        <v>398</v>
      </c>
      <c r="N1557" t="s">
        <v>3472</v>
      </c>
      <c r="O1557">
        <v>1</v>
      </c>
      <c r="P1557">
        <v>4.4000000000000004</v>
      </c>
    </row>
    <row r="1558" spans="4:16" x14ac:dyDescent="0.25">
      <c r="D1558" t="s">
        <v>3473</v>
      </c>
      <c r="E1558" t="s">
        <v>3047</v>
      </c>
      <c r="F1558" t="s">
        <v>181</v>
      </c>
      <c r="G1558" t="s">
        <v>3474</v>
      </c>
      <c r="H1558" t="s">
        <v>1218</v>
      </c>
      <c r="I1558" s="13">
        <v>43572</v>
      </c>
      <c r="J1558">
        <v>4</v>
      </c>
      <c r="K1558" t="s">
        <v>177</v>
      </c>
      <c r="L1558" t="s">
        <v>139</v>
      </c>
      <c r="M1558" t="s">
        <v>178</v>
      </c>
      <c r="N1558" t="s">
        <v>3475</v>
      </c>
      <c r="O1558">
        <v>1</v>
      </c>
      <c r="P1558">
        <v>4.3899999999999997</v>
      </c>
    </row>
    <row r="1559" spans="4:16" x14ac:dyDescent="0.25">
      <c r="D1559" t="s">
        <v>3476</v>
      </c>
      <c r="E1559" t="s">
        <v>3047</v>
      </c>
      <c r="F1559" t="s">
        <v>143</v>
      </c>
      <c r="G1559" t="s">
        <v>3359</v>
      </c>
      <c r="H1559" t="s">
        <v>1218</v>
      </c>
      <c r="I1559" s="13">
        <v>43593</v>
      </c>
      <c r="J1559">
        <v>4</v>
      </c>
      <c r="K1559" t="s">
        <v>177</v>
      </c>
      <c r="L1559" t="s">
        <v>139</v>
      </c>
      <c r="M1559" t="s">
        <v>805</v>
      </c>
      <c r="N1559" t="s">
        <v>3477</v>
      </c>
      <c r="O1559">
        <v>1</v>
      </c>
      <c r="P1559">
        <v>4.33</v>
      </c>
    </row>
    <row r="1560" spans="4:16" x14ac:dyDescent="0.25">
      <c r="D1560" t="s">
        <v>3478</v>
      </c>
      <c r="E1560" t="s">
        <v>3047</v>
      </c>
      <c r="F1560" t="s">
        <v>2185</v>
      </c>
      <c r="G1560" t="s">
        <v>144</v>
      </c>
      <c r="H1560" t="s">
        <v>1218</v>
      </c>
      <c r="I1560" s="13">
        <v>43635</v>
      </c>
      <c r="J1560">
        <v>4</v>
      </c>
      <c r="K1560" t="s">
        <v>177</v>
      </c>
      <c r="L1560" t="s">
        <v>139</v>
      </c>
      <c r="M1560" t="s">
        <v>398</v>
      </c>
      <c r="N1560" t="s">
        <v>3479</v>
      </c>
      <c r="O1560">
        <v>1</v>
      </c>
      <c r="P1560">
        <v>4.22</v>
      </c>
    </row>
    <row r="1561" spans="4:16" x14ac:dyDescent="0.25">
      <c r="D1561" t="s">
        <v>3480</v>
      </c>
      <c r="E1561" t="s">
        <v>3047</v>
      </c>
      <c r="F1561" t="s">
        <v>2185</v>
      </c>
      <c r="G1561" t="s">
        <v>144</v>
      </c>
      <c r="H1561" t="s">
        <v>1218</v>
      </c>
      <c r="I1561" s="13">
        <v>43635</v>
      </c>
      <c r="J1561">
        <v>4</v>
      </c>
      <c r="K1561" t="s">
        <v>177</v>
      </c>
      <c r="L1561" t="s">
        <v>139</v>
      </c>
      <c r="M1561" t="s">
        <v>398</v>
      </c>
      <c r="N1561" t="s">
        <v>3481</v>
      </c>
      <c r="O1561">
        <v>1</v>
      </c>
      <c r="P1561">
        <v>4.22</v>
      </c>
    </row>
    <row r="1562" spans="4:16" x14ac:dyDescent="0.25">
      <c r="D1562" t="s">
        <v>3482</v>
      </c>
      <c r="E1562" t="s">
        <v>3047</v>
      </c>
      <c r="F1562" t="s">
        <v>2413</v>
      </c>
      <c r="G1562" t="s">
        <v>3483</v>
      </c>
      <c r="H1562" t="s">
        <v>1218</v>
      </c>
      <c r="I1562" s="13">
        <v>43643</v>
      </c>
      <c r="J1562">
        <v>4</v>
      </c>
      <c r="K1562" t="s">
        <v>177</v>
      </c>
      <c r="L1562" t="s">
        <v>139</v>
      </c>
      <c r="M1562" t="s">
        <v>316</v>
      </c>
      <c r="N1562" t="s">
        <v>3484</v>
      </c>
      <c r="O1562">
        <v>1</v>
      </c>
      <c r="P1562">
        <v>4.2</v>
      </c>
    </row>
    <row r="1563" spans="4:16" hidden="1" x14ac:dyDescent="0.25">
      <c r="D1563" t="s">
        <v>3485</v>
      </c>
      <c r="E1563" t="s">
        <v>3047</v>
      </c>
      <c r="F1563" t="s">
        <v>3486</v>
      </c>
      <c r="G1563" t="s">
        <v>3359</v>
      </c>
      <c r="H1563" t="s">
        <v>3642</v>
      </c>
      <c r="I1563" s="13">
        <v>43641</v>
      </c>
      <c r="J1563">
        <v>4</v>
      </c>
      <c r="K1563" t="s">
        <v>177</v>
      </c>
      <c r="L1563" t="s">
        <v>139</v>
      </c>
      <c r="M1563" t="s">
        <v>945</v>
      </c>
      <c r="N1563" t="s">
        <v>3487</v>
      </c>
      <c r="O1563">
        <v>1</v>
      </c>
      <c r="P1563">
        <v>4.2</v>
      </c>
    </row>
    <row r="1564" spans="4:16" x14ac:dyDescent="0.25">
      <c r="D1564" t="s">
        <v>3488</v>
      </c>
      <c r="E1564" t="s">
        <v>3047</v>
      </c>
      <c r="F1564" t="s">
        <v>2185</v>
      </c>
      <c r="G1564" t="s">
        <v>3359</v>
      </c>
      <c r="H1564" t="s">
        <v>1218</v>
      </c>
      <c r="I1564" s="13">
        <v>43642</v>
      </c>
      <c r="J1564">
        <v>4</v>
      </c>
      <c r="K1564" t="s">
        <v>177</v>
      </c>
      <c r="L1564" t="s">
        <v>139</v>
      </c>
      <c r="M1564" t="s">
        <v>398</v>
      </c>
      <c r="N1564" t="s">
        <v>3489</v>
      </c>
      <c r="O1564">
        <v>1</v>
      </c>
      <c r="P1564">
        <v>4.2</v>
      </c>
    </row>
    <row r="1565" spans="4:16" x14ac:dyDescent="0.25">
      <c r="D1565" t="s">
        <v>3490</v>
      </c>
      <c r="E1565" t="s">
        <v>3047</v>
      </c>
      <c r="F1565" t="s">
        <v>2185</v>
      </c>
      <c r="G1565" t="s">
        <v>3491</v>
      </c>
      <c r="H1565" t="s">
        <v>1218</v>
      </c>
      <c r="I1565" s="13">
        <v>43643</v>
      </c>
      <c r="J1565">
        <v>4</v>
      </c>
      <c r="K1565" t="s">
        <v>177</v>
      </c>
      <c r="L1565" t="s">
        <v>139</v>
      </c>
      <c r="M1565" t="s">
        <v>965</v>
      </c>
      <c r="N1565" t="s">
        <v>3492</v>
      </c>
      <c r="O1565">
        <v>1</v>
      </c>
      <c r="P1565">
        <v>4.2</v>
      </c>
    </row>
    <row r="1566" spans="4:16" x14ac:dyDescent="0.25">
      <c r="D1566" t="s">
        <v>3493</v>
      </c>
      <c r="E1566" t="s">
        <v>3047</v>
      </c>
      <c r="F1566" t="s">
        <v>2185</v>
      </c>
      <c r="G1566" t="s">
        <v>3471</v>
      </c>
      <c r="H1566" t="s">
        <v>1218</v>
      </c>
      <c r="I1566" s="13">
        <v>43643</v>
      </c>
      <c r="J1566">
        <v>4</v>
      </c>
      <c r="K1566" t="s">
        <v>177</v>
      </c>
      <c r="L1566" t="s">
        <v>139</v>
      </c>
      <c r="M1566" t="s">
        <v>647</v>
      </c>
      <c r="N1566" t="s">
        <v>3494</v>
      </c>
      <c r="O1566">
        <v>1</v>
      </c>
      <c r="P1566">
        <v>4.2</v>
      </c>
    </row>
    <row r="1567" spans="4:16" x14ac:dyDescent="0.25">
      <c r="D1567" t="s">
        <v>3495</v>
      </c>
      <c r="E1567" t="s">
        <v>3047</v>
      </c>
      <c r="F1567" t="s">
        <v>2185</v>
      </c>
      <c r="G1567" t="s">
        <v>3471</v>
      </c>
      <c r="H1567" t="s">
        <v>1218</v>
      </c>
      <c r="I1567" s="13">
        <v>43643</v>
      </c>
      <c r="J1567">
        <v>4</v>
      </c>
      <c r="K1567" t="s">
        <v>177</v>
      </c>
      <c r="L1567" t="s">
        <v>139</v>
      </c>
      <c r="M1567" t="s">
        <v>647</v>
      </c>
      <c r="N1567" t="s">
        <v>3496</v>
      </c>
      <c r="O1567">
        <v>1</v>
      </c>
      <c r="P1567">
        <v>4.2</v>
      </c>
    </row>
    <row r="1568" spans="4:16" x14ac:dyDescent="0.25">
      <c r="D1568" t="s">
        <v>3497</v>
      </c>
      <c r="E1568" t="s">
        <v>3047</v>
      </c>
      <c r="F1568" t="s">
        <v>2185</v>
      </c>
      <c r="G1568" t="s">
        <v>3471</v>
      </c>
      <c r="H1568" t="s">
        <v>1218</v>
      </c>
      <c r="I1568" s="13">
        <v>43643</v>
      </c>
      <c r="J1568">
        <v>4</v>
      </c>
      <c r="K1568" t="s">
        <v>177</v>
      </c>
      <c r="L1568" t="s">
        <v>139</v>
      </c>
      <c r="M1568" t="s">
        <v>647</v>
      </c>
      <c r="N1568" t="s">
        <v>3498</v>
      </c>
      <c r="O1568">
        <v>1</v>
      </c>
      <c r="P1568">
        <v>4.2</v>
      </c>
    </row>
    <row r="1569" spans="4:16" x14ac:dyDescent="0.25">
      <c r="D1569" t="s">
        <v>3499</v>
      </c>
      <c r="E1569" t="s">
        <v>3047</v>
      </c>
      <c r="F1569" t="s">
        <v>2185</v>
      </c>
      <c r="G1569" t="s">
        <v>3500</v>
      </c>
      <c r="H1569" t="s">
        <v>1218</v>
      </c>
      <c r="I1569" s="13">
        <v>43648</v>
      </c>
      <c r="J1569">
        <v>4</v>
      </c>
      <c r="K1569" t="s">
        <v>177</v>
      </c>
      <c r="L1569" t="s">
        <v>139</v>
      </c>
      <c r="M1569" t="s">
        <v>647</v>
      </c>
      <c r="N1569" t="s">
        <v>3501</v>
      </c>
      <c r="O1569">
        <v>1</v>
      </c>
      <c r="P1569">
        <v>4.18</v>
      </c>
    </row>
    <row r="1570" spans="4:16" x14ac:dyDescent="0.25">
      <c r="D1570" t="s">
        <v>3502</v>
      </c>
      <c r="E1570" t="s">
        <v>3047</v>
      </c>
      <c r="F1570" t="s">
        <v>2185</v>
      </c>
      <c r="G1570" t="s">
        <v>3471</v>
      </c>
      <c r="H1570" t="s">
        <v>1218</v>
      </c>
      <c r="I1570" s="13">
        <v>43650</v>
      </c>
      <c r="J1570">
        <v>4</v>
      </c>
      <c r="K1570" t="s">
        <v>177</v>
      </c>
      <c r="L1570" t="s">
        <v>139</v>
      </c>
      <c r="M1570" t="s">
        <v>647</v>
      </c>
      <c r="N1570" t="s">
        <v>3503</v>
      </c>
      <c r="O1570">
        <v>1</v>
      </c>
      <c r="P1570">
        <v>4.18</v>
      </c>
    </row>
    <row r="1571" spans="4:16" x14ac:dyDescent="0.25">
      <c r="D1571" t="s">
        <v>3504</v>
      </c>
      <c r="E1571" t="s">
        <v>3047</v>
      </c>
      <c r="F1571" t="s">
        <v>379</v>
      </c>
      <c r="G1571" t="s">
        <v>782</v>
      </c>
      <c r="H1571" t="s">
        <v>1218</v>
      </c>
      <c r="I1571" s="13">
        <v>43802</v>
      </c>
      <c r="J1571">
        <v>4</v>
      </c>
      <c r="K1571" t="s">
        <v>177</v>
      </c>
      <c r="L1571" t="s">
        <v>139</v>
      </c>
      <c r="M1571" t="s">
        <v>151</v>
      </c>
      <c r="N1571" t="s">
        <v>3505</v>
      </c>
      <c r="O1571">
        <v>1</v>
      </c>
      <c r="P1571">
        <v>3.76</v>
      </c>
    </row>
    <row r="1572" spans="4:16" x14ac:dyDescent="0.25">
      <c r="D1572" t="s">
        <v>3506</v>
      </c>
      <c r="E1572" t="s">
        <v>3047</v>
      </c>
      <c r="F1572" t="s">
        <v>379</v>
      </c>
      <c r="G1572" t="s">
        <v>782</v>
      </c>
      <c r="H1572" t="s">
        <v>1218</v>
      </c>
      <c r="I1572" s="13">
        <v>43805</v>
      </c>
      <c r="J1572">
        <v>4</v>
      </c>
      <c r="K1572" t="s">
        <v>177</v>
      </c>
      <c r="L1572" t="s">
        <v>139</v>
      </c>
      <c r="M1572" t="s">
        <v>151</v>
      </c>
      <c r="N1572" t="s">
        <v>3507</v>
      </c>
      <c r="O1572">
        <v>1</v>
      </c>
      <c r="P1572">
        <v>3.75</v>
      </c>
    </row>
    <row r="1573" spans="4:16" x14ac:dyDescent="0.25">
      <c r="D1573" t="s">
        <v>3508</v>
      </c>
      <c r="E1573" t="s">
        <v>3047</v>
      </c>
      <c r="F1573" t="s">
        <v>379</v>
      </c>
      <c r="G1573" t="s">
        <v>782</v>
      </c>
      <c r="H1573" t="s">
        <v>1218</v>
      </c>
      <c r="I1573" s="13">
        <v>43805</v>
      </c>
      <c r="J1573">
        <v>4</v>
      </c>
      <c r="K1573" t="s">
        <v>177</v>
      </c>
      <c r="L1573" t="s">
        <v>139</v>
      </c>
      <c r="M1573" t="s">
        <v>154</v>
      </c>
      <c r="N1573" t="s">
        <v>3509</v>
      </c>
      <c r="O1573">
        <v>1</v>
      </c>
      <c r="P1573">
        <v>3.75</v>
      </c>
    </row>
    <row r="1574" spans="4:16" x14ac:dyDescent="0.25">
      <c r="D1574" t="s">
        <v>3510</v>
      </c>
      <c r="E1574" t="s">
        <v>3047</v>
      </c>
      <c r="F1574" t="s">
        <v>379</v>
      </c>
      <c r="G1574" t="s">
        <v>782</v>
      </c>
      <c r="H1574" t="s">
        <v>1218</v>
      </c>
      <c r="I1574" s="13">
        <v>43812</v>
      </c>
      <c r="J1574">
        <v>4</v>
      </c>
      <c r="K1574" t="s">
        <v>177</v>
      </c>
      <c r="L1574" t="s">
        <v>139</v>
      </c>
      <c r="M1574" t="s">
        <v>165</v>
      </c>
      <c r="N1574" t="s">
        <v>3511</v>
      </c>
      <c r="O1574">
        <v>1</v>
      </c>
      <c r="P1574">
        <v>3.73</v>
      </c>
    </row>
    <row r="1575" spans="4:16" hidden="1" x14ac:dyDescent="0.25">
      <c r="D1575" t="s">
        <v>3512</v>
      </c>
      <c r="E1575" t="s">
        <v>3047</v>
      </c>
      <c r="F1575" t="s">
        <v>2185</v>
      </c>
      <c r="G1575" t="s">
        <v>143</v>
      </c>
      <c r="H1575" t="s">
        <v>3642</v>
      </c>
      <c r="I1575" s="13">
        <v>43832</v>
      </c>
      <c r="J1575">
        <v>4</v>
      </c>
      <c r="K1575" t="s">
        <v>177</v>
      </c>
      <c r="L1575" t="s">
        <v>139</v>
      </c>
      <c r="M1575" t="s">
        <v>468</v>
      </c>
      <c r="N1575" t="s">
        <v>3513</v>
      </c>
      <c r="O1575">
        <v>1</v>
      </c>
      <c r="P1575">
        <v>3.68</v>
      </c>
    </row>
    <row r="1576" spans="4:16" x14ac:dyDescent="0.25">
      <c r="D1576" t="s">
        <v>3514</v>
      </c>
      <c r="E1576" t="s">
        <v>3047</v>
      </c>
      <c r="F1576" t="s">
        <v>656</v>
      </c>
      <c r="G1576" t="s">
        <v>3515</v>
      </c>
      <c r="H1576" t="s">
        <v>1218</v>
      </c>
      <c r="I1576" s="13">
        <v>43962</v>
      </c>
      <c r="J1576">
        <v>3</v>
      </c>
      <c r="K1576" t="s">
        <v>177</v>
      </c>
      <c r="L1576" t="s">
        <v>139</v>
      </c>
      <c r="M1576" t="s">
        <v>160</v>
      </c>
      <c r="N1576" t="s">
        <v>3516</v>
      </c>
      <c r="O1576">
        <v>1</v>
      </c>
      <c r="P1576">
        <v>3.32</v>
      </c>
    </row>
    <row r="1577" spans="4:16" x14ac:dyDescent="0.25">
      <c r="D1577" t="s">
        <v>3517</v>
      </c>
      <c r="E1577" t="s">
        <v>3047</v>
      </c>
      <c r="F1577" t="s">
        <v>2327</v>
      </c>
      <c r="G1577" t="s">
        <v>3518</v>
      </c>
      <c r="H1577" t="s">
        <v>1218</v>
      </c>
      <c r="I1577" s="13">
        <v>44000</v>
      </c>
      <c r="J1577">
        <v>3</v>
      </c>
      <c r="K1577" t="s">
        <v>177</v>
      </c>
      <c r="L1577" t="s">
        <v>139</v>
      </c>
      <c r="M1577" t="s">
        <v>712</v>
      </c>
      <c r="N1577" t="s">
        <v>3519</v>
      </c>
      <c r="O1577">
        <v>1</v>
      </c>
      <c r="P1577">
        <v>3.22</v>
      </c>
    </row>
    <row r="1578" spans="4:16" x14ac:dyDescent="0.25">
      <c r="D1578" t="s">
        <v>3520</v>
      </c>
      <c r="E1578" t="s">
        <v>3047</v>
      </c>
      <c r="F1578" t="s">
        <v>1247</v>
      </c>
      <c r="G1578" t="s">
        <v>3521</v>
      </c>
      <c r="H1578" t="s">
        <v>1218</v>
      </c>
      <c r="I1578" s="13">
        <v>44005</v>
      </c>
      <c r="J1578">
        <v>3</v>
      </c>
      <c r="K1578" t="s">
        <v>177</v>
      </c>
      <c r="L1578" t="s">
        <v>139</v>
      </c>
      <c r="M1578" t="s">
        <v>240</v>
      </c>
      <c r="N1578" t="s">
        <v>3522</v>
      </c>
      <c r="O1578">
        <v>1</v>
      </c>
      <c r="P1578">
        <v>3.21</v>
      </c>
    </row>
    <row r="1579" spans="4:16" x14ac:dyDescent="0.25">
      <c r="D1579" t="s">
        <v>3523</v>
      </c>
      <c r="E1579" t="s">
        <v>3047</v>
      </c>
      <c r="F1579" t="s">
        <v>2620</v>
      </c>
      <c r="G1579" t="s">
        <v>3442</v>
      </c>
      <c r="H1579" t="s">
        <v>1218</v>
      </c>
      <c r="I1579" s="13">
        <v>44005</v>
      </c>
      <c r="J1579">
        <v>3</v>
      </c>
      <c r="K1579" t="s">
        <v>177</v>
      </c>
      <c r="L1579" t="s">
        <v>139</v>
      </c>
      <c r="M1579" t="s">
        <v>284</v>
      </c>
      <c r="N1579" t="s">
        <v>3524</v>
      </c>
      <c r="O1579">
        <v>1</v>
      </c>
      <c r="P1579">
        <v>3.21</v>
      </c>
    </row>
    <row r="1580" spans="4:16" x14ac:dyDescent="0.25">
      <c r="D1580" t="s">
        <v>3525</v>
      </c>
      <c r="E1580" t="s">
        <v>3047</v>
      </c>
      <c r="F1580" t="s">
        <v>2239</v>
      </c>
      <c r="G1580" t="s">
        <v>3526</v>
      </c>
      <c r="H1580" t="s">
        <v>1218</v>
      </c>
      <c r="I1580" s="13">
        <v>44007</v>
      </c>
      <c r="J1580">
        <v>3</v>
      </c>
      <c r="K1580" t="s">
        <v>177</v>
      </c>
      <c r="L1580" t="s">
        <v>139</v>
      </c>
      <c r="M1580" t="s">
        <v>284</v>
      </c>
      <c r="N1580" t="s">
        <v>3527</v>
      </c>
      <c r="O1580">
        <v>1</v>
      </c>
      <c r="P1580">
        <v>3.2</v>
      </c>
    </row>
    <row r="1581" spans="4:16" hidden="1" x14ac:dyDescent="0.25">
      <c r="D1581" t="s">
        <v>3528</v>
      </c>
      <c r="E1581" t="s">
        <v>3047</v>
      </c>
      <c r="F1581" t="s">
        <v>379</v>
      </c>
      <c r="G1581" t="s">
        <v>3529</v>
      </c>
      <c r="H1581" t="s">
        <v>3642</v>
      </c>
      <c r="I1581" s="13">
        <v>44008</v>
      </c>
      <c r="J1581">
        <v>3</v>
      </c>
      <c r="K1581" t="s">
        <v>177</v>
      </c>
      <c r="L1581" t="s">
        <v>139</v>
      </c>
      <c r="M1581" t="s">
        <v>555</v>
      </c>
      <c r="N1581" t="s">
        <v>3530</v>
      </c>
      <c r="O1581">
        <v>1</v>
      </c>
      <c r="P1581">
        <v>3.2</v>
      </c>
    </row>
    <row r="1582" spans="4:16" x14ac:dyDescent="0.25">
      <c r="D1582" t="s">
        <v>3531</v>
      </c>
      <c r="E1582" t="s">
        <v>3047</v>
      </c>
      <c r="F1582" t="s">
        <v>379</v>
      </c>
      <c r="G1582" t="s">
        <v>3532</v>
      </c>
      <c r="H1582" t="s">
        <v>1218</v>
      </c>
      <c r="I1582" s="13">
        <v>44012</v>
      </c>
      <c r="J1582">
        <v>3</v>
      </c>
      <c r="K1582" t="s">
        <v>177</v>
      </c>
      <c r="L1582" t="s">
        <v>139</v>
      </c>
      <c r="M1582" t="s">
        <v>146</v>
      </c>
      <c r="N1582" t="s">
        <v>3533</v>
      </c>
      <c r="O1582">
        <v>1</v>
      </c>
      <c r="P1582">
        <v>3.19</v>
      </c>
    </row>
    <row r="1583" spans="4:16" x14ac:dyDescent="0.25">
      <c r="D1583" t="s">
        <v>3534</v>
      </c>
      <c r="E1583" t="s">
        <v>3047</v>
      </c>
      <c r="F1583" t="s">
        <v>379</v>
      </c>
      <c r="G1583" t="s">
        <v>3529</v>
      </c>
      <c r="H1583" t="s">
        <v>1218</v>
      </c>
      <c r="I1583" s="13">
        <v>44012</v>
      </c>
      <c r="J1583">
        <v>3</v>
      </c>
      <c r="K1583" t="s">
        <v>177</v>
      </c>
      <c r="L1583" t="s">
        <v>139</v>
      </c>
      <c r="M1583" t="s">
        <v>372</v>
      </c>
      <c r="N1583" t="s">
        <v>3535</v>
      </c>
      <c r="O1583">
        <v>1</v>
      </c>
      <c r="P1583">
        <v>3.19</v>
      </c>
    </row>
    <row r="1584" spans="4:16" x14ac:dyDescent="0.25">
      <c r="D1584" t="s">
        <v>3536</v>
      </c>
      <c r="E1584" t="s">
        <v>3047</v>
      </c>
      <c r="F1584" t="s">
        <v>2185</v>
      </c>
      <c r="G1584" t="s">
        <v>3359</v>
      </c>
      <c r="H1584" t="s">
        <v>1218</v>
      </c>
      <c r="I1584" s="13">
        <v>44029</v>
      </c>
      <c r="J1584">
        <v>3</v>
      </c>
      <c r="K1584" t="s">
        <v>177</v>
      </c>
      <c r="L1584" t="s">
        <v>139</v>
      </c>
      <c r="M1584" t="s">
        <v>805</v>
      </c>
      <c r="N1584" t="s">
        <v>3537</v>
      </c>
      <c r="O1584">
        <v>1</v>
      </c>
      <c r="P1584">
        <v>3.14</v>
      </c>
    </row>
    <row r="1585" spans="4:16" x14ac:dyDescent="0.25">
      <c r="D1585" t="s">
        <v>3538</v>
      </c>
      <c r="E1585" t="s">
        <v>3047</v>
      </c>
      <c r="F1585" t="s">
        <v>2185</v>
      </c>
      <c r="G1585" t="s">
        <v>3359</v>
      </c>
      <c r="H1585" t="s">
        <v>1218</v>
      </c>
      <c r="I1585" s="13">
        <v>44029</v>
      </c>
      <c r="J1585">
        <v>3</v>
      </c>
      <c r="K1585" t="s">
        <v>177</v>
      </c>
      <c r="L1585" t="s">
        <v>139</v>
      </c>
      <c r="M1585" t="s">
        <v>805</v>
      </c>
      <c r="N1585" t="s">
        <v>3539</v>
      </c>
      <c r="O1585">
        <v>1</v>
      </c>
      <c r="P1585">
        <v>3.14</v>
      </c>
    </row>
    <row r="1586" spans="4:16" hidden="1" x14ac:dyDescent="0.25">
      <c r="D1586" t="s">
        <v>3540</v>
      </c>
      <c r="E1586" t="s">
        <v>3047</v>
      </c>
      <c r="F1586" t="s">
        <v>379</v>
      </c>
      <c r="G1586" t="s">
        <v>3296</v>
      </c>
      <c r="H1586" t="s">
        <v>1218</v>
      </c>
      <c r="I1586" s="13">
        <v>44046</v>
      </c>
      <c r="J1586">
        <v>3</v>
      </c>
      <c r="K1586" t="s">
        <v>177</v>
      </c>
      <c r="L1586" t="s">
        <v>164</v>
      </c>
      <c r="M1586" t="s">
        <v>170</v>
      </c>
      <c r="N1586" t="s">
        <v>3541</v>
      </c>
      <c r="O1586">
        <v>1</v>
      </c>
      <c r="P1586">
        <v>3.09</v>
      </c>
    </row>
    <row r="1587" spans="4:16" hidden="1" x14ac:dyDescent="0.25">
      <c r="D1587" t="s">
        <v>3542</v>
      </c>
      <c r="E1587" t="s">
        <v>3047</v>
      </c>
      <c r="F1587" t="s">
        <v>379</v>
      </c>
      <c r="G1587" t="s">
        <v>782</v>
      </c>
      <c r="H1587" t="s">
        <v>1218</v>
      </c>
      <c r="I1587" s="13">
        <v>44046</v>
      </c>
      <c r="J1587">
        <v>3</v>
      </c>
      <c r="K1587" t="s">
        <v>177</v>
      </c>
      <c r="L1587" t="s">
        <v>164</v>
      </c>
      <c r="M1587" t="s">
        <v>170</v>
      </c>
      <c r="N1587" t="s">
        <v>3543</v>
      </c>
      <c r="O1587">
        <v>1</v>
      </c>
      <c r="P1587">
        <v>3.09</v>
      </c>
    </row>
    <row r="1588" spans="4:16" hidden="1" x14ac:dyDescent="0.25">
      <c r="D1588" t="s">
        <v>3544</v>
      </c>
      <c r="E1588" t="s">
        <v>3047</v>
      </c>
      <c r="F1588" t="s">
        <v>3545</v>
      </c>
      <c r="G1588" t="s">
        <v>3471</v>
      </c>
      <c r="H1588" t="s">
        <v>3642</v>
      </c>
      <c r="I1588" s="13">
        <v>44158</v>
      </c>
      <c r="J1588">
        <v>3</v>
      </c>
      <c r="K1588" t="s">
        <v>177</v>
      </c>
      <c r="L1588" t="s">
        <v>139</v>
      </c>
      <c r="M1588" t="s">
        <v>712</v>
      </c>
      <c r="N1588" t="s">
        <v>3546</v>
      </c>
      <c r="O1588">
        <v>1</v>
      </c>
      <c r="P1588">
        <v>2.79</v>
      </c>
    </row>
    <row r="1589" spans="4:16" hidden="1" x14ac:dyDescent="0.25">
      <c r="D1589" t="s">
        <v>3547</v>
      </c>
      <c r="E1589" t="s">
        <v>3047</v>
      </c>
      <c r="F1589" t="s">
        <v>2867</v>
      </c>
      <c r="G1589" t="s">
        <v>3359</v>
      </c>
      <c r="H1589" t="s">
        <v>3642</v>
      </c>
      <c r="I1589" s="13">
        <v>44260</v>
      </c>
      <c r="J1589">
        <v>3</v>
      </c>
      <c r="K1589" t="s">
        <v>177</v>
      </c>
      <c r="L1589" t="s">
        <v>139</v>
      </c>
      <c r="M1589" t="s">
        <v>1027</v>
      </c>
      <c r="N1589" t="s">
        <v>3548</v>
      </c>
      <c r="O1589">
        <v>1</v>
      </c>
      <c r="P1589">
        <v>2.5099999999999998</v>
      </c>
    </row>
    <row r="1590" spans="4:16" hidden="1" x14ac:dyDescent="0.25">
      <c r="D1590" t="s">
        <v>3549</v>
      </c>
      <c r="E1590" t="s">
        <v>3047</v>
      </c>
      <c r="F1590" t="s">
        <v>2867</v>
      </c>
      <c r="G1590" t="s">
        <v>3359</v>
      </c>
      <c r="H1590" t="s">
        <v>3642</v>
      </c>
      <c r="I1590" s="13">
        <v>44270</v>
      </c>
      <c r="J1590">
        <v>2</v>
      </c>
      <c r="K1590" t="s">
        <v>177</v>
      </c>
      <c r="L1590" t="s">
        <v>139</v>
      </c>
      <c r="M1590" t="s">
        <v>1027</v>
      </c>
      <c r="N1590" t="s">
        <v>3550</v>
      </c>
      <c r="O1590">
        <v>1</v>
      </c>
      <c r="P1590">
        <v>2.48</v>
      </c>
    </row>
    <row r="1591" spans="4:16" x14ac:dyDescent="0.25">
      <c r="D1591" t="s">
        <v>3551</v>
      </c>
      <c r="E1591" t="s">
        <v>3047</v>
      </c>
      <c r="F1591" t="s">
        <v>2185</v>
      </c>
      <c r="G1591" t="s">
        <v>3483</v>
      </c>
      <c r="H1591" t="s">
        <v>1218</v>
      </c>
      <c r="I1591" s="13">
        <v>44333</v>
      </c>
      <c r="J1591">
        <v>2</v>
      </c>
      <c r="K1591" t="s">
        <v>177</v>
      </c>
      <c r="L1591" t="s">
        <v>139</v>
      </c>
      <c r="M1591" t="s">
        <v>805</v>
      </c>
      <c r="N1591" t="s">
        <v>3552</v>
      </c>
      <c r="O1591">
        <v>1</v>
      </c>
      <c r="P1591">
        <v>2.31</v>
      </c>
    </row>
    <row r="1592" spans="4:16" x14ac:dyDescent="0.25">
      <c r="D1592" t="s">
        <v>3553</v>
      </c>
      <c r="E1592" t="s">
        <v>3047</v>
      </c>
      <c r="F1592" t="s">
        <v>667</v>
      </c>
      <c r="G1592" t="s">
        <v>3554</v>
      </c>
      <c r="H1592" t="s">
        <v>1218</v>
      </c>
      <c r="I1592" s="13">
        <v>44337</v>
      </c>
      <c r="J1592">
        <v>2</v>
      </c>
      <c r="K1592" t="s">
        <v>177</v>
      </c>
      <c r="L1592" t="s">
        <v>139</v>
      </c>
      <c r="M1592" t="s">
        <v>743</v>
      </c>
      <c r="N1592" t="s">
        <v>3555</v>
      </c>
      <c r="O1592">
        <v>1</v>
      </c>
      <c r="P1592">
        <v>2.2999999999999998</v>
      </c>
    </row>
    <row r="1593" spans="4:16" x14ac:dyDescent="0.25">
      <c r="D1593" t="s">
        <v>3556</v>
      </c>
      <c r="E1593" t="s">
        <v>3047</v>
      </c>
      <c r="F1593" t="s">
        <v>667</v>
      </c>
      <c r="G1593" t="s">
        <v>3554</v>
      </c>
      <c r="H1593" t="s">
        <v>1218</v>
      </c>
      <c r="I1593" s="13">
        <v>44337</v>
      </c>
      <c r="J1593">
        <v>2</v>
      </c>
      <c r="K1593" t="s">
        <v>177</v>
      </c>
      <c r="L1593" t="s">
        <v>139</v>
      </c>
      <c r="M1593" t="s">
        <v>264</v>
      </c>
      <c r="N1593" t="s">
        <v>3557</v>
      </c>
      <c r="O1593">
        <v>1</v>
      </c>
      <c r="P1593">
        <v>2.2999999999999998</v>
      </c>
    </row>
    <row r="1594" spans="4:16" x14ac:dyDescent="0.25">
      <c r="D1594" t="s">
        <v>3558</v>
      </c>
      <c r="E1594" t="s">
        <v>3047</v>
      </c>
      <c r="F1594" t="s">
        <v>667</v>
      </c>
      <c r="G1594" t="s">
        <v>3554</v>
      </c>
      <c r="H1594" t="s">
        <v>1218</v>
      </c>
      <c r="I1594" s="13">
        <v>44351</v>
      </c>
      <c r="J1594">
        <v>2</v>
      </c>
      <c r="K1594" t="s">
        <v>177</v>
      </c>
      <c r="L1594" t="s">
        <v>139</v>
      </c>
      <c r="M1594" t="s">
        <v>743</v>
      </c>
      <c r="N1594" t="s">
        <v>3559</v>
      </c>
      <c r="O1594">
        <v>1</v>
      </c>
      <c r="P1594">
        <v>2.2599999999999998</v>
      </c>
    </row>
    <row r="1595" spans="4:16" x14ac:dyDescent="0.25">
      <c r="D1595" t="s">
        <v>3560</v>
      </c>
      <c r="E1595" t="s">
        <v>3047</v>
      </c>
      <c r="F1595" t="s">
        <v>379</v>
      </c>
      <c r="G1595" t="s">
        <v>782</v>
      </c>
      <c r="H1595" t="s">
        <v>1218</v>
      </c>
      <c r="I1595" s="13">
        <v>44378</v>
      </c>
      <c r="J1595">
        <v>2</v>
      </c>
      <c r="K1595" t="s">
        <v>177</v>
      </c>
      <c r="L1595" t="s">
        <v>139</v>
      </c>
      <c r="M1595" t="s">
        <v>465</v>
      </c>
      <c r="N1595" t="s">
        <v>3561</v>
      </c>
      <c r="O1595">
        <v>1</v>
      </c>
      <c r="P1595">
        <v>2.1800000000000002</v>
      </c>
    </row>
    <row r="1596" spans="4:16" x14ac:dyDescent="0.25">
      <c r="D1596" t="s">
        <v>3562</v>
      </c>
      <c r="E1596" t="s">
        <v>3047</v>
      </c>
      <c r="F1596" t="s">
        <v>379</v>
      </c>
      <c r="G1596" t="s">
        <v>3563</v>
      </c>
      <c r="H1596" t="s">
        <v>1218</v>
      </c>
      <c r="I1596" s="13">
        <v>44384</v>
      </c>
      <c r="J1596">
        <v>2</v>
      </c>
      <c r="K1596" t="s">
        <v>177</v>
      </c>
      <c r="L1596" t="s">
        <v>139</v>
      </c>
      <c r="M1596" t="s">
        <v>352</v>
      </c>
      <c r="N1596" t="s">
        <v>3564</v>
      </c>
      <c r="O1596">
        <v>1</v>
      </c>
      <c r="P1596">
        <v>2.17</v>
      </c>
    </row>
    <row r="1597" spans="4:16" x14ac:dyDescent="0.25">
      <c r="D1597" t="s">
        <v>3565</v>
      </c>
      <c r="E1597" t="s">
        <v>3047</v>
      </c>
      <c r="F1597" t="s">
        <v>379</v>
      </c>
      <c r="G1597" t="s">
        <v>3566</v>
      </c>
      <c r="H1597" t="s">
        <v>1218</v>
      </c>
      <c r="I1597" s="13">
        <v>44442</v>
      </c>
      <c r="J1597">
        <v>2</v>
      </c>
      <c r="K1597" t="s">
        <v>177</v>
      </c>
      <c r="L1597" t="s">
        <v>139</v>
      </c>
      <c r="M1597" t="s">
        <v>1189</v>
      </c>
      <c r="N1597" t="s">
        <v>3567</v>
      </c>
      <c r="O1597">
        <v>1</v>
      </c>
      <c r="P1597">
        <v>2.0099999999999998</v>
      </c>
    </row>
    <row r="1598" spans="4:16" x14ac:dyDescent="0.25">
      <c r="D1598" t="s">
        <v>3568</v>
      </c>
      <c r="E1598" t="s">
        <v>3047</v>
      </c>
      <c r="F1598" t="s">
        <v>379</v>
      </c>
      <c r="G1598" t="s">
        <v>3566</v>
      </c>
      <c r="H1598" t="s">
        <v>1218</v>
      </c>
      <c r="I1598" s="13">
        <v>44442</v>
      </c>
      <c r="J1598">
        <v>2</v>
      </c>
      <c r="K1598" t="s">
        <v>177</v>
      </c>
      <c r="L1598" t="s">
        <v>139</v>
      </c>
      <c r="M1598" t="s">
        <v>982</v>
      </c>
      <c r="N1598" t="s">
        <v>3569</v>
      </c>
      <c r="O1598">
        <v>1</v>
      </c>
      <c r="P1598">
        <v>2.0099999999999998</v>
      </c>
    </row>
    <row r="1599" spans="4:16" x14ac:dyDescent="0.25">
      <c r="D1599" t="s">
        <v>3570</v>
      </c>
      <c r="E1599" t="s">
        <v>3047</v>
      </c>
      <c r="F1599" t="s">
        <v>379</v>
      </c>
      <c r="G1599" t="s">
        <v>782</v>
      </c>
      <c r="H1599" t="s">
        <v>1218</v>
      </c>
      <c r="I1599" s="13">
        <v>44442</v>
      </c>
      <c r="J1599">
        <v>2</v>
      </c>
      <c r="K1599" t="s">
        <v>177</v>
      </c>
      <c r="L1599" t="s">
        <v>139</v>
      </c>
      <c r="M1599" t="s">
        <v>465</v>
      </c>
      <c r="N1599" t="s">
        <v>3571</v>
      </c>
      <c r="O1599">
        <v>1</v>
      </c>
      <c r="P1599">
        <v>2.0099999999999998</v>
      </c>
    </row>
    <row r="1600" spans="4:16" x14ac:dyDescent="0.25">
      <c r="D1600" t="s">
        <v>3572</v>
      </c>
      <c r="E1600" t="s">
        <v>3047</v>
      </c>
      <c r="F1600" t="s">
        <v>379</v>
      </c>
      <c r="G1600" t="s">
        <v>782</v>
      </c>
      <c r="H1600" t="s">
        <v>1218</v>
      </c>
      <c r="I1600" s="13">
        <v>44442</v>
      </c>
      <c r="J1600">
        <v>2</v>
      </c>
      <c r="K1600" t="s">
        <v>177</v>
      </c>
      <c r="L1600" t="s">
        <v>139</v>
      </c>
      <c r="M1600" t="s">
        <v>465</v>
      </c>
      <c r="N1600" t="s">
        <v>3573</v>
      </c>
      <c r="O1600">
        <v>1</v>
      </c>
      <c r="P1600">
        <v>2.0099999999999998</v>
      </c>
    </row>
    <row r="1601" spans="4:16" hidden="1" x14ac:dyDescent="0.25">
      <c r="D1601" t="s">
        <v>3574</v>
      </c>
      <c r="E1601" t="s">
        <v>3047</v>
      </c>
      <c r="F1601" t="s">
        <v>2867</v>
      </c>
      <c r="G1601" t="s">
        <v>3359</v>
      </c>
      <c r="H1601" t="s">
        <v>3642</v>
      </c>
      <c r="I1601" s="13">
        <v>44529</v>
      </c>
      <c r="J1601">
        <v>2</v>
      </c>
      <c r="K1601" t="s">
        <v>177</v>
      </c>
      <c r="L1601" t="s">
        <v>139</v>
      </c>
      <c r="M1601" t="s">
        <v>468</v>
      </c>
      <c r="N1601" t="s">
        <v>3575</v>
      </c>
      <c r="O1601">
        <v>1</v>
      </c>
      <c r="P1601">
        <v>1.77</v>
      </c>
    </row>
    <row r="1602" spans="4:16" hidden="1" x14ac:dyDescent="0.25">
      <c r="D1602" t="s">
        <v>3576</v>
      </c>
      <c r="E1602" t="s">
        <v>3047</v>
      </c>
      <c r="F1602" t="s">
        <v>2867</v>
      </c>
      <c r="G1602" t="s">
        <v>3359</v>
      </c>
      <c r="H1602" t="s">
        <v>3577</v>
      </c>
      <c r="I1602" s="13">
        <v>44684</v>
      </c>
      <c r="J1602">
        <v>1</v>
      </c>
      <c r="K1602" t="s">
        <v>177</v>
      </c>
      <c r="L1602" t="s">
        <v>139</v>
      </c>
      <c r="M1602" t="s">
        <v>468</v>
      </c>
      <c r="N1602" t="s">
        <v>3578</v>
      </c>
      <c r="O1602">
        <v>1</v>
      </c>
      <c r="P1602">
        <v>1.35</v>
      </c>
    </row>
    <row r="1603" spans="4:16" hidden="1" x14ac:dyDescent="0.25">
      <c r="D1603" t="s">
        <v>3579</v>
      </c>
      <c r="E1603" t="s">
        <v>3047</v>
      </c>
      <c r="F1603" t="s">
        <v>2867</v>
      </c>
      <c r="G1603" t="s">
        <v>3359</v>
      </c>
      <c r="H1603" t="s">
        <v>3642</v>
      </c>
      <c r="I1603" s="13">
        <v>44747</v>
      </c>
      <c r="J1603">
        <v>1</v>
      </c>
      <c r="K1603" t="s">
        <v>177</v>
      </c>
      <c r="L1603" t="s">
        <v>139</v>
      </c>
      <c r="M1603" t="s">
        <v>468</v>
      </c>
      <c r="N1603" t="s">
        <v>3580</v>
      </c>
      <c r="O1603">
        <v>1</v>
      </c>
      <c r="P1603">
        <v>1.17</v>
      </c>
    </row>
    <row r="1604" spans="4:16" x14ac:dyDescent="0.25">
      <c r="D1604" t="s">
        <v>3581</v>
      </c>
      <c r="E1604" t="s">
        <v>3047</v>
      </c>
      <c r="F1604" t="s">
        <v>379</v>
      </c>
      <c r="G1604" t="s">
        <v>3296</v>
      </c>
      <c r="H1604" t="s">
        <v>1218</v>
      </c>
      <c r="I1604" s="13">
        <v>44776</v>
      </c>
      <c r="J1604">
        <v>1</v>
      </c>
      <c r="K1604" t="s">
        <v>177</v>
      </c>
      <c r="L1604" t="s">
        <v>139</v>
      </c>
      <c r="M1604" t="s">
        <v>352</v>
      </c>
      <c r="N1604" t="s">
        <v>3582</v>
      </c>
      <c r="O1604">
        <v>1</v>
      </c>
      <c r="P1604">
        <v>1.0900000000000001</v>
      </c>
    </row>
    <row r="1605" spans="4:16" x14ac:dyDescent="0.25">
      <c r="D1605" t="s">
        <v>3583</v>
      </c>
      <c r="E1605" t="s">
        <v>3047</v>
      </c>
      <c r="F1605" t="s">
        <v>379</v>
      </c>
      <c r="G1605" t="s">
        <v>3296</v>
      </c>
      <c r="H1605" t="s">
        <v>1218</v>
      </c>
      <c r="I1605" s="13">
        <v>44776</v>
      </c>
      <c r="J1605">
        <v>1</v>
      </c>
      <c r="K1605" t="s">
        <v>177</v>
      </c>
      <c r="L1605" t="s">
        <v>139</v>
      </c>
      <c r="M1605" t="s">
        <v>386</v>
      </c>
      <c r="N1605" t="s">
        <v>3584</v>
      </c>
      <c r="O1605">
        <v>1</v>
      </c>
      <c r="P1605">
        <v>1.0900000000000001</v>
      </c>
    </row>
    <row r="1606" spans="4:16" hidden="1" x14ac:dyDescent="0.25">
      <c r="D1606" t="s">
        <v>3585</v>
      </c>
      <c r="E1606" t="s">
        <v>3047</v>
      </c>
      <c r="F1606" t="s">
        <v>379</v>
      </c>
      <c r="G1606" t="s">
        <v>2879</v>
      </c>
      <c r="H1606" t="s">
        <v>3641</v>
      </c>
      <c r="I1606" s="13">
        <v>44872</v>
      </c>
      <c r="J1606">
        <v>1</v>
      </c>
      <c r="K1606" t="s">
        <v>177</v>
      </c>
      <c r="L1606" t="s">
        <v>139</v>
      </c>
      <c r="M1606" t="s">
        <v>151</v>
      </c>
      <c r="N1606" t="s">
        <v>3586</v>
      </c>
      <c r="O1606">
        <v>1</v>
      </c>
      <c r="P1606">
        <v>0.83</v>
      </c>
    </row>
    <row r="1607" spans="4:16" hidden="1" x14ac:dyDescent="0.25">
      <c r="D1607" t="s">
        <v>3587</v>
      </c>
      <c r="E1607" t="s">
        <v>3047</v>
      </c>
      <c r="F1607" t="s">
        <v>379</v>
      </c>
      <c r="G1607" t="s">
        <v>2879</v>
      </c>
      <c r="H1607" t="s">
        <v>3641</v>
      </c>
      <c r="I1607" s="13">
        <v>44887</v>
      </c>
      <c r="J1607">
        <v>1</v>
      </c>
      <c r="K1607" t="s">
        <v>177</v>
      </c>
      <c r="L1607" t="s">
        <v>139</v>
      </c>
      <c r="M1607" t="s">
        <v>151</v>
      </c>
      <c r="N1607" t="s">
        <v>3588</v>
      </c>
      <c r="O1607">
        <v>1</v>
      </c>
      <c r="P1607">
        <v>0.79</v>
      </c>
    </row>
    <row r="1608" spans="4:16" hidden="1" x14ac:dyDescent="0.25">
      <c r="D1608" t="s">
        <v>3589</v>
      </c>
      <c r="E1608" t="s">
        <v>3047</v>
      </c>
      <c r="F1608" t="s">
        <v>379</v>
      </c>
      <c r="G1608" t="s">
        <v>3590</v>
      </c>
      <c r="H1608" t="s">
        <v>3641</v>
      </c>
      <c r="I1608" s="13">
        <v>44900</v>
      </c>
      <c r="J1608">
        <v>1</v>
      </c>
      <c r="K1608" t="s">
        <v>177</v>
      </c>
      <c r="L1608" t="s">
        <v>139</v>
      </c>
      <c r="M1608" t="s">
        <v>140</v>
      </c>
      <c r="N1608" t="s">
        <v>3591</v>
      </c>
      <c r="O1608">
        <v>1</v>
      </c>
      <c r="P1608">
        <v>0.75</v>
      </c>
    </row>
    <row r="1609" spans="4:16" hidden="1" x14ac:dyDescent="0.25">
      <c r="D1609" t="s">
        <v>3592</v>
      </c>
      <c r="E1609" t="s">
        <v>3047</v>
      </c>
      <c r="F1609" t="s">
        <v>2867</v>
      </c>
      <c r="G1609" t="s">
        <v>3359</v>
      </c>
      <c r="H1609" t="s">
        <v>3642</v>
      </c>
      <c r="I1609" s="13">
        <v>45000</v>
      </c>
      <c r="J1609">
        <v>0</v>
      </c>
      <c r="K1609" t="s">
        <v>177</v>
      </c>
      <c r="L1609" t="s">
        <v>139</v>
      </c>
      <c r="M1609" t="s">
        <v>945</v>
      </c>
      <c r="N1609" t="s">
        <v>3593</v>
      </c>
      <c r="O1609">
        <v>1</v>
      </c>
      <c r="P1609">
        <v>0.48</v>
      </c>
    </row>
    <row r="1610" spans="4:16" x14ac:dyDescent="0.25">
      <c r="D1610" t="s">
        <v>3594</v>
      </c>
      <c r="E1610" t="s">
        <v>3047</v>
      </c>
      <c r="F1610" t="s">
        <v>379</v>
      </c>
      <c r="G1610" t="s">
        <v>3296</v>
      </c>
      <c r="H1610" t="s">
        <v>1218</v>
      </c>
      <c r="I1610" s="13">
        <v>45085</v>
      </c>
      <c r="J1610">
        <v>0</v>
      </c>
      <c r="K1610" t="s">
        <v>177</v>
      </c>
      <c r="L1610" t="s">
        <v>139</v>
      </c>
      <c r="M1610" t="s">
        <v>240</v>
      </c>
      <c r="N1610" t="s">
        <v>3595</v>
      </c>
      <c r="O1610">
        <v>1</v>
      </c>
      <c r="P1610">
        <v>0.25</v>
      </c>
    </row>
    <row r="1611" spans="4:16" hidden="1" x14ac:dyDescent="0.25">
      <c r="D1611" t="s">
        <v>3596</v>
      </c>
      <c r="E1611" t="s">
        <v>3047</v>
      </c>
      <c r="F1611" t="s">
        <v>379</v>
      </c>
      <c r="G1611" t="s">
        <v>3529</v>
      </c>
      <c r="H1611" t="s">
        <v>3641</v>
      </c>
      <c r="I1611" s="13">
        <v>45085</v>
      </c>
      <c r="J1611">
        <v>0</v>
      </c>
      <c r="K1611" t="s">
        <v>177</v>
      </c>
      <c r="L1611" t="s">
        <v>139</v>
      </c>
      <c r="M1611" t="s">
        <v>465</v>
      </c>
      <c r="N1611" t="s">
        <v>3597</v>
      </c>
      <c r="O1611">
        <v>1</v>
      </c>
      <c r="P1611">
        <v>0.25</v>
      </c>
    </row>
    <row r="1612" spans="4:16" x14ac:dyDescent="0.25">
      <c r="D1612" t="s">
        <v>3598</v>
      </c>
      <c r="E1612" t="s">
        <v>3047</v>
      </c>
      <c r="F1612" t="s">
        <v>379</v>
      </c>
      <c r="G1612" t="s">
        <v>3529</v>
      </c>
      <c r="H1612" t="s">
        <v>1218</v>
      </c>
      <c r="I1612" s="13">
        <v>45097</v>
      </c>
      <c r="J1612">
        <v>0</v>
      </c>
      <c r="K1612" t="s">
        <v>177</v>
      </c>
      <c r="L1612" t="s">
        <v>139</v>
      </c>
      <c r="M1612" t="s">
        <v>982</v>
      </c>
      <c r="N1612" t="s">
        <v>3599</v>
      </c>
      <c r="O1612">
        <v>1</v>
      </c>
      <c r="P1612">
        <v>0.21</v>
      </c>
    </row>
    <row r="1613" spans="4:16" x14ac:dyDescent="0.25">
      <c r="D1613" t="s">
        <v>3600</v>
      </c>
      <c r="E1613" t="s">
        <v>3047</v>
      </c>
      <c r="F1613" t="s">
        <v>379</v>
      </c>
      <c r="G1613" t="s">
        <v>3296</v>
      </c>
      <c r="H1613" t="s">
        <v>1218</v>
      </c>
      <c r="I1613" s="13">
        <v>45100</v>
      </c>
      <c r="J1613">
        <v>0</v>
      </c>
      <c r="K1613" t="s">
        <v>177</v>
      </c>
      <c r="L1613" t="s">
        <v>139</v>
      </c>
      <c r="M1613" t="s">
        <v>1189</v>
      </c>
      <c r="N1613" t="s">
        <v>3601</v>
      </c>
      <c r="O1613">
        <v>1</v>
      </c>
      <c r="P1613">
        <v>0.21</v>
      </c>
    </row>
    <row r="1614" spans="4:16" x14ac:dyDescent="0.25">
      <c r="D1614" t="s">
        <v>3602</v>
      </c>
      <c r="E1614" t="s">
        <v>3047</v>
      </c>
      <c r="F1614" t="s">
        <v>379</v>
      </c>
      <c r="G1614" t="s">
        <v>3529</v>
      </c>
      <c r="H1614" t="s">
        <v>1218</v>
      </c>
      <c r="I1614" s="13">
        <v>45100</v>
      </c>
      <c r="J1614">
        <v>0</v>
      </c>
      <c r="K1614" t="s">
        <v>177</v>
      </c>
      <c r="L1614" t="s">
        <v>139</v>
      </c>
      <c r="M1614" t="s">
        <v>372</v>
      </c>
      <c r="N1614" t="s">
        <v>3603</v>
      </c>
      <c r="O1614">
        <v>1</v>
      </c>
      <c r="P1614">
        <v>0.21</v>
      </c>
    </row>
    <row r="1615" spans="4:16" x14ac:dyDescent="0.25">
      <c r="D1615" t="s">
        <v>3604</v>
      </c>
      <c r="E1615" t="s">
        <v>3047</v>
      </c>
      <c r="F1615" t="s">
        <v>379</v>
      </c>
      <c r="G1615" t="s">
        <v>3529</v>
      </c>
      <c r="H1615" t="s">
        <v>1218</v>
      </c>
      <c r="I1615" s="13">
        <v>45097</v>
      </c>
      <c r="J1615">
        <v>0</v>
      </c>
      <c r="K1615" t="s">
        <v>177</v>
      </c>
      <c r="L1615" t="s">
        <v>139</v>
      </c>
      <c r="M1615" t="s">
        <v>240</v>
      </c>
      <c r="N1615" t="s">
        <v>3605</v>
      </c>
      <c r="O1615">
        <v>1</v>
      </c>
      <c r="P1615">
        <v>0.21</v>
      </c>
    </row>
    <row r="1616" spans="4:16" x14ac:dyDescent="0.25">
      <c r="D1616" t="s">
        <v>3606</v>
      </c>
      <c r="E1616" t="s">
        <v>3047</v>
      </c>
      <c r="F1616" t="s">
        <v>379</v>
      </c>
      <c r="G1616" t="s">
        <v>3529</v>
      </c>
      <c r="H1616" t="s">
        <v>1218</v>
      </c>
      <c r="I1616" s="13">
        <v>45100</v>
      </c>
      <c r="J1616">
        <v>0</v>
      </c>
      <c r="K1616" t="s">
        <v>177</v>
      </c>
      <c r="L1616" t="s">
        <v>139</v>
      </c>
      <c r="M1616" t="s">
        <v>240</v>
      </c>
      <c r="N1616" t="s">
        <v>3607</v>
      </c>
      <c r="O1616">
        <v>1</v>
      </c>
      <c r="P1616">
        <v>0.21</v>
      </c>
    </row>
    <row r="1617" spans="4:16" x14ac:dyDescent="0.25">
      <c r="D1617" t="s">
        <v>3608</v>
      </c>
      <c r="E1617" t="s">
        <v>3047</v>
      </c>
      <c r="F1617" t="s">
        <v>379</v>
      </c>
      <c r="G1617" t="s">
        <v>3529</v>
      </c>
      <c r="H1617" t="s">
        <v>1218</v>
      </c>
      <c r="I1617" s="13">
        <v>45100</v>
      </c>
      <c r="J1617">
        <v>0</v>
      </c>
      <c r="K1617" t="s">
        <v>177</v>
      </c>
      <c r="L1617" t="s">
        <v>139</v>
      </c>
      <c r="M1617" t="s">
        <v>421</v>
      </c>
      <c r="N1617" t="s">
        <v>3609</v>
      </c>
      <c r="O1617">
        <v>1</v>
      </c>
      <c r="P1617">
        <v>0.21</v>
      </c>
    </row>
    <row r="1618" spans="4:16" x14ac:dyDescent="0.25">
      <c r="D1618" t="s">
        <v>3610</v>
      </c>
      <c r="E1618" t="s">
        <v>3047</v>
      </c>
      <c r="F1618" t="s">
        <v>379</v>
      </c>
      <c r="G1618" t="s">
        <v>3529</v>
      </c>
      <c r="H1618" t="s">
        <v>1218</v>
      </c>
      <c r="I1618" s="13">
        <v>45100</v>
      </c>
      <c r="J1618">
        <v>0</v>
      </c>
      <c r="K1618" t="s">
        <v>177</v>
      </c>
      <c r="L1618" t="s">
        <v>139</v>
      </c>
      <c r="M1618" t="s">
        <v>421</v>
      </c>
      <c r="N1618" t="s">
        <v>3611</v>
      </c>
      <c r="O1618">
        <v>1</v>
      </c>
      <c r="P1618">
        <v>0.21</v>
      </c>
    </row>
    <row r="1619" spans="4:16" x14ac:dyDescent="0.25">
      <c r="D1619" t="s">
        <v>3612</v>
      </c>
      <c r="E1619" t="s">
        <v>3047</v>
      </c>
      <c r="F1619" t="s">
        <v>379</v>
      </c>
      <c r="G1619" t="s">
        <v>3529</v>
      </c>
      <c r="H1619" t="s">
        <v>1218</v>
      </c>
      <c r="I1619" s="13">
        <v>45100</v>
      </c>
      <c r="J1619">
        <v>0</v>
      </c>
      <c r="K1619" t="s">
        <v>177</v>
      </c>
      <c r="L1619" t="s">
        <v>139</v>
      </c>
      <c r="M1619" t="s">
        <v>421</v>
      </c>
      <c r="N1619" t="s">
        <v>3613</v>
      </c>
      <c r="O1619">
        <v>1</v>
      </c>
      <c r="P1619">
        <v>0.21</v>
      </c>
    </row>
    <row r="1620" spans="4:16" x14ac:dyDescent="0.25">
      <c r="D1620" t="s">
        <v>3614</v>
      </c>
      <c r="E1620" t="s">
        <v>3047</v>
      </c>
      <c r="F1620" t="s">
        <v>379</v>
      </c>
      <c r="G1620" t="s">
        <v>3529</v>
      </c>
      <c r="H1620" t="s">
        <v>1218</v>
      </c>
      <c r="I1620" s="13">
        <v>45097</v>
      </c>
      <c r="J1620">
        <v>0</v>
      </c>
      <c r="K1620" t="s">
        <v>177</v>
      </c>
      <c r="L1620" t="s">
        <v>139</v>
      </c>
      <c r="M1620" t="s">
        <v>421</v>
      </c>
      <c r="N1620" t="s">
        <v>3615</v>
      </c>
      <c r="O1620">
        <v>1</v>
      </c>
      <c r="P1620">
        <v>0.21</v>
      </c>
    </row>
    <row r="1621" spans="4:16" x14ac:dyDescent="0.25">
      <c r="D1621" t="s">
        <v>3616</v>
      </c>
      <c r="E1621" t="s">
        <v>3047</v>
      </c>
      <c r="F1621" t="s">
        <v>379</v>
      </c>
      <c r="G1621" t="s">
        <v>3529</v>
      </c>
      <c r="H1621" t="s">
        <v>1218</v>
      </c>
      <c r="I1621" s="13">
        <v>45117</v>
      </c>
      <c r="J1621">
        <v>0</v>
      </c>
      <c r="K1621" t="s">
        <v>177</v>
      </c>
      <c r="L1621" t="s">
        <v>139</v>
      </c>
      <c r="M1621" t="s">
        <v>222</v>
      </c>
      <c r="N1621" t="s">
        <v>3617</v>
      </c>
      <c r="O1621">
        <v>1</v>
      </c>
      <c r="P1621">
        <v>0.16</v>
      </c>
    </row>
    <row r="1622" spans="4:16" x14ac:dyDescent="0.25">
      <c r="D1622" t="s">
        <v>3618</v>
      </c>
      <c r="E1622" t="s">
        <v>3047</v>
      </c>
      <c r="F1622" t="s">
        <v>379</v>
      </c>
      <c r="G1622" t="s">
        <v>3529</v>
      </c>
      <c r="H1622" t="s">
        <v>1218</v>
      </c>
      <c r="I1622" s="13">
        <v>45117</v>
      </c>
      <c r="J1622">
        <v>0</v>
      </c>
      <c r="K1622" t="s">
        <v>177</v>
      </c>
      <c r="L1622" t="s">
        <v>139</v>
      </c>
      <c r="M1622" t="s">
        <v>240</v>
      </c>
      <c r="N1622" t="s">
        <v>3619</v>
      </c>
      <c r="O1622">
        <v>1</v>
      </c>
      <c r="P1622">
        <v>0.16</v>
      </c>
    </row>
    <row r="1623" spans="4:16" x14ac:dyDescent="0.25">
      <c r="D1623" t="s">
        <v>3620</v>
      </c>
      <c r="E1623" t="s">
        <v>3047</v>
      </c>
      <c r="F1623" t="s">
        <v>379</v>
      </c>
      <c r="G1623" t="s">
        <v>3529</v>
      </c>
      <c r="H1623" t="s">
        <v>1218</v>
      </c>
      <c r="I1623" s="13">
        <v>45117</v>
      </c>
      <c r="J1623">
        <v>0</v>
      </c>
      <c r="K1623" t="s">
        <v>177</v>
      </c>
      <c r="L1623" t="s">
        <v>139</v>
      </c>
      <c r="M1623" t="s">
        <v>140</v>
      </c>
      <c r="N1623" t="s">
        <v>3621</v>
      </c>
      <c r="O1623">
        <v>1</v>
      </c>
      <c r="P1623">
        <v>0.16</v>
      </c>
    </row>
    <row r="1624" spans="4:16" hidden="1" x14ac:dyDescent="0.25">
      <c r="D1624" t="s">
        <v>3622</v>
      </c>
      <c r="E1624" t="s">
        <v>3047</v>
      </c>
      <c r="F1624" t="s">
        <v>379</v>
      </c>
      <c r="G1624" t="s">
        <v>2879</v>
      </c>
      <c r="H1624" t="s">
        <v>3641</v>
      </c>
      <c r="I1624" s="13">
        <v>45119</v>
      </c>
      <c r="J1624">
        <v>0</v>
      </c>
      <c r="K1624" t="s">
        <v>177</v>
      </c>
      <c r="L1624" t="s">
        <v>139</v>
      </c>
      <c r="M1624" t="s">
        <v>154</v>
      </c>
      <c r="N1624" t="s">
        <v>3623</v>
      </c>
      <c r="O1624">
        <v>1</v>
      </c>
      <c r="P1624">
        <v>0.15</v>
      </c>
    </row>
    <row r="1625" spans="4:16" hidden="1" x14ac:dyDescent="0.25">
      <c r="D1625" t="s">
        <v>3624</v>
      </c>
      <c r="E1625" t="s">
        <v>3047</v>
      </c>
      <c r="F1625" t="s">
        <v>379</v>
      </c>
      <c r="G1625" t="s">
        <v>3529</v>
      </c>
      <c r="H1625" t="s">
        <v>3641</v>
      </c>
      <c r="I1625" s="13">
        <v>45124</v>
      </c>
      <c r="J1625">
        <v>0</v>
      </c>
      <c r="K1625" t="s">
        <v>157</v>
      </c>
      <c r="L1625" t="s">
        <v>977</v>
      </c>
      <c r="M1625" t="s">
        <v>216</v>
      </c>
      <c r="N1625" t="s">
        <v>3625</v>
      </c>
      <c r="O1625">
        <v>1</v>
      </c>
      <c r="P1625">
        <v>0.14000000000000001</v>
      </c>
    </row>
    <row r="1626" spans="4:16" hidden="1" x14ac:dyDescent="0.25">
      <c r="D1626" t="s">
        <v>3626</v>
      </c>
      <c r="E1626" t="s">
        <v>3047</v>
      </c>
      <c r="F1626" t="s">
        <v>379</v>
      </c>
      <c r="G1626" t="s">
        <v>3627</v>
      </c>
      <c r="H1626" t="s">
        <v>3641</v>
      </c>
      <c r="I1626" s="13">
        <v>45139</v>
      </c>
      <c r="J1626">
        <v>0</v>
      </c>
      <c r="K1626" t="s">
        <v>157</v>
      </c>
      <c r="L1626" t="s">
        <v>977</v>
      </c>
      <c r="M1626" t="s">
        <v>204</v>
      </c>
      <c r="N1626" t="s">
        <v>3628</v>
      </c>
      <c r="O1626">
        <v>1</v>
      </c>
      <c r="P1626">
        <v>0.1</v>
      </c>
    </row>
    <row r="1627" spans="4:16" hidden="1" x14ac:dyDescent="0.25">
      <c r="D1627" t="s">
        <v>3629</v>
      </c>
      <c r="E1627" t="s">
        <v>3047</v>
      </c>
      <c r="F1627" t="s">
        <v>225</v>
      </c>
      <c r="G1627" t="s">
        <v>3630</v>
      </c>
      <c r="H1627" t="s">
        <v>3641</v>
      </c>
      <c r="I1627" s="13">
        <v>45148</v>
      </c>
      <c r="J1627">
        <v>0</v>
      </c>
      <c r="K1627" t="s">
        <v>157</v>
      </c>
      <c r="L1627" t="s">
        <v>977</v>
      </c>
      <c r="M1627" t="s">
        <v>352</v>
      </c>
      <c r="N1627" t="s">
        <v>3631</v>
      </c>
      <c r="O1627">
        <v>1</v>
      </c>
      <c r="P1627">
        <v>7.0000000000000007E-2</v>
      </c>
    </row>
    <row r="1628" spans="4:16" x14ac:dyDescent="0.25">
      <c r="D1628" t="s">
        <v>3632</v>
      </c>
      <c r="E1628" t="s">
        <v>3047</v>
      </c>
      <c r="F1628" t="s">
        <v>379</v>
      </c>
      <c r="G1628" t="s">
        <v>3529</v>
      </c>
      <c r="H1628" t="s">
        <v>1218</v>
      </c>
      <c r="I1628" s="13">
        <v>45160</v>
      </c>
      <c r="J1628">
        <v>0</v>
      </c>
      <c r="K1628" t="s">
        <v>157</v>
      </c>
      <c r="L1628" t="s">
        <v>977</v>
      </c>
      <c r="M1628" t="s">
        <v>240</v>
      </c>
      <c r="N1628" t="s">
        <v>3633</v>
      </c>
      <c r="O1628">
        <v>1</v>
      </c>
      <c r="P1628">
        <v>0.04</v>
      </c>
    </row>
    <row r="1629" spans="4:16" x14ac:dyDescent="0.25">
      <c r="D1629" t="s">
        <v>3634</v>
      </c>
      <c r="E1629" t="s">
        <v>3047</v>
      </c>
      <c r="F1629" t="s">
        <v>379</v>
      </c>
      <c r="G1629" t="s">
        <v>3529</v>
      </c>
      <c r="H1629" t="s">
        <v>1218</v>
      </c>
      <c r="I1629" s="13">
        <v>45160</v>
      </c>
      <c r="J1629">
        <v>0</v>
      </c>
      <c r="K1629" t="s">
        <v>177</v>
      </c>
      <c r="L1629" t="s">
        <v>139</v>
      </c>
      <c r="M1629" t="s">
        <v>465</v>
      </c>
      <c r="N1629" t="s">
        <v>3635</v>
      </c>
      <c r="O1629">
        <v>1</v>
      </c>
      <c r="P1629">
        <v>0.04</v>
      </c>
    </row>
    <row r="1630" spans="4:16" hidden="1" x14ac:dyDescent="0.25">
      <c r="D1630" t="s">
        <v>3636</v>
      </c>
      <c r="E1630" t="s">
        <v>3047</v>
      </c>
      <c r="F1630" t="s">
        <v>379</v>
      </c>
      <c r="G1630" t="s">
        <v>2879</v>
      </c>
      <c r="H1630" t="s">
        <v>3641</v>
      </c>
      <c r="I1630" s="13">
        <v>45166</v>
      </c>
      <c r="J1630">
        <v>0</v>
      </c>
      <c r="K1630" t="s">
        <v>157</v>
      </c>
      <c r="L1630" t="s">
        <v>977</v>
      </c>
      <c r="M1630" t="s">
        <v>170</v>
      </c>
      <c r="N1630" t="s">
        <v>3637</v>
      </c>
      <c r="O1630">
        <v>1</v>
      </c>
      <c r="P1630">
        <v>0.03</v>
      </c>
    </row>
    <row r="1631" spans="4:16" hidden="1" x14ac:dyDescent="0.25">
      <c r="D1631" t="s">
        <v>3638</v>
      </c>
      <c r="E1631" t="s">
        <v>3047</v>
      </c>
      <c r="F1631" t="s">
        <v>379</v>
      </c>
      <c r="G1631" t="s">
        <v>2879</v>
      </c>
      <c r="H1631" t="s">
        <v>3641</v>
      </c>
      <c r="I1631" s="13">
        <v>45169</v>
      </c>
      <c r="J1631">
        <v>0</v>
      </c>
      <c r="K1631" t="s">
        <v>157</v>
      </c>
      <c r="L1631" t="s">
        <v>977</v>
      </c>
      <c r="M1631" t="s">
        <v>170</v>
      </c>
      <c r="N1631" t="s">
        <v>3639</v>
      </c>
      <c r="O1631">
        <v>1</v>
      </c>
      <c r="P1631">
        <v>0.02</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F1CC9-4ECF-49FB-8802-20FBC53211FF}">
  <sheetPr codeName="Sheet5"/>
  <dimension ref="D2:DE219"/>
  <sheetViews>
    <sheetView topLeftCell="A170" workbookViewId="0">
      <selection activeCell="E188" sqref="E188"/>
    </sheetView>
  </sheetViews>
  <sheetFormatPr defaultRowHeight="15" x14ac:dyDescent="0.25"/>
  <cols>
    <col min="4" max="4" width="25.5703125" customWidth="1"/>
    <col min="5" max="5" width="21.42578125" customWidth="1"/>
    <col min="6" max="6" width="28.140625" customWidth="1"/>
    <col min="7" max="7" width="25.85546875" customWidth="1"/>
    <col min="8" max="8" width="25" customWidth="1"/>
    <col min="9" max="9" width="20.140625" customWidth="1"/>
    <col min="10" max="10" width="48.140625" customWidth="1"/>
    <col min="11" max="11" width="27.5703125" style="3" bestFit="1" customWidth="1"/>
    <col min="12" max="12" width="15.5703125" style="3" bestFit="1" customWidth="1"/>
    <col min="13" max="13" width="21.7109375" style="3" bestFit="1" customWidth="1"/>
    <col min="14" max="14" width="21.5703125" style="3" bestFit="1" customWidth="1"/>
    <col min="15" max="15" width="23.5703125" style="3" bestFit="1" customWidth="1"/>
    <col min="16" max="16" width="17.85546875" style="3" bestFit="1" customWidth="1"/>
    <col min="17" max="17" width="21.5703125" style="3" bestFit="1" customWidth="1"/>
    <col min="18" max="19" width="20.42578125" style="3" bestFit="1" customWidth="1"/>
    <col min="20" max="20" width="23.42578125" style="3" bestFit="1" customWidth="1"/>
    <col min="21" max="21" width="20.5703125" style="3" bestFit="1" customWidth="1"/>
    <col min="22" max="22" width="24.5703125" style="3" bestFit="1" customWidth="1"/>
    <col min="23" max="23" width="28.28515625" style="3" bestFit="1" customWidth="1"/>
    <col min="24" max="24" width="30.7109375" style="3" bestFit="1" customWidth="1"/>
    <col min="25" max="25" width="29" style="3" bestFit="1" customWidth="1"/>
    <col min="26" max="26" width="26.5703125" style="3" bestFit="1" customWidth="1"/>
    <col min="27" max="27" width="24.85546875" style="3" bestFit="1" customWidth="1"/>
    <col min="28" max="28" width="33.85546875" style="3" bestFit="1" customWidth="1"/>
    <col min="29" max="29" width="27.85546875" style="3" bestFit="1" customWidth="1"/>
    <col min="30" max="30" width="26" style="3" bestFit="1" customWidth="1"/>
    <col min="31" max="31" width="35.7109375" style="3" bestFit="1" customWidth="1"/>
    <col min="32" max="32" width="28.28515625" style="3" bestFit="1" customWidth="1"/>
    <col min="33" max="33" width="16.140625" style="3" bestFit="1" customWidth="1"/>
    <col min="34" max="34" width="19.140625" style="3" bestFit="1" customWidth="1"/>
    <col min="35" max="35" width="14" style="3" bestFit="1" customWidth="1"/>
    <col min="36" max="36" width="15.7109375" style="3" bestFit="1" customWidth="1"/>
    <col min="37" max="37" width="15.85546875" style="3" bestFit="1" customWidth="1"/>
    <col min="38" max="38" width="16.5703125" style="3" bestFit="1" customWidth="1"/>
    <col min="39" max="39" width="18.7109375" style="3" bestFit="1" customWidth="1"/>
    <col min="40" max="40" width="19.140625" style="3" bestFit="1" customWidth="1"/>
    <col min="41" max="41" width="19" style="3" bestFit="1" customWidth="1"/>
    <col min="42" max="42" width="26.7109375" style="3" bestFit="1" customWidth="1"/>
    <col min="43" max="43" width="29.85546875" style="3" bestFit="1" customWidth="1"/>
    <col min="44" max="44" width="28.140625" style="3" bestFit="1" customWidth="1"/>
    <col min="45" max="45" width="25.7109375" style="3" bestFit="1" customWidth="1"/>
    <col min="46" max="46" width="27" style="3" bestFit="1" customWidth="1"/>
    <col min="47" max="47" width="34.85546875" style="3" bestFit="1" customWidth="1"/>
    <col min="48" max="48" width="20.42578125" style="3" bestFit="1" customWidth="1"/>
    <col min="49" max="49" width="35.7109375" style="3" bestFit="1" customWidth="1"/>
    <col min="50" max="50" width="26.28515625" style="3" bestFit="1" customWidth="1"/>
    <col min="51" max="51" width="23.28515625" style="3" bestFit="1" customWidth="1"/>
    <col min="52" max="52" width="27.140625" style="3" bestFit="1" customWidth="1"/>
    <col min="53" max="53" width="23.28515625" style="3" bestFit="1" customWidth="1"/>
    <col min="54" max="54" width="24.7109375" style="3" bestFit="1" customWidth="1"/>
    <col min="55" max="55" width="29" style="3" bestFit="1" customWidth="1"/>
    <col min="56" max="56" width="26.42578125" style="3" bestFit="1" customWidth="1"/>
    <col min="57" max="57" width="25.7109375" style="3" bestFit="1" customWidth="1"/>
    <col min="58" max="58" width="25.85546875" style="3" bestFit="1" customWidth="1"/>
    <col min="59" max="59" width="23.85546875" style="3" bestFit="1" customWidth="1"/>
    <col min="60" max="60" width="20.28515625" style="3" bestFit="1" customWidth="1"/>
    <col min="61" max="61" width="25.140625" style="3" bestFit="1" customWidth="1"/>
    <col min="62" max="62" width="33.85546875" style="3" bestFit="1" customWidth="1"/>
    <col min="63" max="63" width="24.140625" style="3" bestFit="1" customWidth="1"/>
    <col min="64" max="64" width="27.85546875" style="3" bestFit="1" customWidth="1"/>
    <col min="65" max="65" width="28.7109375" style="3" bestFit="1" customWidth="1"/>
    <col min="66" max="66" width="22.7109375" style="3" bestFit="1" customWidth="1"/>
    <col min="67" max="68" width="24.5703125" style="3" bestFit="1" customWidth="1"/>
    <col min="69" max="69" width="27.42578125" style="3" bestFit="1" customWidth="1"/>
    <col min="70" max="70" width="39.85546875" style="3" bestFit="1" customWidth="1"/>
    <col min="71" max="71" width="23.140625" style="3" bestFit="1" customWidth="1"/>
    <col min="72" max="99" width="9.140625" style="3"/>
  </cols>
  <sheetData>
    <row r="2" spans="4:10" ht="21" x14ac:dyDescent="0.35">
      <c r="D2" s="19" t="s">
        <v>3763</v>
      </c>
      <c r="E2" s="19"/>
      <c r="F2" s="19"/>
      <c r="G2" s="19"/>
      <c r="H2" s="19"/>
    </row>
    <row r="4" spans="4:10" ht="15.75" thickBot="1" x14ac:dyDescent="0.3">
      <c r="D4" s="18" t="str" cm="1">
        <f t="array" ref="D4:J4">TRANSPOSE(_xlfn._xlws.SORT(_xlfn.UNIQUE(INPUT_VTS_REGIE[Entiteit])))</f>
        <v>Antwerpen</v>
      </c>
      <c r="E4" s="18" t="str">
        <v>Centrale Diensten</v>
      </c>
      <c r="F4" s="18" t="str">
        <v>Limburg</v>
      </c>
      <c r="G4" s="18" t="str">
        <v>Niet Beschikbaar</v>
      </c>
      <c r="H4" s="18" t="str">
        <v>Oost-Vlaanderen</v>
      </c>
      <c r="I4" s="18" t="str">
        <v>Vlaams-Brabant</v>
      </c>
      <c r="J4" s="18" t="str">
        <v>West-Vlaanderen</v>
      </c>
    </row>
    <row r="5" spans="4:10" ht="15.75" thickTop="1" x14ac:dyDescent="0.25">
      <c r="D5" t="str" cm="1">
        <f t="array" ref="D5:D22">_xlfn._xlws.SORT(_xlfn.UNIQUE(_xlfn._xlws.FILTER(INPUT_VTS_REGIE[Stelplaats],INPUT_VTS_REGIE[Entiteit]='Cascading Filter'!D$4)))</f>
        <v>Autobussen Berchem</v>
      </c>
      <c r="E5" t="str" cm="1">
        <f t="array" ref="E5:E15">_xlfn._xlws.SORT(_xlfn.UNIQUE(_xlfn._xlws.FILTER(INPUT_VTS_REGIE[Stelplaats],INPUT_VTS_REGIE[Entiteit]='Cascading Filter'!E$4)))</f>
        <v>Brugge</v>
      </c>
      <c r="F5" t="str" cm="1">
        <f t="array" ref="F5:F13">_xlfn._xlws.SORT(_xlfn.UNIQUE(_xlfn._xlws.FILTER(INPUT_VTS_REGIE[Stelplaats],INPUT_VTS_REGIE[Entiteit]='Cascading Filter'!F$4)))</f>
        <v>Beverlo</v>
      </c>
      <c r="G5" t="str" cm="1">
        <f t="array" ref="G5">_xlfn._xlws.SORT(_xlfn.UNIQUE(_xlfn._xlws.FILTER(INPUT_VTS_REGIE[Stelplaats],INPUT_VTS_REGIE[Entiteit]='Cascading Filter'!G$4)))</f>
        <v>Onbekend</v>
      </c>
      <c r="H5" t="str" cm="1">
        <f t="array" ref="H5:H9">_xlfn._xlws.SORT(_xlfn.UNIQUE(_xlfn._xlws.FILTER(INPUT_VTS_REGIE[Stelplaats],INPUT_VTS_REGIE[Entiteit]='Cascading Filter'!H$4)))</f>
        <v>Destelbergen</v>
      </c>
      <c r="I5" t="str" cm="1">
        <f t="array" ref="I5:I19">_xlfn._xlws.SORT(_xlfn.UNIQUE(_xlfn._xlws.FILTER(INPUT_VTS_REGIE[Stelplaats],INPUT_VTS_REGIE[Entiteit]='Cascading Filter'!I$4)))</f>
        <v>Asse</v>
      </c>
      <c r="J5" t="str" cm="1">
        <f t="array" ref="J5:J13">_xlfn._xlws.SORT(_xlfn.UNIQUE(_xlfn._xlws.FILTER(INPUT_VTS_REGIE[Stelplaats],INPUT_VTS_REGIE[Entiteit]='Cascading Filter'!J$4)))</f>
        <v>Brugge</v>
      </c>
    </row>
    <row r="6" spans="4:10" x14ac:dyDescent="0.25">
      <c r="D6" t="str">
        <v>Broechem</v>
      </c>
      <c r="E6" t="str">
        <v>De Crutzen</v>
      </c>
      <c r="F6" t="str">
        <v>De Crutzen</v>
      </c>
      <c r="H6" t="str">
        <v>Gentbrugge</v>
      </c>
      <c r="I6" t="str">
        <v>Autobussen Berchem</v>
      </c>
      <c r="J6" t="str">
        <v>De Crutzen</v>
      </c>
    </row>
    <row r="7" spans="4:10" x14ac:dyDescent="0.25">
      <c r="D7" t="str">
        <v>Destelbergen</v>
      </c>
      <c r="E7" t="str">
        <v>Destelbergen</v>
      </c>
      <c r="F7" t="str">
        <v>Ieper</v>
      </c>
      <c r="H7" t="str">
        <v>Hofstade</v>
      </c>
      <c r="I7" t="str">
        <v>De Crutzen</v>
      </c>
      <c r="J7" t="str">
        <v>Grimbergen</v>
      </c>
    </row>
    <row r="8" spans="4:10" x14ac:dyDescent="0.25">
      <c r="D8" t="str">
        <v>Deurne tramstelplaats</v>
      </c>
      <c r="E8" t="str">
        <v>Gentbrugge</v>
      </c>
      <c r="F8" t="str">
        <v>Kinrooi</v>
      </c>
      <c r="H8" t="str">
        <v>Onbekend</v>
      </c>
      <c r="I8" t="str">
        <v>Dilbeek</v>
      </c>
      <c r="J8" t="str">
        <v>Ieper</v>
      </c>
    </row>
    <row r="9" spans="4:10" x14ac:dyDescent="0.25">
      <c r="D9" t="str">
        <v>Hoboken</v>
      </c>
      <c r="E9" t="str">
        <v>Hoboken</v>
      </c>
      <c r="F9" t="str">
        <v>Kortrijk</v>
      </c>
      <c r="H9" t="str">
        <v>Sint-Niklaas Nieuw</v>
      </c>
      <c r="I9" t="str">
        <v>Grimbergen</v>
      </c>
      <c r="J9" t="str">
        <v>Knokke</v>
      </c>
    </row>
    <row r="10" spans="4:10" x14ac:dyDescent="0.25">
      <c r="D10" t="str">
        <v>Hoogstraten</v>
      </c>
      <c r="E10" t="str">
        <v>Kinrooi</v>
      </c>
      <c r="F10" t="str">
        <v>Lanaken</v>
      </c>
      <c r="I10" t="str">
        <v>Het Rad</v>
      </c>
      <c r="J10" t="str">
        <v>Kortrijk</v>
      </c>
    </row>
    <row r="11" spans="4:10" x14ac:dyDescent="0.25">
      <c r="D11" t="str">
        <v>Leuven Noord</v>
      </c>
      <c r="E11" t="str">
        <v>Mechelen Racing</v>
      </c>
      <c r="F11" t="str">
        <v>Onbekend</v>
      </c>
      <c r="I11" t="str">
        <v>Leerbeek</v>
      </c>
      <c r="J11" t="str">
        <v>Onbekend</v>
      </c>
    </row>
    <row r="12" spans="4:10" x14ac:dyDescent="0.25">
      <c r="D12" t="str">
        <v>Mechelen Racing</v>
      </c>
      <c r="E12" t="str">
        <v>Onbekend</v>
      </c>
      <c r="F12" t="str">
        <v>TONGEREN</v>
      </c>
      <c r="I12" t="str">
        <v>Leuven Noord</v>
      </c>
      <c r="J12" t="str">
        <v>Oostende Slijkensestwg</v>
      </c>
    </row>
    <row r="13" spans="4:10" x14ac:dyDescent="0.25">
      <c r="D13" t="str">
        <v>Mol</v>
      </c>
      <c r="E13" t="str">
        <v>Overijse</v>
      </c>
      <c r="F13" t="str">
        <v>Winterslag</v>
      </c>
      <c r="I13" t="str">
        <v>Londerzeel</v>
      </c>
      <c r="J13" t="str">
        <v>TRAM</v>
      </c>
    </row>
    <row r="14" spans="4:10" x14ac:dyDescent="0.25">
      <c r="D14" t="str">
        <v>Onbekend</v>
      </c>
      <c r="E14" t="str">
        <v>Sint-Niklaas Nieuw</v>
      </c>
      <c r="I14" t="str">
        <v>Meerbeke</v>
      </c>
    </row>
    <row r="15" spans="4:10" x14ac:dyDescent="0.25">
      <c r="D15" t="str">
        <v>Oostmalle</v>
      </c>
      <c r="E15" t="str">
        <v>TONGEREN</v>
      </c>
      <c r="I15" t="str">
        <v>Onbekend</v>
      </c>
    </row>
    <row r="16" spans="4:10" x14ac:dyDescent="0.25">
      <c r="D16" t="str">
        <v>Punt a/d Lijn</v>
      </c>
      <c r="I16" t="str">
        <v>Overijse</v>
      </c>
    </row>
    <row r="17" spans="4:109" x14ac:dyDescent="0.25">
      <c r="D17" t="str">
        <v>Rumst</v>
      </c>
      <c r="I17" t="str">
        <v>Tielt</v>
      </c>
    </row>
    <row r="18" spans="4:109" x14ac:dyDescent="0.25">
      <c r="D18" t="str">
        <v>Tjalkstraat</v>
      </c>
      <c r="I18" t="str">
        <v>Vilvoorde</v>
      </c>
    </row>
    <row r="19" spans="4:109" x14ac:dyDescent="0.25">
      <c r="D19" t="str">
        <v>Turnhout</v>
      </c>
      <c r="I19" t="str">
        <v>Werkhuis Kessel-lo</v>
      </c>
    </row>
    <row r="20" spans="4:109" x14ac:dyDescent="0.25">
      <c r="D20" t="str">
        <v>Westerlo</v>
      </c>
    </row>
    <row r="21" spans="4:109" x14ac:dyDescent="0.25">
      <c r="D21" t="str">
        <v>Wuustwezel</v>
      </c>
      <c r="G21" cm="1">
        <f t="array" aca="1" ref="G21" ca="1">OFFSET(INDIRECT(ADDRESS(ROW(),COLUMN())),0,-1)</f>
        <v>0</v>
      </c>
      <c r="J21" t="s">
        <v>3759</v>
      </c>
    </row>
    <row r="22" spans="4:109" x14ac:dyDescent="0.25">
      <c r="D22" t="str">
        <v>Zandvliet</v>
      </c>
      <c r="G22" cm="1">
        <f t="array" aca="1" ref="G22" ca="1">OFFSET(INDIRECT(ADDRESS(ROW(),COLUMN())),0,-2)</f>
        <v>0</v>
      </c>
    </row>
    <row r="23" spans="4:109" x14ac:dyDescent="0.25">
      <c r="I23" t="str">
        <f>ADDRESS(ROW(),COLUMN())</f>
        <v>$I$23</v>
      </c>
    </row>
    <row r="25" spans="4:109" x14ac:dyDescent="0.25">
      <c r="E25" t="s">
        <v>3646</v>
      </c>
      <c r="F25" t="s">
        <v>3758</v>
      </c>
      <c r="G25">
        <v>7315</v>
      </c>
      <c r="I25" t="s">
        <v>3644</v>
      </c>
    </row>
    <row r="26" spans="4:109" x14ac:dyDescent="0.25">
      <c r="E26" t="s">
        <v>3662</v>
      </c>
      <c r="F26" t="s">
        <v>3751</v>
      </c>
      <c r="G26">
        <v>5733</v>
      </c>
    </row>
    <row r="27" spans="4:109" x14ac:dyDescent="0.25">
      <c r="I27" cm="1">
        <f t="array" aca="1" ref="I27" ca="1">OFFSET(INDIRECT(ADDRESS(ROW(),COLUMN())),0,-1)</f>
        <v>0</v>
      </c>
    </row>
    <row r="28" spans="4:109" ht="21" x14ac:dyDescent="0.35">
      <c r="D28" s="19" t="s">
        <v>3764</v>
      </c>
      <c r="E28" s="19"/>
      <c r="F28" s="19"/>
      <c r="G28" s="19"/>
      <c r="H28" s="19"/>
    </row>
    <row r="30" spans="4:109" ht="15.75" thickBot="1" x14ac:dyDescent="0.3">
      <c r="D30" s="18" t="str" cm="1">
        <f t="array" ref="D30:BS30">TRANSPOSE(_xlfn._xlws.SORT(_xlfn.UNIQUE(INPUT_VTS_REGIE[Key_Ent_Stelplaats])))</f>
        <v>Antwerpen#Autobussen Berchem</v>
      </c>
      <c r="E30" s="18" t="str">
        <v>Antwerpen#Broechem</v>
      </c>
      <c r="F30" s="18" t="str">
        <v>Antwerpen#Destelbergen</v>
      </c>
      <c r="G30" s="18" t="str">
        <v>Antwerpen#Deurne tramstelplaats</v>
      </c>
      <c r="H30" s="18" t="str">
        <v>Antwerpen#Hoboken</v>
      </c>
      <c r="I30" s="18" t="str">
        <v>Antwerpen#Hoogstraten</v>
      </c>
      <c r="J30" s="18" t="str">
        <v>Antwerpen#Leuven Noord</v>
      </c>
      <c r="K30" s="18" t="str">
        <v>Antwerpen#Mechelen Racing</v>
      </c>
      <c r="L30" s="18" t="str">
        <v>Antwerpen#Mol</v>
      </c>
      <c r="M30" s="18" t="str">
        <v>Antwerpen#Onbekend</v>
      </c>
      <c r="N30" s="18" t="str">
        <v>Antwerpen#Oostmalle</v>
      </c>
      <c r="O30" s="18" t="str">
        <v>Antwerpen#Punt a/d Lijn</v>
      </c>
      <c r="P30" s="18" t="str">
        <v>Antwerpen#Rumst</v>
      </c>
      <c r="Q30" s="18" t="str">
        <v>Antwerpen#Tjalkstraat</v>
      </c>
      <c r="R30" s="18" t="str">
        <v>Antwerpen#Turnhout</v>
      </c>
      <c r="S30" s="18" t="str">
        <v>Antwerpen#Westerlo</v>
      </c>
      <c r="T30" s="18" t="str">
        <v>Antwerpen#Wuustwezel</v>
      </c>
      <c r="U30" s="18" t="str">
        <v>Antwerpen#Zandvliet</v>
      </c>
      <c r="V30" s="18" t="str">
        <v>Centrale Diensten#Brugge</v>
      </c>
      <c r="W30" s="18" t="str">
        <v>Centrale Diensten#De Crutzen</v>
      </c>
      <c r="X30" s="18" t="str">
        <v>Centrale Diensten#Destelbergen</v>
      </c>
      <c r="Y30" s="18" t="str">
        <v>Centrale Diensten#Gentbrugge</v>
      </c>
      <c r="Z30" s="18" t="str">
        <v>Centrale Diensten#Hoboken</v>
      </c>
      <c r="AA30" s="18" t="str">
        <v>Centrale Diensten#Kinrooi</v>
      </c>
      <c r="AB30" s="18" t="str">
        <v>Centrale Diensten#Mechelen Racing</v>
      </c>
      <c r="AC30" s="18" t="str">
        <v>Centrale Diensten#Onbekend</v>
      </c>
      <c r="AD30" s="18" t="str">
        <v>Centrale Diensten#Overijse</v>
      </c>
      <c r="AE30" s="18" t="str">
        <v>Centrale Diensten#Sint-Niklaas Nieuw</v>
      </c>
      <c r="AF30" s="18" t="str">
        <v>Centrale Diensten#TONGEREN</v>
      </c>
      <c r="AG30" s="18" t="str">
        <v>Limburg#Beverlo</v>
      </c>
      <c r="AH30" s="18" t="str">
        <v>Limburg#De Crutzen</v>
      </c>
      <c r="AI30" s="18" t="str">
        <v>Limburg#Ieper</v>
      </c>
      <c r="AJ30" s="18" t="str">
        <v>Limburg#Kinrooi</v>
      </c>
      <c r="AK30" s="18" t="str">
        <v>Limburg#Kortrijk</v>
      </c>
      <c r="AL30" s="18" t="str">
        <v>Limburg#Lanaken</v>
      </c>
      <c r="AM30" s="18" t="str">
        <v>Limburg#Onbekend</v>
      </c>
      <c r="AN30" s="18" t="str">
        <v>Limburg#TONGEREN</v>
      </c>
      <c r="AO30" s="18" t="str">
        <v>Limburg#Winterslag</v>
      </c>
      <c r="AP30" s="18" t="str">
        <v>Niet Beschikbaar#Onbekend</v>
      </c>
      <c r="AQ30" s="18" t="str">
        <v>Oost-Vlaanderen#Destelbergen</v>
      </c>
      <c r="AR30" s="18" t="str">
        <v>Oost-Vlaanderen#Gentbrugge</v>
      </c>
      <c r="AS30" s="18" t="str">
        <v>Oost-Vlaanderen#Hofstade</v>
      </c>
      <c r="AT30" s="18" t="str">
        <v>Oost-Vlaanderen#Onbekend</v>
      </c>
      <c r="AU30" s="18" t="str">
        <v>Oost-Vlaanderen#Sint-Niklaas Nieuw</v>
      </c>
      <c r="AV30" s="18" t="str">
        <v>Vlaams-Brabant#Asse</v>
      </c>
      <c r="AW30" s="18" t="str">
        <v>Vlaams-Brabant#Autobussen Berchem</v>
      </c>
      <c r="AX30" s="18" t="str">
        <v>Vlaams-Brabant#De Crutzen</v>
      </c>
      <c r="AY30" s="18" t="str">
        <v>Vlaams-Brabant#Dilbeek</v>
      </c>
      <c r="AZ30" s="18" t="str">
        <v>Vlaams-Brabant#Grimbergen</v>
      </c>
      <c r="BA30" s="18" t="str">
        <v>Vlaams-Brabant#Het Rad</v>
      </c>
      <c r="BB30" s="18" t="str">
        <v>Vlaams-Brabant#Leerbeek</v>
      </c>
      <c r="BC30" s="18" t="str">
        <v>Vlaams-Brabant#Leuven Noord</v>
      </c>
      <c r="BD30" s="18" t="str">
        <v>Vlaams-Brabant#Londerzeel</v>
      </c>
      <c r="BE30" s="18" t="str">
        <v>Vlaams-Brabant#Meerbeke</v>
      </c>
      <c r="BF30" s="18" t="str">
        <v>Vlaams-Brabant#Onbekend</v>
      </c>
      <c r="BG30" s="18" t="str">
        <v>Vlaams-Brabant#Overijse</v>
      </c>
      <c r="BH30" s="18" t="str">
        <v>Vlaams-Brabant#Tielt</v>
      </c>
      <c r="BI30" s="18" t="str">
        <v>Vlaams-Brabant#Vilvoorde</v>
      </c>
      <c r="BJ30" s="18" t="str">
        <v>Vlaams-Brabant#Werkhuis Kessel-lo</v>
      </c>
      <c r="BK30" s="18" t="str">
        <v>West-Vlaanderen#Brugge</v>
      </c>
      <c r="BL30" s="18" t="str">
        <v>West-Vlaanderen#De Crutzen</v>
      </c>
      <c r="BM30" s="18" t="str">
        <v>West-Vlaanderen#Grimbergen</v>
      </c>
      <c r="BN30" s="18" t="str">
        <v>West-Vlaanderen#Ieper</v>
      </c>
      <c r="BO30" s="18" t="str">
        <v>West-Vlaanderen#Knokke</v>
      </c>
      <c r="BP30" s="18" t="str">
        <v>West-Vlaanderen#Kortrijk</v>
      </c>
      <c r="BQ30" s="18" t="str">
        <v>West-Vlaanderen#Onbekend</v>
      </c>
      <c r="BR30" s="18" t="str">
        <v>West-Vlaanderen#Oostende Slijkensestwg</v>
      </c>
      <c r="BS30" s="18" t="str">
        <v>West-Vlaanderen#TRAM</v>
      </c>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row>
    <row r="31" spans="4:109" ht="15.75" thickTop="1" x14ac:dyDescent="0.25">
      <c r="D31" cm="1">
        <f t="array" ref="D31:D142">IF(D$30&lt;&gt;"",_xlfn._xlws.SORT(_xlfn.UNIQUE(_xlfn._xlws.FILTER(INPUT_VTS_REGIE[Vt Nummer],INPUT_VTS_REGIE[Key_Ent_Stelplaats]='Cascading Filter'!D$30))),"")</f>
        <v>2228</v>
      </c>
      <c r="E31" cm="1">
        <f t="array" ref="E31:E61">IF(E$30&lt;&gt;"",_xlfn._xlws.SORT(_xlfn.UNIQUE(_xlfn._xlws.FILTER(INPUT_VTS_REGIE[Vt Nummer],INPUT_VTS_REGIE[Key_Ent_Stelplaats]='Cascading Filter'!E$30))),"")</f>
        <v>2642</v>
      </c>
      <c r="F31" cm="1">
        <f t="array" ref="F31">IF(F$30&lt;&gt;"",_xlfn._xlws.SORT(_xlfn.UNIQUE(_xlfn._xlws.FILTER(INPUT_VTS_REGIE[Vt Nummer],INPUT_VTS_REGIE[Key_Ent_Stelplaats]='Cascading Filter'!F$30))),"")</f>
        <v>2804</v>
      </c>
      <c r="G31" cm="1">
        <f t="array" ref="G31:G69">IF(G$30&lt;&gt;"",_xlfn._xlws.SORT(_xlfn.UNIQUE(_xlfn._xlws.FILTER(INPUT_VTS_REGIE[Vt Nummer],INPUT_VTS_REGIE[Key_Ent_Stelplaats]='Cascading Filter'!G$30))),"")</f>
        <v>6211</v>
      </c>
      <c r="H31" cm="1">
        <f t="array" ref="H31:H127">IF(H$30&lt;&gt;"",_xlfn._xlws.SORT(_xlfn.UNIQUE(_xlfn._xlws.FILTER(INPUT_VTS_REGIE[Vt Nummer],INPUT_VTS_REGIE[Key_Ent_Stelplaats]='Cascading Filter'!H$30))),"")</f>
        <v>7001</v>
      </c>
      <c r="I31" cm="1">
        <f t="array" ref="I31:I39">IF(I$30&lt;&gt;"",_xlfn._xlws.SORT(_xlfn.UNIQUE(_xlfn._xlws.FILTER(INPUT_VTS_REGIE[Vt Nummer],INPUT_VTS_REGIE[Key_Ent_Stelplaats]='Cascading Filter'!I$30))),"")</f>
        <v>2025</v>
      </c>
      <c r="J31" cm="1">
        <f t="array" ref="J31">IF(J$30&lt;&gt;"",_xlfn._xlws.SORT(_xlfn.UNIQUE(_xlfn._xlws.FILTER(INPUT_VTS_REGIE[Vt Nummer],INPUT_VTS_REGIE[Key_Ent_Stelplaats]='Cascading Filter'!J$30))),"")</f>
        <v>2795</v>
      </c>
      <c r="K31" s="3" cm="1">
        <f t="array" ref="K31:K156">IF(K$30&lt;&gt;"",_xlfn._xlws.SORT(_xlfn.UNIQUE(_xlfn._xlws.FILTER(INPUT_VTS_REGIE[Vt Nummer],INPUT_VTS_REGIE[Key_Ent_Stelplaats]='Cascading Filter'!K$30))),"")</f>
        <v>2000</v>
      </c>
      <c r="L31" s="3" cm="1">
        <f t="array" ref="L31:L43">IF(L$30&lt;&gt;"",_xlfn._xlws.SORT(_xlfn.UNIQUE(_xlfn._xlws.FILTER(INPUT_VTS_REGIE[Vt Nummer],INPUT_VTS_REGIE[Key_Ent_Stelplaats]='Cascading Filter'!L$30))),"")</f>
        <v>2029</v>
      </c>
      <c r="M31" s="3" cm="1">
        <f t="array" ref="M31:M68">IF(M$30&lt;&gt;"",_xlfn._xlws.SORT(_xlfn.UNIQUE(_xlfn._xlws.FILTER(INPUT_VTS_REGIE[Vt Nummer],INPUT_VTS_REGIE[Key_Ent_Stelplaats]='Cascading Filter'!M$30))),"")</f>
        <v>2112</v>
      </c>
      <c r="N31" s="3" cm="1">
        <f t="array" ref="N31:N50">IF(N$30&lt;&gt;"",_xlfn._xlws.SORT(_xlfn.UNIQUE(_xlfn._xlws.FILTER(INPUT_VTS_REGIE[Vt Nummer],INPUT_VTS_REGIE[Key_Ent_Stelplaats]='Cascading Filter'!N$30))),"")</f>
        <v>2041</v>
      </c>
      <c r="O31" s="3" cm="1">
        <f t="array" ref="O31:O170">IF(O$30&lt;&gt;"",_xlfn._xlws.SORT(_xlfn.UNIQUE(_xlfn._xlws.FILTER(INPUT_VTS_REGIE[Vt Nummer],INPUT_VTS_REGIE[Key_Ent_Stelplaats]='Cascading Filter'!O$30))),"")</f>
        <v>6202</v>
      </c>
      <c r="P31" s="3" cm="1">
        <f t="array" ref="P31:P33">IF(P$30&lt;&gt;"",_xlfn._xlws.SORT(_xlfn.UNIQUE(_xlfn._xlws.FILTER(INPUT_VTS_REGIE[Vt Nummer],INPUT_VTS_REGIE[Key_Ent_Stelplaats]='Cascading Filter'!P$30))),"")</f>
        <v>2380</v>
      </c>
      <c r="Q31" s="3" cm="1">
        <f t="array" ref="Q31:Q150">IF(Q$30&lt;&gt;"",_xlfn._xlws.SORT(_xlfn.UNIQUE(_xlfn._xlws.FILTER(INPUT_VTS_REGIE[Vt Nummer],INPUT_VTS_REGIE[Key_Ent_Stelplaats]='Cascading Filter'!Q$30))),"")</f>
        <v>2631</v>
      </c>
      <c r="R31" s="3" cm="1">
        <f t="array" ref="R31:R131">IF(R$30&lt;&gt;"",_xlfn._xlws.SORT(_xlfn.UNIQUE(_xlfn._xlws.FILTER(INPUT_VTS_REGIE[Vt Nummer],INPUT_VTS_REGIE[Key_Ent_Stelplaats]='Cascading Filter'!R$30))),"")</f>
        <v>2013</v>
      </c>
      <c r="S31" s="3" cm="1">
        <f t="array" ref="S31">IF(S$30&lt;&gt;"",_xlfn._xlws.SORT(_xlfn.UNIQUE(_xlfn._xlws.FILTER(INPUT_VTS_REGIE[Vt Nummer],INPUT_VTS_REGIE[Key_Ent_Stelplaats]='Cascading Filter'!S$30))),"")</f>
        <v>2021</v>
      </c>
      <c r="T31" s="3" cm="1">
        <f t="array" ref="T31:T35">IF(T$30&lt;&gt;"",_xlfn._xlws.SORT(_xlfn.UNIQUE(_xlfn._xlws.FILTER(INPUT_VTS_REGIE[Vt Nummer],INPUT_VTS_REGIE[Key_Ent_Stelplaats]='Cascading Filter'!T$30))),"")</f>
        <v>4776</v>
      </c>
      <c r="U31" s="3" cm="1">
        <f t="array" ref="U31:U42">IF(U$30&lt;&gt;"",_xlfn._xlws.SORT(_xlfn.UNIQUE(_xlfn._xlws.FILTER(INPUT_VTS_REGIE[Vt Nummer],INPUT_VTS_REGIE[Key_Ent_Stelplaats]='Cascading Filter'!U$30))),"")</f>
        <v>4784</v>
      </c>
      <c r="V31" s="3" cm="1">
        <f t="array" ref="V31">IF(V$30&lt;&gt;"",_xlfn._xlws.SORT(_xlfn.UNIQUE(_xlfn._xlws.FILTER(INPUT_VTS_REGIE[Vt Nummer],INPUT_VTS_REGIE[Key_Ent_Stelplaats]='Cascading Filter'!V$30))),"")</f>
        <v>2482</v>
      </c>
      <c r="W31" s="3" cm="1">
        <f t="array" ref="W31">IF(W$30&lt;&gt;"",_xlfn._xlws.SORT(_xlfn.UNIQUE(_xlfn._xlws.FILTER(INPUT_VTS_REGIE[Vt Nummer],INPUT_VTS_REGIE[Key_Ent_Stelplaats]='Cascading Filter'!W$30))),"")</f>
        <v>4298</v>
      </c>
      <c r="X31" s="3" cm="1">
        <f t="array" ref="X31:X37">IF(X$30&lt;&gt;"",_xlfn._xlws.SORT(_xlfn.UNIQUE(_xlfn._xlws.FILTER(INPUT_VTS_REGIE[Vt Nummer],INPUT_VTS_REGIE[Key_Ent_Stelplaats]='Cascading Filter'!X$30))),"")</f>
        <v>4607</v>
      </c>
      <c r="Y31" s="3" cm="1">
        <f t="array" ref="Y31">IF(Y$30&lt;&gt;"",_xlfn._xlws.SORT(_xlfn.UNIQUE(_xlfn._xlws.FILTER(INPUT_VTS_REGIE[Vt Nummer],INPUT_VTS_REGIE[Key_Ent_Stelplaats]='Cascading Filter'!Y$30))),"")</f>
        <v>4345</v>
      </c>
      <c r="Z31" s="3" cm="1">
        <f t="array" ref="Z31:Z35">IF(Z$30&lt;&gt;"",_xlfn._xlws.SORT(_xlfn.UNIQUE(_xlfn._xlws.FILTER(INPUT_VTS_REGIE[Vt Nummer],INPUT_VTS_REGIE[Key_Ent_Stelplaats]='Cascading Filter'!Z$30))),"")</f>
        <v>7009</v>
      </c>
      <c r="AA31" s="3" cm="1">
        <f t="array" ref="AA31">IF(AA$30&lt;&gt;"",_xlfn._xlws.SORT(_xlfn.UNIQUE(_xlfn._xlws.FILTER(INPUT_VTS_REGIE[Vt Nummer],INPUT_VTS_REGIE[Key_Ent_Stelplaats]='Cascading Filter'!AA$30))),"")</f>
        <v>4527</v>
      </c>
      <c r="AB31" s="3" cm="1">
        <f t="array" ref="AB31:AB34">IF(AB$30&lt;&gt;"",_xlfn._xlws.SORT(_xlfn.UNIQUE(_xlfn._xlws.FILTER(INPUT_VTS_REGIE[Vt Nummer],INPUT_VTS_REGIE[Key_Ent_Stelplaats]='Cascading Filter'!AB$30))),"")</f>
        <v>4377</v>
      </c>
      <c r="AC31" s="3" cm="1">
        <f t="array" ref="AC31:AC57">IF(AC$30&lt;&gt;"",_xlfn._xlws.SORT(_xlfn.UNIQUE(_xlfn._xlws.FILTER(INPUT_VTS_REGIE[Vt Nummer],INPUT_VTS_REGIE[Key_Ent_Stelplaats]='Cascading Filter'!AC$30))),"")</f>
        <v>4247</v>
      </c>
      <c r="AD31" s="3" cm="1">
        <f t="array" ref="AD31">IF(AD$30&lt;&gt;"",_xlfn._xlws.SORT(_xlfn.UNIQUE(_xlfn._xlws.FILTER(INPUT_VTS_REGIE[Vt Nummer],INPUT_VTS_REGIE[Key_Ent_Stelplaats]='Cascading Filter'!AD$30))),"")</f>
        <v>4536</v>
      </c>
      <c r="AE31" s="3" cm="1">
        <f t="array" ref="AE31:AE32">IF(AE$30&lt;&gt;"",_xlfn._xlws.SORT(_xlfn.UNIQUE(_xlfn._xlws.FILTER(INPUT_VTS_REGIE[Vt Nummer],INPUT_VTS_REGIE[Key_Ent_Stelplaats]='Cascading Filter'!AE$30))),"")</f>
        <v>4343</v>
      </c>
      <c r="AF31" s="3" cm="1">
        <f t="array" ref="AF31">IF(AF$30&lt;&gt;"",_xlfn._xlws.SORT(_xlfn.UNIQUE(_xlfn._xlws.FILTER(INPUT_VTS_REGIE[Vt Nummer],INPUT_VTS_REGIE[Key_Ent_Stelplaats]='Cascading Filter'!AF$30))),"")</f>
        <v>5836</v>
      </c>
      <c r="AG31" s="3" cm="1">
        <f t="array" ref="AG31:AG74">IF(AG$30&lt;&gt;"",_xlfn._xlws.SORT(_xlfn.UNIQUE(_xlfn._xlws.FILTER(INPUT_VTS_REGIE[Vt Nummer],INPUT_VTS_REGIE[Key_Ent_Stelplaats]='Cascading Filter'!AG$30))),"")</f>
        <v>2071</v>
      </c>
      <c r="AH31" s="3" cm="1">
        <f t="array" ref="AH31:AH131">IF(AH$30&lt;&gt;"",_xlfn._xlws.SORT(_xlfn.UNIQUE(_xlfn._xlws.FILTER(INPUT_VTS_REGIE[Vt Nummer],INPUT_VTS_REGIE[Key_Ent_Stelplaats]='Cascading Filter'!AH$30))),"")</f>
        <v>2086</v>
      </c>
      <c r="AI31" s="3" cm="1">
        <f t="array" ref="AI31">IF(AI$30&lt;&gt;"",_xlfn._xlws.SORT(_xlfn.UNIQUE(_xlfn._xlws.FILTER(INPUT_VTS_REGIE[Vt Nummer],INPUT_VTS_REGIE[Key_Ent_Stelplaats]='Cascading Filter'!AI$30))),"")</f>
        <v>5252</v>
      </c>
      <c r="AJ31" s="3" cm="1">
        <f t="array" ref="AJ31:AJ63">IF(AJ$30&lt;&gt;"",_xlfn._xlws.SORT(_xlfn.UNIQUE(_xlfn._xlws.FILTER(INPUT_VTS_REGIE[Vt Nummer],INPUT_VTS_REGIE[Key_Ent_Stelplaats]='Cascading Filter'!AJ$30))),"")</f>
        <v>2208</v>
      </c>
      <c r="AK31" s="3" cm="1">
        <f t="array" ref="AK31">IF(AK$30&lt;&gt;"",_xlfn._xlws.SORT(_xlfn.UNIQUE(_xlfn._xlws.FILTER(INPUT_VTS_REGIE[Vt Nummer],INPUT_VTS_REGIE[Key_Ent_Stelplaats]='Cascading Filter'!AK$30))),"")</f>
        <v>4862</v>
      </c>
      <c r="AL31" s="3" cm="1">
        <f t="array" ref="AL31:AL64">IF(AL$30&lt;&gt;"",_xlfn._xlws.SORT(_xlfn.UNIQUE(_xlfn._xlws.FILTER(INPUT_VTS_REGIE[Vt Nummer],INPUT_VTS_REGIE[Key_Ent_Stelplaats]='Cascading Filter'!AL$30))),"")</f>
        <v>5555</v>
      </c>
      <c r="AM31" s="3" cm="1">
        <f t="array" ref="AM31:AM37">IF(AM$30&lt;&gt;"",_xlfn._xlws.SORT(_xlfn.UNIQUE(_xlfn._xlws.FILTER(INPUT_VTS_REGIE[Vt Nummer],INPUT_VTS_REGIE[Key_Ent_Stelplaats]='Cascading Filter'!AM$30))),"")</f>
        <v>2211</v>
      </c>
      <c r="AN31" s="3" cm="1">
        <f t="array" ref="AN31:AN97">IF(AN$30&lt;&gt;"",_xlfn._xlws.SORT(_xlfn.UNIQUE(_xlfn._xlws.FILTER(INPUT_VTS_REGIE[Vt Nummer],INPUT_VTS_REGIE[Key_Ent_Stelplaats]='Cascading Filter'!AN$30))),"")</f>
        <v>4681</v>
      </c>
      <c r="AO31" s="3" cm="1">
        <f t="array" ref="AO31:AO85">IF(AO$30&lt;&gt;"",_xlfn._xlws.SORT(_xlfn.UNIQUE(_xlfn._xlws.FILTER(INPUT_VTS_REGIE[Vt Nummer],INPUT_VTS_REGIE[Key_Ent_Stelplaats]='Cascading Filter'!AO$30))),"")</f>
        <v>2797</v>
      </c>
      <c r="AP31" s="3" cm="1">
        <f t="array" ref="AP31:AP120">IF(AP$30&lt;&gt;"",_xlfn._xlws.SORT(_xlfn.UNIQUE(_xlfn._xlws.FILTER(INPUT_VTS_REGIE[Vt Nummer],INPUT_VTS_REGIE[Key_Ent_Stelplaats]='Cascading Filter'!AP$30))),"")</f>
        <v>2835</v>
      </c>
      <c r="AQ31" s="3" cm="1">
        <f t="array" ref="AQ31:AQ170">IF(AQ$30&lt;&gt;"",_xlfn._xlws.SORT(_xlfn.UNIQUE(_xlfn._xlws.FILTER(INPUT_VTS_REGIE[Vt Nummer],INPUT_VTS_REGIE[Key_Ent_Stelplaats]='Cascading Filter'!AQ$30))),"")</f>
        <v>2044</v>
      </c>
      <c r="AR31" s="3" cm="1">
        <f t="array" ref="AR31:AR219">IF(AR$30&lt;&gt;"",_xlfn._xlws.SORT(_xlfn.UNIQUE(_xlfn._xlws.FILTER(INPUT_VTS_REGIE[Vt Nummer],INPUT_VTS_REGIE[Key_Ent_Stelplaats]='Cascading Filter'!AR$30))),"")</f>
        <v>2195</v>
      </c>
      <c r="AS31" s="3" cm="1">
        <f t="array" ref="AS31:AS84">IF(AS$30&lt;&gt;"",_xlfn._xlws.SORT(_xlfn.UNIQUE(_xlfn._xlws.FILTER(INPUT_VTS_REGIE[Vt Nummer],INPUT_VTS_REGIE[Key_Ent_Stelplaats]='Cascading Filter'!AS$30))),"")</f>
        <v>4238</v>
      </c>
      <c r="AT31" s="3" cm="1">
        <f t="array" ref="AT31:AT43">IF(AT$30&lt;&gt;"",_xlfn._xlws.SORT(_xlfn.UNIQUE(_xlfn._xlws.FILTER(INPUT_VTS_REGIE[Vt Nummer],INPUT_VTS_REGIE[Key_Ent_Stelplaats]='Cascading Filter'!AT$30))),"")</f>
        <v>2821</v>
      </c>
      <c r="AU31" s="3" cm="1">
        <f t="array" ref="AU31:AU93">IF(AU$30&lt;&gt;"",_xlfn._xlws.SORT(_xlfn.UNIQUE(_xlfn._xlws.FILTER(INPUT_VTS_REGIE[Vt Nummer],INPUT_VTS_REGIE[Key_Ent_Stelplaats]='Cascading Filter'!AU$30))),"")</f>
        <v>2188</v>
      </c>
      <c r="AV31" s="3" cm="1">
        <f t="array" ref="AV31:AV46">IF(AV$30&lt;&gt;"",_xlfn._xlws.SORT(_xlfn.UNIQUE(_xlfn._xlws.FILTER(INPUT_VTS_REGIE[Vt Nummer],INPUT_VTS_REGIE[Key_Ent_Stelplaats]='Cascading Filter'!AV$30))),"")</f>
        <v>2587</v>
      </c>
      <c r="AW31" s="3" cm="1">
        <f t="array" ref="AW31">IF(AW$30&lt;&gt;"",_xlfn._xlws.SORT(_xlfn.UNIQUE(_xlfn._xlws.FILTER(INPUT_VTS_REGIE[Vt Nummer],INPUT_VTS_REGIE[Key_Ent_Stelplaats]='Cascading Filter'!AW$30))),"")</f>
        <v>2538</v>
      </c>
      <c r="AX31" s="3" cm="1">
        <f t="array" ref="AX31:AX32">IF(AX$30&lt;&gt;"",_xlfn._xlws.SORT(_xlfn.UNIQUE(_xlfn._xlws.FILTER(INPUT_VTS_REGIE[Vt Nummer],INPUT_VTS_REGIE[Key_Ent_Stelplaats]='Cascading Filter'!AX$30))),"")</f>
        <v>5174</v>
      </c>
      <c r="AY31" s="3" cm="1">
        <f t="array" ref="AY31:AY79">IF(AY$30&lt;&gt;"",_xlfn._xlws.SORT(_xlfn.UNIQUE(_xlfn._xlws.FILTER(INPUT_VTS_REGIE[Vt Nummer],INPUT_VTS_REGIE[Key_Ent_Stelplaats]='Cascading Filter'!AY$30))),"")</f>
        <v>2287</v>
      </c>
      <c r="AZ31" s="3" cm="1">
        <f t="array" ref="AZ31:AZ108">IF(AZ$30&lt;&gt;"",_xlfn._xlws.SORT(_xlfn.UNIQUE(_xlfn._xlws.FILTER(INPUT_VTS_REGIE[Vt Nummer],INPUT_VTS_REGIE[Key_Ent_Stelplaats]='Cascading Filter'!AZ$30))),"")</f>
        <v>2551</v>
      </c>
      <c r="BA31" s="3" cm="1">
        <f t="array" ref="BA31:BA85">IF(BA$30&lt;&gt;"",_xlfn._xlws.SORT(_xlfn.UNIQUE(_xlfn._xlws.FILTER(INPUT_VTS_REGIE[Vt Nummer],INPUT_VTS_REGIE[Key_Ent_Stelplaats]='Cascading Filter'!BA$30))),"")</f>
        <v>2294</v>
      </c>
      <c r="BB31" s="3" cm="1">
        <f t="array" ref="BB31:BB75">IF(BB$30&lt;&gt;"",_xlfn._xlws.SORT(_xlfn.UNIQUE(_xlfn._xlws.FILTER(INPUT_VTS_REGIE[Vt Nummer],INPUT_VTS_REGIE[Key_Ent_Stelplaats]='Cascading Filter'!BB$30))),"")</f>
        <v>5168</v>
      </c>
      <c r="BC31" s="3" cm="1">
        <f t="array" ref="BC31:BC175">IF(BC$30&lt;&gt;"",_xlfn._xlws.SORT(_xlfn.UNIQUE(_xlfn._xlws.FILTER(INPUT_VTS_REGIE[Vt Nummer],INPUT_VTS_REGIE[Key_Ent_Stelplaats]='Cascading Filter'!BC$30))),"")</f>
        <v>2427</v>
      </c>
      <c r="BD31" s="3" cm="1">
        <f t="array" ref="BD31:BD46">IF(BD$30&lt;&gt;"",_xlfn._xlws.SORT(_xlfn.UNIQUE(_xlfn._xlws.FILTER(INPUT_VTS_REGIE[Vt Nummer],INPUT_VTS_REGIE[Key_Ent_Stelplaats]='Cascading Filter'!BD$30))),"")</f>
        <v>2603</v>
      </c>
      <c r="BE31" s="3" cm="1">
        <f t="array" ref="BE31:BE59">IF(BE$30&lt;&gt;"",_xlfn._xlws.SORT(_xlfn.UNIQUE(_xlfn._xlws.FILTER(INPUT_VTS_REGIE[Vt Nummer],INPUT_VTS_REGIE[Key_Ent_Stelplaats]='Cascading Filter'!BE$30))),"")</f>
        <v>2485</v>
      </c>
      <c r="BF31" s="3" cm="1">
        <f t="array" ref="BF31:BF43">IF(BF$30&lt;&gt;"",_xlfn._xlws.SORT(_xlfn.UNIQUE(_xlfn._xlws.FILTER(INPUT_VTS_REGIE[Vt Nummer],INPUT_VTS_REGIE[Key_Ent_Stelplaats]='Cascading Filter'!BF$30))),"")</f>
        <v>2441</v>
      </c>
      <c r="BG31" s="3" cm="1">
        <f t="array" ref="BG31:BG73">IF(BG$30&lt;&gt;"",_xlfn._xlws.SORT(_xlfn.UNIQUE(_xlfn._xlws.FILTER(INPUT_VTS_REGIE[Vt Nummer],INPUT_VTS_REGIE[Key_Ent_Stelplaats]='Cascading Filter'!BG$30))),"")</f>
        <v>2259</v>
      </c>
      <c r="BH31" s="3" cm="1">
        <f t="array" ref="BH31:BH71">IF(BH$30&lt;&gt;"",_xlfn._xlws.SORT(_xlfn.UNIQUE(_xlfn._xlws.FILTER(INPUT_VTS_REGIE[Vt Nummer],INPUT_VTS_REGIE[Key_Ent_Stelplaats]='Cascading Filter'!BH$30))),"")</f>
        <v>2619</v>
      </c>
      <c r="BI31" s="3" cm="1">
        <f t="array" ref="BI31:BI64">IF(BI$30&lt;&gt;"",_xlfn._xlws.SORT(_xlfn.UNIQUE(_xlfn._xlws.FILTER(INPUT_VTS_REGIE[Vt Nummer],INPUT_VTS_REGIE[Key_Ent_Stelplaats]='Cascading Filter'!BI$30))),"")</f>
        <v>2349</v>
      </c>
      <c r="BJ31" s="3" cm="1">
        <f t="array" ref="BJ31:BJ32">IF(BJ$30&lt;&gt;"",_xlfn._xlws.SORT(_xlfn.UNIQUE(_xlfn._xlws.FILTER(INPUT_VTS_REGIE[Vt Nummer],INPUT_VTS_REGIE[Key_Ent_Stelplaats]='Cascading Filter'!BJ$30))),"")</f>
        <v>4478</v>
      </c>
      <c r="BK31" s="3" cm="1">
        <f t="array" ref="BK31:BK155">IF(BK$30&lt;&gt;"",_xlfn._xlws.SORT(_xlfn.UNIQUE(_xlfn._xlws.FILTER(INPUT_VTS_REGIE[Vt Nummer],INPUT_VTS_REGIE[Key_Ent_Stelplaats]='Cascading Filter'!BK$30))),"")</f>
        <v>2165</v>
      </c>
      <c r="BL31" s="3" cm="1">
        <f t="array" ref="BL31">IF(BL$30&lt;&gt;"",_xlfn._xlws.SORT(_xlfn.UNIQUE(_xlfn._xlws.FILTER(INPUT_VTS_REGIE[Vt Nummer],INPUT_VTS_REGIE[Key_Ent_Stelplaats]='Cascading Filter'!BL$30))),"")</f>
        <v>5245</v>
      </c>
      <c r="BM31" s="3" cm="1">
        <f t="array" ref="BM31">IF(BM$30&lt;&gt;"",_xlfn._xlws.SORT(_xlfn.UNIQUE(_xlfn._xlws.FILTER(INPUT_VTS_REGIE[Vt Nummer],INPUT_VTS_REGIE[Key_Ent_Stelplaats]='Cascading Filter'!BM$30))),"")</f>
        <v>4599</v>
      </c>
      <c r="BN31" s="3" cm="1">
        <f t="array" ref="BN31:BN65">IF(BN$30&lt;&gt;"",_xlfn._xlws.SORT(_xlfn.UNIQUE(_xlfn._xlws.FILTER(INPUT_VTS_REGIE[Vt Nummer],INPUT_VTS_REGIE[Key_Ent_Stelplaats]='Cascading Filter'!BN$30))),"")</f>
        <v>4258</v>
      </c>
      <c r="BO31" s="3" cm="1">
        <f t="array" ref="BO31:BO43">IF(BO$30&lt;&gt;"",_xlfn._xlws.SORT(_xlfn.UNIQUE(_xlfn._xlws.FILTER(INPUT_VTS_REGIE[Vt Nummer],INPUT_VTS_REGIE[Key_Ent_Stelplaats]='Cascading Filter'!BO$30))),"")</f>
        <v>4695</v>
      </c>
      <c r="BP31" s="3" cm="1">
        <f t="array" ref="BP31:BP107">IF(BP$30&lt;&gt;"",_xlfn._xlws.SORT(_xlfn.UNIQUE(_xlfn._xlws.FILTER(INPUT_VTS_REGIE[Vt Nummer],INPUT_VTS_REGIE[Key_Ent_Stelplaats]='Cascading Filter'!BP$30))),"")</f>
        <v>2146</v>
      </c>
      <c r="BQ31" s="3" cm="1">
        <f t="array" ref="BQ31:BQ37">IF(BQ$30&lt;&gt;"",_xlfn._xlws.SORT(_xlfn.UNIQUE(_xlfn._xlws.FILTER(INPUT_VTS_REGIE[Vt Nummer],INPUT_VTS_REGIE[Key_Ent_Stelplaats]='Cascading Filter'!BQ$30))),"")</f>
        <v>2899</v>
      </c>
      <c r="BR31" s="3" cm="1">
        <f t="array" ref="BR31:BR168">IF(BR$30&lt;&gt;"",_xlfn._xlws.SORT(_xlfn.UNIQUE(_xlfn._xlws.FILTER(INPUT_VTS_REGIE[Vt Nummer],INPUT_VTS_REGIE[Key_Ent_Stelplaats]='Cascading Filter'!BR$30))),"")</f>
        <v>2176</v>
      </c>
      <c r="BS31" s="3" cm="1">
        <f t="array" ref="BS31:BS43">IF(BS$30&lt;&gt;"",_xlfn._xlws.SORT(_xlfn.UNIQUE(_xlfn._xlws.FILTER(INPUT_VTS_REGIE[Vt Nummer],INPUT_VTS_REGIE[Key_Ent_Stelplaats]='Cascading Filter'!BS$30))),"")</f>
        <v>6002</v>
      </c>
      <c r="BT31" s="3" t="str" cm="1">
        <f t="array" ref="BT31">IF(BT$30&lt;&gt;"",_xlfn._xlws.SORT(_xlfn.UNIQUE(_xlfn._xlws.FILTER(INPUT_VTS_REGIE[Vt Nummer],INPUT_VTS_REGIE[Key_Ent_Stelplaats]='Cascading Filter'!BT$30))),"")</f>
        <v/>
      </c>
      <c r="BU31" s="3" t="str" cm="1">
        <f t="array" ref="BU31">IF(BU$30&lt;&gt;"",_xlfn._xlws.SORT(_xlfn.UNIQUE(_xlfn._xlws.FILTER(INPUT_VTS_REGIE[Vt Nummer],INPUT_VTS_REGIE[Key_Ent_Stelplaats]='Cascading Filter'!BU$30))),"")</f>
        <v/>
      </c>
      <c r="BV31" s="3" t="str" cm="1">
        <f t="array" ref="BV31">IF(BV$30&lt;&gt;"",_xlfn._xlws.SORT(_xlfn.UNIQUE(_xlfn._xlws.FILTER(INPUT_VTS_REGIE[Vt Nummer],INPUT_VTS_REGIE[Key_Ent_Stelplaats]='Cascading Filter'!BV$30))),"")</f>
        <v/>
      </c>
      <c r="BW31" s="3" t="str" cm="1">
        <f t="array" ref="BW31">IF(BW$30&lt;&gt;"",_xlfn._xlws.SORT(_xlfn.UNIQUE(_xlfn._xlws.FILTER(INPUT_VTS_REGIE[Vt Nummer],INPUT_VTS_REGIE[Key_Ent_Stelplaats]='Cascading Filter'!BW$30))),"")</f>
        <v/>
      </c>
      <c r="BX31" s="3" t="str" cm="1">
        <f t="array" ref="BX31">IF(BX$30&lt;&gt;"",_xlfn._xlws.SORT(_xlfn.UNIQUE(_xlfn._xlws.FILTER(INPUT_VTS_REGIE[Vt Nummer],INPUT_VTS_REGIE[Key_Ent_Stelplaats]='Cascading Filter'!BX$30))),"")</f>
        <v/>
      </c>
      <c r="BY31" s="3" t="str" cm="1">
        <f t="array" ref="BY31">IF(BY$30&lt;&gt;"",_xlfn._xlws.SORT(_xlfn.UNIQUE(_xlfn._xlws.FILTER(INPUT_VTS_REGIE[Vt Nummer],INPUT_VTS_REGIE[Key_Ent_Stelplaats]='Cascading Filter'!BY$30))),"")</f>
        <v/>
      </c>
      <c r="BZ31" s="3" t="str" cm="1">
        <f t="array" ref="BZ31">IF(BZ$30&lt;&gt;"",_xlfn._xlws.SORT(_xlfn.UNIQUE(_xlfn._xlws.FILTER(INPUT_VTS_REGIE[Vt Nummer],INPUT_VTS_REGIE[Key_Ent_Stelplaats]='Cascading Filter'!BZ$30))),"")</f>
        <v/>
      </c>
      <c r="CA31" s="3" t="str" cm="1">
        <f t="array" ref="CA31">IF(CA$30&lt;&gt;"",_xlfn._xlws.SORT(_xlfn.UNIQUE(_xlfn._xlws.FILTER(INPUT_VTS_REGIE[Vt Nummer],INPUT_VTS_REGIE[Key_Ent_Stelplaats]='Cascading Filter'!CA$30))),"")</f>
        <v/>
      </c>
      <c r="CB31" s="3" t="str" cm="1">
        <f t="array" ref="CB31">IF(CB$30&lt;&gt;"",_xlfn._xlws.SORT(_xlfn.UNIQUE(_xlfn._xlws.FILTER(INPUT_VTS_REGIE[Vt Nummer],INPUT_VTS_REGIE[Key_Ent_Stelplaats]='Cascading Filter'!CB$30))),"")</f>
        <v/>
      </c>
      <c r="CC31" s="3" t="str" cm="1">
        <f t="array" ref="CC31">IF(CC$30&lt;&gt;"",_xlfn._xlws.SORT(_xlfn.UNIQUE(_xlfn._xlws.FILTER(INPUT_VTS_REGIE[Vt Nummer],INPUT_VTS_REGIE[Key_Ent_Stelplaats]='Cascading Filter'!CC$30))),"")</f>
        <v/>
      </c>
      <c r="CD31" s="3" t="str" cm="1">
        <f t="array" ref="CD31">IF(CD$30&lt;&gt;"",_xlfn._xlws.SORT(_xlfn.UNIQUE(_xlfn._xlws.FILTER(INPUT_VTS_REGIE[Vt Nummer],INPUT_VTS_REGIE[Key_Ent_Stelplaats]='Cascading Filter'!CD$30))),"")</f>
        <v/>
      </c>
      <c r="CE31" s="3" t="str" cm="1">
        <f t="array" ref="CE31">IF(CE$30&lt;&gt;"",_xlfn._xlws.SORT(_xlfn.UNIQUE(_xlfn._xlws.FILTER(INPUT_VTS_REGIE[Vt Nummer],INPUT_VTS_REGIE[Key_Ent_Stelplaats]='Cascading Filter'!CE$30))),"")</f>
        <v/>
      </c>
      <c r="CF31" s="3" t="str" cm="1">
        <f t="array" ref="CF31">IF(CF$30&lt;&gt;"",_xlfn._xlws.SORT(_xlfn.UNIQUE(_xlfn._xlws.FILTER(INPUT_VTS_REGIE[Vt Nummer],INPUT_VTS_REGIE[Key_Ent_Stelplaats]='Cascading Filter'!CF$30))),"")</f>
        <v/>
      </c>
      <c r="CG31" s="3" t="str" cm="1">
        <f t="array" ref="CG31">IF(CG$30&lt;&gt;"",_xlfn._xlws.SORT(_xlfn.UNIQUE(_xlfn._xlws.FILTER(INPUT_VTS_REGIE[Vt Nummer],INPUT_VTS_REGIE[Key_Ent_Stelplaats]='Cascading Filter'!CG$30))),"")</f>
        <v/>
      </c>
      <c r="CH31" s="3" t="str" cm="1">
        <f t="array" ref="CH31">IF(CH$30&lt;&gt;"",_xlfn._xlws.SORT(_xlfn.UNIQUE(_xlfn._xlws.FILTER(INPUT_VTS_REGIE[Vt Nummer],INPUT_VTS_REGIE[Key_Ent_Stelplaats]='Cascading Filter'!CH$30))),"")</f>
        <v/>
      </c>
      <c r="CI31" s="3" t="str" cm="1">
        <f t="array" ref="CI31">IF(CI$30&lt;&gt;"",_xlfn._xlws.SORT(_xlfn.UNIQUE(_xlfn._xlws.FILTER(INPUT_VTS_REGIE[Vt Nummer],INPUT_VTS_REGIE[Key_Ent_Stelplaats]='Cascading Filter'!CI$30))),"")</f>
        <v/>
      </c>
      <c r="CJ31" s="3" t="str" cm="1">
        <f t="array" ref="CJ31">IF(CJ$30&lt;&gt;"",_xlfn._xlws.SORT(_xlfn.UNIQUE(_xlfn._xlws.FILTER(INPUT_VTS_REGIE[Vt Nummer],INPUT_VTS_REGIE[Key_Ent_Stelplaats]='Cascading Filter'!CJ$30))),"")</f>
        <v/>
      </c>
      <c r="CK31" s="3" t="str" cm="1">
        <f t="array" ref="CK31">IF(CK$30&lt;&gt;"",_xlfn._xlws.SORT(_xlfn.UNIQUE(_xlfn._xlws.FILTER(INPUT_VTS_REGIE[Vt Nummer],INPUT_VTS_REGIE[Key_Ent_Stelplaats]='Cascading Filter'!CK$30))),"")</f>
        <v/>
      </c>
      <c r="CL31" s="3" t="str" cm="1">
        <f t="array" ref="CL31">IF(CL$30&lt;&gt;"",_xlfn._xlws.SORT(_xlfn.UNIQUE(_xlfn._xlws.FILTER(INPUT_VTS_REGIE[Vt Nummer],INPUT_VTS_REGIE[Key_Ent_Stelplaats]='Cascading Filter'!CL$30))),"")</f>
        <v/>
      </c>
      <c r="CM31" s="3" t="str" cm="1">
        <f t="array" ref="CM31">IF(CM$30&lt;&gt;"",_xlfn._xlws.SORT(_xlfn.UNIQUE(_xlfn._xlws.FILTER(INPUT_VTS_REGIE[Vt Nummer],INPUT_VTS_REGIE[Key_Ent_Stelplaats]='Cascading Filter'!CM$30))),"")</f>
        <v/>
      </c>
      <c r="CN31" s="3" t="str" cm="1">
        <f t="array" ref="CN31">IF(CN$30&lt;&gt;"",_xlfn._xlws.SORT(_xlfn.UNIQUE(_xlfn._xlws.FILTER(INPUT_VTS_REGIE[Vt Nummer],INPUT_VTS_REGIE[Key_Ent_Stelplaats]='Cascading Filter'!CN$30))),"")</f>
        <v/>
      </c>
      <c r="CO31" s="3" t="str" cm="1">
        <f t="array" ref="CO31">IF(CO$30&lt;&gt;"",_xlfn._xlws.SORT(_xlfn.UNIQUE(_xlfn._xlws.FILTER(INPUT_VTS_REGIE[Vt Nummer],INPUT_VTS_REGIE[Key_Ent_Stelplaats]='Cascading Filter'!CO$30))),"")</f>
        <v/>
      </c>
      <c r="CP31" s="3" t="str" cm="1">
        <f t="array" ref="CP31">IF(CP$30&lt;&gt;"",_xlfn._xlws.SORT(_xlfn.UNIQUE(_xlfn._xlws.FILTER(INPUT_VTS_REGIE[Vt Nummer],INPUT_VTS_REGIE[Key_Ent_Stelplaats]='Cascading Filter'!CP$30))),"")</f>
        <v/>
      </c>
      <c r="CQ31" s="3" t="str" cm="1">
        <f t="array" ref="CQ31">IF(CQ$30&lt;&gt;"",_xlfn._xlws.SORT(_xlfn.UNIQUE(_xlfn._xlws.FILTER(INPUT_VTS_REGIE[Vt Nummer],INPUT_VTS_REGIE[Key_Ent_Stelplaats]='Cascading Filter'!CQ$30))),"")</f>
        <v/>
      </c>
      <c r="CR31" s="3" t="str" cm="1">
        <f t="array" ref="CR31">IF(CR$30&lt;&gt;"",_xlfn._xlws.SORT(_xlfn.UNIQUE(_xlfn._xlws.FILTER(INPUT_VTS_REGIE[Vt Nummer],INPUT_VTS_REGIE[Key_Ent_Stelplaats]='Cascading Filter'!CR$30))),"")</f>
        <v/>
      </c>
      <c r="CS31" s="3" t="str" cm="1">
        <f t="array" ref="CS31">IF(CS$30&lt;&gt;"",_xlfn._xlws.SORT(_xlfn.UNIQUE(_xlfn._xlws.FILTER(INPUT_VTS_REGIE[Vt Nummer],INPUT_VTS_REGIE[Key_Ent_Stelplaats]='Cascading Filter'!CS$30))),"")</f>
        <v/>
      </c>
      <c r="CT31" s="3" t="str" cm="1">
        <f t="array" ref="CT31">IF(CT$30&lt;&gt;"",_xlfn._xlws.SORT(_xlfn.UNIQUE(_xlfn._xlws.FILTER(INPUT_VTS_REGIE[Vt Nummer],INPUT_VTS_REGIE[Key_Ent_Stelplaats]='Cascading Filter'!CT$30))),"")</f>
        <v/>
      </c>
      <c r="CU31" s="3" t="str" cm="1">
        <f t="array" ref="CU31">IF(CU$30&lt;&gt;"",_xlfn._xlws.SORT(_xlfn.UNIQUE(_xlfn._xlws.FILTER(INPUT_VTS_REGIE[Vt Nummer],INPUT_VTS_REGIE[Key_Ent_Stelplaats]='Cascading Filter'!CU$30))),"")</f>
        <v/>
      </c>
      <c r="CV31" t="str" cm="1">
        <f t="array" ref="CV31">IF(CV$30&lt;&gt;"",_xlfn._xlws.SORT(_xlfn.UNIQUE(_xlfn._xlws.FILTER(INPUT_VTS_REGIE[Vt Nummer],INPUT_VTS_REGIE[Key_Ent_Stelplaats]='Cascading Filter'!CV$30))),"")</f>
        <v/>
      </c>
      <c r="CW31" t="str" cm="1">
        <f t="array" ref="CW31">IF(CW$30&lt;&gt;"",_xlfn._xlws.SORT(_xlfn.UNIQUE(_xlfn._xlws.FILTER(INPUT_VTS_REGIE[Vt Nummer],INPUT_VTS_REGIE[Key_Ent_Stelplaats]='Cascading Filter'!CW$30))),"")</f>
        <v/>
      </c>
      <c r="CX31" t="str" cm="1">
        <f t="array" ref="CX31">IF(CX$30&lt;&gt;"",_xlfn._xlws.SORT(_xlfn.UNIQUE(_xlfn._xlws.FILTER(INPUT_VTS_REGIE[Vt Nummer],INPUT_VTS_REGIE[Key_Ent_Stelplaats]='Cascading Filter'!CX$30))),"")</f>
        <v/>
      </c>
      <c r="CY31" t="str" cm="1">
        <f t="array" ref="CY31">IF(CY$30&lt;&gt;"",_xlfn._xlws.SORT(_xlfn.UNIQUE(_xlfn._xlws.FILTER(INPUT_VTS_REGIE[Vt Nummer],INPUT_VTS_REGIE[Key_Ent_Stelplaats]='Cascading Filter'!CY$30))),"")</f>
        <v/>
      </c>
      <c r="CZ31" t="str" cm="1">
        <f t="array" ref="CZ31">IF(CZ$30&lt;&gt;"",_xlfn._xlws.SORT(_xlfn.UNIQUE(_xlfn._xlws.FILTER(INPUT_VTS_REGIE[Vt Nummer],INPUT_VTS_REGIE[Key_Ent_Stelplaats]='Cascading Filter'!CZ$30))),"")</f>
        <v/>
      </c>
      <c r="DA31" t="str" cm="1">
        <f t="array" ref="DA31">IF(DA$30&lt;&gt;"",_xlfn._xlws.SORT(_xlfn.UNIQUE(_xlfn._xlws.FILTER(INPUT_VTS_REGIE[Vt Nummer],INPUT_VTS_REGIE[Key_Ent_Stelplaats]='Cascading Filter'!DA$30))),"")</f>
        <v/>
      </c>
      <c r="DB31" t="str" cm="1">
        <f t="array" ref="DB31">IF(DB$30&lt;&gt;"",_xlfn._xlws.SORT(_xlfn.UNIQUE(_xlfn._xlws.FILTER(INPUT_VTS_REGIE[Vt Nummer],INPUT_VTS_REGIE[Key_Ent_Stelplaats]='Cascading Filter'!DB$30))),"")</f>
        <v/>
      </c>
      <c r="DC31" t="str" cm="1">
        <f t="array" ref="DC31">IF(DC$30&lt;&gt;"",_xlfn._xlws.SORT(_xlfn.UNIQUE(_xlfn._xlws.FILTER(INPUT_VTS_REGIE[Vt Nummer],INPUT_VTS_REGIE[Key_Ent_Stelplaats]='Cascading Filter'!DC$30))),"")</f>
        <v/>
      </c>
      <c r="DD31" t="str" cm="1">
        <f t="array" ref="DD31">IF(DD$30&lt;&gt;"",_xlfn._xlws.SORT(_xlfn.UNIQUE(_xlfn._xlws.FILTER(INPUT_VTS_REGIE[Vt Nummer],INPUT_VTS_REGIE[Key_Ent_Stelplaats]='Cascading Filter'!DD$30))),"")</f>
        <v/>
      </c>
      <c r="DE31" t="str" cm="1">
        <f t="array" ref="DE31">IF(DE$30&lt;&gt;"",_xlfn._xlws.SORT(_xlfn.UNIQUE(_xlfn._xlws.FILTER(INPUT_VTS_REGIE[Vt Nummer],INPUT_VTS_REGIE[Key_Ent_Stelplaats]='Cascading Filter'!DE$30))),"")</f>
        <v/>
      </c>
    </row>
    <row r="32" spans="4:109" x14ac:dyDescent="0.25">
      <c r="D32">
        <v>2229</v>
      </c>
      <c r="E32">
        <v>2643</v>
      </c>
      <c r="G32">
        <v>7311</v>
      </c>
      <c r="H32">
        <v>7002</v>
      </c>
      <c r="I32">
        <v>2026</v>
      </c>
      <c r="K32" s="3">
        <v>2001</v>
      </c>
      <c r="L32" s="3">
        <v>2030</v>
      </c>
      <c r="M32" s="3">
        <v>2113</v>
      </c>
      <c r="N32" s="3">
        <v>2042</v>
      </c>
      <c r="O32" s="3">
        <v>6205</v>
      </c>
      <c r="P32" s="3">
        <v>2382</v>
      </c>
      <c r="Q32" s="3">
        <v>2632</v>
      </c>
      <c r="R32" s="3">
        <v>2014</v>
      </c>
      <c r="T32" s="3">
        <v>5624</v>
      </c>
      <c r="U32" s="3">
        <v>4789</v>
      </c>
      <c r="X32" s="3">
        <v>4621</v>
      </c>
      <c r="Z32" s="3">
        <v>7017</v>
      </c>
      <c r="AB32" s="3">
        <v>4386</v>
      </c>
      <c r="AC32" s="3">
        <v>4304</v>
      </c>
      <c r="AE32" s="3">
        <v>4680</v>
      </c>
      <c r="AG32" s="3">
        <v>2072</v>
      </c>
      <c r="AH32" s="3">
        <v>2087</v>
      </c>
      <c r="AJ32" s="3">
        <v>2209</v>
      </c>
      <c r="AL32" s="3">
        <v>5556</v>
      </c>
      <c r="AM32" s="3">
        <v>2212</v>
      </c>
      <c r="AN32" s="3">
        <v>4682</v>
      </c>
      <c r="AO32" s="3">
        <v>2867</v>
      </c>
      <c r="AP32" s="3">
        <v>2836</v>
      </c>
      <c r="AQ32" s="3">
        <v>2045</v>
      </c>
      <c r="AR32" s="3">
        <v>2196</v>
      </c>
      <c r="AS32" s="3">
        <v>4239</v>
      </c>
      <c r="AT32" s="3">
        <v>4625</v>
      </c>
      <c r="AU32" s="3">
        <v>2189</v>
      </c>
      <c r="AV32" s="3">
        <v>2588</v>
      </c>
      <c r="AX32" s="3">
        <v>5182</v>
      </c>
      <c r="AY32" s="3">
        <v>2288</v>
      </c>
      <c r="AZ32" s="3">
        <v>2552</v>
      </c>
      <c r="BA32" s="3">
        <v>2295</v>
      </c>
      <c r="BB32" s="3">
        <v>5169</v>
      </c>
      <c r="BC32" s="3">
        <v>2428</v>
      </c>
      <c r="BD32" s="3">
        <v>2604</v>
      </c>
      <c r="BE32" s="3">
        <v>2489</v>
      </c>
      <c r="BF32" s="3">
        <v>4360</v>
      </c>
      <c r="BG32" s="3">
        <v>2260</v>
      </c>
      <c r="BH32" s="3">
        <v>2620</v>
      </c>
      <c r="BI32" s="3">
        <v>2350</v>
      </c>
      <c r="BJ32" s="3">
        <v>4482</v>
      </c>
      <c r="BK32" s="3">
        <v>2166</v>
      </c>
      <c r="BN32" s="3">
        <v>4977</v>
      </c>
      <c r="BO32" s="3">
        <v>4696</v>
      </c>
      <c r="BP32" s="3">
        <v>2147</v>
      </c>
      <c r="BQ32" s="3">
        <v>2900</v>
      </c>
      <c r="BR32" s="3">
        <v>2177</v>
      </c>
      <c r="BS32" s="3">
        <v>6003</v>
      </c>
    </row>
    <row r="33" spans="4:71" x14ac:dyDescent="0.25">
      <c r="D33">
        <v>2230</v>
      </c>
      <c r="E33">
        <v>2644</v>
      </c>
      <c r="G33">
        <v>7312</v>
      </c>
      <c r="H33">
        <v>7007</v>
      </c>
      <c r="I33">
        <v>2509</v>
      </c>
      <c r="K33" s="3">
        <v>2002</v>
      </c>
      <c r="L33" s="3">
        <v>2031</v>
      </c>
      <c r="M33" s="3">
        <v>2144</v>
      </c>
      <c r="N33" s="3">
        <v>2043</v>
      </c>
      <c r="O33" s="3">
        <v>6207</v>
      </c>
      <c r="P33" s="3">
        <v>2386</v>
      </c>
      <c r="Q33" s="3">
        <v>2633</v>
      </c>
      <c r="R33" s="3">
        <v>2015</v>
      </c>
      <c r="T33" s="3">
        <v>5625</v>
      </c>
      <c r="U33" s="3">
        <v>4792</v>
      </c>
      <c r="X33" s="3">
        <v>4622</v>
      </c>
      <c r="Z33" s="3">
        <v>7054</v>
      </c>
      <c r="AB33" s="3">
        <v>4401</v>
      </c>
      <c r="AC33" s="3">
        <v>4341</v>
      </c>
      <c r="AG33" s="3">
        <v>2073</v>
      </c>
      <c r="AH33" s="3">
        <v>2088</v>
      </c>
      <c r="AJ33" s="3">
        <v>2210</v>
      </c>
      <c r="AL33" s="3">
        <v>5557</v>
      </c>
      <c r="AM33" s="3">
        <v>2798</v>
      </c>
      <c r="AN33" s="3">
        <v>4683</v>
      </c>
      <c r="AO33" s="3">
        <v>2869</v>
      </c>
      <c r="AP33" s="3">
        <v>2843</v>
      </c>
      <c r="AQ33" s="3">
        <v>2046</v>
      </c>
      <c r="AR33" s="3">
        <v>2197</v>
      </c>
      <c r="AS33" s="3">
        <v>4240</v>
      </c>
      <c r="AT33" s="3">
        <v>4647</v>
      </c>
      <c r="AU33" s="3">
        <v>2190</v>
      </c>
      <c r="AV33" s="3">
        <v>2589</v>
      </c>
      <c r="AY33" s="3">
        <v>2290</v>
      </c>
      <c r="AZ33" s="3">
        <v>2553</v>
      </c>
      <c r="BA33" s="3">
        <v>2296</v>
      </c>
      <c r="BB33" s="3">
        <v>5170</v>
      </c>
      <c r="BC33" s="3">
        <v>2429</v>
      </c>
      <c r="BD33" s="3">
        <v>2605</v>
      </c>
      <c r="BE33" s="3">
        <v>2492</v>
      </c>
      <c r="BF33" s="3">
        <v>4361</v>
      </c>
      <c r="BG33" s="3">
        <v>2261</v>
      </c>
      <c r="BH33" s="3">
        <v>2621</v>
      </c>
      <c r="BI33" s="3">
        <v>2351</v>
      </c>
      <c r="BK33" s="3">
        <v>2167</v>
      </c>
      <c r="BN33" s="3">
        <v>5137</v>
      </c>
      <c r="BO33" s="3">
        <v>4697</v>
      </c>
      <c r="BP33" s="3">
        <v>2148</v>
      </c>
      <c r="BQ33" s="3">
        <v>4297</v>
      </c>
      <c r="BR33" s="3">
        <v>2178</v>
      </c>
      <c r="BS33" s="3">
        <v>6007</v>
      </c>
    </row>
    <row r="34" spans="4:71" x14ac:dyDescent="0.25">
      <c r="D34">
        <v>2231</v>
      </c>
      <c r="E34">
        <v>2645</v>
      </c>
      <c r="G34">
        <v>7313</v>
      </c>
      <c r="H34">
        <v>7008</v>
      </c>
      <c r="I34">
        <v>4762</v>
      </c>
      <c r="K34" s="3">
        <v>2003</v>
      </c>
      <c r="L34" s="3">
        <v>2032</v>
      </c>
      <c r="M34" s="3">
        <v>2145</v>
      </c>
      <c r="N34" s="3">
        <v>2512</v>
      </c>
      <c r="O34" s="3">
        <v>6214</v>
      </c>
      <c r="Q34" s="3">
        <v>2634</v>
      </c>
      <c r="R34" s="3">
        <v>2016</v>
      </c>
      <c r="T34" s="3">
        <v>5626</v>
      </c>
      <c r="U34" s="3">
        <v>5628</v>
      </c>
      <c r="X34" s="3">
        <v>4627</v>
      </c>
      <c r="Z34" s="3">
        <v>7096</v>
      </c>
      <c r="AB34" s="3">
        <v>4710</v>
      </c>
      <c r="AC34" s="3">
        <v>4350</v>
      </c>
      <c r="AG34" s="3">
        <v>2074</v>
      </c>
      <c r="AH34" s="3">
        <v>2089</v>
      </c>
      <c r="AJ34" s="3">
        <v>2213</v>
      </c>
      <c r="AL34" s="3">
        <v>5558</v>
      </c>
      <c r="AM34" s="3">
        <v>2868</v>
      </c>
      <c r="AN34" s="3">
        <v>4684</v>
      </c>
      <c r="AO34" s="3">
        <v>2870</v>
      </c>
      <c r="AP34" s="3">
        <v>2844</v>
      </c>
      <c r="AQ34" s="3">
        <v>2047</v>
      </c>
      <c r="AR34" s="3">
        <v>2198</v>
      </c>
      <c r="AS34" s="3">
        <v>4242</v>
      </c>
      <c r="AT34" s="3">
        <v>5910</v>
      </c>
      <c r="AU34" s="3">
        <v>2191</v>
      </c>
      <c r="AV34" s="3">
        <v>2590</v>
      </c>
      <c r="AY34" s="3">
        <v>2291</v>
      </c>
      <c r="AZ34" s="3">
        <v>2554</v>
      </c>
      <c r="BA34" s="3">
        <v>2297</v>
      </c>
      <c r="BB34" s="3">
        <v>5171</v>
      </c>
      <c r="BC34" s="3">
        <v>2430</v>
      </c>
      <c r="BD34" s="3">
        <v>2606</v>
      </c>
      <c r="BE34" s="3">
        <v>2493</v>
      </c>
      <c r="BF34" s="3">
        <v>4362</v>
      </c>
      <c r="BG34" s="3">
        <v>2262</v>
      </c>
      <c r="BH34" s="3">
        <v>2622</v>
      </c>
      <c r="BI34" s="3">
        <v>2352</v>
      </c>
      <c r="BK34" s="3">
        <v>2168</v>
      </c>
      <c r="BN34" s="3">
        <v>5138</v>
      </c>
      <c r="BO34" s="3">
        <v>4698</v>
      </c>
      <c r="BP34" s="3">
        <v>2149</v>
      </c>
      <c r="BQ34" s="3">
        <v>4301</v>
      </c>
      <c r="BR34" s="3">
        <v>2179</v>
      </c>
      <c r="BS34" s="3">
        <v>6008</v>
      </c>
    </row>
    <row r="35" spans="4:71" x14ac:dyDescent="0.25">
      <c r="D35">
        <v>2232</v>
      </c>
      <c r="E35">
        <v>2646</v>
      </c>
      <c r="G35">
        <v>7314</v>
      </c>
      <c r="H35">
        <v>7022</v>
      </c>
      <c r="I35">
        <v>4763</v>
      </c>
      <c r="K35" s="3">
        <v>2004</v>
      </c>
      <c r="L35" s="3">
        <v>2033</v>
      </c>
      <c r="M35" s="3">
        <v>2284</v>
      </c>
      <c r="N35" s="3">
        <v>2513</v>
      </c>
      <c r="O35" s="3">
        <v>6217</v>
      </c>
      <c r="Q35" s="3">
        <v>2635</v>
      </c>
      <c r="R35" s="3">
        <v>2017</v>
      </c>
      <c r="T35" s="3">
        <v>5627</v>
      </c>
      <c r="U35" s="3">
        <v>5629</v>
      </c>
      <c r="X35" s="3">
        <v>4646</v>
      </c>
      <c r="Z35" s="3">
        <v>7127</v>
      </c>
      <c r="AC35" s="3">
        <v>4365</v>
      </c>
      <c r="AG35" s="3">
        <v>2075</v>
      </c>
      <c r="AH35" s="3">
        <v>2090</v>
      </c>
      <c r="AJ35" s="3">
        <v>2214</v>
      </c>
      <c r="AL35" s="3">
        <v>5642</v>
      </c>
      <c r="AM35" s="3">
        <v>4851</v>
      </c>
      <c r="AN35" s="3">
        <v>4685</v>
      </c>
      <c r="AO35" s="3">
        <v>2871</v>
      </c>
      <c r="AP35" s="3">
        <v>2845</v>
      </c>
      <c r="AQ35" s="3">
        <v>2048</v>
      </c>
      <c r="AR35" s="3">
        <v>2199</v>
      </c>
      <c r="AS35" s="3">
        <v>4664</v>
      </c>
      <c r="AT35" s="3">
        <v>5911</v>
      </c>
      <c r="AU35" s="3">
        <v>2192</v>
      </c>
      <c r="AV35" s="3">
        <v>2591</v>
      </c>
      <c r="AY35" s="3">
        <v>2292</v>
      </c>
      <c r="AZ35" s="3">
        <v>2555</v>
      </c>
      <c r="BA35" s="3">
        <v>2298</v>
      </c>
      <c r="BB35" s="3">
        <v>5172</v>
      </c>
      <c r="BC35" s="3">
        <v>2431</v>
      </c>
      <c r="BD35" s="3">
        <v>2607</v>
      </c>
      <c r="BE35" s="3">
        <v>2494</v>
      </c>
      <c r="BF35" s="3">
        <v>4363</v>
      </c>
      <c r="BG35" s="3">
        <v>2263</v>
      </c>
      <c r="BH35" s="3">
        <v>2623</v>
      </c>
      <c r="BI35" s="3">
        <v>2353</v>
      </c>
      <c r="BK35" s="3">
        <v>2169</v>
      </c>
      <c r="BN35" s="3">
        <v>5139</v>
      </c>
      <c r="BO35" s="3">
        <v>4699</v>
      </c>
      <c r="BP35" s="3">
        <v>2150</v>
      </c>
      <c r="BQ35" s="3">
        <v>4306</v>
      </c>
      <c r="BR35" s="3">
        <v>2180</v>
      </c>
      <c r="BS35" s="3">
        <v>6012</v>
      </c>
    </row>
    <row r="36" spans="4:71" x14ac:dyDescent="0.25">
      <c r="D36">
        <v>2233</v>
      </c>
      <c r="E36">
        <v>2647</v>
      </c>
      <c r="G36">
        <v>7315</v>
      </c>
      <c r="H36">
        <v>7045</v>
      </c>
      <c r="I36">
        <v>4767</v>
      </c>
      <c r="K36" s="3">
        <v>2005</v>
      </c>
      <c r="L36" s="3">
        <v>2034</v>
      </c>
      <c r="M36" s="3">
        <v>2285</v>
      </c>
      <c r="N36" s="3">
        <v>2517</v>
      </c>
      <c r="O36" s="3">
        <v>6220</v>
      </c>
      <c r="Q36" s="3">
        <v>2636</v>
      </c>
      <c r="R36" s="3">
        <v>2018</v>
      </c>
      <c r="U36" s="3">
        <v>5630</v>
      </c>
      <c r="X36" s="3">
        <v>4724</v>
      </c>
      <c r="AC36" s="3">
        <v>4477</v>
      </c>
      <c r="AG36" s="3">
        <v>2076</v>
      </c>
      <c r="AH36" s="3">
        <v>2091</v>
      </c>
      <c r="AJ36" s="3">
        <v>2215</v>
      </c>
      <c r="AL36" s="3">
        <v>5643</v>
      </c>
      <c r="AM36" s="3">
        <v>4853</v>
      </c>
      <c r="AN36" s="3">
        <v>4686</v>
      </c>
      <c r="AO36" s="3">
        <v>2872</v>
      </c>
      <c r="AP36" s="3">
        <v>2846</v>
      </c>
      <c r="AQ36" s="3">
        <v>2049</v>
      </c>
      <c r="AR36" s="3">
        <v>2200</v>
      </c>
      <c r="AS36" s="3">
        <v>4665</v>
      </c>
      <c r="AT36" s="3">
        <v>6334</v>
      </c>
      <c r="AU36" s="3">
        <v>2193</v>
      </c>
      <c r="AV36" s="3">
        <v>2592</v>
      </c>
      <c r="AY36" s="3">
        <v>2293</v>
      </c>
      <c r="AZ36" s="3">
        <v>2556</v>
      </c>
      <c r="BA36" s="3">
        <v>2299</v>
      </c>
      <c r="BB36" s="3">
        <v>5173</v>
      </c>
      <c r="BC36" s="3">
        <v>2437</v>
      </c>
      <c r="BD36" s="3">
        <v>2608</v>
      </c>
      <c r="BE36" s="3">
        <v>2495</v>
      </c>
      <c r="BF36" s="3">
        <v>4364</v>
      </c>
      <c r="BG36" s="3">
        <v>2274</v>
      </c>
      <c r="BH36" s="3">
        <v>2624</v>
      </c>
      <c r="BI36" s="3">
        <v>2354</v>
      </c>
      <c r="BK36" s="3">
        <v>2170</v>
      </c>
      <c r="BN36" s="3">
        <v>5140</v>
      </c>
      <c r="BO36" s="3">
        <v>5008</v>
      </c>
      <c r="BP36" s="3">
        <v>2151</v>
      </c>
      <c r="BQ36" s="3">
        <v>4593</v>
      </c>
      <c r="BR36" s="3">
        <v>2181</v>
      </c>
      <c r="BS36" s="3">
        <v>6013</v>
      </c>
    </row>
    <row r="37" spans="4:71" x14ac:dyDescent="0.25">
      <c r="D37">
        <v>2234</v>
      </c>
      <c r="E37">
        <v>2648</v>
      </c>
      <c r="G37">
        <v>7316</v>
      </c>
      <c r="H37">
        <v>7052</v>
      </c>
      <c r="I37">
        <v>5528</v>
      </c>
      <c r="K37" s="3">
        <v>2006</v>
      </c>
      <c r="L37" s="3">
        <v>2035</v>
      </c>
      <c r="M37" s="3">
        <v>2286</v>
      </c>
      <c r="N37" s="3">
        <v>2520</v>
      </c>
      <c r="O37" s="3">
        <v>7201</v>
      </c>
      <c r="Q37" s="3">
        <v>2637</v>
      </c>
      <c r="R37" s="3">
        <v>2019</v>
      </c>
      <c r="U37" s="3">
        <v>5631</v>
      </c>
      <c r="X37" s="3">
        <v>4803</v>
      </c>
      <c r="AC37" s="3">
        <v>4519</v>
      </c>
      <c r="AG37" s="3">
        <v>2077</v>
      </c>
      <c r="AH37" s="3">
        <v>2092</v>
      </c>
      <c r="AJ37" s="3">
        <v>2216</v>
      </c>
      <c r="AL37" s="3">
        <v>5665</v>
      </c>
      <c r="AM37" s="3">
        <v>4873</v>
      </c>
      <c r="AN37" s="3">
        <v>4687</v>
      </c>
      <c r="AO37" s="3">
        <v>2873</v>
      </c>
      <c r="AP37" s="3">
        <v>2847</v>
      </c>
      <c r="AQ37" s="3">
        <v>2050</v>
      </c>
      <c r="AR37" s="3">
        <v>2201</v>
      </c>
      <c r="AS37" s="3">
        <v>4666</v>
      </c>
      <c r="AT37" s="3">
        <v>6335</v>
      </c>
      <c r="AU37" s="3">
        <v>2194</v>
      </c>
      <c r="AV37" s="3">
        <v>2593</v>
      </c>
      <c r="AY37" s="3">
        <v>2329</v>
      </c>
      <c r="AZ37" s="3">
        <v>2557</v>
      </c>
      <c r="BA37" s="3">
        <v>2300</v>
      </c>
      <c r="BB37" s="3">
        <v>5175</v>
      </c>
      <c r="BC37" s="3">
        <v>2438</v>
      </c>
      <c r="BD37" s="3">
        <v>2609</v>
      </c>
      <c r="BE37" s="3">
        <v>2497</v>
      </c>
      <c r="BF37" s="3">
        <v>4366</v>
      </c>
      <c r="BG37" s="3">
        <v>2275</v>
      </c>
      <c r="BH37" s="3">
        <v>2625</v>
      </c>
      <c r="BI37" s="3">
        <v>2355</v>
      </c>
      <c r="BK37" s="3">
        <v>2171</v>
      </c>
      <c r="BN37" s="3">
        <v>5141</v>
      </c>
      <c r="BO37" s="3">
        <v>5009</v>
      </c>
      <c r="BP37" s="3">
        <v>2152</v>
      </c>
      <c r="BQ37" s="3">
        <v>6034</v>
      </c>
      <c r="BR37" s="3">
        <v>2182</v>
      </c>
      <c r="BS37" s="3">
        <v>6016</v>
      </c>
    </row>
    <row r="38" spans="4:71" x14ac:dyDescent="0.25">
      <c r="D38">
        <v>2235</v>
      </c>
      <c r="E38">
        <v>2649</v>
      </c>
      <c r="G38">
        <v>7317</v>
      </c>
      <c r="H38">
        <v>7055</v>
      </c>
      <c r="I38">
        <v>5529</v>
      </c>
      <c r="K38" s="3">
        <v>2007</v>
      </c>
      <c r="L38" s="3">
        <v>2036</v>
      </c>
      <c r="M38" s="3">
        <v>2289</v>
      </c>
      <c r="N38" s="3">
        <v>2525</v>
      </c>
      <c r="O38" s="3">
        <v>7202</v>
      </c>
      <c r="Q38" s="3">
        <v>2638</v>
      </c>
      <c r="R38" s="3">
        <v>2020</v>
      </c>
      <c r="U38" s="3">
        <v>5632</v>
      </c>
      <c r="AC38" s="3">
        <v>4543</v>
      </c>
      <c r="AG38" s="3">
        <v>2078</v>
      </c>
      <c r="AH38" s="3">
        <v>2093</v>
      </c>
      <c r="AJ38" s="3">
        <v>2217</v>
      </c>
      <c r="AL38" s="3">
        <v>5716</v>
      </c>
      <c r="AN38" s="3">
        <v>4858</v>
      </c>
      <c r="AO38" s="3">
        <v>2874</v>
      </c>
      <c r="AP38" s="3">
        <v>2848</v>
      </c>
      <c r="AQ38" s="3">
        <v>2051</v>
      </c>
      <c r="AR38" s="3">
        <v>2202</v>
      </c>
      <c r="AS38" s="3">
        <v>4667</v>
      </c>
      <c r="AT38" s="3">
        <v>6336</v>
      </c>
      <c r="AU38" s="3">
        <v>4338</v>
      </c>
      <c r="AV38" s="3">
        <v>2594</v>
      </c>
      <c r="AY38" s="3">
        <v>2330</v>
      </c>
      <c r="AZ38" s="3">
        <v>2558</v>
      </c>
      <c r="BA38" s="3">
        <v>2301</v>
      </c>
      <c r="BB38" s="3">
        <v>5176</v>
      </c>
      <c r="BC38" s="3">
        <v>2439</v>
      </c>
      <c r="BD38" s="3">
        <v>2610</v>
      </c>
      <c r="BE38" s="3">
        <v>2526</v>
      </c>
      <c r="BF38" s="3">
        <v>4367</v>
      </c>
      <c r="BG38" s="3">
        <v>2276</v>
      </c>
      <c r="BH38" s="3">
        <v>2626</v>
      </c>
      <c r="BI38" s="3">
        <v>2356</v>
      </c>
      <c r="BK38" s="3">
        <v>2172</v>
      </c>
      <c r="BN38" s="3">
        <v>5142</v>
      </c>
      <c r="BO38" s="3">
        <v>5010</v>
      </c>
      <c r="BP38" s="3">
        <v>2153</v>
      </c>
      <c r="BR38" s="3">
        <v>2183</v>
      </c>
      <c r="BS38" s="3">
        <v>6017</v>
      </c>
    </row>
    <row r="39" spans="4:71" x14ac:dyDescent="0.25">
      <c r="D39">
        <v>2236</v>
      </c>
      <c r="E39">
        <v>2650</v>
      </c>
      <c r="G39">
        <v>7318</v>
      </c>
      <c r="H39">
        <v>7056</v>
      </c>
      <c r="I39">
        <v>5530</v>
      </c>
      <c r="K39" s="3">
        <v>2008</v>
      </c>
      <c r="L39" s="3">
        <v>2037</v>
      </c>
      <c r="M39" s="3">
        <v>2396</v>
      </c>
      <c r="N39" s="3">
        <v>4804</v>
      </c>
      <c r="O39" s="3">
        <v>7203</v>
      </c>
      <c r="Q39" s="3">
        <v>2639</v>
      </c>
      <c r="R39" s="3">
        <v>2022</v>
      </c>
      <c r="U39" s="3">
        <v>5633</v>
      </c>
      <c r="AC39" s="3">
        <v>4544</v>
      </c>
      <c r="AG39" s="3">
        <v>2079</v>
      </c>
      <c r="AH39" s="3">
        <v>2094</v>
      </c>
      <c r="AJ39" s="3">
        <v>2218</v>
      </c>
      <c r="AL39" s="3">
        <v>5717</v>
      </c>
      <c r="AN39" s="3">
        <v>4917</v>
      </c>
      <c r="AO39" s="3">
        <v>4295</v>
      </c>
      <c r="AP39" s="3">
        <v>2849</v>
      </c>
      <c r="AQ39" s="3">
        <v>2052</v>
      </c>
      <c r="AR39" s="3">
        <v>2203</v>
      </c>
      <c r="AS39" s="3">
        <v>4668</v>
      </c>
      <c r="AT39" s="3">
        <v>6337</v>
      </c>
      <c r="AU39" s="3">
        <v>4344</v>
      </c>
      <c r="AV39" s="3">
        <v>2595</v>
      </c>
      <c r="AY39" s="3">
        <v>2331</v>
      </c>
      <c r="AZ39" s="3">
        <v>2559</v>
      </c>
      <c r="BA39" s="3">
        <v>2302</v>
      </c>
      <c r="BB39" s="3">
        <v>5177</v>
      </c>
      <c r="BC39" s="3">
        <v>2440</v>
      </c>
      <c r="BD39" s="3">
        <v>2611</v>
      </c>
      <c r="BE39" s="3">
        <v>2527</v>
      </c>
      <c r="BF39" s="3">
        <v>4368</v>
      </c>
      <c r="BG39" s="3">
        <v>2277</v>
      </c>
      <c r="BH39" s="3">
        <v>2627</v>
      </c>
      <c r="BI39" s="3">
        <v>2357</v>
      </c>
      <c r="BK39" s="3">
        <v>2173</v>
      </c>
      <c r="BN39" s="3">
        <v>5143</v>
      </c>
      <c r="BO39" s="3">
        <v>5011</v>
      </c>
      <c r="BP39" s="3">
        <v>2154</v>
      </c>
      <c r="BR39" s="3">
        <v>2184</v>
      </c>
      <c r="BS39" s="3">
        <v>6018</v>
      </c>
    </row>
    <row r="40" spans="4:71" x14ac:dyDescent="0.25">
      <c r="D40">
        <v>2237</v>
      </c>
      <c r="E40">
        <v>4752</v>
      </c>
      <c r="G40">
        <v>7319</v>
      </c>
      <c r="H40">
        <v>7059</v>
      </c>
      <c r="K40" s="3">
        <v>2009</v>
      </c>
      <c r="L40" s="3">
        <v>2038</v>
      </c>
      <c r="M40" s="3">
        <v>2397</v>
      </c>
      <c r="N40" s="3">
        <v>4805</v>
      </c>
      <c r="O40" s="3">
        <v>7204</v>
      </c>
      <c r="Q40" s="3">
        <v>2640</v>
      </c>
      <c r="R40" s="3">
        <v>2023</v>
      </c>
      <c r="U40" s="3">
        <v>5634</v>
      </c>
      <c r="AC40" s="3">
        <v>4547</v>
      </c>
      <c r="AG40" s="3">
        <v>2080</v>
      </c>
      <c r="AH40" s="3">
        <v>2095</v>
      </c>
      <c r="AJ40" s="3">
        <v>4525</v>
      </c>
      <c r="AL40" s="3">
        <v>5718</v>
      </c>
      <c r="AN40" s="3">
        <v>4918</v>
      </c>
      <c r="AO40" s="3">
        <v>4296</v>
      </c>
      <c r="AP40" s="3">
        <v>2850</v>
      </c>
      <c r="AQ40" s="3">
        <v>2053</v>
      </c>
      <c r="AR40" s="3">
        <v>2204</v>
      </c>
      <c r="AS40" s="3">
        <v>4669</v>
      </c>
      <c r="AT40" s="3">
        <v>6338</v>
      </c>
      <c r="AU40" s="3">
        <v>4349</v>
      </c>
      <c r="AV40" s="3">
        <v>2596</v>
      </c>
      <c r="AY40" s="3">
        <v>2332</v>
      </c>
      <c r="AZ40" s="3">
        <v>2560</v>
      </c>
      <c r="BA40" s="3">
        <v>2303</v>
      </c>
      <c r="BB40" s="3">
        <v>5268</v>
      </c>
      <c r="BC40" s="3">
        <v>2539</v>
      </c>
      <c r="BD40" s="3">
        <v>2612</v>
      </c>
      <c r="BE40" s="3">
        <v>2528</v>
      </c>
      <c r="BF40" s="3">
        <v>4370</v>
      </c>
      <c r="BG40" s="3">
        <v>2280</v>
      </c>
      <c r="BH40" s="3">
        <v>2628</v>
      </c>
      <c r="BI40" s="3">
        <v>2358</v>
      </c>
      <c r="BK40" s="3">
        <v>2174</v>
      </c>
      <c r="BN40" s="3">
        <v>5144</v>
      </c>
      <c r="BO40" s="3">
        <v>5012</v>
      </c>
      <c r="BP40" s="3">
        <v>2155</v>
      </c>
      <c r="BR40" s="3">
        <v>2185</v>
      </c>
      <c r="BS40" s="3">
        <v>6019</v>
      </c>
    </row>
    <row r="41" spans="4:71" x14ac:dyDescent="0.25">
      <c r="D41">
        <v>2238</v>
      </c>
      <c r="E41">
        <v>4755</v>
      </c>
      <c r="G41">
        <v>7320</v>
      </c>
      <c r="H41">
        <v>7061</v>
      </c>
      <c r="K41" s="3">
        <v>2010</v>
      </c>
      <c r="L41" s="3">
        <v>2039</v>
      </c>
      <c r="M41" s="3">
        <v>2400</v>
      </c>
      <c r="N41" s="3">
        <v>4808</v>
      </c>
      <c r="O41" s="3">
        <v>7205</v>
      </c>
      <c r="Q41" s="3">
        <v>2641</v>
      </c>
      <c r="R41" s="3">
        <v>2024</v>
      </c>
      <c r="U41" s="3">
        <v>5635</v>
      </c>
      <c r="AC41" s="3">
        <v>4603</v>
      </c>
      <c r="AG41" s="3">
        <v>2081</v>
      </c>
      <c r="AH41" s="3">
        <v>2096</v>
      </c>
      <c r="AJ41" s="3">
        <v>4545</v>
      </c>
      <c r="AL41" s="3">
        <v>5719</v>
      </c>
      <c r="AN41" s="3">
        <v>4919</v>
      </c>
      <c r="AO41" s="3">
        <v>4653</v>
      </c>
      <c r="AP41" s="3">
        <v>2851</v>
      </c>
      <c r="AQ41" s="3">
        <v>2054</v>
      </c>
      <c r="AR41" s="3">
        <v>2205</v>
      </c>
      <c r="AS41" s="3">
        <v>4670</v>
      </c>
      <c r="AT41" s="3">
        <v>6339</v>
      </c>
      <c r="AU41" s="3">
        <v>4354</v>
      </c>
      <c r="AV41" s="3">
        <v>2597</v>
      </c>
      <c r="AY41" s="3">
        <v>2333</v>
      </c>
      <c r="AZ41" s="3">
        <v>2561</v>
      </c>
      <c r="BA41" s="3">
        <v>2304</v>
      </c>
      <c r="BB41" s="3">
        <v>5269</v>
      </c>
      <c r="BC41" s="3">
        <v>2540</v>
      </c>
      <c r="BD41" s="3">
        <v>2613</v>
      </c>
      <c r="BE41" s="3">
        <v>2529</v>
      </c>
      <c r="BF41" s="3">
        <v>4372</v>
      </c>
      <c r="BG41" s="3">
        <v>2387</v>
      </c>
      <c r="BH41" s="3">
        <v>2629</v>
      </c>
      <c r="BI41" s="3">
        <v>2359</v>
      </c>
      <c r="BK41" s="3">
        <v>2175</v>
      </c>
      <c r="BN41" s="3">
        <v>5145</v>
      </c>
      <c r="BO41" s="3">
        <v>5013</v>
      </c>
      <c r="BP41" s="3">
        <v>2156</v>
      </c>
      <c r="BR41" s="3">
        <v>2186</v>
      </c>
      <c r="BS41" s="3">
        <v>6039</v>
      </c>
    </row>
    <row r="42" spans="4:71" x14ac:dyDescent="0.25">
      <c r="D42">
        <v>2239</v>
      </c>
      <c r="E42">
        <v>4756</v>
      </c>
      <c r="G42">
        <v>7321</v>
      </c>
      <c r="H42">
        <v>7062</v>
      </c>
      <c r="K42" s="3">
        <v>2011</v>
      </c>
      <c r="L42" s="3">
        <v>2040</v>
      </c>
      <c r="M42" s="3">
        <v>2426</v>
      </c>
      <c r="N42" s="3">
        <v>4809</v>
      </c>
      <c r="O42" s="3">
        <v>7206</v>
      </c>
      <c r="Q42" s="3">
        <v>2687</v>
      </c>
      <c r="R42" s="3">
        <v>2027</v>
      </c>
      <c r="U42" s="3">
        <v>5636</v>
      </c>
      <c r="AC42" s="3">
        <v>4613</v>
      </c>
      <c r="AG42" s="3">
        <v>2082</v>
      </c>
      <c r="AH42" s="3">
        <v>2097</v>
      </c>
      <c r="AJ42" s="3">
        <v>4546</v>
      </c>
      <c r="AL42" s="3">
        <v>5720</v>
      </c>
      <c r="AN42" s="3">
        <v>4920</v>
      </c>
      <c r="AO42" s="3">
        <v>4654</v>
      </c>
      <c r="AP42" s="3">
        <v>2852</v>
      </c>
      <c r="AQ42" s="3">
        <v>2055</v>
      </c>
      <c r="AR42" s="3">
        <v>2206</v>
      </c>
      <c r="AS42" s="3">
        <v>4671</v>
      </c>
      <c r="AT42" s="3">
        <v>6340</v>
      </c>
      <c r="AU42" s="3">
        <v>4528</v>
      </c>
      <c r="AV42" s="3">
        <v>2598</v>
      </c>
      <c r="AY42" s="3">
        <v>2334</v>
      </c>
      <c r="AZ42" s="3">
        <v>2562</v>
      </c>
      <c r="BA42" s="3">
        <v>2305</v>
      </c>
      <c r="BB42" s="3">
        <v>5270</v>
      </c>
      <c r="BC42" s="3">
        <v>2541</v>
      </c>
      <c r="BD42" s="3">
        <v>2614</v>
      </c>
      <c r="BE42" s="3">
        <v>2530</v>
      </c>
      <c r="BF42" s="3">
        <v>5193</v>
      </c>
      <c r="BG42" s="3">
        <v>2388</v>
      </c>
      <c r="BH42" s="3">
        <v>2630</v>
      </c>
      <c r="BI42" s="3">
        <v>2360</v>
      </c>
      <c r="BK42" s="3">
        <v>2447</v>
      </c>
      <c r="BN42" s="3">
        <v>5146</v>
      </c>
      <c r="BO42" s="3">
        <v>5504</v>
      </c>
      <c r="BP42" s="3">
        <v>2157</v>
      </c>
      <c r="BR42" s="3">
        <v>2187</v>
      </c>
      <c r="BS42" s="3">
        <v>6102</v>
      </c>
    </row>
    <row r="43" spans="4:71" x14ac:dyDescent="0.25">
      <c r="D43">
        <v>2240</v>
      </c>
      <c r="E43">
        <v>4758</v>
      </c>
      <c r="G43">
        <v>7322</v>
      </c>
      <c r="H43">
        <v>7063</v>
      </c>
      <c r="K43" s="3">
        <v>2012</v>
      </c>
      <c r="L43" s="3">
        <v>2223</v>
      </c>
      <c r="M43" s="3">
        <v>2445</v>
      </c>
      <c r="N43" s="3">
        <v>5547</v>
      </c>
      <c r="O43" s="3">
        <v>7207</v>
      </c>
      <c r="Q43" s="3">
        <v>2688</v>
      </c>
      <c r="R43" s="3">
        <v>2028</v>
      </c>
      <c r="AC43" s="3">
        <v>4614</v>
      </c>
      <c r="AG43" s="3">
        <v>2083</v>
      </c>
      <c r="AH43" s="3">
        <v>2098</v>
      </c>
      <c r="AJ43" s="3">
        <v>4564</v>
      </c>
      <c r="AL43" s="3">
        <v>5721</v>
      </c>
      <c r="AN43" s="3">
        <v>4921</v>
      </c>
      <c r="AO43" s="3">
        <v>4655</v>
      </c>
      <c r="AP43" s="3">
        <v>2853</v>
      </c>
      <c r="AQ43" s="3">
        <v>2056</v>
      </c>
      <c r="AR43" s="3">
        <v>2207</v>
      </c>
      <c r="AS43" s="3">
        <v>4672</v>
      </c>
      <c r="AT43" s="3">
        <v>6341</v>
      </c>
      <c r="AU43" s="3">
        <v>4532</v>
      </c>
      <c r="AV43" s="3">
        <v>2599</v>
      </c>
      <c r="AY43" s="3">
        <v>2335</v>
      </c>
      <c r="AZ43" s="3">
        <v>2563</v>
      </c>
      <c r="BA43" s="3">
        <v>2306</v>
      </c>
      <c r="BB43" s="3">
        <v>5667</v>
      </c>
      <c r="BC43" s="3">
        <v>2542</v>
      </c>
      <c r="BD43" s="3">
        <v>2615</v>
      </c>
      <c r="BE43" s="3">
        <v>2531</v>
      </c>
      <c r="BF43" s="3">
        <v>5194</v>
      </c>
      <c r="BG43" s="3">
        <v>2401</v>
      </c>
      <c r="BH43" s="3">
        <v>2713</v>
      </c>
      <c r="BI43" s="3">
        <v>2361</v>
      </c>
      <c r="BK43" s="3">
        <v>2448</v>
      </c>
      <c r="BN43" s="3">
        <v>5147</v>
      </c>
      <c r="BO43" s="3">
        <v>5505</v>
      </c>
      <c r="BP43" s="3">
        <v>2158</v>
      </c>
      <c r="BR43" s="3">
        <v>4299</v>
      </c>
      <c r="BS43" s="3">
        <v>7246</v>
      </c>
    </row>
    <row r="44" spans="4:71" x14ac:dyDescent="0.25">
      <c r="D44">
        <v>2241</v>
      </c>
      <c r="E44">
        <v>4793</v>
      </c>
      <c r="G44">
        <v>7323</v>
      </c>
      <c r="H44">
        <v>7065</v>
      </c>
      <c r="K44" s="3">
        <v>2104</v>
      </c>
      <c r="M44" s="3">
        <v>2446</v>
      </c>
      <c r="N44" s="3">
        <v>5548</v>
      </c>
      <c r="O44" s="3">
        <v>7208</v>
      </c>
      <c r="Q44" s="3">
        <v>2689</v>
      </c>
      <c r="R44" s="3">
        <v>2219</v>
      </c>
      <c r="AC44" s="3">
        <v>4648</v>
      </c>
      <c r="AG44" s="3">
        <v>2084</v>
      </c>
      <c r="AH44" s="3">
        <v>2099</v>
      </c>
      <c r="AJ44" s="3">
        <v>4565</v>
      </c>
      <c r="AL44" s="3">
        <v>5722</v>
      </c>
      <c r="AN44" s="3">
        <v>4938</v>
      </c>
      <c r="AO44" s="3">
        <v>4656</v>
      </c>
      <c r="AP44" s="3">
        <v>2854</v>
      </c>
      <c r="AQ44" s="3">
        <v>2057</v>
      </c>
      <c r="AR44" s="3">
        <v>2546</v>
      </c>
      <c r="AS44" s="3">
        <v>4673</v>
      </c>
      <c r="AU44" s="3">
        <v>4534</v>
      </c>
      <c r="AV44" s="3">
        <v>2600</v>
      </c>
      <c r="AY44" s="3">
        <v>2336</v>
      </c>
      <c r="AZ44" s="3">
        <v>2564</v>
      </c>
      <c r="BA44" s="3">
        <v>2307</v>
      </c>
      <c r="BB44" s="3">
        <v>5668</v>
      </c>
      <c r="BC44" s="3">
        <v>2700</v>
      </c>
      <c r="BD44" s="3">
        <v>2616</v>
      </c>
      <c r="BE44" s="3">
        <v>2532</v>
      </c>
      <c r="BG44" s="3">
        <v>2402</v>
      </c>
      <c r="BH44" s="3">
        <v>2714</v>
      </c>
      <c r="BI44" s="3">
        <v>2362</v>
      </c>
      <c r="BK44" s="3">
        <v>2449</v>
      </c>
      <c r="BN44" s="3">
        <v>5148</v>
      </c>
      <c r="BP44" s="3">
        <v>2159</v>
      </c>
      <c r="BR44" s="3">
        <v>4630</v>
      </c>
    </row>
    <row r="45" spans="4:71" x14ac:dyDescent="0.25">
      <c r="D45">
        <v>2242</v>
      </c>
      <c r="E45">
        <v>4795</v>
      </c>
      <c r="G45">
        <v>7324</v>
      </c>
      <c r="H45">
        <v>7066</v>
      </c>
      <c r="K45" s="3">
        <v>2114</v>
      </c>
      <c r="M45" s="3">
        <v>2806</v>
      </c>
      <c r="N45" s="3">
        <v>5549</v>
      </c>
      <c r="O45" s="3">
        <v>7209</v>
      </c>
      <c r="Q45" s="3">
        <v>2690</v>
      </c>
      <c r="R45" s="3">
        <v>2220</v>
      </c>
      <c r="AC45" s="3">
        <v>4707</v>
      </c>
      <c r="AG45" s="3">
        <v>2085</v>
      </c>
      <c r="AH45" s="3">
        <v>2100</v>
      </c>
      <c r="AJ45" s="3">
        <v>4566</v>
      </c>
      <c r="AL45" s="3">
        <v>5723</v>
      </c>
      <c r="AN45" s="3">
        <v>4939</v>
      </c>
      <c r="AO45" s="3">
        <v>5437</v>
      </c>
      <c r="AP45" s="3">
        <v>2855</v>
      </c>
      <c r="AQ45" s="3">
        <v>2058</v>
      </c>
      <c r="AR45" s="3">
        <v>2548</v>
      </c>
      <c r="AS45" s="3">
        <v>4674</v>
      </c>
      <c r="AU45" s="3">
        <v>4553</v>
      </c>
      <c r="AV45" s="3">
        <v>2601</v>
      </c>
      <c r="AY45" s="3">
        <v>2337</v>
      </c>
      <c r="AZ45" s="3">
        <v>2565</v>
      </c>
      <c r="BA45" s="3">
        <v>2308</v>
      </c>
      <c r="BB45" s="3">
        <v>5669</v>
      </c>
      <c r="BC45" s="3">
        <v>2701</v>
      </c>
      <c r="BD45" s="3">
        <v>2617</v>
      </c>
      <c r="BE45" s="3">
        <v>2533</v>
      </c>
      <c r="BG45" s="3">
        <v>2403</v>
      </c>
      <c r="BH45" s="3">
        <v>2715</v>
      </c>
      <c r="BI45" s="3">
        <v>2410</v>
      </c>
      <c r="BK45" s="3">
        <v>2450</v>
      </c>
      <c r="BN45" s="3">
        <v>5149</v>
      </c>
      <c r="BP45" s="3">
        <v>2160</v>
      </c>
      <c r="BR45" s="3">
        <v>4631</v>
      </c>
    </row>
    <row r="46" spans="4:71" x14ac:dyDescent="0.25">
      <c r="D46">
        <v>2243</v>
      </c>
      <c r="E46">
        <v>4943</v>
      </c>
      <c r="G46">
        <v>7325</v>
      </c>
      <c r="H46">
        <v>7067</v>
      </c>
      <c r="K46" s="3">
        <v>2266</v>
      </c>
      <c r="M46" s="3">
        <v>2838</v>
      </c>
      <c r="N46" s="3">
        <v>5550</v>
      </c>
      <c r="O46" s="3">
        <v>7210</v>
      </c>
      <c r="Q46" s="3">
        <v>2691</v>
      </c>
      <c r="R46" s="3">
        <v>2221</v>
      </c>
      <c r="AC46" s="3">
        <v>4727</v>
      </c>
      <c r="AG46" s="3">
        <v>2130</v>
      </c>
      <c r="AH46" s="3">
        <v>2101</v>
      </c>
      <c r="AJ46" s="3">
        <v>4567</v>
      </c>
      <c r="AL46" s="3">
        <v>5724</v>
      </c>
      <c r="AN46" s="3">
        <v>4940</v>
      </c>
      <c r="AO46" s="3">
        <v>5438</v>
      </c>
      <c r="AP46" s="3">
        <v>2856</v>
      </c>
      <c r="AQ46" s="3">
        <v>2059</v>
      </c>
      <c r="AR46" s="3">
        <v>2549</v>
      </c>
      <c r="AS46" s="3">
        <v>4675</v>
      </c>
      <c r="AU46" s="3">
        <v>4554</v>
      </c>
      <c r="AV46" s="3">
        <v>2602</v>
      </c>
      <c r="AY46" s="3">
        <v>2338</v>
      </c>
      <c r="AZ46" s="3">
        <v>2566</v>
      </c>
      <c r="BA46" s="3">
        <v>2309</v>
      </c>
      <c r="BB46" s="3">
        <v>5670</v>
      </c>
      <c r="BC46" s="3">
        <v>2702</v>
      </c>
      <c r="BD46" s="3">
        <v>2618</v>
      </c>
      <c r="BE46" s="3">
        <v>2534</v>
      </c>
      <c r="BG46" s="3">
        <v>2404</v>
      </c>
      <c r="BH46" s="3">
        <v>2716</v>
      </c>
      <c r="BI46" s="3">
        <v>2411</v>
      </c>
      <c r="BK46" s="3">
        <v>2451</v>
      </c>
      <c r="BN46" s="3">
        <v>5150</v>
      </c>
      <c r="BP46" s="3">
        <v>2161</v>
      </c>
      <c r="BR46" s="3">
        <v>4632</v>
      </c>
    </row>
    <row r="47" spans="4:71" x14ac:dyDescent="0.25">
      <c r="D47">
        <v>2244</v>
      </c>
      <c r="E47">
        <v>4944</v>
      </c>
      <c r="G47">
        <v>7326</v>
      </c>
      <c r="H47">
        <v>7068</v>
      </c>
      <c r="K47" s="3">
        <v>2281</v>
      </c>
      <c r="M47" s="3">
        <v>2842</v>
      </c>
      <c r="N47" s="3">
        <v>5551</v>
      </c>
      <c r="O47" s="3">
        <v>7211</v>
      </c>
      <c r="Q47" s="3">
        <v>2692</v>
      </c>
      <c r="R47" s="3">
        <v>2222</v>
      </c>
      <c r="AC47" s="3">
        <v>4765</v>
      </c>
      <c r="AG47" s="3">
        <v>2131</v>
      </c>
      <c r="AH47" s="3">
        <v>2102</v>
      </c>
      <c r="AJ47" s="3">
        <v>4568</v>
      </c>
      <c r="AL47" s="3">
        <v>5725</v>
      </c>
      <c r="AN47" s="3">
        <v>4941</v>
      </c>
      <c r="AO47" s="3">
        <v>5439</v>
      </c>
      <c r="AP47" s="3">
        <v>2857</v>
      </c>
      <c r="AQ47" s="3">
        <v>2060</v>
      </c>
      <c r="AR47" s="3">
        <v>5039</v>
      </c>
      <c r="AS47" s="3">
        <v>4676</v>
      </c>
      <c r="AU47" s="3">
        <v>4556</v>
      </c>
      <c r="AY47" s="3">
        <v>2339</v>
      </c>
      <c r="AZ47" s="3">
        <v>2567</v>
      </c>
      <c r="BA47" s="3">
        <v>2310</v>
      </c>
      <c r="BB47" s="3">
        <v>5671</v>
      </c>
      <c r="BC47" s="3">
        <v>2703</v>
      </c>
      <c r="BE47" s="3">
        <v>5095</v>
      </c>
      <c r="BG47" s="3">
        <v>2405</v>
      </c>
      <c r="BH47" s="3">
        <v>2717</v>
      </c>
      <c r="BI47" s="3">
        <v>2412</v>
      </c>
      <c r="BK47" s="3">
        <v>2452</v>
      </c>
      <c r="BN47" s="3">
        <v>5151</v>
      </c>
      <c r="BP47" s="3">
        <v>2162</v>
      </c>
      <c r="BR47" s="3">
        <v>4633</v>
      </c>
    </row>
    <row r="48" spans="4:71" x14ac:dyDescent="0.25">
      <c r="D48">
        <v>2245</v>
      </c>
      <c r="E48">
        <v>4945</v>
      </c>
      <c r="G48">
        <v>7327</v>
      </c>
      <c r="H48">
        <v>7070</v>
      </c>
      <c r="K48" s="3">
        <v>2363</v>
      </c>
      <c r="M48" s="3">
        <v>4371</v>
      </c>
      <c r="N48" s="3">
        <v>5552</v>
      </c>
      <c r="O48" s="3">
        <v>7212</v>
      </c>
      <c r="Q48" s="3">
        <v>2693</v>
      </c>
      <c r="R48" s="3">
        <v>2224</v>
      </c>
      <c r="AC48" s="3">
        <v>4768</v>
      </c>
      <c r="AG48" s="3">
        <v>2132</v>
      </c>
      <c r="AH48" s="3">
        <v>2103</v>
      </c>
      <c r="AJ48" s="3">
        <v>4569</v>
      </c>
      <c r="AL48" s="3">
        <v>5726</v>
      </c>
      <c r="AN48" s="3">
        <v>4942</v>
      </c>
      <c r="AO48" s="3">
        <v>5440</v>
      </c>
      <c r="AP48" s="3">
        <v>2858</v>
      </c>
      <c r="AQ48" s="3">
        <v>2061</v>
      </c>
      <c r="AR48" s="3">
        <v>5040</v>
      </c>
      <c r="AS48" s="3">
        <v>4677</v>
      </c>
      <c r="AU48" s="3">
        <v>4557</v>
      </c>
      <c r="AY48" s="3">
        <v>2340</v>
      </c>
      <c r="AZ48" s="3">
        <v>2568</v>
      </c>
      <c r="BA48" s="3">
        <v>2311</v>
      </c>
      <c r="BB48" s="3">
        <v>5672</v>
      </c>
      <c r="BC48" s="3">
        <v>2704</v>
      </c>
      <c r="BE48" s="3">
        <v>5096</v>
      </c>
      <c r="BG48" s="3">
        <v>2406</v>
      </c>
      <c r="BH48" s="3">
        <v>2718</v>
      </c>
      <c r="BI48" s="3">
        <v>2413</v>
      </c>
      <c r="BK48" s="3">
        <v>2453</v>
      </c>
      <c r="BN48" s="3">
        <v>5389</v>
      </c>
      <c r="BP48" s="3">
        <v>2163</v>
      </c>
      <c r="BR48" s="3">
        <v>4634</v>
      </c>
    </row>
    <row r="49" spans="4:70" x14ac:dyDescent="0.25">
      <c r="D49">
        <v>2246</v>
      </c>
      <c r="E49">
        <v>4946</v>
      </c>
      <c r="G49">
        <v>7328</v>
      </c>
      <c r="H49">
        <v>7071</v>
      </c>
      <c r="K49" s="3">
        <v>2364</v>
      </c>
      <c r="M49" s="3">
        <v>4778</v>
      </c>
      <c r="N49" s="3">
        <v>5553</v>
      </c>
      <c r="O49" s="3">
        <v>7213</v>
      </c>
      <c r="Q49" s="3">
        <v>2694</v>
      </c>
      <c r="R49" s="3">
        <v>2225</v>
      </c>
      <c r="AC49" s="3">
        <v>4829</v>
      </c>
      <c r="AG49" s="3">
        <v>2133</v>
      </c>
      <c r="AH49" s="3">
        <v>2105</v>
      </c>
      <c r="AJ49" s="3">
        <v>4570</v>
      </c>
      <c r="AL49" s="3">
        <v>5727</v>
      </c>
      <c r="AN49" s="3">
        <v>4980</v>
      </c>
      <c r="AO49" s="3">
        <v>5441</v>
      </c>
      <c r="AP49" s="3">
        <v>2859</v>
      </c>
      <c r="AQ49" s="3">
        <v>2062</v>
      </c>
      <c r="AR49" s="3">
        <v>5041</v>
      </c>
      <c r="AS49" s="3">
        <v>4678</v>
      </c>
      <c r="AU49" s="3">
        <v>4562</v>
      </c>
      <c r="AY49" s="3">
        <v>2341</v>
      </c>
      <c r="AZ49" s="3">
        <v>2569</v>
      </c>
      <c r="BA49" s="3">
        <v>2312</v>
      </c>
      <c r="BB49" s="3">
        <v>5673</v>
      </c>
      <c r="BC49" s="3">
        <v>2705</v>
      </c>
      <c r="BE49" s="3">
        <v>5097</v>
      </c>
      <c r="BG49" s="3">
        <v>2432</v>
      </c>
      <c r="BH49" s="3">
        <v>2719</v>
      </c>
      <c r="BI49" s="3">
        <v>2414</v>
      </c>
      <c r="BK49" s="3">
        <v>2454</v>
      </c>
      <c r="BN49" s="3">
        <v>5821</v>
      </c>
      <c r="BP49" s="3">
        <v>2164</v>
      </c>
      <c r="BR49" s="3">
        <v>4635</v>
      </c>
    </row>
    <row r="50" spans="4:70" x14ac:dyDescent="0.25">
      <c r="D50">
        <v>2247</v>
      </c>
      <c r="E50">
        <v>5637</v>
      </c>
      <c r="G50">
        <v>7329</v>
      </c>
      <c r="H50">
        <v>7072</v>
      </c>
      <c r="K50" s="3">
        <v>2365</v>
      </c>
      <c r="M50" s="3">
        <v>5770</v>
      </c>
      <c r="N50" s="3">
        <v>5554</v>
      </c>
      <c r="O50" s="3">
        <v>7214</v>
      </c>
      <c r="Q50" s="3">
        <v>2695</v>
      </c>
      <c r="R50" s="3">
        <v>2226</v>
      </c>
      <c r="AC50" s="3">
        <v>4833</v>
      </c>
      <c r="AG50" s="3">
        <v>2134</v>
      </c>
      <c r="AH50" s="3">
        <v>2106</v>
      </c>
      <c r="AJ50" s="3">
        <v>4572</v>
      </c>
      <c r="AL50" s="3">
        <v>5728</v>
      </c>
      <c r="AN50" s="3">
        <v>4981</v>
      </c>
      <c r="AO50" s="3">
        <v>5442</v>
      </c>
      <c r="AP50" s="3">
        <v>2860</v>
      </c>
      <c r="AQ50" s="3">
        <v>2063</v>
      </c>
      <c r="AR50" s="3">
        <v>5042</v>
      </c>
      <c r="AS50" s="3">
        <v>4679</v>
      </c>
      <c r="AU50" s="3">
        <v>4579</v>
      </c>
      <c r="AY50" s="3">
        <v>2342</v>
      </c>
      <c r="AZ50" s="3">
        <v>2570</v>
      </c>
      <c r="BA50" s="3">
        <v>2313</v>
      </c>
      <c r="BB50" s="3">
        <v>5674</v>
      </c>
      <c r="BC50" s="3">
        <v>2706</v>
      </c>
      <c r="BE50" s="3">
        <v>5098</v>
      </c>
      <c r="BG50" s="3">
        <v>2433</v>
      </c>
      <c r="BH50" s="3">
        <v>2720</v>
      </c>
      <c r="BI50" s="3">
        <v>2415</v>
      </c>
      <c r="BK50" s="3">
        <v>2455</v>
      </c>
      <c r="BN50" s="3">
        <v>5822</v>
      </c>
      <c r="BP50" s="3">
        <v>2891</v>
      </c>
      <c r="BR50" s="3">
        <v>4636</v>
      </c>
    </row>
    <row r="51" spans="4:70" x14ac:dyDescent="0.25">
      <c r="D51">
        <v>2248</v>
      </c>
      <c r="E51">
        <v>5638</v>
      </c>
      <c r="G51">
        <v>7330</v>
      </c>
      <c r="H51">
        <v>7073</v>
      </c>
      <c r="K51" s="3">
        <v>2366</v>
      </c>
      <c r="M51" s="3">
        <v>7064</v>
      </c>
      <c r="O51" s="3">
        <v>7215</v>
      </c>
      <c r="Q51" s="3">
        <v>2696</v>
      </c>
      <c r="R51" s="3">
        <v>2227</v>
      </c>
      <c r="AC51" s="3">
        <v>5355</v>
      </c>
      <c r="AG51" s="3">
        <v>2135</v>
      </c>
      <c r="AH51" s="3">
        <v>2107</v>
      </c>
      <c r="AJ51" s="3">
        <v>4573</v>
      </c>
      <c r="AL51" s="3">
        <v>5729</v>
      </c>
      <c r="AN51" s="3">
        <v>4982</v>
      </c>
      <c r="AO51" s="3">
        <v>5443</v>
      </c>
      <c r="AP51" s="3">
        <v>2861</v>
      </c>
      <c r="AQ51" s="3">
        <v>2064</v>
      </c>
      <c r="AR51" s="3">
        <v>5043</v>
      </c>
      <c r="AS51" s="3">
        <v>5299</v>
      </c>
      <c r="AU51" s="3">
        <v>4588</v>
      </c>
      <c r="AY51" s="3">
        <v>2343</v>
      </c>
      <c r="AZ51" s="3">
        <v>2571</v>
      </c>
      <c r="BA51" s="3">
        <v>2314</v>
      </c>
      <c r="BB51" s="3">
        <v>5675</v>
      </c>
      <c r="BC51" s="3">
        <v>2707</v>
      </c>
      <c r="BE51" s="3">
        <v>5099</v>
      </c>
      <c r="BG51" s="3">
        <v>2434</v>
      </c>
      <c r="BH51" s="3">
        <v>2721</v>
      </c>
      <c r="BI51" s="3">
        <v>2416</v>
      </c>
      <c r="BK51" s="3">
        <v>2456</v>
      </c>
      <c r="BN51" s="3">
        <v>5825</v>
      </c>
      <c r="BP51" s="3">
        <v>2892</v>
      </c>
      <c r="BR51" s="3">
        <v>4703</v>
      </c>
    </row>
    <row r="52" spans="4:70" x14ac:dyDescent="0.25">
      <c r="D52">
        <v>2249</v>
      </c>
      <c r="E52">
        <v>5639</v>
      </c>
      <c r="G52">
        <v>7331</v>
      </c>
      <c r="H52">
        <v>7074</v>
      </c>
      <c r="K52" s="3">
        <v>2367</v>
      </c>
      <c r="M52" s="3">
        <v>7069</v>
      </c>
      <c r="O52" s="3">
        <v>7216</v>
      </c>
      <c r="Q52" s="3">
        <v>2697</v>
      </c>
      <c r="R52" s="3">
        <v>2483</v>
      </c>
      <c r="AC52" s="3">
        <v>5391</v>
      </c>
      <c r="AG52" s="3">
        <v>2136</v>
      </c>
      <c r="AH52" s="3">
        <v>2108</v>
      </c>
      <c r="AJ52" s="3">
        <v>4574</v>
      </c>
      <c r="AL52" s="3">
        <v>5730</v>
      </c>
      <c r="AN52" s="3">
        <v>4983</v>
      </c>
      <c r="AO52" s="3">
        <v>5444</v>
      </c>
      <c r="AP52" s="3">
        <v>2862</v>
      </c>
      <c r="AQ52" s="3">
        <v>2065</v>
      </c>
      <c r="AR52" s="3">
        <v>5044</v>
      </c>
      <c r="AS52" s="3">
        <v>5300</v>
      </c>
      <c r="AU52" s="3">
        <v>5563</v>
      </c>
      <c r="AY52" s="3">
        <v>2344</v>
      </c>
      <c r="AZ52" s="3">
        <v>2572</v>
      </c>
      <c r="BA52" s="3">
        <v>2315</v>
      </c>
      <c r="BB52" s="3">
        <v>5676</v>
      </c>
      <c r="BC52" s="3">
        <v>2708</v>
      </c>
      <c r="BE52" s="3">
        <v>5100</v>
      </c>
      <c r="BG52" s="3">
        <v>2435</v>
      </c>
      <c r="BH52" s="3">
        <v>2722</v>
      </c>
      <c r="BI52" s="3">
        <v>2417</v>
      </c>
      <c r="BK52" s="3">
        <v>2457</v>
      </c>
      <c r="BN52" s="3">
        <v>5837</v>
      </c>
      <c r="BP52" s="3">
        <v>2893</v>
      </c>
      <c r="BR52" s="3">
        <v>4704</v>
      </c>
    </row>
    <row r="53" spans="4:70" x14ac:dyDescent="0.25">
      <c r="D53">
        <v>2250</v>
      </c>
      <c r="E53">
        <v>5640</v>
      </c>
      <c r="G53">
        <v>7332</v>
      </c>
      <c r="H53">
        <v>7075</v>
      </c>
      <c r="K53" s="3">
        <v>2368</v>
      </c>
      <c r="M53" s="3">
        <v>7082</v>
      </c>
      <c r="O53" s="3">
        <v>7217</v>
      </c>
      <c r="Q53" s="3">
        <v>2698</v>
      </c>
      <c r="R53" s="3">
        <v>2484</v>
      </c>
      <c r="AC53" s="3">
        <v>5396</v>
      </c>
      <c r="AG53" s="3">
        <v>2137</v>
      </c>
      <c r="AH53" s="3">
        <v>2109</v>
      </c>
      <c r="AJ53" s="3">
        <v>4575</v>
      </c>
      <c r="AL53" s="3">
        <v>5731</v>
      </c>
      <c r="AN53" s="3">
        <v>4984</v>
      </c>
      <c r="AO53" s="3">
        <v>5445</v>
      </c>
      <c r="AP53" s="3">
        <v>2863</v>
      </c>
      <c r="AQ53" s="3">
        <v>2066</v>
      </c>
      <c r="AR53" s="3">
        <v>5045</v>
      </c>
      <c r="AS53" s="3">
        <v>5301</v>
      </c>
      <c r="AU53" s="3">
        <v>5564</v>
      </c>
      <c r="AY53" s="3">
        <v>2345</v>
      </c>
      <c r="AZ53" s="3">
        <v>2573</v>
      </c>
      <c r="BA53" s="3">
        <v>2316</v>
      </c>
      <c r="BB53" s="3">
        <v>5677</v>
      </c>
      <c r="BC53" s="3">
        <v>2709</v>
      </c>
      <c r="BE53" s="3">
        <v>5101</v>
      </c>
      <c r="BG53" s="3">
        <v>2436</v>
      </c>
      <c r="BH53" s="3">
        <v>2723</v>
      </c>
      <c r="BI53" s="3">
        <v>2418</v>
      </c>
      <c r="BK53" s="3">
        <v>2458</v>
      </c>
      <c r="BN53" s="3">
        <v>5838</v>
      </c>
      <c r="BP53" s="3">
        <v>2894</v>
      </c>
      <c r="BR53" s="3">
        <v>4705</v>
      </c>
    </row>
    <row r="54" spans="4:70" x14ac:dyDescent="0.25">
      <c r="D54">
        <v>2251</v>
      </c>
      <c r="E54">
        <v>5641</v>
      </c>
      <c r="G54">
        <v>7333</v>
      </c>
      <c r="H54">
        <v>7077</v>
      </c>
      <c r="K54" s="3">
        <v>2369</v>
      </c>
      <c r="M54" s="3">
        <v>7087</v>
      </c>
      <c r="O54" s="3">
        <v>7218</v>
      </c>
      <c r="Q54" s="3">
        <v>2699</v>
      </c>
      <c r="R54" s="3">
        <v>2486</v>
      </c>
      <c r="AC54" s="3">
        <v>5399</v>
      </c>
      <c r="AG54" s="3">
        <v>2138</v>
      </c>
      <c r="AH54" s="3">
        <v>2110</v>
      </c>
      <c r="AJ54" s="3">
        <v>4576</v>
      </c>
      <c r="AL54" s="3">
        <v>5732</v>
      </c>
      <c r="AN54" s="3">
        <v>4986</v>
      </c>
      <c r="AO54" s="3">
        <v>5493</v>
      </c>
      <c r="AP54" s="3">
        <v>2864</v>
      </c>
      <c r="AQ54" s="3">
        <v>2067</v>
      </c>
      <c r="AR54" s="3">
        <v>5046</v>
      </c>
      <c r="AS54" s="3">
        <v>5302</v>
      </c>
      <c r="AU54" s="3">
        <v>5565</v>
      </c>
      <c r="AY54" s="3">
        <v>2346</v>
      </c>
      <c r="AZ54" s="3">
        <v>2574</v>
      </c>
      <c r="BA54" s="3">
        <v>2317</v>
      </c>
      <c r="BB54" s="3">
        <v>5678</v>
      </c>
      <c r="BC54" s="3">
        <v>2710</v>
      </c>
      <c r="BE54" s="3">
        <v>5102</v>
      </c>
      <c r="BG54" s="3">
        <v>2742</v>
      </c>
      <c r="BH54" s="3">
        <v>2724</v>
      </c>
      <c r="BI54" s="3">
        <v>2419</v>
      </c>
      <c r="BK54" s="3">
        <v>2459</v>
      </c>
      <c r="BN54" s="3">
        <v>5839</v>
      </c>
      <c r="BP54" s="3">
        <v>2895</v>
      </c>
      <c r="BR54" s="3">
        <v>4706</v>
      </c>
    </row>
    <row r="55" spans="4:70" x14ac:dyDescent="0.25">
      <c r="D55">
        <v>2252</v>
      </c>
      <c r="E55">
        <v>5648</v>
      </c>
      <c r="G55">
        <v>7334</v>
      </c>
      <c r="H55">
        <v>7078</v>
      </c>
      <c r="K55" s="3">
        <v>2370</v>
      </c>
      <c r="M55" s="3">
        <v>7092</v>
      </c>
      <c r="O55" s="3">
        <v>7219</v>
      </c>
      <c r="Q55" s="3">
        <v>2760</v>
      </c>
      <c r="R55" s="3">
        <v>2487</v>
      </c>
      <c r="AC55" s="3">
        <v>5848</v>
      </c>
      <c r="AG55" s="3">
        <v>2139</v>
      </c>
      <c r="AH55" s="3">
        <v>2115</v>
      </c>
      <c r="AJ55" s="3">
        <v>4577</v>
      </c>
      <c r="AL55" s="3">
        <v>5733</v>
      </c>
      <c r="AN55" s="3">
        <v>4987</v>
      </c>
      <c r="AO55" s="3">
        <v>5494</v>
      </c>
      <c r="AP55" s="3">
        <v>2865</v>
      </c>
      <c r="AQ55" s="3">
        <v>2068</v>
      </c>
      <c r="AR55" s="3">
        <v>5047</v>
      </c>
      <c r="AS55" s="3">
        <v>5303</v>
      </c>
      <c r="AU55" s="3">
        <v>5566</v>
      </c>
      <c r="AY55" s="3">
        <v>2347</v>
      </c>
      <c r="AZ55" s="3">
        <v>2575</v>
      </c>
      <c r="BA55" s="3">
        <v>2318</v>
      </c>
      <c r="BB55" s="3">
        <v>5679</v>
      </c>
      <c r="BC55" s="3">
        <v>2711</v>
      </c>
      <c r="BE55" s="3">
        <v>5103</v>
      </c>
      <c r="BG55" s="3">
        <v>2743</v>
      </c>
      <c r="BH55" s="3">
        <v>2725</v>
      </c>
      <c r="BI55" s="3">
        <v>2420</v>
      </c>
      <c r="BK55" s="3">
        <v>2460</v>
      </c>
      <c r="BN55" s="3">
        <v>5840</v>
      </c>
      <c r="BP55" s="3">
        <v>2896</v>
      </c>
      <c r="BR55" s="3">
        <v>4760</v>
      </c>
    </row>
    <row r="56" spans="4:70" x14ac:dyDescent="0.25">
      <c r="D56">
        <v>2253</v>
      </c>
      <c r="E56">
        <v>5649</v>
      </c>
      <c r="G56">
        <v>7335</v>
      </c>
      <c r="H56">
        <v>7079</v>
      </c>
      <c r="K56" s="3">
        <v>2371</v>
      </c>
      <c r="M56" s="3">
        <v>7111</v>
      </c>
      <c r="O56" s="3">
        <v>7220</v>
      </c>
      <c r="Q56" s="3">
        <v>2761</v>
      </c>
      <c r="R56" s="3">
        <v>2490</v>
      </c>
      <c r="AC56" s="3">
        <v>5852</v>
      </c>
      <c r="AG56" s="3">
        <v>2140</v>
      </c>
      <c r="AH56" s="3">
        <v>2116</v>
      </c>
      <c r="AJ56" s="3">
        <v>4578</v>
      </c>
      <c r="AL56" s="3">
        <v>5734</v>
      </c>
      <c r="AN56" s="3">
        <v>4988</v>
      </c>
      <c r="AO56" s="3">
        <v>5495</v>
      </c>
      <c r="AP56" s="3">
        <v>2866</v>
      </c>
      <c r="AQ56" s="3">
        <v>2069</v>
      </c>
      <c r="AR56" s="3">
        <v>5048</v>
      </c>
      <c r="AS56" s="3">
        <v>5304</v>
      </c>
      <c r="AU56" s="3">
        <v>5567</v>
      </c>
      <c r="AY56" s="3">
        <v>2348</v>
      </c>
      <c r="AZ56" s="3">
        <v>2576</v>
      </c>
      <c r="BA56" s="3">
        <v>2319</v>
      </c>
      <c r="BB56" s="3">
        <v>5680</v>
      </c>
      <c r="BC56" s="3">
        <v>2712</v>
      </c>
      <c r="BE56" s="3">
        <v>5104</v>
      </c>
      <c r="BG56" s="3">
        <v>2744</v>
      </c>
      <c r="BH56" s="3">
        <v>2726</v>
      </c>
      <c r="BI56" s="3">
        <v>2421</v>
      </c>
      <c r="BK56" s="3">
        <v>2461</v>
      </c>
      <c r="BN56" s="3">
        <v>5845</v>
      </c>
      <c r="BP56" s="3">
        <v>2897</v>
      </c>
      <c r="BR56" s="3">
        <v>4769</v>
      </c>
    </row>
    <row r="57" spans="4:70" x14ac:dyDescent="0.25">
      <c r="D57">
        <v>2254</v>
      </c>
      <c r="E57">
        <v>5650</v>
      </c>
      <c r="G57">
        <v>7336</v>
      </c>
      <c r="H57">
        <v>7080</v>
      </c>
      <c r="K57" s="3">
        <v>2372</v>
      </c>
      <c r="M57" s="3">
        <v>7126</v>
      </c>
      <c r="O57" s="3">
        <v>7221</v>
      </c>
      <c r="Q57" s="3">
        <v>2762</v>
      </c>
      <c r="R57" s="3">
        <v>2491</v>
      </c>
      <c r="AC57" s="3">
        <v>6025</v>
      </c>
      <c r="AG57" s="3">
        <v>2141</v>
      </c>
      <c r="AH57" s="3">
        <v>2117</v>
      </c>
      <c r="AJ57" s="3">
        <v>5060</v>
      </c>
      <c r="AL57" s="3">
        <v>5735</v>
      </c>
      <c r="AN57" s="3">
        <v>4989</v>
      </c>
      <c r="AO57" s="3">
        <v>5496</v>
      </c>
      <c r="AP57" s="3">
        <v>2875</v>
      </c>
      <c r="AQ57" s="3">
        <v>2070</v>
      </c>
      <c r="AR57" s="3">
        <v>5049</v>
      </c>
      <c r="AS57" s="3">
        <v>5305</v>
      </c>
      <c r="AU57" s="3">
        <v>5568</v>
      </c>
      <c r="AY57" s="3">
        <v>2488</v>
      </c>
      <c r="AZ57" s="3">
        <v>2577</v>
      </c>
      <c r="BA57" s="3">
        <v>2320</v>
      </c>
      <c r="BB57" s="3">
        <v>5681</v>
      </c>
      <c r="BC57" s="3">
        <v>2781</v>
      </c>
      <c r="BE57" s="3">
        <v>5105</v>
      </c>
      <c r="BG57" s="3">
        <v>2745</v>
      </c>
      <c r="BH57" s="3">
        <v>2727</v>
      </c>
      <c r="BI57" s="3">
        <v>2422</v>
      </c>
      <c r="BK57" s="3">
        <v>2462</v>
      </c>
      <c r="BN57" s="3">
        <v>5846</v>
      </c>
      <c r="BP57" s="3">
        <v>4449</v>
      </c>
      <c r="BR57" s="3">
        <v>4770</v>
      </c>
    </row>
    <row r="58" spans="4:70" x14ac:dyDescent="0.25">
      <c r="D58">
        <v>2255</v>
      </c>
      <c r="E58">
        <v>5651</v>
      </c>
      <c r="G58">
        <v>7337</v>
      </c>
      <c r="H58">
        <v>7081</v>
      </c>
      <c r="K58" s="3">
        <v>2373</v>
      </c>
      <c r="M58" s="3">
        <v>7131</v>
      </c>
      <c r="O58" s="3">
        <v>7222</v>
      </c>
      <c r="Q58" s="3">
        <v>2763</v>
      </c>
      <c r="R58" s="3">
        <v>2496</v>
      </c>
      <c r="AG58" s="3">
        <v>2142</v>
      </c>
      <c r="AH58" s="3">
        <v>2118</v>
      </c>
      <c r="AJ58" s="3">
        <v>5061</v>
      </c>
      <c r="AL58" s="3">
        <v>5736</v>
      </c>
      <c r="AN58" s="3">
        <v>4990</v>
      </c>
      <c r="AO58" s="3">
        <v>5497</v>
      </c>
      <c r="AP58" s="3">
        <v>2876</v>
      </c>
      <c r="AQ58" s="3">
        <v>2265</v>
      </c>
      <c r="AR58" s="3">
        <v>5050</v>
      </c>
      <c r="AS58" s="3">
        <v>5306</v>
      </c>
      <c r="AU58" s="3">
        <v>5569</v>
      </c>
      <c r="AY58" s="3">
        <v>5108</v>
      </c>
      <c r="AZ58" s="3">
        <v>2578</v>
      </c>
      <c r="BA58" s="3">
        <v>2321</v>
      </c>
      <c r="BB58" s="3">
        <v>5682</v>
      </c>
      <c r="BC58" s="3">
        <v>2782</v>
      </c>
      <c r="BE58" s="3">
        <v>5106</v>
      </c>
      <c r="BG58" s="3">
        <v>2746</v>
      </c>
      <c r="BH58" s="3">
        <v>2728</v>
      </c>
      <c r="BI58" s="3">
        <v>2423</v>
      </c>
      <c r="BK58" s="3">
        <v>2463</v>
      </c>
      <c r="BN58" s="3">
        <v>5847</v>
      </c>
      <c r="BP58" s="3">
        <v>4450</v>
      </c>
      <c r="BR58" s="3">
        <v>4771</v>
      </c>
    </row>
    <row r="59" spans="4:70" x14ac:dyDescent="0.25">
      <c r="D59">
        <v>2256</v>
      </c>
      <c r="E59">
        <v>5652</v>
      </c>
      <c r="G59">
        <v>7338</v>
      </c>
      <c r="H59">
        <v>7083</v>
      </c>
      <c r="K59" s="3">
        <v>2374</v>
      </c>
      <c r="M59" s="3">
        <v>7137</v>
      </c>
      <c r="O59" s="3">
        <v>7223</v>
      </c>
      <c r="Q59" s="3">
        <v>2764</v>
      </c>
      <c r="R59" s="3">
        <v>2498</v>
      </c>
      <c r="AG59" s="3">
        <v>2143</v>
      </c>
      <c r="AH59" s="3">
        <v>2119</v>
      </c>
      <c r="AJ59" s="3">
        <v>5490</v>
      </c>
      <c r="AL59" s="3">
        <v>5737</v>
      </c>
      <c r="AN59" s="3">
        <v>4991</v>
      </c>
      <c r="AO59" s="3">
        <v>5498</v>
      </c>
      <c r="AP59" s="3">
        <v>2877</v>
      </c>
      <c r="AQ59" s="3">
        <v>2267</v>
      </c>
      <c r="AR59" s="3">
        <v>5051</v>
      </c>
      <c r="AS59" s="3">
        <v>5448</v>
      </c>
      <c r="AU59" s="3">
        <v>5570</v>
      </c>
      <c r="AY59" s="3">
        <v>5109</v>
      </c>
      <c r="AZ59" s="3">
        <v>2579</v>
      </c>
      <c r="BA59" s="3">
        <v>2322</v>
      </c>
      <c r="BB59" s="3">
        <v>5683</v>
      </c>
      <c r="BC59" s="3">
        <v>2783</v>
      </c>
      <c r="BE59" s="3">
        <v>5107</v>
      </c>
      <c r="BG59" s="3">
        <v>5700</v>
      </c>
      <c r="BH59" s="3">
        <v>2729</v>
      </c>
      <c r="BI59" s="3">
        <v>2424</v>
      </c>
      <c r="BK59" s="3">
        <v>2464</v>
      </c>
      <c r="BN59" s="3">
        <v>5849</v>
      </c>
      <c r="BP59" s="3">
        <v>4451</v>
      </c>
      <c r="BR59" s="3">
        <v>4772</v>
      </c>
    </row>
    <row r="60" spans="4:70" x14ac:dyDescent="0.25">
      <c r="D60">
        <v>2257</v>
      </c>
      <c r="E60">
        <v>5653</v>
      </c>
      <c r="G60">
        <v>7339</v>
      </c>
      <c r="H60">
        <v>7084</v>
      </c>
      <c r="K60" s="3">
        <v>2375</v>
      </c>
      <c r="M60" s="3">
        <v>7144</v>
      </c>
      <c r="O60" s="3">
        <v>7224</v>
      </c>
      <c r="Q60" s="3">
        <v>2765</v>
      </c>
      <c r="R60" s="3">
        <v>2499</v>
      </c>
      <c r="AG60" s="3">
        <v>4305</v>
      </c>
      <c r="AH60" s="3">
        <v>2120</v>
      </c>
      <c r="AJ60" s="3">
        <v>5491</v>
      </c>
      <c r="AL60" s="3">
        <v>5738</v>
      </c>
      <c r="AN60" s="3">
        <v>4992</v>
      </c>
      <c r="AO60" s="3">
        <v>5499</v>
      </c>
      <c r="AP60" s="3">
        <v>2878</v>
      </c>
      <c r="AQ60" s="3">
        <v>2268</v>
      </c>
      <c r="AR60" s="3">
        <v>5052</v>
      </c>
      <c r="AS60" s="3">
        <v>5449</v>
      </c>
      <c r="AU60" s="3">
        <v>5571</v>
      </c>
      <c r="AY60" s="3">
        <v>5110</v>
      </c>
      <c r="AZ60" s="3">
        <v>2580</v>
      </c>
      <c r="BA60" s="3">
        <v>2323</v>
      </c>
      <c r="BB60" s="3">
        <v>5684</v>
      </c>
      <c r="BC60" s="3">
        <v>2784</v>
      </c>
      <c r="BG60" s="3">
        <v>5701</v>
      </c>
      <c r="BH60" s="3">
        <v>2730</v>
      </c>
      <c r="BI60" s="3">
        <v>2425</v>
      </c>
      <c r="BK60" s="3">
        <v>2465</v>
      </c>
      <c r="BN60" s="3">
        <v>5850</v>
      </c>
      <c r="BP60" s="3">
        <v>4452</v>
      </c>
      <c r="BR60" s="3">
        <v>4773</v>
      </c>
    </row>
    <row r="61" spans="4:70" x14ac:dyDescent="0.25">
      <c r="D61">
        <v>2258</v>
      </c>
      <c r="E61">
        <v>5654</v>
      </c>
      <c r="G61">
        <v>7340</v>
      </c>
      <c r="H61">
        <v>7085</v>
      </c>
      <c r="K61" s="3">
        <v>2376</v>
      </c>
      <c r="M61" s="3">
        <v>7225</v>
      </c>
      <c r="O61" s="3">
        <v>7226</v>
      </c>
      <c r="Q61" s="3">
        <v>2766</v>
      </c>
      <c r="R61" s="3">
        <v>2500</v>
      </c>
      <c r="AG61" s="3">
        <v>4307</v>
      </c>
      <c r="AH61" s="3">
        <v>2121</v>
      </c>
      <c r="AJ61" s="3">
        <v>5492</v>
      </c>
      <c r="AL61" s="3">
        <v>5739</v>
      </c>
      <c r="AN61" s="3">
        <v>4993</v>
      </c>
      <c r="AO61" s="3">
        <v>5500</v>
      </c>
      <c r="AP61" s="3">
        <v>2879</v>
      </c>
      <c r="AQ61" s="3">
        <v>2269</v>
      </c>
      <c r="AR61" s="3">
        <v>5053</v>
      </c>
      <c r="AS61" s="3">
        <v>5450</v>
      </c>
      <c r="AU61" s="3">
        <v>5572</v>
      </c>
      <c r="AY61" s="3">
        <v>5111</v>
      </c>
      <c r="AZ61" s="3">
        <v>2581</v>
      </c>
      <c r="BA61" s="3">
        <v>2324</v>
      </c>
      <c r="BB61" s="3">
        <v>5685</v>
      </c>
      <c r="BC61" s="3">
        <v>2785</v>
      </c>
      <c r="BG61" s="3">
        <v>5702</v>
      </c>
      <c r="BH61" s="3">
        <v>2731</v>
      </c>
      <c r="BI61" s="3">
        <v>2747</v>
      </c>
      <c r="BK61" s="3">
        <v>2466</v>
      </c>
      <c r="BN61" s="3">
        <v>5851</v>
      </c>
      <c r="BP61" s="3">
        <v>4453</v>
      </c>
      <c r="BR61" s="3">
        <v>4774</v>
      </c>
    </row>
    <row r="62" spans="4:70" x14ac:dyDescent="0.25">
      <c r="D62">
        <v>2442</v>
      </c>
      <c r="G62">
        <v>7341</v>
      </c>
      <c r="H62">
        <v>7086</v>
      </c>
      <c r="K62" s="3">
        <v>2377</v>
      </c>
      <c r="M62" s="3">
        <v>7229</v>
      </c>
      <c r="O62" s="3">
        <v>7227</v>
      </c>
      <c r="Q62" s="3">
        <v>2767</v>
      </c>
      <c r="R62" s="3">
        <v>2501</v>
      </c>
      <c r="AG62" s="3">
        <v>5030</v>
      </c>
      <c r="AH62" s="3">
        <v>2122</v>
      </c>
      <c r="AJ62" s="3">
        <v>5842</v>
      </c>
      <c r="AL62" s="3">
        <v>5740</v>
      </c>
      <c r="AN62" s="3">
        <v>4994</v>
      </c>
      <c r="AO62" s="3">
        <v>5501</v>
      </c>
      <c r="AP62" s="3">
        <v>2880</v>
      </c>
      <c r="AQ62" s="3">
        <v>2270</v>
      </c>
      <c r="AR62" s="3">
        <v>5054</v>
      </c>
      <c r="AS62" s="3">
        <v>5451</v>
      </c>
      <c r="AU62" s="3">
        <v>5573</v>
      </c>
      <c r="AY62" s="3">
        <v>5112</v>
      </c>
      <c r="AZ62" s="3">
        <v>2582</v>
      </c>
      <c r="BA62" s="3">
        <v>2325</v>
      </c>
      <c r="BB62" s="3">
        <v>5686</v>
      </c>
      <c r="BC62" s="3">
        <v>2786</v>
      </c>
      <c r="BG62" s="3">
        <v>5703</v>
      </c>
      <c r="BH62" s="3">
        <v>2732</v>
      </c>
      <c r="BI62" s="3">
        <v>2748</v>
      </c>
      <c r="BK62" s="3">
        <v>2467</v>
      </c>
      <c r="BN62" s="3">
        <v>5854</v>
      </c>
      <c r="BP62" s="3">
        <v>4454</v>
      </c>
      <c r="BR62" s="3">
        <v>4897</v>
      </c>
    </row>
    <row r="63" spans="4:70" x14ac:dyDescent="0.25">
      <c r="D63">
        <v>2443</v>
      </c>
      <c r="G63">
        <v>7342</v>
      </c>
      <c r="H63">
        <v>7088</v>
      </c>
      <c r="K63" s="3">
        <v>2378</v>
      </c>
      <c r="M63" s="3">
        <v>7236</v>
      </c>
      <c r="O63" s="3">
        <v>7228</v>
      </c>
      <c r="Q63" s="3">
        <v>2768</v>
      </c>
      <c r="R63" s="3">
        <v>2502</v>
      </c>
      <c r="AG63" s="3">
        <v>5031</v>
      </c>
      <c r="AH63" s="3">
        <v>2123</v>
      </c>
      <c r="AJ63" s="3">
        <v>5843</v>
      </c>
      <c r="AL63" s="3">
        <v>5741</v>
      </c>
      <c r="AN63" s="3">
        <v>4995</v>
      </c>
      <c r="AO63" s="3">
        <v>5502</v>
      </c>
      <c r="AP63" s="3">
        <v>2881</v>
      </c>
      <c r="AQ63" s="3">
        <v>2271</v>
      </c>
      <c r="AR63" s="3">
        <v>5230</v>
      </c>
      <c r="AS63" s="3">
        <v>5452</v>
      </c>
      <c r="AU63" s="3">
        <v>5574</v>
      </c>
      <c r="AY63" s="3">
        <v>5113</v>
      </c>
      <c r="AZ63" s="3">
        <v>2583</v>
      </c>
      <c r="BA63" s="3">
        <v>2326</v>
      </c>
      <c r="BB63" s="3">
        <v>5687</v>
      </c>
      <c r="BC63" s="3">
        <v>2787</v>
      </c>
      <c r="BG63" s="3">
        <v>5704</v>
      </c>
      <c r="BH63" s="3">
        <v>2733</v>
      </c>
      <c r="BI63" s="3">
        <v>2749</v>
      </c>
      <c r="BK63" s="3">
        <v>2468</v>
      </c>
      <c r="BN63" s="3">
        <v>5855</v>
      </c>
      <c r="BP63" s="3">
        <v>4455</v>
      </c>
      <c r="BR63" s="3">
        <v>4898</v>
      </c>
    </row>
    <row r="64" spans="4:70" x14ac:dyDescent="0.25">
      <c r="D64">
        <v>2444</v>
      </c>
      <c r="G64">
        <v>7343</v>
      </c>
      <c r="H64">
        <v>7089</v>
      </c>
      <c r="K64" s="3">
        <v>2379</v>
      </c>
      <c r="M64" s="3">
        <v>7424</v>
      </c>
      <c r="O64" s="3">
        <v>7230</v>
      </c>
      <c r="Q64" s="3">
        <v>2769</v>
      </c>
      <c r="R64" s="3">
        <v>2503</v>
      </c>
      <c r="AG64" s="3">
        <v>5032</v>
      </c>
      <c r="AH64" s="3">
        <v>2124</v>
      </c>
      <c r="AL64" s="3">
        <v>5742</v>
      </c>
      <c r="AN64" s="3">
        <v>5126</v>
      </c>
      <c r="AO64" s="3">
        <v>5503</v>
      </c>
      <c r="AP64" s="3">
        <v>2882</v>
      </c>
      <c r="AQ64" s="3">
        <v>2272</v>
      </c>
      <c r="AR64" s="3">
        <v>5231</v>
      </c>
      <c r="AS64" s="3">
        <v>5453</v>
      </c>
      <c r="AU64" s="3">
        <v>5575</v>
      </c>
      <c r="AY64" s="3">
        <v>5114</v>
      </c>
      <c r="AZ64" s="3">
        <v>2584</v>
      </c>
      <c r="BA64" s="3">
        <v>2327</v>
      </c>
      <c r="BB64" s="3">
        <v>5688</v>
      </c>
      <c r="BC64" s="3">
        <v>2788</v>
      </c>
      <c r="BG64" s="3">
        <v>5706</v>
      </c>
      <c r="BH64" s="3">
        <v>2734</v>
      </c>
      <c r="BI64" s="3">
        <v>2750</v>
      </c>
      <c r="BK64" s="3">
        <v>2469</v>
      </c>
      <c r="BN64" s="3">
        <v>5856</v>
      </c>
      <c r="BP64" s="3">
        <v>4456</v>
      </c>
      <c r="BR64" s="3">
        <v>4899</v>
      </c>
    </row>
    <row r="65" spans="4:70" x14ac:dyDescent="0.25">
      <c r="D65">
        <v>2543</v>
      </c>
      <c r="G65">
        <v>7344</v>
      </c>
      <c r="H65">
        <v>7090</v>
      </c>
      <c r="K65" s="3">
        <v>2381</v>
      </c>
      <c r="M65" s="3">
        <v>7432</v>
      </c>
      <c r="O65" s="3">
        <v>7231</v>
      </c>
      <c r="Q65" s="3">
        <v>2770</v>
      </c>
      <c r="R65" s="3">
        <v>2504</v>
      </c>
      <c r="AG65" s="3">
        <v>5033</v>
      </c>
      <c r="AH65" s="3">
        <v>2125</v>
      </c>
      <c r="AN65" s="3">
        <v>5127</v>
      </c>
      <c r="AO65" s="3">
        <v>5663</v>
      </c>
      <c r="AP65" s="3">
        <v>2883</v>
      </c>
      <c r="AQ65" s="3">
        <v>2273</v>
      </c>
      <c r="AR65" s="3">
        <v>5232</v>
      </c>
      <c r="AS65" s="3">
        <v>5454</v>
      </c>
      <c r="AU65" s="3">
        <v>5576</v>
      </c>
      <c r="AY65" s="3">
        <v>5115</v>
      </c>
      <c r="AZ65" s="3">
        <v>2585</v>
      </c>
      <c r="BA65" s="3">
        <v>2328</v>
      </c>
      <c r="BB65" s="3">
        <v>5689</v>
      </c>
      <c r="BC65" s="3">
        <v>2789</v>
      </c>
      <c r="BG65" s="3">
        <v>5707</v>
      </c>
      <c r="BH65" s="3">
        <v>2735</v>
      </c>
      <c r="BK65" s="3">
        <v>2470</v>
      </c>
      <c r="BN65" s="3">
        <v>5857</v>
      </c>
      <c r="BP65" s="3">
        <v>4457</v>
      </c>
      <c r="BR65" s="3">
        <v>4900</v>
      </c>
    </row>
    <row r="66" spans="4:70" x14ac:dyDescent="0.25">
      <c r="D66">
        <v>2544</v>
      </c>
      <c r="G66">
        <v>7345</v>
      </c>
      <c r="H66">
        <v>7091</v>
      </c>
      <c r="K66" s="3">
        <v>2383</v>
      </c>
      <c r="M66" s="3">
        <v>7437</v>
      </c>
      <c r="O66" s="3">
        <v>7232</v>
      </c>
      <c r="Q66" s="3">
        <v>2771</v>
      </c>
      <c r="R66" s="3">
        <v>2505</v>
      </c>
      <c r="AG66" s="3">
        <v>5034</v>
      </c>
      <c r="AH66" s="3">
        <v>2126</v>
      </c>
      <c r="AN66" s="3">
        <v>5128</v>
      </c>
      <c r="AO66" s="3">
        <v>5664</v>
      </c>
      <c r="AP66" s="3">
        <v>2884</v>
      </c>
      <c r="AQ66" s="3">
        <v>2278</v>
      </c>
      <c r="AR66" s="3">
        <v>5233</v>
      </c>
      <c r="AS66" s="3">
        <v>5455</v>
      </c>
      <c r="AU66" s="3">
        <v>5577</v>
      </c>
      <c r="AY66" s="3">
        <v>5116</v>
      </c>
      <c r="AZ66" s="3">
        <v>2586</v>
      </c>
      <c r="BA66" s="3">
        <v>5055</v>
      </c>
      <c r="BB66" s="3">
        <v>5690</v>
      </c>
      <c r="BC66" s="3">
        <v>2790</v>
      </c>
      <c r="BG66" s="3">
        <v>5708</v>
      </c>
      <c r="BH66" s="3">
        <v>2736</v>
      </c>
      <c r="BK66" s="3">
        <v>2471</v>
      </c>
      <c r="BP66" s="3">
        <v>4458</v>
      </c>
      <c r="BR66" s="3">
        <v>4901</v>
      </c>
    </row>
    <row r="67" spans="4:70" x14ac:dyDescent="0.25">
      <c r="D67">
        <v>2545</v>
      </c>
      <c r="G67">
        <v>7346</v>
      </c>
      <c r="H67">
        <v>7093</v>
      </c>
      <c r="K67" s="3">
        <v>2384</v>
      </c>
      <c r="M67" s="3">
        <v>7438</v>
      </c>
      <c r="O67" s="3">
        <v>7233</v>
      </c>
      <c r="Q67" s="3">
        <v>2772</v>
      </c>
      <c r="R67" s="3">
        <v>2506</v>
      </c>
      <c r="AG67" s="3">
        <v>5035</v>
      </c>
      <c r="AH67" s="3">
        <v>2127</v>
      </c>
      <c r="AN67" s="3">
        <v>5129</v>
      </c>
      <c r="AO67" s="3">
        <v>5744</v>
      </c>
      <c r="AP67" s="3">
        <v>2885</v>
      </c>
      <c r="AQ67" s="3">
        <v>2279</v>
      </c>
      <c r="AR67" s="3">
        <v>5234</v>
      </c>
      <c r="AS67" s="3">
        <v>5456</v>
      </c>
      <c r="AU67" s="3">
        <v>5578</v>
      </c>
      <c r="AY67" s="3">
        <v>5117</v>
      </c>
      <c r="AZ67" s="3">
        <v>2651</v>
      </c>
      <c r="BA67" s="3">
        <v>5056</v>
      </c>
      <c r="BB67" s="3">
        <v>5691</v>
      </c>
      <c r="BC67" s="3">
        <v>2791</v>
      </c>
      <c r="BG67" s="3">
        <v>5709</v>
      </c>
      <c r="BH67" s="3">
        <v>2737</v>
      </c>
      <c r="BK67" s="3">
        <v>2472</v>
      </c>
      <c r="BP67" s="3">
        <v>4459</v>
      </c>
      <c r="BR67" s="3">
        <v>5153</v>
      </c>
    </row>
    <row r="68" spans="4:70" x14ac:dyDescent="0.25">
      <c r="D68">
        <v>2547</v>
      </c>
      <c r="G68">
        <v>7347</v>
      </c>
      <c r="H68">
        <v>7094</v>
      </c>
      <c r="K68" s="3">
        <v>2385</v>
      </c>
      <c r="M68" s="3">
        <v>7439</v>
      </c>
      <c r="O68" s="3">
        <v>7234</v>
      </c>
      <c r="Q68" s="3">
        <v>2773</v>
      </c>
      <c r="R68" s="3">
        <v>2507</v>
      </c>
      <c r="AG68" s="3">
        <v>5036</v>
      </c>
      <c r="AH68" s="3">
        <v>2128</v>
      </c>
      <c r="AN68" s="3">
        <v>5130</v>
      </c>
      <c r="AO68" s="3">
        <v>5745</v>
      </c>
      <c r="AP68" s="3">
        <v>2886</v>
      </c>
      <c r="AQ68" s="3">
        <v>2282</v>
      </c>
      <c r="AR68" s="3">
        <v>5235</v>
      </c>
      <c r="AS68" s="3">
        <v>5457</v>
      </c>
      <c r="AU68" s="3">
        <v>5773</v>
      </c>
      <c r="AY68" s="3">
        <v>5118</v>
      </c>
      <c r="AZ68" s="3">
        <v>2652</v>
      </c>
      <c r="BA68" s="3">
        <v>5057</v>
      </c>
      <c r="BB68" s="3">
        <v>5692</v>
      </c>
      <c r="BC68" s="3">
        <v>2792</v>
      </c>
      <c r="BG68" s="3">
        <v>5710</v>
      </c>
      <c r="BH68" s="3">
        <v>2738</v>
      </c>
      <c r="BK68" s="3">
        <v>2473</v>
      </c>
      <c r="BP68" s="3">
        <v>4524</v>
      </c>
      <c r="BR68" s="3">
        <v>5154</v>
      </c>
    </row>
    <row r="69" spans="4:70" x14ac:dyDescent="0.25">
      <c r="D69">
        <v>2550</v>
      </c>
      <c r="G69">
        <v>7348</v>
      </c>
      <c r="H69">
        <v>7095</v>
      </c>
      <c r="K69" s="3">
        <v>2392</v>
      </c>
      <c r="O69" s="3">
        <v>7235</v>
      </c>
      <c r="Q69" s="3">
        <v>2774</v>
      </c>
      <c r="R69" s="3">
        <v>2508</v>
      </c>
      <c r="AG69" s="3">
        <v>5037</v>
      </c>
      <c r="AH69" s="3">
        <v>2129</v>
      </c>
      <c r="AN69" s="3">
        <v>5131</v>
      </c>
      <c r="AO69" s="3">
        <v>5746</v>
      </c>
      <c r="AP69" s="3">
        <v>2887</v>
      </c>
      <c r="AQ69" s="3">
        <v>2283</v>
      </c>
      <c r="AR69" s="3">
        <v>5236</v>
      </c>
      <c r="AS69" s="3">
        <v>5458</v>
      </c>
      <c r="AU69" s="3">
        <v>5774</v>
      </c>
      <c r="AY69" s="3">
        <v>5119</v>
      </c>
      <c r="AZ69" s="3">
        <v>2653</v>
      </c>
      <c r="BA69" s="3">
        <v>5058</v>
      </c>
      <c r="BB69" s="3">
        <v>5693</v>
      </c>
      <c r="BC69" s="3">
        <v>2793</v>
      </c>
      <c r="BG69" s="3">
        <v>5711</v>
      </c>
      <c r="BH69" s="3">
        <v>2739</v>
      </c>
      <c r="BK69" s="3">
        <v>2474</v>
      </c>
      <c r="BP69" s="3">
        <v>4526</v>
      </c>
      <c r="BR69" s="3">
        <v>5155</v>
      </c>
    </row>
    <row r="70" spans="4:70" x14ac:dyDescent="0.25">
      <c r="D70">
        <v>4883</v>
      </c>
      <c r="H70">
        <v>7097</v>
      </c>
      <c r="K70" s="3">
        <v>2409</v>
      </c>
      <c r="O70" s="3">
        <v>7237</v>
      </c>
      <c r="Q70" s="3">
        <v>2775</v>
      </c>
      <c r="R70" s="3">
        <v>2510</v>
      </c>
      <c r="AG70" s="3">
        <v>5038</v>
      </c>
      <c r="AH70" s="3">
        <v>4302</v>
      </c>
      <c r="AN70" s="3">
        <v>5132</v>
      </c>
      <c r="AO70" s="3">
        <v>5747</v>
      </c>
      <c r="AP70" s="3">
        <v>2888</v>
      </c>
      <c r="AQ70" s="3">
        <v>2389</v>
      </c>
      <c r="AR70" s="3">
        <v>5237</v>
      </c>
      <c r="AS70" s="3">
        <v>5459</v>
      </c>
      <c r="AU70" s="3">
        <v>5775</v>
      </c>
      <c r="AY70" s="3">
        <v>5120</v>
      </c>
      <c r="AZ70" s="3">
        <v>2654</v>
      </c>
      <c r="BA70" s="3">
        <v>5059</v>
      </c>
      <c r="BB70" s="3">
        <v>5694</v>
      </c>
      <c r="BC70" s="3">
        <v>2794</v>
      </c>
      <c r="BG70" s="3">
        <v>5712</v>
      </c>
      <c r="BH70" s="3">
        <v>2740</v>
      </c>
      <c r="BK70" s="3">
        <v>2475</v>
      </c>
      <c r="BP70" s="3">
        <v>4529</v>
      </c>
      <c r="BR70" s="3">
        <v>5156</v>
      </c>
    </row>
    <row r="71" spans="4:70" x14ac:dyDescent="0.25">
      <c r="D71">
        <v>4884</v>
      </c>
      <c r="H71">
        <v>7098</v>
      </c>
      <c r="K71" s="3">
        <v>4358</v>
      </c>
      <c r="O71" s="3">
        <v>7238</v>
      </c>
      <c r="Q71" s="3">
        <v>2776</v>
      </c>
      <c r="R71" s="3">
        <v>2511</v>
      </c>
      <c r="AG71" s="3">
        <v>5274</v>
      </c>
      <c r="AH71" s="3">
        <v>4850</v>
      </c>
      <c r="AN71" s="3">
        <v>5133</v>
      </c>
      <c r="AO71" s="3">
        <v>5748</v>
      </c>
      <c r="AP71" s="3">
        <v>2889</v>
      </c>
      <c r="AQ71" s="3">
        <v>2390</v>
      </c>
      <c r="AR71" s="3">
        <v>5238</v>
      </c>
      <c r="AS71" s="3">
        <v>5460</v>
      </c>
      <c r="AU71" s="3">
        <v>5776</v>
      </c>
      <c r="AY71" s="3">
        <v>5121</v>
      </c>
      <c r="AZ71" s="3">
        <v>2655</v>
      </c>
      <c r="BA71" s="3">
        <v>5178</v>
      </c>
      <c r="BB71" s="3">
        <v>5695</v>
      </c>
      <c r="BC71" s="3">
        <v>2796</v>
      </c>
      <c r="BG71" s="3">
        <v>5713</v>
      </c>
      <c r="BH71" s="3">
        <v>2741</v>
      </c>
      <c r="BK71" s="3">
        <v>2476</v>
      </c>
      <c r="BP71" s="3">
        <v>4531</v>
      </c>
      <c r="BR71" s="3">
        <v>5157</v>
      </c>
    </row>
    <row r="72" spans="4:70" x14ac:dyDescent="0.25">
      <c r="D72">
        <v>4885</v>
      </c>
      <c r="H72">
        <v>7099</v>
      </c>
      <c r="K72" s="3">
        <v>4373</v>
      </c>
      <c r="O72" s="3">
        <v>7239</v>
      </c>
      <c r="Q72" s="3">
        <v>2777</v>
      </c>
      <c r="R72" s="3">
        <v>2514</v>
      </c>
      <c r="AG72" s="3">
        <v>5275</v>
      </c>
      <c r="AH72" s="3">
        <v>4852</v>
      </c>
      <c r="AN72" s="3">
        <v>5134</v>
      </c>
      <c r="AO72" s="3">
        <v>5749</v>
      </c>
      <c r="AP72" s="3">
        <v>2890</v>
      </c>
      <c r="AQ72" s="3">
        <v>2391</v>
      </c>
      <c r="AR72" s="3">
        <v>5239</v>
      </c>
      <c r="AS72" s="3">
        <v>5461</v>
      </c>
      <c r="AU72" s="3">
        <v>5777</v>
      </c>
      <c r="AY72" s="3">
        <v>5122</v>
      </c>
      <c r="AZ72" s="3">
        <v>2656</v>
      </c>
      <c r="BA72" s="3">
        <v>5179</v>
      </c>
      <c r="BB72" s="3">
        <v>5696</v>
      </c>
      <c r="BC72" s="3">
        <v>5283</v>
      </c>
      <c r="BG72" s="3">
        <v>5714</v>
      </c>
      <c r="BK72" s="3">
        <v>2477</v>
      </c>
      <c r="BP72" s="3">
        <v>4541</v>
      </c>
      <c r="BR72" s="3">
        <v>5158</v>
      </c>
    </row>
    <row r="73" spans="4:70" x14ac:dyDescent="0.25">
      <c r="D73">
        <v>4886</v>
      </c>
      <c r="H73">
        <v>7100</v>
      </c>
      <c r="K73" s="3">
        <v>4378</v>
      </c>
      <c r="O73" s="3">
        <v>7240</v>
      </c>
      <c r="Q73" s="3">
        <v>2778</v>
      </c>
      <c r="R73" s="3">
        <v>2515</v>
      </c>
      <c r="AG73" s="3">
        <v>5329</v>
      </c>
      <c r="AH73" s="3">
        <v>4854</v>
      </c>
      <c r="AN73" s="3">
        <v>5135</v>
      </c>
      <c r="AO73" s="3">
        <v>5750</v>
      </c>
      <c r="AP73" s="3">
        <v>2898</v>
      </c>
      <c r="AQ73" s="3">
        <v>2393</v>
      </c>
      <c r="AR73" s="3">
        <v>5240</v>
      </c>
      <c r="AS73" s="3">
        <v>5462</v>
      </c>
      <c r="AU73" s="3">
        <v>5778</v>
      </c>
      <c r="AY73" s="3">
        <v>5123</v>
      </c>
      <c r="AZ73" s="3">
        <v>2657</v>
      </c>
      <c r="BA73" s="3">
        <v>5180</v>
      </c>
      <c r="BB73" s="3">
        <v>5697</v>
      </c>
      <c r="BC73" s="3">
        <v>5284</v>
      </c>
      <c r="BG73" s="3">
        <v>5715</v>
      </c>
      <c r="BK73" s="3">
        <v>2478</v>
      </c>
      <c r="BP73" s="3">
        <v>4590</v>
      </c>
      <c r="BR73" s="3">
        <v>5159</v>
      </c>
    </row>
    <row r="74" spans="4:70" x14ac:dyDescent="0.25">
      <c r="D74">
        <v>4887</v>
      </c>
      <c r="H74">
        <v>7101</v>
      </c>
      <c r="K74" s="3">
        <v>4381</v>
      </c>
      <c r="O74" s="3">
        <v>7241</v>
      </c>
      <c r="Q74" s="3">
        <v>2779</v>
      </c>
      <c r="R74" s="3">
        <v>2516</v>
      </c>
      <c r="AG74" s="3">
        <v>5330</v>
      </c>
      <c r="AH74" s="3">
        <v>4855</v>
      </c>
      <c r="AN74" s="3">
        <v>5334</v>
      </c>
      <c r="AO74" s="3">
        <v>5751</v>
      </c>
      <c r="AP74" s="3">
        <v>2901</v>
      </c>
      <c r="AQ74" s="3">
        <v>2394</v>
      </c>
      <c r="AR74" s="3">
        <v>5241</v>
      </c>
      <c r="AS74" s="3">
        <v>5463</v>
      </c>
      <c r="AU74" s="3">
        <v>5779</v>
      </c>
      <c r="AY74" s="3">
        <v>5124</v>
      </c>
      <c r="AZ74" s="3">
        <v>2658</v>
      </c>
      <c r="BA74" s="3">
        <v>5181</v>
      </c>
      <c r="BB74" s="3">
        <v>5698</v>
      </c>
      <c r="BC74" s="3">
        <v>5285</v>
      </c>
      <c r="BK74" s="3">
        <v>2479</v>
      </c>
      <c r="BP74" s="3">
        <v>4591</v>
      </c>
      <c r="BR74" s="3">
        <v>5160</v>
      </c>
    </row>
    <row r="75" spans="4:70" x14ac:dyDescent="0.25">
      <c r="D75">
        <v>4889</v>
      </c>
      <c r="H75">
        <v>7102</v>
      </c>
      <c r="K75" s="3">
        <v>4382</v>
      </c>
      <c r="O75" s="3">
        <v>7242</v>
      </c>
      <c r="Q75" s="3">
        <v>2780</v>
      </c>
      <c r="R75" s="3">
        <v>2518</v>
      </c>
      <c r="AH75" s="3">
        <v>4859</v>
      </c>
      <c r="AN75" s="3">
        <v>5335</v>
      </c>
      <c r="AO75" s="3">
        <v>5752</v>
      </c>
      <c r="AP75" s="3">
        <v>2902</v>
      </c>
      <c r="AQ75" s="3">
        <v>2395</v>
      </c>
      <c r="AR75" s="3">
        <v>5259</v>
      </c>
      <c r="AS75" s="3">
        <v>5474</v>
      </c>
      <c r="AU75" s="3">
        <v>5780</v>
      </c>
      <c r="AY75" s="3">
        <v>5125</v>
      </c>
      <c r="AZ75" s="3">
        <v>2659</v>
      </c>
      <c r="BA75" s="3">
        <v>5183</v>
      </c>
      <c r="BB75" s="3">
        <v>5699</v>
      </c>
      <c r="BC75" s="3">
        <v>5286</v>
      </c>
      <c r="BK75" s="3">
        <v>2480</v>
      </c>
      <c r="BP75" s="3">
        <v>4592</v>
      </c>
      <c r="BR75" s="3">
        <v>5161</v>
      </c>
    </row>
    <row r="76" spans="4:70" x14ac:dyDescent="0.25">
      <c r="D76">
        <v>4890</v>
      </c>
      <c r="H76">
        <v>7104</v>
      </c>
      <c r="K76" s="3">
        <v>4383</v>
      </c>
      <c r="O76" s="3">
        <v>7243</v>
      </c>
      <c r="Q76" s="3">
        <v>4734</v>
      </c>
      <c r="R76" s="3">
        <v>2519</v>
      </c>
      <c r="AH76" s="3">
        <v>4861</v>
      </c>
      <c r="AN76" s="3">
        <v>5336</v>
      </c>
      <c r="AO76" s="3">
        <v>5753</v>
      </c>
      <c r="AP76" s="3">
        <v>2903</v>
      </c>
      <c r="AQ76" s="3">
        <v>2398</v>
      </c>
      <c r="AR76" s="3">
        <v>5260</v>
      </c>
      <c r="AS76" s="3">
        <v>5475</v>
      </c>
      <c r="AU76" s="3">
        <v>5781</v>
      </c>
      <c r="AY76" s="3">
        <v>5314</v>
      </c>
      <c r="AZ76" s="3">
        <v>2660</v>
      </c>
      <c r="BA76" s="3">
        <v>5184</v>
      </c>
      <c r="BC76" s="3">
        <v>5287</v>
      </c>
      <c r="BK76" s="3">
        <v>2481</v>
      </c>
      <c r="BP76" s="3">
        <v>4594</v>
      </c>
      <c r="BR76" s="3">
        <v>5162</v>
      </c>
    </row>
    <row r="77" spans="4:70" x14ac:dyDescent="0.25">
      <c r="D77">
        <v>4891</v>
      </c>
      <c r="H77">
        <v>7105</v>
      </c>
      <c r="K77" s="3">
        <v>4385</v>
      </c>
      <c r="O77" s="3">
        <v>7244</v>
      </c>
      <c r="Q77" s="3">
        <v>4739</v>
      </c>
      <c r="R77" s="3">
        <v>2521</v>
      </c>
      <c r="AH77" s="3">
        <v>4863</v>
      </c>
      <c r="AN77" s="3">
        <v>5337</v>
      </c>
      <c r="AO77" s="3">
        <v>5754</v>
      </c>
      <c r="AP77" s="3">
        <v>2904</v>
      </c>
      <c r="AQ77" s="3">
        <v>2399</v>
      </c>
      <c r="AR77" s="3">
        <v>5261</v>
      </c>
      <c r="AS77" s="3">
        <v>5476</v>
      </c>
      <c r="AU77" s="3">
        <v>5782</v>
      </c>
      <c r="AY77" s="3">
        <v>5316</v>
      </c>
      <c r="AZ77" s="3">
        <v>2661</v>
      </c>
      <c r="BA77" s="3">
        <v>5185</v>
      </c>
      <c r="BC77" s="3">
        <v>5288</v>
      </c>
      <c r="BK77" s="3">
        <v>2925</v>
      </c>
      <c r="BP77" s="3">
        <v>4595</v>
      </c>
      <c r="BR77" s="3">
        <v>5163</v>
      </c>
    </row>
    <row r="78" spans="4:70" x14ac:dyDescent="0.25">
      <c r="D78">
        <v>4892</v>
      </c>
      <c r="H78">
        <v>7106</v>
      </c>
      <c r="K78" s="3">
        <v>4388</v>
      </c>
      <c r="O78" s="3">
        <v>7245</v>
      </c>
      <c r="Q78" s="3">
        <v>4745</v>
      </c>
      <c r="R78" s="3">
        <v>2522</v>
      </c>
      <c r="AH78" s="3">
        <v>4864</v>
      </c>
      <c r="AN78" s="3">
        <v>5338</v>
      </c>
      <c r="AO78" s="3">
        <v>5755</v>
      </c>
      <c r="AP78" s="3">
        <v>2905</v>
      </c>
      <c r="AQ78" s="3">
        <v>2811</v>
      </c>
      <c r="AR78" s="3">
        <v>5262</v>
      </c>
      <c r="AS78" s="3">
        <v>5477</v>
      </c>
      <c r="AU78" s="3">
        <v>5783</v>
      </c>
      <c r="AY78" s="3">
        <v>5317</v>
      </c>
      <c r="AZ78" s="3">
        <v>2662</v>
      </c>
      <c r="BA78" s="3">
        <v>5186</v>
      </c>
      <c r="BC78" s="3">
        <v>5289</v>
      </c>
      <c r="BK78" s="3">
        <v>2926</v>
      </c>
      <c r="BP78" s="3">
        <v>4597</v>
      </c>
      <c r="BR78" s="3">
        <v>5164</v>
      </c>
    </row>
    <row r="79" spans="4:70" x14ac:dyDescent="0.25">
      <c r="D79">
        <v>4893</v>
      </c>
      <c r="H79">
        <v>7108</v>
      </c>
      <c r="K79" s="3">
        <v>4389</v>
      </c>
      <c r="O79" s="3">
        <v>7247</v>
      </c>
      <c r="Q79" s="3">
        <v>4747</v>
      </c>
      <c r="R79" s="3">
        <v>2523</v>
      </c>
      <c r="AH79" s="3">
        <v>4865</v>
      </c>
      <c r="AN79" s="3">
        <v>5339</v>
      </c>
      <c r="AO79" s="3">
        <v>5756</v>
      </c>
      <c r="AP79" s="3">
        <v>2906</v>
      </c>
      <c r="AQ79" s="3">
        <v>2812</v>
      </c>
      <c r="AR79" s="3">
        <v>5263</v>
      </c>
      <c r="AS79" s="3">
        <v>5478</v>
      </c>
      <c r="AU79" s="3">
        <v>5784</v>
      </c>
      <c r="AY79" s="3">
        <v>5318</v>
      </c>
      <c r="AZ79" s="3">
        <v>2663</v>
      </c>
      <c r="BA79" s="3">
        <v>5187</v>
      </c>
      <c r="BC79" s="3">
        <v>5290</v>
      </c>
      <c r="BK79" s="3">
        <v>2927</v>
      </c>
      <c r="BP79" s="3">
        <v>4598</v>
      </c>
      <c r="BR79" s="3">
        <v>5165</v>
      </c>
    </row>
    <row r="80" spans="4:70" x14ac:dyDescent="0.25">
      <c r="D80">
        <v>4894</v>
      </c>
      <c r="H80">
        <v>7109</v>
      </c>
      <c r="K80" s="3">
        <v>4391</v>
      </c>
      <c r="O80" s="3">
        <v>7248</v>
      </c>
      <c r="Q80" s="3">
        <v>4748</v>
      </c>
      <c r="R80" s="3">
        <v>2524</v>
      </c>
      <c r="AH80" s="3">
        <v>4866</v>
      </c>
      <c r="AN80" s="3">
        <v>5340</v>
      </c>
      <c r="AO80" s="3">
        <v>5757</v>
      </c>
      <c r="AP80" s="3">
        <v>2907</v>
      </c>
      <c r="AQ80" s="3">
        <v>2813</v>
      </c>
      <c r="AR80" s="3">
        <v>5264</v>
      </c>
      <c r="AS80" s="3">
        <v>5479</v>
      </c>
      <c r="AU80" s="3">
        <v>5785</v>
      </c>
      <c r="AZ80" s="3">
        <v>2664</v>
      </c>
      <c r="BA80" s="3">
        <v>5188</v>
      </c>
      <c r="BC80" s="3">
        <v>5291</v>
      </c>
      <c r="BK80" s="3">
        <v>2928</v>
      </c>
      <c r="BP80" s="3">
        <v>4600</v>
      </c>
      <c r="BR80" s="3">
        <v>5166</v>
      </c>
    </row>
    <row r="81" spans="4:70" x14ac:dyDescent="0.25">
      <c r="D81">
        <v>4895</v>
      </c>
      <c r="H81">
        <v>7110</v>
      </c>
      <c r="K81" s="3">
        <v>4395</v>
      </c>
      <c r="O81" s="3">
        <v>7249</v>
      </c>
      <c r="Q81" s="3">
        <v>4749</v>
      </c>
      <c r="R81" s="3">
        <v>2535</v>
      </c>
      <c r="AH81" s="3">
        <v>4867</v>
      </c>
      <c r="AN81" s="3">
        <v>5341</v>
      </c>
      <c r="AO81" s="3">
        <v>5758</v>
      </c>
      <c r="AP81" s="3">
        <v>2908</v>
      </c>
      <c r="AQ81" s="3">
        <v>2814</v>
      </c>
      <c r="AR81" s="3">
        <v>5265</v>
      </c>
      <c r="AS81" s="3">
        <v>5480</v>
      </c>
      <c r="AU81" s="3">
        <v>5786</v>
      </c>
      <c r="AZ81" s="3">
        <v>2665</v>
      </c>
      <c r="BA81" s="3">
        <v>5189</v>
      </c>
      <c r="BC81" s="3">
        <v>5292</v>
      </c>
      <c r="BK81" s="3">
        <v>2929</v>
      </c>
      <c r="BP81" s="3">
        <v>4601</v>
      </c>
      <c r="BR81" s="3">
        <v>5167</v>
      </c>
    </row>
    <row r="82" spans="4:70" x14ac:dyDescent="0.25">
      <c r="D82">
        <v>5016</v>
      </c>
      <c r="H82">
        <v>7113</v>
      </c>
      <c r="K82" s="3">
        <v>4396</v>
      </c>
      <c r="O82" s="3">
        <v>7250</v>
      </c>
      <c r="Q82" s="3">
        <v>4750</v>
      </c>
      <c r="R82" s="3">
        <v>2536</v>
      </c>
      <c r="AH82" s="3">
        <v>4868</v>
      </c>
      <c r="AN82" s="3">
        <v>5342</v>
      </c>
      <c r="AO82" s="3">
        <v>5759</v>
      </c>
      <c r="AP82" s="3">
        <v>2909</v>
      </c>
      <c r="AQ82" s="3">
        <v>2815</v>
      </c>
      <c r="AR82" s="3">
        <v>5266</v>
      </c>
      <c r="AS82" s="3">
        <v>5481</v>
      </c>
      <c r="AU82" s="3">
        <v>5787</v>
      </c>
      <c r="AZ82" s="3">
        <v>2666</v>
      </c>
      <c r="BA82" s="3">
        <v>5190</v>
      </c>
      <c r="BC82" s="3">
        <v>5293</v>
      </c>
      <c r="BK82" s="3">
        <v>2930</v>
      </c>
      <c r="BP82" s="3">
        <v>4602</v>
      </c>
      <c r="BR82" s="3">
        <v>5315</v>
      </c>
    </row>
    <row r="83" spans="4:70" x14ac:dyDescent="0.25">
      <c r="D83">
        <v>5017</v>
      </c>
      <c r="H83">
        <v>7114</v>
      </c>
      <c r="K83" s="3">
        <v>4397</v>
      </c>
      <c r="O83" s="3">
        <v>7251</v>
      </c>
      <c r="Q83" s="3">
        <v>4947</v>
      </c>
      <c r="R83" s="3">
        <v>2537</v>
      </c>
      <c r="AH83" s="3">
        <v>4869</v>
      </c>
      <c r="AN83" s="3">
        <v>5343</v>
      </c>
      <c r="AO83" s="3">
        <v>5760</v>
      </c>
      <c r="AP83" s="3">
        <v>2910</v>
      </c>
      <c r="AQ83" s="3">
        <v>2816</v>
      </c>
      <c r="AR83" s="3">
        <v>5267</v>
      </c>
      <c r="AS83" s="3">
        <v>5482</v>
      </c>
      <c r="AU83" s="3">
        <v>5788</v>
      </c>
      <c r="AZ83" s="3">
        <v>2667</v>
      </c>
      <c r="BA83" s="3">
        <v>5191</v>
      </c>
      <c r="BC83" s="3">
        <v>5294</v>
      </c>
      <c r="BK83" s="3">
        <v>2931</v>
      </c>
      <c r="BP83" s="3">
        <v>4856</v>
      </c>
      <c r="BR83" s="3">
        <v>5319</v>
      </c>
    </row>
    <row r="84" spans="4:70" x14ac:dyDescent="0.25">
      <c r="D84">
        <v>5018</v>
      </c>
      <c r="H84">
        <v>7115</v>
      </c>
      <c r="K84" s="3">
        <v>4399</v>
      </c>
      <c r="O84" s="3">
        <v>7252</v>
      </c>
      <c r="Q84" s="3">
        <v>4948</v>
      </c>
      <c r="R84" s="3">
        <v>2751</v>
      </c>
      <c r="AH84" s="3">
        <v>4870</v>
      </c>
      <c r="AN84" s="3">
        <v>5344</v>
      </c>
      <c r="AO84" s="3">
        <v>5761</v>
      </c>
      <c r="AP84" s="3">
        <v>2911</v>
      </c>
      <c r="AQ84" s="3">
        <v>2817</v>
      </c>
      <c r="AR84" s="3">
        <v>5271</v>
      </c>
      <c r="AS84" s="3">
        <v>5483</v>
      </c>
      <c r="AU84" s="3">
        <v>5790</v>
      </c>
      <c r="AZ84" s="3">
        <v>2668</v>
      </c>
      <c r="BA84" s="3">
        <v>5192</v>
      </c>
      <c r="BC84" s="3">
        <v>5295</v>
      </c>
      <c r="BK84" s="3">
        <v>4049</v>
      </c>
      <c r="BP84" s="3">
        <v>4857</v>
      </c>
      <c r="BR84" s="3">
        <v>5320</v>
      </c>
    </row>
    <row r="85" spans="4:70" x14ac:dyDescent="0.25">
      <c r="D85">
        <v>5019</v>
      </c>
      <c r="H85">
        <v>7116</v>
      </c>
      <c r="K85" s="3">
        <v>4403</v>
      </c>
      <c r="O85" s="3">
        <v>7253</v>
      </c>
      <c r="Q85" s="3">
        <v>4949</v>
      </c>
      <c r="R85" s="3">
        <v>2752</v>
      </c>
      <c r="AH85" s="3">
        <v>4871</v>
      </c>
      <c r="AN85" s="3">
        <v>5345</v>
      </c>
      <c r="AO85" s="3">
        <v>5762</v>
      </c>
      <c r="AP85" s="3">
        <v>2912</v>
      </c>
      <c r="AQ85" s="3">
        <v>2818</v>
      </c>
      <c r="AR85" s="3">
        <v>5272</v>
      </c>
      <c r="AU85" s="3">
        <v>5791</v>
      </c>
      <c r="AZ85" s="3">
        <v>2669</v>
      </c>
      <c r="BA85" s="3">
        <v>5206</v>
      </c>
      <c r="BC85" s="3">
        <v>5296</v>
      </c>
      <c r="BK85" s="3">
        <v>4174</v>
      </c>
      <c r="BP85" s="3">
        <v>4860</v>
      </c>
      <c r="BR85" s="3">
        <v>5321</v>
      </c>
    </row>
    <row r="86" spans="4:70" x14ac:dyDescent="0.25">
      <c r="D86">
        <v>5020</v>
      </c>
      <c r="H86">
        <v>7117</v>
      </c>
      <c r="K86" s="3">
        <v>4688</v>
      </c>
      <c r="O86" s="3">
        <v>7254</v>
      </c>
      <c r="Q86" s="3">
        <v>4950</v>
      </c>
      <c r="R86" s="3">
        <v>2753</v>
      </c>
      <c r="AH86" s="3">
        <v>4872</v>
      </c>
      <c r="AN86" s="3">
        <v>5346</v>
      </c>
      <c r="AP86" s="3">
        <v>2913</v>
      </c>
      <c r="AQ86" s="3">
        <v>2819</v>
      </c>
      <c r="AR86" s="3">
        <v>5273</v>
      </c>
      <c r="AU86" s="3">
        <v>5792</v>
      </c>
      <c r="AZ86" s="3">
        <v>2670</v>
      </c>
      <c r="BC86" s="3">
        <v>5297</v>
      </c>
      <c r="BK86" s="3">
        <v>4187</v>
      </c>
      <c r="BP86" s="3">
        <v>4978</v>
      </c>
      <c r="BR86" s="3">
        <v>5322</v>
      </c>
    </row>
    <row r="87" spans="4:70" x14ac:dyDescent="0.25">
      <c r="D87">
        <v>5022</v>
      </c>
      <c r="H87">
        <v>7118</v>
      </c>
      <c r="K87" s="3">
        <v>4689</v>
      </c>
      <c r="O87" s="3">
        <v>7255</v>
      </c>
      <c r="Q87" s="3">
        <v>4951</v>
      </c>
      <c r="R87" s="3">
        <v>2754</v>
      </c>
      <c r="AH87" s="3">
        <v>4874</v>
      </c>
      <c r="AN87" s="3">
        <v>5347</v>
      </c>
      <c r="AP87" s="3">
        <v>2914</v>
      </c>
      <c r="AQ87" s="3">
        <v>2820</v>
      </c>
      <c r="AR87" s="3">
        <v>5324</v>
      </c>
      <c r="AU87" s="3">
        <v>5793</v>
      </c>
      <c r="AZ87" s="3">
        <v>2671</v>
      </c>
      <c r="BC87" s="3">
        <v>5298</v>
      </c>
      <c r="BK87" s="3">
        <v>4261</v>
      </c>
      <c r="BP87" s="3">
        <v>4979</v>
      </c>
      <c r="BR87" s="3">
        <v>5323</v>
      </c>
    </row>
    <row r="88" spans="4:70" x14ac:dyDescent="0.25">
      <c r="D88">
        <v>5023</v>
      </c>
      <c r="H88">
        <v>7119</v>
      </c>
      <c r="K88" s="3">
        <v>4691</v>
      </c>
      <c r="O88" s="3">
        <v>7256</v>
      </c>
      <c r="Q88" s="3">
        <v>4952</v>
      </c>
      <c r="R88" s="3">
        <v>2755</v>
      </c>
      <c r="AH88" s="3">
        <v>4875</v>
      </c>
      <c r="AN88" s="3">
        <v>5824</v>
      </c>
      <c r="AP88" s="3">
        <v>2915</v>
      </c>
      <c r="AQ88" s="3">
        <v>2822</v>
      </c>
      <c r="AR88" s="3">
        <v>5325</v>
      </c>
      <c r="AU88" s="3">
        <v>5794</v>
      </c>
      <c r="AZ88" s="3">
        <v>2672</v>
      </c>
      <c r="BC88" s="3">
        <v>5348</v>
      </c>
      <c r="BK88" s="3">
        <v>4692</v>
      </c>
      <c r="BP88" s="3">
        <v>4996</v>
      </c>
      <c r="BR88" s="3">
        <v>5466</v>
      </c>
    </row>
    <row r="89" spans="4:70" x14ac:dyDescent="0.25">
      <c r="D89">
        <v>5024</v>
      </c>
      <c r="H89">
        <v>7120</v>
      </c>
      <c r="K89" s="3">
        <v>4708</v>
      </c>
      <c r="O89" s="3">
        <v>7257</v>
      </c>
      <c r="Q89" s="3">
        <v>4953</v>
      </c>
      <c r="R89" s="3">
        <v>2756</v>
      </c>
      <c r="AH89" s="3">
        <v>4876</v>
      </c>
      <c r="AN89" s="3">
        <v>5826</v>
      </c>
      <c r="AP89" s="3">
        <v>2916</v>
      </c>
      <c r="AQ89" s="3">
        <v>2823</v>
      </c>
      <c r="AR89" s="3">
        <v>5326</v>
      </c>
      <c r="AU89" s="3">
        <v>5795</v>
      </c>
      <c r="AZ89" s="3">
        <v>2673</v>
      </c>
      <c r="BC89" s="3">
        <v>5349</v>
      </c>
      <c r="BK89" s="3">
        <v>4693</v>
      </c>
      <c r="BP89" s="3">
        <v>4997</v>
      </c>
      <c r="BR89" s="3">
        <v>5467</v>
      </c>
    </row>
    <row r="90" spans="4:70" x14ac:dyDescent="0.25">
      <c r="D90">
        <v>5025</v>
      </c>
      <c r="H90">
        <v>7121</v>
      </c>
      <c r="K90" s="3">
        <v>4709</v>
      </c>
      <c r="O90" s="3">
        <v>7258</v>
      </c>
      <c r="Q90" s="3">
        <v>4954</v>
      </c>
      <c r="R90" s="3">
        <v>2757</v>
      </c>
      <c r="AH90" s="3">
        <v>4877</v>
      </c>
      <c r="AN90" s="3">
        <v>5827</v>
      </c>
      <c r="AP90" s="3">
        <v>2917</v>
      </c>
      <c r="AQ90" s="3">
        <v>2824</v>
      </c>
      <c r="AR90" s="3">
        <v>5327</v>
      </c>
      <c r="AU90" s="3">
        <v>5796</v>
      </c>
      <c r="AZ90" s="3">
        <v>2674</v>
      </c>
      <c r="BC90" s="3">
        <v>5350</v>
      </c>
      <c r="BK90" s="3">
        <v>4694</v>
      </c>
      <c r="BP90" s="3">
        <v>4998</v>
      </c>
      <c r="BR90" s="3">
        <v>5468</v>
      </c>
    </row>
    <row r="91" spans="4:70" x14ac:dyDescent="0.25">
      <c r="D91">
        <v>5026</v>
      </c>
      <c r="H91">
        <v>7122</v>
      </c>
      <c r="K91" s="3">
        <v>4711</v>
      </c>
      <c r="O91" s="3">
        <v>7259</v>
      </c>
      <c r="Q91" s="3">
        <v>4955</v>
      </c>
      <c r="R91" s="3">
        <v>2758</v>
      </c>
      <c r="AH91" s="3">
        <v>4878</v>
      </c>
      <c r="AN91" s="3">
        <v>5829</v>
      </c>
      <c r="AP91" s="3">
        <v>2918</v>
      </c>
      <c r="AQ91" s="3">
        <v>2825</v>
      </c>
      <c r="AR91" s="3">
        <v>5328</v>
      </c>
      <c r="AU91" s="3">
        <v>5797</v>
      </c>
      <c r="AZ91" s="3">
        <v>2675</v>
      </c>
      <c r="BC91" s="3">
        <v>5351</v>
      </c>
      <c r="BK91" s="3">
        <v>4700</v>
      </c>
      <c r="BP91" s="3">
        <v>4999</v>
      </c>
      <c r="BR91" s="3">
        <v>5469</v>
      </c>
    </row>
    <row r="92" spans="4:70" x14ac:dyDescent="0.25">
      <c r="D92">
        <v>5027</v>
      </c>
      <c r="H92">
        <v>7123</v>
      </c>
      <c r="K92" s="3">
        <v>4712</v>
      </c>
      <c r="O92" s="3">
        <v>7260</v>
      </c>
      <c r="Q92" s="3">
        <v>4956</v>
      </c>
      <c r="R92" s="3">
        <v>2759</v>
      </c>
      <c r="AH92" s="3">
        <v>4879</v>
      </c>
      <c r="AN92" s="3">
        <v>5830</v>
      </c>
      <c r="AP92" s="3">
        <v>2919</v>
      </c>
      <c r="AQ92" s="3">
        <v>2826</v>
      </c>
      <c r="AR92" s="3">
        <v>5358</v>
      </c>
      <c r="AU92" s="3">
        <v>5798</v>
      </c>
      <c r="AZ92" s="3">
        <v>2676</v>
      </c>
      <c r="BC92" s="3">
        <v>5352</v>
      </c>
      <c r="BK92" s="3">
        <v>4701</v>
      </c>
      <c r="BP92" s="3">
        <v>5000</v>
      </c>
      <c r="BR92" s="3">
        <v>5470</v>
      </c>
    </row>
    <row r="93" spans="4:70" x14ac:dyDescent="0.25">
      <c r="D93">
        <v>5028</v>
      </c>
      <c r="H93">
        <v>7124</v>
      </c>
      <c r="K93" s="3">
        <v>4714</v>
      </c>
      <c r="O93" s="3">
        <v>7261</v>
      </c>
      <c r="Q93" s="3">
        <v>4957</v>
      </c>
      <c r="R93" s="3">
        <v>2799</v>
      </c>
      <c r="AH93" s="3">
        <v>4912</v>
      </c>
      <c r="AN93" s="3">
        <v>5831</v>
      </c>
      <c r="AP93" s="3">
        <v>2920</v>
      </c>
      <c r="AQ93" s="3">
        <v>2827</v>
      </c>
      <c r="AR93" s="3">
        <v>5359</v>
      </c>
      <c r="AU93" s="3">
        <v>5799</v>
      </c>
      <c r="AZ93" s="3">
        <v>2677</v>
      </c>
      <c r="BC93" s="3">
        <v>5378</v>
      </c>
      <c r="BK93" s="3">
        <v>4702</v>
      </c>
      <c r="BP93" s="3">
        <v>5001</v>
      </c>
      <c r="BR93" s="3">
        <v>5471</v>
      </c>
    </row>
    <row r="94" spans="4:70" x14ac:dyDescent="0.25">
      <c r="D94">
        <v>5029</v>
      </c>
      <c r="H94">
        <v>7125</v>
      </c>
      <c r="K94" s="3">
        <v>4716</v>
      </c>
      <c r="O94" s="3">
        <v>7262</v>
      </c>
      <c r="Q94" s="3">
        <v>4959</v>
      </c>
      <c r="R94" s="3">
        <v>2800</v>
      </c>
      <c r="AH94" s="3">
        <v>4913</v>
      </c>
      <c r="AN94" s="3">
        <v>5832</v>
      </c>
      <c r="AP94" s="3">
        <v>2921</v>
      </c>
      <c r="AQ94" s="3">
        <v>2828</v>
      </c>
      <c r="AR94" s="3">
        <v>5360</v>
      </c>
      <c r="AZ94" s="3">
        <v>2678</v>
      </c>
      <c r="BC94" s="3">
        <v>5379</v>
      </c>
      <c r="BK94" s="3">
        <v>4838</v>
      </c>
      <c r="BP94" s="3">
        <v>5002</v>
      </c>
      <c r="BR94" s="3">
        <v>5472</v>
      </c>
    </row>
    <row r="95" spans="4:70" x14ac:dyDescent="0.25">
      <c r="D95">
        <v>5084</v>
      </c>
      <c r="H95">
        <v>7128</v>
      </c>
      <c r="K95" s="3">
        <v>4812</v>
      </c>
      <c r="O95" s="3">
        <v>7263</v>
      </c>
      <c r="Q95" s="3">
        <v>4960</v>
      </c>
      <c r="R95" s="3">
        <v>2801</v>
      </c>
      <c r="AH95" s="3">
        <v>4914</v>
      </c>
      <c r="AN95" s="3">
        <v>5833</v>
      </c>
      <c r="AP95" s="3">
        <v>2922</v>
      </c>
      <c r="AQ95" s="3">
        <v>2829</v>
      </c>
      <c r="AR95" s="3">
        <v>5361</v>
      </c>
      <c r="AZ95" s="3">
        <v>2679</v>
      </c>
      <c r="BC95" s="3">
        <v>5380</v>
      </c>
      <c r="BK95" s="3">
        <v>4839</v>
      </c>
      <c r="BP95" s="3">
        <v>5003</v>
      </c>
      <c r="BR95" s="3">
        <v>5473</v>
      </c>
    </row>
    <row r="96" spans="4:70" x14ac:dyDescent="0.25">
      <c r="D96">
        <v>5085</v>
      </c>
      <c r="H96">
        <v>7129</v>
      </c>
      <c r="K96" s="3">
        <v>4813</v>
      </c>
      <c r="O96" s="3">
        <v>7264</v>
      </c>
      <c r="Q96" s="3">
        <v>4961</v>
      </c>
      <c r="R96" s="3">
        <v>2802</v>
      </c>
      <c r="AH96" s="3">
        <v>4915</v>
      </c>
      <c r="AN96" s="3">
        <v>5834</v>
      </c>
      <c r="AP96" s="3">
        <v>2923</v>
      </c>
      <c r="AQ96" s="3">
        <v>2830</v>
      </c>
      <c r="AR96" s="3">
        <v>5362</v>
      </c>
      <c r="AZ96" s="3">
        <v>2680</v>
      </c>
      <c r="BC96" s="3">
        <v>5381</v>
      </c>
      <c r="BK96" s="3">
        <v>4840</v>
      </c>
      <c r="BP96" s="3">
        <v>5004</v>
      </c>
      <c r="BR96" s="3">
        <v>5809</v>
      </c>
    </row>
    <row r="97" spans="4:70" x14ac:dyDescent="0.25">
      <c r="D97">
        <v>5088</v>
      </c>
      <c r="H97">
        <v>7130</v>
      </c>
      <c r="K97" s="3">
        <v>4814</v>
      </c>
      <c r="O97" s="3">
        <v>7265</v>
      </c>
      <c r="Q97" s="3">
        <v>4962</v>
      </c>
      <c r="R97" s="3">
        <v>2803</v>
      </c>
      <c r="AH97" s="3">
        <v>4916</v>
      </c>
      <c r="AN97" s="3">
        <v>5835</v>
      </c>
      <c r="AP97" s="3">
        <v>2924</v>
      </c>
      <c r="AQ97" s="3">
        <v>2831</v>
      </c>
      <c r="AR97" s="3">
        <v>5363</v>
      </c>
      <c r="AZ97" s="3">
        <v>2681</v>
      </c>
      <c r="BC97" s="3">
        <v>5382</v>
      </c>
      <c r="BK97" s="3">
        <v>4841</v>
      </c>
      <c r="BP97" s="3">
        <v>5005</v>
      </c>
      <c r="BR97" s="3">
        <v>5810</v>
      </c>
    </row>
    <row r="98" spans="4:70" x14ac:dyDescent="0.25">
      <c r="D98">
        <v>5089</v>
      </c>
      <c r="H98">
        <v>7132</v>
      </c>
      <c r="K98" s="3">
        <v>4815</v>
      </c>
      <c r="O98" s="3">
        <v>7266</v>
      </c>
      <c r="Q98" s="3">
        <v>4963</v>
      </c>
      <c r="R98" s="3">
        <v>2805</v>
      </c>
      <c r="AH98" s="3">
        <v>4932</v>
      </c>
      <c r="AP98" s="3">
        <v>7422</v>
      </c>
      <c r="AQ98" s="3">
        <v>2832</v>
      </c>
      <c r="AR98" s="3">
        <v>5364</v>
      </c>
      <c r="AZ98" s="3">
        <v>2682</v>
      </c>
      <c r="BC98" s="3">
        <v>5402</v>
      </c>
      <c r="BK98" s="3">
        <v>4842</v>
      </c>
      <c r="BP98" s="3">
        <v>5006</v>
      </c>
      <c r="BR98" s="3">
        <v>5811</v>
      </c>
    </row>
    <row r="99" spans="4:70" x14ac:dyDescent="0.25">
      <c r="D99">
        <v>5090</v>
      </c>
      <c r="H99">
        <v>7133</v>
      </c>
      <c r="K99" s="3">
        <v>4816</v>
      </c>
      <c r="O99" s="3">
        <v>7267</v>
      </c>
      <c r="Q99" s="3">
        <v>5531</v>
      </c>
      <c r="R99" s="3">
        <v>2807</v>
      </c>
      <c r="AH99" s="3">
        <v>4933</v>
      </c>
      <c r="AP99" s="3">
        <v>7430</v>
      </c>
      <c r="AQ99" s="3">
        <v>2833</v>
      </c>
      <c r="AR99" s="3">
        <v>5365</v>
      </c>
      <c r="AZ99" s="3">
        <v>2683</v>
      </c>
      <c r="BC99" s="3">
        <v>5403</v>
      </c>
      <c r="BK99" s="3">
        <v>4843</v>
      </c>
      <c r="BP99" s="3">
        <v>5007</v>
      </c>
      <c r="BR99" s="3">
        <v>5812</v>
      </c>
    </row>
    <row r="100" spans="4:70" x14ac:dyDescent="0.25">
      <c r="D100">
        <v>5091</v>
      </c>
      <c r="H100">
        <v>7134</v>
      </c>
      <c r="K100" s="3">
        <v>4817</v>
      </c>
      <c r="O100" s="3">
        <v>7268</v>
      </c>
      <c r="Q100" s="3">
        <v>5532</v>
      </c>
      <c r="R100" s="3">
        <v>2808</v>
      </c>
      <c r="AH100" s="3">
        <v>4934</v>
      </c>
      <c r="AP100" s="3">
        <v>7431</v>
      </c>
      <c r="AQ100" s="3">
        <v>2834</v>
      </c>
      <c r="AR100" s="3">
        <v>5366</v>
      </c>
      <c r="AZ100" s="3">
        <v>2684</v>
      </c>
      <c r="BC100" s="3">
        <v>5404</v>
      </c>
      <c r="BK100" s="3">
        <v>4844</v>
      </c>
      <c r="BP100" s="3">
        <v>5014</v>
      </c>
      <c r="BR100" s="3">
        <v>5813</v>
      </c>
    </row>
    <row r="101" spans="4:70" x14ac:dyDescent="0.25">
      <c r="D101">
        <v>5877</v>
      </c>
      <c r="H101">
        <v>7135</v>
      </c>
      <c r="K101" s="3">
        <v>4818</v>
      </c>
      <c r="O101" s="3">
        <v>7269</v>
      </c>
      <c r="Q101" s="3">
        <v>5533</v>
      </c>
      <c r="R101" s="3">
        <v>2809</v>
      </c>
      <c r="AH101" s="3">
        <v>4935</v>
      </c>
      <c r="AP101" s="3">
        <v>7436</v>
      </c>
      <c r="AQ101" s="3">
        <v>4552</v>
      </c>
      <c r="AR101" s="3">
        <v>5367</v>
      </c>
      <c r="AZ101" s="3">
        <v>2685</v>
      </c>
      <c r="BC101" s="3">
        <v>5405</v>
      </c>
      <c r="BK101" s="3">
        <v>4845</v>
      </c>
      <c r="BP101" s="3">
        <v>5152</v>
      </c>
      <c r="BR101" s="3">
        <v>5814</v>
      </c>
    </row>
    <row r="102" spans="4:70" x14ac:dyDescent="0.25">
      <c r="D102">
        <v>5878</v>
      </c>
      <c r="H102">
        <v>7136</v>
      </c>
      <c r="K102" s="3">
        <v>4819</v>
      </c>
      <c r="O102" s="3">
        <v>7270</v>
      </c>
      <c r="Q102" s="3">
        <v>5534</v>
      </c>
      <c r="R102" s="3">
        <v>2810</v>
      </c>
      <c r="AH102" s="3">
        <v>4936</v>
      </c>
      <c r="AP102" s="3">
        <v>7440</v>
      </c>
      <c r="AQ102" s="3">
        <v>4559</v>
      </c>
      <c r="AR102" s="3">
        <v>5368</v>
      </c>
      <c r="AZ102" s="3">
        <v>2686</v>
      </c>
      <c r="BC102" s="3">
        <v>5406</v>
      </c>
      <c r="BK102" s="3">
        <v>4846</v>
      </c>
      <c r="BP102" s="3">
        <v>5990</v>
      </c>
      <c r="BR102" s="3">
        <v>5815</v>
      </c>
    </row>
    <row r="103" spans="4:70" x14ac:dyDescent="0.25">
      <c r="D103">
        <v>5879</v>
      </c>
      <c r="H103">
        <v>7138</v>
      </c>
      <c r="K103" s="3">
        <v>4820</v>
      </c>
      <c r="O103" s="3">
        <v>7271</v>
      </c>
      <c r="Q103" s="3">
        <v>5535</v>
      </c>
      <c r="R103" s="3">
        <v>2837</v>
      </c>
      <c r="AH103" s="3">
        <v>4937</v>
      </c>
      <c r="AP103" s="3">
        <v>7441</v>
      </c>
      <c r="AQ103" s="3">
        <v>4561</v>
      </c>
      <c r="AR103" s="3">
        <v>5369</v>
      </c>
      <c r="AZ103" s="3">
        <v>5484</v>
      </c>
      <c r="BC103" s="3">
        <v>5407</v>
      </c>
      <c r="BK103" s="3">
        <v>4847</v>
      </c>
      <c r="BP103" s="3">
        <v>5992</v>
      </c>
      <c r="BR103" s="3">
        <v>5816</v>
      </c>
    </row>
    <row r="104" spans="4:70" x14ac:dyDescent="0.25">
      <c r="D104">
        <v>5880</v>
      </c>
      <c r="H104">
        <v>7139</v>
      </c>
      <c r="K104" s="3">
        <v>4821</v>
      </c>
      <c r="O104" s="3">
        <v>7272</v>
      </c>
      <c r="Q104" s="3">
        <v>5536</v>
      </c>
      <c r="R104" s="3">
        <v>2839</v>
      </c>
      <c r="AH104" s="3">
        <v>5062</v>
      </c>
      <c r="AP104" s="3">
        <v>7442</v>
      </c>
      <c r="AQ104" s="3">
        <v>4563</v>
      </c>
      <c r="AR104" s="3">
        <v>5370</v>
      </c>
      <c r="AZ104" s="3">
        <v>5485</v>
      </c>
      <c r="BC104" s="3">
        <v>5408</v>
      </c>
      <c r="BK104" s="3">
        <v>4848</v>
      </c>
      <c r="BP104" s="3">
        <v>5993</v>
      </c>
      <c r="BR104" s="3">
        <v>5974</v>
      </c>
    </row>
    <row r="105" spans="4:70" x14ac:dyDescent="0.25">
      <c r="D105">
        <v>5881</v>
      </c>
      <c r="H105">
        <v>7140</v>
      </c>
      <c r="K105" s="3">
        <v>4822</v>
      </c>
      <c r="O105" s="3">
        <v>7273</v>
      </c>
      <c r="Q105" s="3">
        <v>5537</v>
      </c>
      <c r="R105" s="3">
        <v>2840</v>
      </c>
      <c r="AH105" s="3">
        <v>5063</v>
      </c>
      <c r="AP105" s="3">
        <v>7443</v>
      </c>
      <c r="AQ105" s="3">
        <v>4604</v>
      </c>
      <c r="AR105" s="3">
        <v>5371</v>
      </c>
      <c r="AZ105" s="3">
        <v>5486</v>
      </c>
      <c r="BC105" s="3">
        <v>5409</v>
      </c>
      <c r="BK105" s="3">
        <v>4849</v>
      </c>
      <c r="BP105" s="3">
        <v>5994</v>
      </c>
      <c r="BR105" s="3">
        <v>5975</v>
      </c>
    </row>
    <row r="106" spans="4:70" x14ac:dyDescent="0.25">
      <c r="D106">
        <v>5882</v>
      </c>
      <c r="H106">
        <v>7141</v>
      </c>
      <c r="K106" s="3">
        <v>4823</v>
      </c>
      <c r="O106" s="3">
        <v>7274</v>
      </c>
      <c r="Q106" s="3">
        <v>5538</v>
      </c>
      <c r="R106" s="3">
        <v>2841</v>
      </c>
      <c r="AH106" s="3">
        <v>5079</v>
      </c>
      <c r="AP106" s="3">
        <v>7444</v>
      </c>
      <c r="AQ106" s="3">
        <v>4605</v>
      </c>
      <c r="AR106" s="3">
        <v>5372</v>
      </c>
      <c r="AZ106" s="3">
        <v>5487</v>
      </c>
      <c r="BC106" s="3">
        <v>5410</v>
      </c>
      <c r="BK106" s="3">
        <v>4964</v>
      </c>
      <c r="BP106" s="3">
        <v>5995</v>
      </c>
      <c r="BR106" s="3">
        <v>5976</v>
      </c>
    </row>
    <row r="107" spans="4:70" x14ac:dyDescent="0.25">
      <c r="D107">
        <v>5883</v>
      </c>
      <c r="H107">
        <v>7142</v>
      </c>
      <c r="K107" s="3">
        <v>4824</v>
      </c>
      <c r="O107" s="3">
        <v>7275</v>
      </c>
      <c r="Q107" s="3">
        <v>5541</v>
      </c>
      <c r="R107" s="3">
        <v>4637</v>
      </c>
      <c r="AH107" s="3">
        <v>5080</v>
      </c>
      <c r="AP107" s="3">
        <v>7445</v>
      </c>
      <c r="AQ107" s="3">
        <v>4606</v>
      </c>
      <c r="AR107" s="3">
        <v>5373</v>
      </c>
      <c r="AZ107" s="3">
        <v>5488</v>
      </c>
      <c r="BC107" s="3">
        <v>5411</v>
      </c>
      <c r="BK107" s="3">
        <v>4965</v>
      </c>
      <c r="BP107" s="3">
        <v>5996</v>
      </c>
      <c r="BR107" s="3">
        <v>5977</v>
      </c>
    </row>
    <row r="108" spans="4:70" x14ac:dyDescent="0.25">
      <c r="D108">
        <v>5884</v>
      </c>
      <c r="H108">
        <v>7143</v>
      </c>
      <c r="K108" s="3">
        <v>4825</v>
      </c>
      <c r="O108" s="3">
        <v>7276</v>
      </c>
      <c r="Q108" s="3">
        <v>5542</v>
      </c>
      <c r="R108" s="3">
        <v>4638</v>
      </c>
      <c r="AH108" s="3">
        <v>5082</v>
      </c>
      <c r="AP108" s="3">
        <v>7446</v>
      </c>
      <c r="AQ108" s="3">
        <v>4608</v>
      </c>
      <c r="AR108" s="3">
        <v>5374</v>
      </c>
      <c r="AZ108" s="3">
        <v>5489</v>
      </c>
      <c r="BC108" s="3">
        <v>5412</v>
      </c>
      <c r="BK108" s="3">
        <v>4967</v>
      </c>
      <c r="BR108" s="3">
        <v>5978</v>
      </c>
    </row>
    <row r="109" spans="4:70" x14ac:dyDescent="0.25">
      <c r="D109">
        <v>5885</v>
      </c>
      <c r="H109">
        <v>7145</v>
      </c>
      <c r="K109" s="3">
        <v>4826</v>
      </c>
      <c r="O109" s="3">
        <v>7277</v>
      </c>
      <c r="Q109" s="3">
        <v>5543</v>
      </c>
      <c r="R109" s="3">
        <v>4639</v>
      </c>
      <c r="AH109" s="3">
        <v>5083</v>
      </c>
      <c r="AP109" s="3">
        <v>7447</v>
      </c>
      <c r="AQ109" s="3">
        <v>4609</v>
      </c>
      <c r="AR109" s="3">
        <v>5375</v>
      </c>
      <c r="BC109" s="3">
        <v>5413</v>
      </c>
      <c r="BK109" s="3">
        <v>4968</v>
      </c>
      <c r="BR109" s="3">
        <v>5979</v>
      </c>
    </row>
    <row r="110" spans="4:70" x14ac:dyDescent="0.25">
      <c r="D110">
        <v>5886</v>
      </c>
      <c r="H110">
        <v>7146</v>
      </c>
      <c r="K110" s="3">
        <v>4827</v>
      </c>
      <c r="O110" s="3">
        <v>7278</v>
      </c>
      <c r="Q110" s="3">
        <v>5544</v>
      </c>
      <c r="R110" s="3">
        <v>4641</v>
      </c>
      <c r="AH110" s="3">
        <v>5248</v>
      </c>
      <c r="AP110" s="3">
        <v>7448</v>
      </c>
      <c r="AQ110" s="3">
        <v>4610</v>
      </c>
      <c r="AR110" s="3">
        <v>5376</v>
      </c>
      <c r="BC110" s="3">
        <v>5414</v>
      </c>
      <c r="BK110" s="3">
        <v>4969</v>
      </c>
      <c r="BR110" s="3">
        <v>5980</v>
      </c>
    </row>
    <row r="111" spans="4:70" x14ac:dyDescent="0.25">
      <c r="D111">
        <v>5887</v>
      </c>
      <c r="H111">
        <v>7147</v>
      </c>
      <c r="K111" s="3">
        <v>4828</v>
      </c>
      <c r="O111" s="3">
        <v>7279</v>
      </c>
      <c r="Q111" s="3">
        <v>5545</v>
      </c>
      <c r="R111" s="3">
        <v>4643</v>
      </c>
      <c r="AH111" s="3">
        <v>5249</v>
      </c>
      <c r="AP111" s="3">
        <v>7449</v>
      </c>
      <c r="AQ111" s="3">
        <v>4611</v>
      </c>
      <c r="AR111" s="3">
        <v>5377</v>
      </c>
      <c r="BC111" s="3">
        <v>5415</v>
      </c>
      <c r="BK111" s="3">
        <v>4970</v>
      </c>
      <c r="BR111" s="3">
        <v>5981</v>
      </c>
    </row>
    <row r="112" spans="4:70" x14ac:dyDescent="0.25">
      <c r="D112">
        <v>5888</v>
      </c>
      <c r="H112">
        <v>7148</v>
      </c>
      <c r="K112" s="3">
        <v>4830</v>
      </c>
      <c r="O112" s="3">
        <v>7280</v>
      </c>
      <c r="Q112" s="3">
        <v>5546</v>
      </c>
      <c r="R112" s="3">
        <v>4644</v>
      </c>
      <c r="AH112" s="3">
        <v>5250</v>
      </c>
      <c r="AP112" s="3">
        <v>7450</v>
      </c>
      <c r="AQ112" s="3">
        <v>4612</v>
      </c>
      <c r="AR112" s="3">
        <v>5763</v>
      </c>
      <c r="BC112" s="3">
        <v>5416</v>
      </c>
      <c r="BK112" s="3">
        <v>4971</v>
      </c>
      <c r="BR112" s="3">
        <v>5982</v>
      </c>
    </row>
    <row r="113" spans="4:70" x14ac:dyDescent="0.25">
      <c r="D113">
        <v>5889</v>
      </c>
      <c r="H113">
        <v>7149</v>
      </c>
      <c r="K113" s="3">
        <v>4831</v>
      </c>
      <c r="O113" s="3">
        <v>7281</v>
      </c>
      <c r="Q113" s="3">
        <v>5601</v>
      </c>
      <c r="R113" s="3">
        <v>4658</v>
      </c>
      <c r="AH113" s="3">
        <v>5251</v>
      </c>
      <c r="AP113" s="3">
        <v>7451</v>
      </c>
      <c r="AQ113" s="3">
        <v>4617</v>
      </c>
      <c r="AR113" s="3">
        <v>5764</v>
      </c>
      <c r="BC113" s="3">
        <v>5417</v>
      </c>
      <c r="BK113" s="3">
        <v>4972</v>
      </c>
      <c r="BR113" s="3">
        <v>5983</v>
      </c>
    </row>
    <row r="114" spans="4:70" x14ac:dyDescent="0.25">
      <c r="D114">
        <v>5890</v>
      </c>
      <c r="H114">
        <v>7150</v>
      </c>
      <c r="K114" s="3">
        <v>4832</v>
      </c>
      <c r="O114" s="3">
        <v>7282</v>
      </c>
      <c r="Q114" s="3">
        <v>5602</v>
      </c>
      <c r="R114" s="3">
        <v>4659</v>
      </c>
      <c r="AH114" s="3">
        <v>5253</v>
      </c>
      <c r="AP114" s="3">
        <v>7452</v>
      </c>
      <c r="AQ114" s="3">
        <v>4618</v>
      </c>
      <c r="AR114" s="3">
        <v>5765</v>
      </c>
      <c r="BC114" s="3">
        <v>5418</v>
      </c>
      <c r="BK114" s="3">
        <v>4973</v>
      </c>
      <c r="BR114" s="3">
        <v>5984</v>
      </c>
    </row>
    <row r="115" spans="4:70" x14ac:dyDescent="0.25">
      <c r="D115">
        <v>5891</v>
      </c>
      <c r="H115">
        <v>7151</v>
      </c>
      <c r="K115" s="3">
        <v>4834</v>
      </c>
      <c r="O115" s="3">
        <v>7283</v>
      </c>
      <c r="Q115" s="3">
        <v>5603</v>
      </c>
      <c r="R115" s="3">
        <v>4660</v>
      </c>
      <c r="AH115" s="3">
        <v>5254</v>
      </c>
      <c r="AP115" s="3">
        <v>7453</v>
      </c>
      <c r="AQ115" s="3">
        <v>4619</v>
      </c>
      <c r="AR115" s="3">
        <v>5766</v>
      </c>
      <c r="BC115" s="3">
        <v>5419</v>
      </c>
      <c r="BK115" s="3">
        <v>4974</v>
      </c>
      <c r="BR115" s="3">
        <v>5985</v>
      </c>
    </row>
    <row r="116" spans="4:70" x14ac:dyDescent="0.25">
      <c r="D116">
        <v>5892</v>
      </c>
      <c r="H116">
        <v>7152</v>
      </c>
      <c r="K116" s="3">
        <v>4835</v>
      </c>
      <c r="O116" s="3">
        <v>7284</v>
      </c>
      <c r="Q116" s="3">
        <v>5604</v>
      </c>
      <c r="R116" s="3">
        <v>4661</v>
      </c>
      <c r="AH116" s="3">
        <v>5255</v>
      </c>
      <c r="AP116" s="3">
        <v>7454</v>
      </c>
      <c r="AQ116" s="3">
        <v>4623</v>
      </c>
      <c r="AR116" s="3">
        <v>5767</v>
      </c>
      <c r="BC116" s="3">
        <v>5420</v>
      </c>
      <c r="BK116" s="3">
        <v>4975</v>
      </c>
      <c r="BR116" s="3">
        <v>5986</v>
      </c>
    </row>
    <row r="117" spans="4:70" x14ac:dyDescent="0.25">
      <c r="D117">
        <v>5893</v>
      </c>
      <c r="H117">
        <v>7153</v>
      </c>
      <c r="K117" s="3">
        <v>4836</v>
      </c>
      <c r="O117" s="3">
        <v>7301</v>
      </c>
      <c r="Q117" s="3">
        <v>5605</v>
      </c>
      <c r="R117" s="3">
        <v>4662</v>
      </c>
      <c r="AH117" s="3">
        <v>5256</v>
      </c>
      <c r="AP117" s="3">
        <v>7455</v>
      </c>
      <c r="AQ117" s="3">
        <v>4624</v>
      </c>
      <c r="AR117" s="3">
        <v>5768</v>
      </c>
      <c r="BC117" s="3">
        <v>5421</v>
      </c>
      <c r="BK117" s="3">
        <v>4976</v>
      </c>
      <c r="BR117" s="3">
        <v>5987</v>
      </c>
    </row>
    <row r="118" spans="4:70" x14ac:dyDescent="0.25">
      <c r="D118">
        <v>5894</v>
      </c>
      <c r="H118">
        <v>7154</v>
      </c>
      <c r="K118" s="3">
        <v>4837</v>
      </c>
      <c r="O118" s="3">
        <v>7302</v>
      </c>
      <c r="Q118" s="3">
        <v>5606</v>
      </c>
      <c r="R118" s="3">
        <v>4722</v>
      </c>
      <c r="AH118" s="3">
        <v>5257</v>
      </c>
      <c r="AP118" s="3">
        <v>7456</v>
      </c>
      <c r="AQ118" s="3">
        <v>4626</v>
      </c>
      <c r="AR118" s="3">
        <v>5769</v>
      </c>
      <c r="BC118" s="3">
        <v>5422</v>
      </c>
      <c r="BK118" s="3">
        <v>5242</v>
      </c>
      <c r="BR118" s="3">
        <v>5988</v>
      </c>
    </row>
    <row r="119" spans="4:70" x14ac:dyDescent="0.25">
      <c r="D119">
        <v>5895</v>
      </c>
      <c r="H119">
        <v>7155</v>
      </c>
      <c r="K119" s="3">
        <v>5195</v>
      </c>
      <c r="O119" s="3">
        <v>7303</v>
      </c>
      <c r="Q119" s="3">
        <v>5607</v>
      </c>
      <c r="R119" s="3">
        <v>4728</v>
      </c>
      <c r="AH119" s="3">
        <v>5258</v>
      </c>
      <c r="AP119" s="3">
        <v>7457</v>
      </c>
      <c r="AQ119" s="3">
        <v>4629</v>
      </c>
      <c r="AR119" s="3">
        <v>5771</v>
      </c>
      <c r="BC119" s="3">
        <v>5423</v>
      </c>
      <c r="BK119" s="3">
        <v>5243</v>
      </c>
      <c r="BR119" s="3">
        <v>5989</v>
      </c>
    </row>
    <row r="120" spans="4:70" x14ac:dyDescent="0.25">
      <c r="D120">
        <v>5896</v>
      </c>
      <c r="H120">
        <v>7156</v>
      </c>
      <c r="K120" s="3">
        <v>5196</v>
      </c>
      <c r="O120" s="3">
        <v>7304</v>
      </c>
      <c r="Q120" s="3">
        <v>5608</v>
      </c>
      <c r="R120" s="3">
        <v>4796</v>
      </c>
      <c r="AH120" s="3">
        <v>5559</v>
      </c>
      <c r="AP120" s="3">
        <v>7458</v>
      </c>
      <c r="AQ120" s="3">
        <v>4645</v>
      </c>
      <c r="AR120" s="3">
        <v>5912</v>
      </c>
      <c r="BC120" s="3">
        <v>5424</v>
      </c>
      <c r="BK120" s="3">
        <v>5244</v>
      </c>
      <c r="BR120" s="3">
        <v>5991</v>
      </c>
    </row>
    <row r="121" spans="4:70" x14ac:dyDescent="0.25">
      <c r="D121">
        <v>5897</v>
      </c>
      <c r="H121">
        <v>7157</v>
      </c>
      <c r="K121" s="3">
        <v>5197</v>
      </c>
      <c r="O121" s="3">
        <v>7305</v>
      </c>
      <c r="Q121" s="3">
        <v>5609</v>
      </c>
      <c r="R121" s="3">
        <v>4797</v>
      </c>
      <c r="AH121" s="3">
        <v>5828</v>
      </c>
      <c r="AQ121" s="3">
        <v>4649</v>
      </c>
      <c r="AR121" s="3">
        <v>5913</v>
      </c>
      <c r="BC121" s="3">
        <v>5425</v>
      </c>
      <c r="BK121" s="3">
        <v>5246</v>
      </c>
      <c r="BR121" s="3">
        <v>6111</v>
      </c>
    </row>
    <row r="122" spans="4:70" x14ac:dyDescent="0.25">
      <c r="D122">
        <v>5898</v>
      </c>
      <c r="H122">
        <v>7158</v>
      </c>
      <c r="K122" s="3">
        <v>5198</v>
      </c>
      <c r="O122" s="3">
        <v>7306</v>
      </c>
      <c r="Q122" s="3">
        <v>5610</v>
      </c>
      <c r="R122" s="3">
        <v>4798</v>
      </c>
      <c r="AH122" s="3">
        <v>5841</v>
      </c>
      <c r="AQ122" s="3">
        <v>4650</v>
      </c>
      <c r="AR122" s="3">
        <v>5914</v>
      </c>
      <c r="BC122" s="3">
        <v>5426</v>
      </c>
      <c r="BK122" s="3">
        <v>5247</v>
      </c>
      <c r="BR122" s="3">
        <v>6112</v>
      </c>
    </row>
    <row r="123" spans="4:70" x14ac:dyDescent="0.25">
      <c r="D123">
        <v>5899</v>
      </c>
      <c r="H123">
        <v>7159</v>
      </c>
      <c r="K123" s="3">
        <v>5199</v>
      </c>
      <c r="O123" s="3">
        <v>7307</v>
      </c>
      <c r="Q123" s="3">
        <v>5611</v>
      </c>
      <c r="R123" s="3">
        <v>4800</v>
      </c>
      <c r="AH123" s="3">
        <v>5844</v>
      </c>
      <c r="AQ123" s="3">
        <v>4651</v>
      </c>
      <c r="AR123" s="3">
        <v>5915</v>
      </c>
      <c r="BC123" s="3">
        <v>5427</v>
      </c>
      <c r="BK123" s="3">
        <v>5506</v>
      </c>
      <c r="BR123" s="3">
        <v>6113</v>
      </c>
    </row>
    <row r="124" spans="4:70" x14ac:dyDescent="0.25">
      <c r="D124">
        <v>5900</v>
      </c>
      <c r="H124">
        <v>7160</v>
      </c>
      <c r="K124" s="3">
        <v>5200</v>
      </c>
      <c r="O124" s="3">
        <v>7308</v>
      </c>
      <c r="Q124" s="3">
        <v>5612</v>
      </c>
      <c r="R124" s="3">
        <v>5202</v>
      </c>
      <c r="AH124" s="3">
        <v>5858</v>
      </c>
      <c r="AQ124" s="3">
        <v>4652</v>
      </c>
      <c r="AR124" s="3">
        <v>5916</v>
      </c>
      <c r="BC124" s="3">
        <v>5428</v>
      </c>
      <c r="BK124" s="3">
        <v>5507</v>
      </c>
      <c r="BR124" s="3">
        <v>6114</v>
      </c>
    </row>
    <row r="125" spans="4:70" x14ac:dyDescent="0.25">
      <c r="D125">
        <v>5901</v>
      </c>
      <c r="H125">
        <v>7161</v>
      </c>
      <c r="K125" s="3">
        <v>5201</v>
      </c>
      <c r="O125" s="3">
        <v>7309</v>
      </c>
      <c r="Q125" s="3">
        <v>5613</v>
      </c>
      <c r="R125" s="3">
        <v>5203</v>
      </c>
      <c r="AH125" s="3">
        <v>5859</v>
      </c>
      <c r="AQ125" s="3">
        <v>4729</v>
      </c>
      <c r="AR125" s="3">
        <v>5917</v>
      </c>
      <c r="BC125" s="3">
        <v>5429</v>
      </c>
      <c r="BK125" s="3">
        <v>5508</v>
      </c>
      <c r="BR125" s="3">
        <v>6115</v>
      </c>
    </row>
    <row r="126" spans="4:70" x14ac:dyDescent="0.25">
      <c r="D126">
        <v>5902</v>
      </c>
      <c r="H126">
        <v>7164</v>
      </c>
      <c r="K126" s="3">
        <v>5204</v>
      </c>
      <c r="O126" s="3">
        <v>7310</v>
      </c>
      <c r="Q126" s="3">
        <v>5614</v>
      </c>
      <c r="R126" s="3">
        <v>5207</v>
      </c>
      <c r="AH126" s="3">
        <v>5860</v>
      </c>
      <c r="AQ126" s="3">
        <v>4732</v>
      </c>
      <c r="AR126" s="3">
        <v>5918</v>
      </c>
      <c r="BC126" s="3">
        <v>5430</v>
      </c>
      <c r="BK126" s="3">
        <v>5509</v>
      </c>
      <c r="BR126" s="3">
        <v>6116</v>
      </c>
    </row>
    <row r="127" spans="4:70" x14ac:dyDescent="0.25">
      <c r="D127">
        <v>5903</v>
      </c>
      <c r="H127">
        <v>7165</v>
      </c>
      <c r="K127" s="3">
        <v>5205</v>
      </c>
      <c r="O127" s="3">
        <v>7349</v>
      </c>
      <c r="Q127" s="3">
        <v>5615</v>
      </c>
      <c r="R127" s="3">
        <v>5331</v>
      </c>
      <c r="AH127" s="3">
        <v>5861</v>
      </c>
      <c r="AQ127" s="3">
        <v>4902</v>
      </c>
      <c r="AR127" s="3">
        <v>5919</v>
      </c>
      <c r="BC127" s="3">
        <v>5431</v>
      </c>
      <c r="BK127" s="3">
        <v>5510</v>
      </c>
      <c r="BR127" s="3">
        <v>6117</v>
      </c>
    </row>
    <row r="128" spans="4:70" x14ac:dyDescent="0.25">
      <c r="D128">
        <v>5904</v>
      </c>
      <c r="K128" s="3">
        <v>5276</v>
      </c>
      <c r="O128" s="3">
        <v>7350</v>
      </c>
      <c r="Q128" s="3">
        <v>5616</v>
      </c>
      <c r="R128" s="3">
        <v>5332</v>
      </c>
      <c r="AH128" s="3">
        <v>5862</v>
      </c>
      <c r="AQ128" s="3">
        <v>4903</v>
      </c>
      <c r="AR128" s="3">
        <v>5920</v>
      </c>
      <c r="BC128" s="3">
        <v>5432</v>
      </c>
      <c r="BK128" s="3">
        <v>5511</v>
      </c>
      <c r="BR128" s="3">
        <v>6118</v>
      </c>
    </row>
    <row r="129" spans="4:70" x14ac:dyDescent="0.25">
      <c r="D129">
        <v>5905</v>
      </c>
      <c r="K129" s="3">
        <v>5277</v>
      </c>
      <c r="O129" s="3">
        <v>7351</v>
      </c>
      <c r="Q129" s="3">
        <v>5617</v>
      </c>
      <c r="R129" s="3">
        <v>5333</v>
      </c>
      <c r="AH129" s="3">
        <v>5863</v>
      </c>
      <c r="AQ129" s="3">
        <v>4904</v>
      </c>
      <c r="AR129" s="3">
        <v>5921</v>
      </c>
      <c r="BC129" s="3">
        <v>5433</v>
      </c>
      <c r="BK129" s="3">
        <v>5512</v>
      </c>
      <c r="BR129" s="3">
        <v>6119</v>
      </c>
    </row>
    <row r="130" spans="4:70" x14ac:dyDescent="0.25">
      <c r="D130">
        <v>5906</v>
      </c>
      <c r="K130" s="3">
        <v>5278</v>
      </c>
      <c r="O130" s="3">
        <v>7352</v>
      </c>
      <c r="Q130" s="3">
        <v>5618</v>
      </c>
      <c r="R130" s="3">
        <v>5539</v>
      </c>
      <c r="AH130" s="3">
        <v>5864</v>
      </c>
      <c r="AQ130" s="3">
        <v>4905</v>
      </c>
      <c r="AR130" s="3">
        <v>5922</v>
      </c>
      <c r="BC130" s="3">
        <v>5434</v>
      </c>
      <c r="BK130" s="3">
        <v>5513</v>
      </c>
      <c r="BR130" s="3">
        <v>6120</v>
      </c>
    </row>
    <row r="131" spans="4:70" x14ac:dyDescent="0.25">
      <c r="D131">
        <v>5907</v>
      </c>
      <c r="K131" s="3">
        <v>5279</v>
      </c>
      <c r="O131" s="3">
        <v>7353</v>
      </c>
      <c r="Q131" s="3">
        <v>5619</v>
      </c>
      <c r="R131" s="3">
        <v>5540</v>
      </c>
      <c r="AH131" s="3">
        <v>5865</v>
      </c>
      <c r="AQ131" s="3">
        <v>4906</v>
      </c>
      <c r="AR131" s="3">
        <v>5923</v>
      </c>
      <c r="BC131" s="3">
        <v>5435</v>
      </c>
      <c r="BK131" s="3">
        <v>5514</v>
      </c>
      <c r="BR131" s="3">
        <v>6121</v>
      </c>
    </row>
    <row r="132" spans="4:70" x14ac:dyDescent="0.25">
      <c r="D132">
        <v>5908</v>
      </c>
      <c r="K132" s="3">
        <v>5280</v>
      </c>
      <c r="O132" s="3">
        <v>7354</v>
      </c>
      <c r="Q132" s="3">
        <v>5620</v>
      </c>
      <c r="AQ132" s="3">
        <v>4907</v>
      </c>
      <c r="AR132" s="3">
        <v>5924</v>
      </c>
      <c r="BC132" s="3">
        <v>5436</v>
      </c>
      <c r="BK132" s="3">
        <v>5515</v>
      </c>
      <c r="BR132" s="3">
        <v>6122</v>
      </c>
    </row>
    <row r="133" spans="4:70" x14ac:dyDescent="0.25">
      <c r="D133">
        <v>5939</v>
      </c>
      <c r="K133" s="3">
        <v>5281</v>
      </c>
      <c r="O133" s="3">
        <v>7355</v>
      </c>
      <c r="Q133" s="3">
        <v>5621</v>
      </c>
      <c r="AQ133" s="3">
        <v>4908</v>
      </c>
      <c r="AR133" s="3">
        <v>5925</v>
      </c>
      <c r="BC133" s="3">
        <v>5579</v>
      </c>
      <c r="BK133" s="3">
        <v>5516</v>
      </c>
      <c r="BR133" s="3">
        <v>6123</v>
      </c>
    </row>
    <row r="134" spans="4:70" x14ac:dyDescent="0.25">
      <c r="D134">
        <v>5940</v>
      </c>
      <c r="K134" s="3">
        <v>5282</v>
      </c>
      <c r="O134" s="3">
        <v>7356</v>
      </c>
      <c r="Q134" s="3">
        <v>5622</v>
      </c>
      <c r="AQ134" s="3">
        <v>4910</v>
      </c>
      <c r="AR134" s="3">
        <v>5926</v>
      </c>
      <c r="BC134" s="3">
        <v>5580</v>
      </c>
      <c r="BK134" s="3">
        <v>5517</v>
      </c>
      <c r="BR134" s="3">
        <v>6124</v>
      </c>
    </row>
    <row r="135" spans="4:70" x14ac:dyDescent="0.25">
      <c r="D135">
        <v>5941</v>
      </c>
      <c r="K135" s="3">
        <v>5353</v>
      </c>
      <c r="O135" s="3">
        <v>7357</v>
      </c>
      <c r="Q135" s="3">
        <v>5623</v>
      </c>
      <c r="AQ135" s="3">
        <v>4911</v>
      </c>
      <c r="AR135" s="3">
        <v>5927</v>
      </c>
      <c r="BC135" s="3">
        <v>5581</v>
      </c>
      <c r="BK135" s="3">
        <v>5518</v>
      </c>
      <c r="BR135" s="3">
        <v>6125</v>
      </c>
    </row>
    <row r="136" spans="4:70" x14ac:dyDescent="0.25">
      <c r="D136">
        <v>5942</v>
      </c>
      <c r="K136" s="3">
        <v>5354</v>
      </c>
      <c r="O136" s="3">
        <v>7358</v>
      </c>
      <c r="Q136" s="3">
        <v>5644</v>
      </c>
      <c r="AQ136" s="3">
        <v>4922</v>
      </c>
      <c r="AR136" s="3">
        <v>5928</v>
      </c>
      <c r="BC136" s="3">
        <v>5582</v>
      </c>
      <c r="BK136" s="3">
        <v>5519</v>
      </c>
      <c r="BR136" s="3">
        <v>6126</v>
      </c>
    </row>
    <row r="137" spans="4:70" x14ac:dyDescent="0.25">
      <c r="D137">
        <v>5943</v>
      </c>
      <c r="K137" s="3">
        <v>5356</v>
      </c>
      <c r="O137" s="3">
        <v>7359</v>
      </c>
      <c r="Q137" s="3">
        <v>5645</v>
      </c>
      <c r="AQ137" s="3">
        <v>4923</v>
      </c>
      <c r="AR137" s="3">
        <v>5929</v>
      </c>
      <c r="BC137" s="3">
        <v>5583</v>
      </c>
      <c r="BK137" s="3">
        <v>5800</v>
      </c>
      <c r="BR137" s="3">
        <v>6127</v>
      </c>
    </row>
    <row r="138" spans="4:70" x14ac:dyDescent="0.25">
      <c r="D138">
        <v>5944</v>
      </c>
      <c r="K138" s="3">
        <v>5357</v>
      </c>
      <c r="O138" s="3">
        <v>7360</v>
      </c>
      <c r="Q138" s="3">
        <v>5646</v>
      </c>
      <c r="AQ138" s="3">
        <v>4924</v>
      </c>
      <c r="AR138" s="3">
        <v>5930</v>
      </c>
      <c r="BC138" s="3">
        <v>5584</v>
      </c>
      <c r="BK138" s="3">
        <v>5801</v>
      </c>
      <c r="BR138" s="3">
        <v>6128</v>
      </c>
    </row>
    <row r="139" spans="4:70" x14ac:dyDescent="0.25">
      <c r="D139">
        <v>5945</v>
      </c>
      <c r="K139" s="3">
        <v>5464</v>
      </c>
      <c r="O139" s="3">
        <v>7361</v>
      </c>
      <c r="Q139" s="3">
        <v>5647</v>
      </c>
      <c r="AQ139" s="3">
        <v>4925</v>
      </c>
      <c r="AR139" s="3">
        <v>5931</v>
      </c>
      <c r="BC139" s="3">
        <v>5585</v>
      </c>
      <c r="BK139" s="3">
        <v>5802</v>
      </c>
      <c r="BR139" s="3">
        <v>6129</v>
      </c>
    </row>
    <row r="140" spans="4:70" x14ac:dyDescent="0.25">
      <c r="D140">
        <v>5946</v>
      </c>
      <c r="K140" s="3">
        <v>5465</v>
      </c>
      <c r="O140" s="3">
        <v>7362</v>
      </c>
      <c r="Q140" s="3">
        <v>5655</v>
      </c>
      <c r="AQ140" s="3">
        <v>4927</v>
      </c>
      <c r="AR140" s="3">
        <v>5932</v>
      </c>
      <c r="BC140" s="3">
        <v>5586</v>
      </c>
      <c r="BK140" s="3">
        <v>5803</v>
      </c>
      <c r="BR140" s="3">
        <v>6130</v>
      </c>
    </row>
    <row r="141" spans="4:70" x14ac:dyDescent="0.25">
      <c r="D141">
        <v>5947</v>
      </c>
      <c r="K141" s="3">
        <v>5520</v>
      </c>
      <c r="O141" s="3">
        <v>7401</v>
      </c>
      <c r="Q141" s="3">
        <v>5656</v>
      </c>
      <c r="AQ141" s="3">
        <v>4928</v>
      </c>
      <c r="AR141" s="3">
        <v>5933</v>
      </c>
      <c r="BC141" s="3">
        <v>5587</v>
      </c>
      <c r="BK141" s="3">
        <v>5804</v>
      </c>
      <c r="BR141" s="3">
        <v>6131</v>
      </c>
    </row>
    <row r="142" spans="4:70" x14ac:dyDescent="0.25">
      <c r="D142">
        <v>5948</v>
      </c>
      <c r="K142" s="3">
        <v>5521</v>
      </c>
      <c r="O142" s="3">
        <v>7402</v>
      </c>
      <c r="Q142" s="3">
        <v>5657</v>
      </c>
      <c r="AQ142" s="3">
        <v>4929</v>
      </c>
      <c r="AR142" s="3">
        <v>5934</v>
      </c>
      <c r="BC142" s="3">
        <v>5588</v>
      </c>
      <c r="BK142" s="3">
        <v>5805</v>
      </c>
      <c r="BR142" s="3">
        <v>6132</v>
      </c>
    </row>
    <row r="143" spans="4:70" x14ac:dyDescent="0.25">
      <c r="K143" s="3">
        <v>5522</v>
      </c>
      <c r="O143" s="3">
        <v>7403</v>
      </c>
      <c r="Q143" s="3">
        <v>5658</v>
      </c>
      <c r="AQ143" s="3">
        <v>4930</v>
      </c>
      <c r="AR143" s="3">
        <v>5935</v>
      </c>
      <c r="BC143" s="3">
        <v>5589</v>
      </c>
      <c r="BK143" s="3">
        <v>5806</v>
      </c>
      <c r="BR143" s="3">
        <v>6133</v>
      </c>
    </row>
    <row r="144" spans="4:70" x14ac:dyDescent="0.25">
      <c r="K144" s="3">
        <v>5523</v>
      </c>
      <c r="O144" s="3">
        <v>7404</v>
      </c>
      <c r="Q144" s="3">
        <v>5659</v>
      </c>
      <c r="AQ144" s="3">
        <v>4931</v>
      </c>
      <c r="AR144" s="3">
        <v>5936</v>
      </c>
      <c r="BC144" s="3">
        <v>5590</v>
      </c>
      <c r="BK144" s="3">
        <v>5807</v>
      </c>
      <c r="BR144" s="3">
        <v>6134</v>
      </c>
    </row>
    <row r="145" spans="11:70" x14ac:dyDescent="0.25">
      <c r="K145" s="3">
        <v>5524</v>
      </c>
      <c r="O145" s="3">
        <v>7405</v>
      </c>
      <c r="Q145" s="3">
        <v>5660</v>
      </c>
      <c r="AQ145" s="3">
        <v>5208</v>
      </c>
      <c r="AR145" s="3">
        <v>5937</v>
      </c>
      <c r="BC145" s="3">
        <v>5591</v>
      </c>
      <c r="BK145" s="3">
        <v>5808</v>
      </c>
      <c r="BR145" s="3">
        <v>6135</v>
      </c>
    </row>
    <row r="146" spans="11:70" x14ac:dyDescent="0.25">
      <c r="K146" s="3">
        <v>5525</v>
      </c>
      <c r="O146" s="3">
        <v>7406</v>
      </c>
      <c r="Q146" s="3">
        <v>5661</v>
      </c>
      <c r="AQ146" s="3">
        <v>5209</v>
      </c>
      <c r="AR146" s="3">
        <v>5938</v>
      </c>
      <c r="BC146" s="3">
        <v>5592</v>
      </c>
      <c r="BK146" s="3">
        <v>5866</v>
      </c>
      <c r="BR146" s="3">
        <v>6136</v>
      </c>
    </row>
    <row r="147" spans="11:70" x14ac:dyDescent="0.25">
      <c r="K147" s="3">
        <v>5526</v>
      </c>
      <c r="O147" s="3">
        <v>7407</v>
      </c>
      <c r="Q147" s="3">
        <v>5662</v>
      </c>
      <c r="AQ147" s="3">
        <v>5210</v>
      </c>
      <c r="AR147" s="3">
        <v>6203</v>
      </c>
      <c r="BC147" s="3">
        <v>5593</v>
      </c>
      <c r="BK147" s="3">
        <v>5867</v>
      </c>
      <c r="BR147" s="3">
        <v>6137</v>
      </c>
    </row>
    <row r="148" spans="11:70" x14ac:dyDescent="0.25">
      <c r="K148" s="3">
        <v>5527</v>
      </c>
      <c r="O148" s="3">
        <v>7408</v>
      </c>
      <c r="Q148" s="3">
        <v>5666</v>
      </c>
      <c r="AQ148" s="3">
        <v>5211</v>
      </c>
      <c r="AR148" s="3">
        <v>6204</v>
      </c>
      <c r="BC148" s="3">
        <v>5594</v>
      </c>
      <c r="BK148" s="3">
        <v>5868</v>
      </c>
      <c r="BR148" s="3">
        <v>6138</v>
      </c>
    </row>
    <row r="149" spans="11:70" x14ac:dyDescent="0.25">
      <c r="K149" s="3">
        <v>5560</v>
      </c>
      <c r="O149" s="3">
        <v>7409</v>
      </c>
      <c r="Q149" s="3">
        <v>5819</v>
      </c>
      <c r="AQ149" s="3">
        <v>5213</v>
      </c>
      <c r="AR149" s="3">
        <v>6206</v>
      </c>
      <c r="BC149" s="3">
        <v>5595</v>
      </c>
      <c r="BK149" s="3">
        <v>5869</v>
      </c>
      <c r="BR149" s="3">
        <v>6139</v>
      </c>
    </row>
    <row r="150" spans="11:70" x14ac:dyDescent="0.25">
      <c r="K150" s="3">
        <v>5561</v>
      </c>
      <c r="O150" s="3">
        <v>7410</v>
      </c>
      <c r="Q150" s="3">
        <v>5823</v>
      </c>
      <c r="AQ150" s="3">
        <v>5214</v>
      </c>
      <c r="AR150" s="3">
        <v>6208</v>
      </c>
      <c r="BC150" s="3">
        <v>5596</v>
      </c>
      <c r="BK150" s="3">
        <v>5870</v>
      </c>
      <c r="BR150" s="3">
        <v>6140</v>
      </c>
    </row>
    <row r="151" spans="11:70" x14ac:dyDescent="0.25">
      <c r="K151" s="3">
        <v>5562</v>
      </c>
      <c r="O151" s="3">
        <v>7411</v>
      </c>
      <c r="AQ151" s="3">
        <v>5215</v>
      </c>
      <c r="AR151" s="3">
        <v>6209</v>
      </c>
      <c r="BC151" s="3">
        <v>5949</v>
      </c>
      <c r="BK151" s="3">
        <v>5871</v>
      </c>
      <c r="BR151" s="3">
        <v>6141</v>
      </c>
    </row>
    <row r="152" spans="11:70" x14ac:dyDescent="0.25">
      <c r="K152" s="3">
        <v>5772</v>
      </c>
      <c r="O152" s="3">
        <v>7412</v>
      </c>
      <c r="AQ152" s="3">
        <v>5216</v>
      </c>
      <c r="AR152" s="3">
        <v>6210</v>
      </c>
      <c r="BC152" s="3">
        <v>5950</v>
      </c>
      <c r="BK152" s="3">
        <v>5872</v>
      </c>
      <c r="BR152" s="3">
        <v>6142</v>
      </c>
    </row>
    <row r="153" spans="11:70" x14ac:dyDescent="0.25">
      <c r="K153" s="3">
        <v>5817</v>
      </c>
      <c r="O153" s="3">
        <v>7413</v>
      </c>
      <c r="AQ153" s="3">
        <v>5217</v>
      </c>
      <c r="AR153" s="3">
        <v>6212</v>
      </c>
      <c r="BC153" s="3">
        <v>5951</v>
      </c>
      <c r="BK153" s="3">
        <v>5873</v>
      </c>
      <c r="BR153" s="3">
        <v>6143</v>
      </c>
    </row>
    <row r="154" spans="11:70" x14ac:dyDescent="0.25">
      <c r="K154" s="3">
        <v>5818</v>
      </c>
      <c r="O154" s="3">
        <v>7414</v>
      </c>
      <c r="AQ154" s="3">
        <v>5218</v>
      </c>
      <c r="AR154" s="3">
        <v>6213</v>
      </c>
      <c r="BC154" s="3">
        <v>5952</v>
      </c>
      <c r="BK154" s="3">
        <v>5874</v>
      </c>
      <c r="BR154" s="3">
        <v>6144</v>
      </c>
    </row>
    <row r="155" spans="11:70" x14ac:dyDescent="0.25">
      <c r="K155" s="3">
        <v>5820</v>
      </c>
      <c r="O155" s="3">
        <v>7415</v>
      </c>
      <c r="AQ155" s="3">
        <v>5219</v>
      </c>
      <c r="AR155" s="3">
        <v>6215</v>
      </c>
      <c r="BC155" s="3">
        <v>5953</v>
      </c>
      <c r="BK155" s="3">
        <v>5875</v>
      </c>
      <c r="BR155" s="3">
        <v>6145</v>
      </c>
    </row>
    <row r="156" spans="11:70" x14ac:dyDescent="0.25">
      <c r="K156" s="3">
        <v>5909</v>
      </c>
      <c r="O156" s="3">
        <v>7416</v>
      </c>
      <c r="AQ156" s="3">
        <v>5220</v>
      </c>
      <c r="AR156" s="3">
        <v>6216</v>
      </c>
      <c r="BC156" s="3">
        <v>5954</v>
      </c>
      <c r="BR156" s="3">
        <v>6146</v>
      </c>
    </row>
    <row r="157" spans="11:70" x14ac:dyDescent="0.25">
      <c r="O157" s="3">
        <v>7417</v>
      </c>
      <c r="AQ157" s="3">
        <v>5221</v>
      </c>
      <c r="AR157" s="3">
        <v>6218</v>
      </c>
      <c r="BC157" s="3">
        <v>5955</v>
      </c>
      <c r="BR157" s="3">
        <v>6147</v>
      </c>
    </row>
    <row r="158" spans="11:70" x14ac:dyDescent="0.25">
      <c r="O158" s="3">
        <v>7418</v>
      </c>
      <c r="AQ158" s="3">
        <v>5222</v>
      </c>
      <c r="AR158" s="3">
        <v>6219</v>
      </c>
      <c r="BC158" s="3">
        <v>5956</v>
      </c>
      <c r="BR158" s="3">
        <v>6148</v>
      </c>
    </row>
    <row r="159" spans="11:70" x14ac:dyDescent="0.25">
      <c r="O159" s="3">
        <v>7419</v>
      </c>
      <c r="AQ159" s="3">
        <v>5223</v>
      </c>
      <c r="AR159" s="3">
        <v>6221</v>
      </c>
      <c r="BC159" s="3">
        <v>5957</v>
      </c>
      <c r="BR159" s="3">
        <v>6149</v>
      </c>
    </row>
    <row r="160" spans="11:70" x14ac:dyDescent="0.25">
      <c r="O160" s="3">
        <v>7420</v>
      </c>
      <c r="AQ160" s="3">
        <v>5224</v>
      </c>
      <c r="AR160" s="3">
        <v>6222</v>
      </c>
      <c r="BC160" s="3">
        <v>5958</v>
      </c>
      <c r="BR160" s="3">
        <v>6150</v>
      </c>
    </row>
    <row r="161" spans="4:70" x14ac:dyDescent="0.25">
      <c r="O161" s="3">
        <v>7421</v>
      </c>
      <c r="AQ161" s="3">
        <v>5225</v>
      </c>
      <c r="AR161" s="3">
        <v>6301</v>
      </c>
      <c r="BC161" s="3">
        <v>5959</v>
      </c>
      <c r="BR161" s="3">
        <v>6151</v>
      </c>
    </row>
    <row r="162" spans="4:70" x14ac:dyDescent="0.25">
      <c r="O162" s="3">
        <v>7423</v>
      </c>
      <c r="AQ162" s="3">
        <v>5226</v>
      </c>
      <c r="AR162" s="3">
        <v>6302</v>
      </c>
      <c r="BC162" s="3">
        <v>5960</v>
      </c>
      <c r="BR162" s="3">
        <v>6152</v>
      </c>
    </row>
    <row r="163" spans="4:70" x14ac:dyDescent="0.25">
      <c r="O163" s="3">
        <v>7425</v>
      </c>
      <c r="AQ163" s="3">
        <v>5227</v>
      </c>
      <c r="AR163" s="3">
        <v>6303</v>
      </c>
      <c r="BC163" s="3">
        <v>5961</v>
      </c>
      <c r="BR163" s="3">
        <v>6153</v>
      </c>
    </row>
    <row r="164" spans="4:70" x14ac:dyDescent="0.25">
      <c r="O164" s="3">
        <v>7426</v>
      </c>
      <c r="AQ164" s="3">
        <v>5228</v>
      </c>
      <c r="AR164" s="3">
        <v>6304</v>
      </c>
      <c r="BC164" s="3">
        <v>5962</v>
      </c>
      <c r="BR164" s="3">
        <v>6154</v>
      </c>
    </row>
    <row r="165" spans="4:70" x14ac:dyDescent="0.25">
      <c r="O165" s="3">
        <v>7427</v>
      </c>
      <c r="AQ165" s="3">
        <v>5229</v>
      </c>
      <c r="AR165" s="3">
        <v>6305</v>
      </c>
      <c r="BC165" s="3">
        <v>5963</v>
      </c>
      <c r="BR165" s="3">
        <v>6155</v>
      </c>
    </row>
    <row r="166" spans="4:70" x14ac:dyDescent="0.25">
      <c r="O166" s="3">
        <v>7428</v>
      </c>
      <c r="AQ166" s="3">
        <v>5309</v>
      </c>
      <c r="AR166" s="3">
        <v>6306</v>
      </c>
      <c r="BC166" s="3">
        <v>5964</v>
      </c>
      <c r="BR166" s="3">
        <v>6156</v>
      </c>
    </row>
    <row r="167" spans="4:70" x14ac:dyDescent="0.25">
      <c r="O167" s="3">
        <v>7429</v>
      </c>
      <c r="AQ167" s="3">
        <v>5310</v>
      </c>
      <c r="AR167" s="3">
        <v>6307</v>
      </c>
      <c r="BC167" s="3">
        <v>5965</v>
      </c>
      <c r="BR167" s="3">
        <v>6157</v>
      </c>
    </row>
    <row r="168" spans="4:70" x14ac:dyDescent="0.25">
      <c r="O168" s="3">
        <v>7433</v>
      </c>
      <c r="AQ168" s="3">
        <v>5311</v>
      </c>
      <c r="AR168" s="3">
        <v>6308</v>
      </c>
      <c r="BC168" s="3">
        <v>5966</v>
      </c>
      <c r="BR168" s="3">
        <v>6158</v>
      </c>
    </row>
    <row r="169" spans="4:70" x14ac:dyDescent="0.25">
      <c r="O169" s="3">
        <v>7434</v>
      </c>
      <c r="AQ169" s="3">
        <v>5312</v>
      </c>
      <c r="AR169" s="3">
        <v>6309</v>
      </c>
      <c r="BC169" s="3">
        <v>5967</v>
      </c>
    </row>
    <row r="170" spans="4:70" x14ac:dyDescent="0.25">
      <c r="O170" s="3">
        <v>7435</v>
      </c>
      <c r="AQ170" s="3">
        <v>5313</v>
      </c>
      <c r="AR170" s="3">
        <v>6310</v>
      </c>
      <c r="BC170" s="3">
        <v>5968</v>
      </c>
    </row>
    <row r="171" spans="4:70" x14ac:dyDescent="0.25">
      <c r="AR171" s="3">
        <v>6311</v>
      </c>
      <c r="BC171" s="3">
        <v>5969</v>
      </c>
    </row>
    <row r="172" spans="4:70" x14ac:dyDescent="0.25">
      <c r="AR172" s="3">
        <v>6312</v>
      </c>
      <c r="BC172" s="3">
        <v>5970</v>
      </c>
    </row>
    <row r="173" spans="4:70" x14ac:dyDescent="0.25">
      <c r="AR173" s="3">
        <v>6313</v>
      </c>
      <c r="BC173" s="3">
        <v>5971</v>
      </c>
    </row>
    <row r="174" spans="4:70" x14ac:dyDescent="0.25">
      <c r="AR174" s="3">
        <v>6314</v>
      </c>
      <c r="BC174" s="3">
        <v>5972</v>
      </c>
    </row>
    <row r="175" spans="4:70" ht="21" x14ac:dyDescent="0.35">
      <c r="D175" s="19" t="s">
        <v>3797</v>
      </c>
      <c r="E175" s="19"/>
      <c r="F175" s="19"/>
      <c r="G175" s="19"/>
      <c r="H175" s="19"/>
      <c r="AR175" s="3">
        <v>6315</v>
      </c>
      <c r="BC175" s="3">
        <v>5973</v>
      </c>
    </row>
    <row r="176" spans="4:70" x14ac:dyDescent="0.25">
      <c r="AR176" s="3">
        <v>6316</v>
      </c>
    </row>
    <row r="177" spans="4:44" ht="15.75" thickBot="1" x14ac:dyDescent="0.3">
      <c r="D177" s="18" t="str" cm="1">
        <f t="array" ref="D177:G177">TRANSPOSE(_xlfn._xlws.SORT(_xlfn.UNIQUE(Tabel_Project_Medewerkers[Project])))</f>
        <v>4G/5G</v>
      </c>
      <c r="E177" s="18" t="str">
        <v>Digitale Radio</v>
      </c>
      <c r="F177" s="18" t="str">
        <v>Schermen op Voertuigen</v>
      </c>
      <c r="G177" s="18" t="str">
        <v>Telcameras</v>
      </c>
      <c r="H177" s="18"/>
      <c r="I177" s="18"/>
      <c r="J177" s="18"/>
      <c r="AR177" s="3">
        <v>6317</v>
      </c>
    </row>
    <row r="178" spans="4:44" ht="15.75" thickTop="1" x14ac:dyDescent="0.25">
      <c r="D178" t="str" cm="1">
        <f t="array" ref="D178">_xlfn._xlws.SORT(_xlfn.UNIQUE(_xlfn._xlws.FILTER(Tabel_Project_Medewerkers[Naam],Tabel_Project_Medewerkers[Project]='Cascading Filter'!D$177)))</f>
        <v>Bart Mommens</v>
      </c>
      <c r="E178" t="str" cm="1">
        <f t="array" ref="E178">_xlfn._xlws.SORT(_xlfn.UNIQUE(_xlfn._xlws.FILTER(Tabel_Project_Medewerkers[Naam],Tabel_Project_Medewerkers[Project]='Cascading Filter'!E$177)))</f>
        <v>TBD</v>
      </c>
      <c r="F178" t="str" cm="1">
        <f t="array" ref="F178">_xlfn._xlws.SORT(_xlfn.UNIQUE(_xlfn._xlws.FILTER(Tabel_Project_Medewerkers[Naam],Tabel_Project_Medewerkers[Project]='Cascading Filter'!F$177)))</f>
        <v>TBD</v>
      </c>
      <c r="G178" t="str" cm="1">
        <f t="array" ref="G178:G179">_xlfn._xlws.SORT(_xlfn.UNIQUE(_xlfn._xlws.FILTER(Tabel_Project_Medewerkers[Naam],Tabel_Project_Medewerkers[Project]='Cascading Filter'!G$177)))</f>
        <v>Luc Van Overveldt</v>
      </c>
      <c r="H178" t="e" cm="1" vm="8">
        <f t="array" ref="H178">_xlfn._xlws.SORT(_xlfn.UNIQUE(_xlfn._xlws.FILTER(Tabel_Project_Medewerkers[Naam],Tabel_Project_Medewerkers[Project]='Cascading Filter'!H$177)))</f>
        <v>#VALUE!</v>
      </c>
      <c r="I178" t="e" cm="1" vm="8">
        <f t="array" ref="I178">_xlfn._xlws.SORT(_xlfn.UNIQUE(_xlfn._xlws.FILTER(Tabel_Project_Medewerkers[Naam],Tabel_Project_Medewerkers[Project]='Cascading Filter'!I$177)))</f>
        <v>#VALUE!</v>
      </c>
      <c r="J178" t="e" cm="1" vm="8">
        <f t="array" ref="J178">_xlfn._xlws.SORT(_xlfn.UNIQUE(_xlfn._xlws.FILTER(Tabel_Project_Medewerkers[Naam],Tabel_Project_Medewerkers[Project]='Cascading Filter'!J$177)))</f>
        <v>#VALUE!</v>
      </c>
      <c r="AR178" s="3">
        <v>6318</v>
      </c>
    </row>
    <row r="179" spans="4:44" x14ac:dyDescent="0.25">
      <c r="G179" t="str">
        <v>Oscar Stern</v>
      </c>
      <c r="AR179" s="3">
        <v>6319</v>
      </c>
    </row>
    <row r="180" spans="4:44" x14ac:dyDescent="0.25">
      <c r="AR180" s="3">
        <v>6320</v>
      </c>
    </row>
    <row r="181" spans="4:44" x14ac:dyDescent="0.25">
      <c r="AR181" s="3">
        <v>6321</v>
      </c>
    </row>
    <row r="182" spans="4:44" x14ac:dyDescent="0.25">
      <c r="AR182" s="3">
        <v>6322</v>
      </c>
    </row>
    <row r="183" spans="4:44" x14ac:dyDescent="0.25">
      <c r="E183" t="e" cm="1" vm="9">
        <f t="array" aca="1" ref="E183" ca="1">_xlfn.ANCHORARRAY(_xlfn.XLOOKUP(COL_MINUS1,'Cascading Filter'!$D$177:$J$177,'Cascading Filter'!$D$178:$J$178))</f>
        <v>#VALUE!</v>
      </c>
      <c r="AR183" s="3">
        <v>6323</v>
      </c>
    </row>
    <row r="184" spans="4:44" x14ac:dyDescent="0.25">
      <c r="AR184" s="3">
        <v>6324</v>
      </c>
    </row>
    <row r="185" spans="4:44" x14ac:dyDescent="0.25">
      <c r="AR185" s="3">
        <v>6325</v>
      </c>
    </row>
    <row r="186" spans="4:44" x14ac:dyDescent="0.25">
      <c r="AR186" s="3">
        <v>6326</v>
      </c>
    </row>
    <row r="187" spans="4:44" x14ac:dyDescent="0.25">
      <c r="AR187" s="3">
        <v>6327</v>
      </c>
    </row>
    <row r="188" spans="4:44" x14ac:dyDescent="0.25">
      <c r="AR188" s="3">
        <v>6328</v>
      </c>
    </row>
    <row r="189" spans="4:44" x14ac:dyDescent="0.25">
      <c r="AR189" s="3">
        <v>6329</v>
      </c>
    </row>
    <row r="190" spans="4:44" x14ac:dyDescent="0.25">
      <c r="AR190" s="3">
        <v>6330</v>
      </c>
    </row>
    <row r="191" spans="4:44" x14ac:dyDescent="0.25">
      <c r="AR191" s="3">
        <v>6331</v>
      </c>
    </row>
    <row r="192" spans="4:44" x14ac:dyDescent="0.25">
      <c r="AR192" s="3">
        <v>6332</v>
      </c>
    </row>
    <row r="193" spans="44:44" x14ac:dyDescent="0.25">
      <c r="AR193" s="3">
        <v>6333</v>
      </c>
    </row>
    <row r="194" spans="44:44" x14ac:dyDescent="0.25">
      <c r="AR194" s="3">
        <v>6351</v>
      </c>
    </row>
    <row r="195" spans="44:44" x14ac:dyDescent="0.25">
      <c r="AR195" s="3">
        <v>6352</v>
      </c>
    </row>
    <row r="196" spans="44:44" x14ac:dyDescent="0.25">
      <c r="AR196" s="3">
        <v>6353</v>
      </c>
    </row>
    <row r="197" spans="44:44" x14ac:dyDescent="0.25">
      <c r="AR197" s="3">
        <v>6354</v>
      </c>
    </row>
    <row r="198" spans="44:44" x14ac:dyDescent="0.25">
      <c r="AR198" s="3">
        <v>6355</v>
      </c>
    </row>
    <row r="199" spans="44:44" x14ac:dyDescent="0.25">
      <c r="AR199" s="3">
        <v>6356</v>
      </c>
    </row>
    <row r="200" spans="44:44" x14ac:dyDescent="0.25">
      <c r="AR200" s="3">
        <v>6357</v>
      </c>
    </row>
    <row r="201" spans="44:44" x14ac:dyDescent="0.25">
      <c r="AR201" s="3">
        <v>6358</v>
      </c>
    </row>
    <row r="202" spans="44:44" x14ac:dyDescent="0.25">
      <c r="AR202" s="3">
        <v>6359</v>
      </c>
    </row>
    <row r="203" spans="44:44" x14ac:dyDescent="0.25">
      <c r="AR203" s="3">
        <v>6360</v>
      </c>
    </row>
    <row r="204" spans="44:44" x14ac:dyDescent="0.25">
      <c r="AR204" s="3">
        <v>6361</v>
      </c>
    </row>
    <row r="205" spans="44:44" x14ac:dyDescent="0.25">
      <c r="AR205" s="3">
        <v>6362</v>
      </c>
    </row>
    <row r="206" spans="44:44" x14ac:dyDescent="0.25">
      <c r="AR206" s="3">
        <v>6363</v>
      </c>
    </row>
    <row r="207" spans="44:44" x14ac:dyDescent="0.25">
      <c r="AR207" s="3">
        <v>6364</v>
      </c>
    </row>
    <row r="208" spans="44:44" x14ac:dyDescent="0.25">
      <c r="AR208" s="3">
        <v>6365</v>
      </c>
    </row>
    <row r="209" spans="44:44" x14ac:dyDescent="0.25">
      <c r="AR209" s="3">
        <v>6366</v>
      </c>
    </row>
    <row r="210" spans="44:44" x14ac:dyDescent="0.25">
      <c r="AR210" s="3">
        <v>6367</v>
      </c>
    </row>
    <row r="211" spans="44:44" x14ac:dyDescent="0.25">
      <c r="AR211" s="3">
        <v>6368</v>
      </c>
    </row>
    <row r="212" spans="44:44" x14ac:dyDescent="0.25">
      <c r="AR212" s="3">
        <v>6369</v>
      </c>
    </row>
    <row r="213" spans="44:44" x14ac:dyDescent="0.25">
      <c r="AR213" s="3">
        <v>6370</v>
      </c>
    </row>
    <row r="214" spans="44:44" x14ac:dyDescent="0.25">
      <c r="AR214" s="3">
        <v>6371</v>
      </c>
    </row>
    <row r="215" spans="44:44" x14ac:dyDescent="0.25">
      <c r="AR215" s="3">
        <v>6372</v>
      </c>
    </row>
    <row r="216" spans="44:44" x14ac:dyDescent="0.25">
      <c r="AR216" s="3">
        <v>6373</v>
      </c>
    </row>
    <row r="217" spans="44:44" x14ac:dyDescent="0.25">
      <c r="AR217" s="3">
        <v>6374</v>
      </c>
    </row>
    <row r="218" spans="44:44" x14ac:dyDescent="0.25">
      <c r="AR218" s="3">
        <v>6375</v>
      </c>
    </row>
    <row r="219" spans="44:44" x14ac:dyDescent="0.25">
      <c r="AR219" s="3">
        <v>6376</v>
      </c>
    </row>
  </sheetData>
  <dataValidations count="3">
    <dataValidation type="list" allowBlank="1" showInputMessage="1" showErrorMessage="1" sqref="E25:E30 E32:E34" xr:uid="{4D0A0B5B-886E-41D0-AD5A-02E2B52EA350}">
      <formula1>Lijst_Cascade1_Entiteiten</formula1>
    </dataValidation>
    <dataValidation type="list" allowBlank="1" showInputMessage="1" showErrorMessage="1" sqref="F25:F30 F32:F37" xr:uid="{53C84822-A06A-4D91-A368-CE04A841AC9E}">
      <formula1>Lijst_Cascade1_Stelplaatsen</formula1>
    </dataValidation>
    <dataValidation type="list" allowBlank="1" showInputMessage="1" showErrorMessage="1" sqref="G25:G28" xr:uid="{CA3B18B5-62DB-413F-9039-CDED58445ADC}">
      <formula1>Lijst_Cascade1_VTS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2AFD7-BF43-47A5-8FC6-5CD0BE65DF47}">
  <sheetPr codeName="Sheet6"/>
  <dimension ref="C4:E70"/>
  <sheetViews>
    <sheetView topLeftCell="A8" workbookViewId="0">
      <selection activeCell="E26" sqref="E26:E58"/>
    </sheetView>
  </sheetViews>
  <sheetFormatPr defaultRowHeight="15" x14ac:dyDescent="0.25"/>
  <cols>
    <col min="3" max="3" width="22.28515625" customWidth="1"/>
    <col min="4" max="4" width="40" customWidth="1"/>
    <col min="5" max="5" width="26.42578125" customWidth="1"/>
    <col min="7" max="7" width="58.85546875" customWidth="1"/>
  </cols>
  <sheetData>
    <row r="4" spans="3:5" x14ac:dyDescent="0.25">
      <c r="C4" t="s">
        <v>3774</v>
      </c>
      <c r="D4" t="s">
        <v>3775</v>
      </c>
      <c r="E4" t="s">
        <v>4</v>
      </c>
    </row>
    <row r="5" spans="3:5" x14ac:dyDescent="0.25">
      <c r="C5" t="s">
        <v>3802</v>
      </c>
      <c r="E5">
        <v>10</v>
      </c>
    </row>
    <row r="6" spans="3:5" x14ac:dyDescent="0.25">
      <c r="C6" t="s">
        <v>3789</v>
      </c>
      <c r="D6" t="s">
        <v>3776</v>
      </c>
      <c r="E6">
        <v>20</v>
      </c>
    </row>
    <row r="7" spans="3:5" x14ac:dyDescent="0.25">
      <c r="C7" t="s">
        <v>3777</v>
      </c>
      <c r="E7">
        <v>30</v>
      </c>
    </row>
    <row r="8" spans="3:5" x14ac:dyDescent="0.25">
      <c r="C8" t="s">
        <v>3778</v>
      </c>
      <c r="E8">
        <v>40</v>
      </c>
    </row>
    <row r="13" spans="3:5" x14ac:dyDescent="0.25">
      <c r="C13" t="s">
        <v>3774</v>
      </c>
      <c r="D13" t="s">
        <v>3775</v>
      </c>
      <c r="E13" t="s">
        <v>4</v>
      </c>
    </row>
    <row r="14" spans="3:5" x14ac:dyDescent="0.25">
      <c r="C14" t="s">
        <v>3779</v>
      </c>
      <c r="E14">
        <v>10</v>
      </c>
    </row>
    <row r="15" spans="3:5" x14ac:dyDescent="0.25">
      <c r="C15" t="s">
        <v>3780</v>
      </c>
      <c r="D15" t="s">
        <v>3776</v>
      </c>
      <c r="E15">
        <v>20</v>
      </c>
    </row>
    <row r="16" spans="3:5" x14ac:dyDescent="0.25">
      <c r="C16" t="s">
        <v>3781</v>
      </c>
      <c r="E16">
        <v>30</v>
      </c>
    </row>
    <row r="17" spans="3:5" x14ac:dyDescent="0.25">
      <c r="C17" t="s">
        <v>3782</v>
      </c>
      <c r="E17">
        <v>40</v>
      </c>
    </row>
    <row r="18" spans="3:5" x14ac:dyDescent="0.25">
      <c r="C18" t="s">
        <v>3783</v>
      </c>
    </row>
    <row r="19" spans="3:5" x14ac:dyDescent="0.25">
      <c r="C19" t="s">
        <v>3784</v>
      </c>
    </row>
    <row r="20" spans="3:5" x14ac:dyDescent="0.25">
      <c r="C20" t="s">
        <v>3785</v>
      </c>
    </row>
    <row r="21" spans="3:5" x14ac:dyDescent="0.25">
      <c r="C21" t="s">
        <v>3786</v>
      </c>
    </row>
    <row r="22" spans="3:5" x14ac:dyDescent="0.25">
      <c r="C22" t="s">
        <v>3787</v>
      </c>
    </row>
    <row r="25" spans="3:5" x14ac:dyDescent="0.25">
      <c r="C25" t="s">
        <v>3956</v>
      </c>
      <c r="E25" t="s">
        <v>3940</v>
      </c>
    </row>
    <row r="26" spans="3:5" x14ac:dyDescent="0.25">
      <c r="C26" s="42">
        <v>0.375</v>
      </c>
      <c r="E26" s="42">
        <v>4.1666666666666664E-2</v>
      </c>
    </row>
    <row r="27" spans="3:5" x14ac:dyDescent="0.25">
      <c r="C27" s="42">
        <v>0.38541666666666669</v>
      </c>
      <c r="E27" s="42">
        <v>5.2083333333333336E-2</v>
      </c>
    </row>
    <row r="28" spans="3:5" x14ac:dyDescent="0.25">
      <c r="C28" s="42">
        <v>0.39583333333333298</v>
      </c>
      <c r="E28" s="42">
        <v>6.25E-2</v>
      </c>
    </row>
    <row r="29" spans="3:5" x14ac:dyDescent="0.25">
      <c r="C29" s="42">
        <v>0.40625</v>
      </c>
      <c r="E29" s="42">
        <v>7.2916666666666699E-2</v>
      </c>
    </row>
    <row r="30" spans="3:5" x14ac:dyDescent="0.25">
      <c r="C30" s="42">
        <v>0.41666666666666702</v>
      </c>
      <c r="E30" s="42">
        <v>8.3333333333333398E-2</v>
      </c>
    </row>
    <row r="31" spans="3:5" x14ac:dyDescent="0.25">
      <c r="C31" s="42">
        <v>0.42708333333333298</v>
      </c>
      <c r="E31" s="42">
        <v>9.3750000000000097E-2</v>
      </c>
    </row>
    <row r="32" spans="3:5" x14ac:dyDescent="0.25">
      <c r="C32" s="42">
        <v>0.4375</v>
      </c>
      <c r="E32" s="42">
        <v>0.104166666666667</v>
      </c>
    </row>
    <row r="33" spans="3:5" x14ac:dyDescent="0.25">
      <c r="C33" s="42">
        <v>0.44791666666666702</v>
      </c>
      <c r="E33" s="42">
        <v>0.114583333333333</v>
      </c>
    </row>
    <row r="34" spans="3:5" x14ac:dyDescent="0.25">
      <c r="C34" s="42">
        <v>0.45833333333333298</v>
      </c>
      <c r="E34" s="42">
        <v>0.125</v>
      </c>
    </row>
    <row r="35" spans="3:5" x14ac:dyDescent="0.25">
      <c r="C35" s="42">
        <v>0.46875</v>
      </c>
      <c r="E35" s="42">
        <v>0.13541666666666699</v>
      </c>
    </row>
    <row r="36" spans="3:5" x14ac:dyDescent="0.25">
      <c r="C36" s="42">
        <v>0.47916666666666702</v>
      </c>
      <c r="E36" s="42">
        <v>0.14583333333333401</v>
      </c>
    </row>
    <row r="37" spans="3:5" x14ac:dyDescent="0.25">
      <c r="C37" s="42">
        <v>0.48958333333333398</v>
      </c>
      <c r="E37" s="42">
        <v>0.15625</v>
      </c>
    </row>
    <row r="38" spans="3:5" x14ac:dyDescent="0.25">
      <c r="C38" s="42">
        <v>0.5</v>
      </c>
      <c r="E38" s="42">
        <v>0.16666666666666699</v>
      </c>
    </row>
    <row r="39" spans="3:5" x14ac:dyDescent="0.25">
      <c r="C39" s="42">
        <v>0.51041666666666596</v>
      </c>
      <c r="E39" s="42">
        <v>0.17708333333333401</v>
      </c>
    </row>
    <row r="40" spans="3:5" x14ac:dyDescent="0.25">
      <c r="C40" s="42">
        <v>0.52083333333333204</v>
      </c>
      <c r="E40" s="42">
        <v>0.1875</v>
      </c>
    </row>
    <row r="41" spans="3:5" x14ac:dyDescent="0.25">
      <c r="C41" s="42">
        <v>0.531249999999998</v>
      </c>
      <c r="E41" s="42">
        <v>0.19791666666666699</v>
      </c>
    </row>
    <row r="42" spans="3:5" x14ac:dyDescent="0.25">
      <c r="C42" s="42">
        <v>0.54166666666666397</v>
      </c>
      <c r="E42" s="42">
        <v>0.20833333333333401</v>
      </c>
    </row>
    <row r="43" spans="3:5" x14ac:dyDescent="0.25">
      <c r="C43" s="42">
        <v>0.55208333333333004</v>
      </c>
      <c r="E43" s="42">
        <v>0.21875</v>
      </c>
    </row>
    <row r="44" spans="3:5" x14ac:dyDescent="0.25">
      <c r="C44" s="42">
        <v>0.562499999999996</v>
      </c>
      <c r="E44" s="42">
        <v>0.22916666666666699</v>
      </c>
    </row>
    <row r="45" spans="3:5" x14ac:dyDescent="0.25">
      <c r="C45" s="42">
        <v>0.57291666666666197</v>
      </c>
      <c r="E45" s="42">
        <v>0.23958333333333401</v>
      </c>
    </row>
    <row r="46" spans="3:5" x14ac:dyDescent="0.25">
      <c r="C46" s="42">
        <v>0.58333333333332804</v>
      </c>
      <c r="E46" s="42">
        <v>0.25</v>
      </c>
    </row>
    <row r="47" spans="3:5" x14ac:dyDescent="0.25">
      <c r="C47" s="42">
        <v>0.593749999999994</v>
      </c>
      <c r="E47" s="42">
        <v>0.26041666666666702</v>
      </c>
    </row>
    <row r="48" spans="3:5" x14ac:dyDescent="0.25">
      <c r="C48" s="42">
        <v>0.60416666666665997</v>
      </c>
      <c r="E48" s="42">
        <v>0.27083333333333398</v>
      </c>
    </row>
    <row r="49" spans="3:5" x14ac:dyDescent="0.25">
      <c r="C49" s="42">
        <v>0.61458333333332604</v>
      </c>
      <c r="E49" s="42">
        <v>0.28125</v>
      </c>
    </row>
    <row r="50" spans="3:5" x14ac:dyDescent="0.25">
      <c r="C50" s="42">
        <v>0.62499999999999201</v>
      </c>
      <c r="E50" s="42">
        <v>0.29166666666666702</v>
      </c>
    </row>
    <row r="51" spans="3:5" x14ac:dyDescent="0.25">
      <c r="C51" s="42">
        <v>0.63541666666665797</v>
      </c>
      <c r="E51" s="42">
        <v>0.30208333333333398</v>
      </c>
    </row>
    <row r="52" spans="3:5" x14ac:dyDescent="0.25">
      <c r="C52" s="42">
        <v>0.64583333333332404</v>
      </c>
      <c r="E52" s="42">
        <v>0.3125</v>
      </c>
    </row>
    <row r="53" spans="3:5" x14ac:dyDescent="0.25">
      <c r="C53" s="42">
        <v>0.65624999999999001</v>
      </c>
      <c r="E53" s="42">
        <v>0.32291666666666702</v>
      </c>
    </row>
    <row r="54" spans="3:5" x14ac:dyDescent="0.25">
      <c r="C54" s="42">
        <v>0.66666666666665597</v>
      </c>
      <c r="E54" s="42">
        <v>0.33333333333333398</v>
      </c>
    </row>
    <row r="55" spans="3:5" x14ac:dyDescent="0.25">
      <c r="C55" s="42">
        <v>0.67708333333332205</v>
      </c>
      <c r="E55" s="42">
        <v>0.34375</v>
      </c>
    </row>
    <row r="56" spans="3:5" x14ac:dyDescent="0.25">
      <c r="C56" s="42">
        <v>0.68749999999998801</v>
      </c>
      <c r="E56" s="42">
        <v>0.35416666666666702</v>
      </c>
    </row>
    <row r="57" spans="3:5" x14ac:dyDescent="0.25">
      <c r="C57" s="42">
        <v>0.69791666666665397</v>
      </c>
      <c r="E57" s="42">
        <v>0.36458333333333398</v>
      </c>
    </row>
    <row r="58" spans="3:5" x14ac:dyDescent="0.25">
      <c r="C58" s="42">
        <v>0.70833333333332005</v>
      </c>
      <c r="E58" s="42">
        <v>0.375</v>
      </c>
    </row>
    <row r="59" spans="3:5" x14ac:dyDescent="0.25">
      <c r="C59" s="42">
        <v>0.71874999999998601</v>
      </c>
    </row>
    <row r="60" spans="3:5" x14ac:dyDescent="0.25">
      <c r="C60" s="42">
        <v>0.72916666666665197</v>
      </c>
    </row>
    <row r="61" spans="3:5" x14ac:dyDescent="0.25">
      <c r="C61" s="42">
        <v>0.73958333333331805</v>
      </c>
    </row>
    <row r="62" spans="3:5" x14ac:dyDescent="0.25">
      <c r="C62" s="42">
        <v>0.74999999999998401</v>
      </c>
    </row>
    <row r="63" spans="3:5" x14ac:dyDescent="0.25">
      <c r="C63" s="42">
        <v>0.76041666666664998</v>
      </c>
    </row>
    <row r="64" spans="3:5" x14ac:dyDescent="0.25">
      <c r="C64" s="42">
        <v>0.77083333333331705</v>
      </c>
    </row>
    <row r="65" spans="3:3" x14ac:dyDescent="0.25">
      <c r="C65" s="42">
        <v>0.78124999999998301</v>
      </c>
    </row>
    <row r="66" spans="3:3" x14ac:dyDescent="0.25">
      <c r="C66" s="42">
        <v>0.79166666666664898</v>
      </c>
    </row>
    <row r="67" spans="3:3" x14ac:dyDescent="0.25">
      <c r="C67" s="42">
        <v>0.80208333333331505</v>
      </c>
    </row>
    <row r="68" spans="3:3" x14ac:dyDescent="0.25">
      <c r="C68" s="42">
        <v>0.81249999999998102</v>
      </c>
    </row>
    <row r="69" spans="3:3" x14ac:dyDescent="0.25">
      <c r="C69" s="42">
        <v>0.82291666666664698</v>
      </c>
    </row>
    <row r="70" spans="3:3" x14ac:dyDescent="0.25">
      <c r="C70" s="42">
        <v>0.83333333333331305</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1350F-FA10-4603-95D4-163D5CAAECAF}">
  <sheetPr codeName="Sheet7"/>
  <dimension ref="C3:H9"/>
  <sheetViews>
    <sheetView workbookViewId="0">
      <selection activeCell="C12" sqref="C12"/>
    </sheetView>
  </sheetViews>
  <sheetFormatPr defaultRowHeight="15" x14ac:dyDescent="0.25"/>
  <cols>
    <col min="3" max="3" width="26" customWidth="1"/>
    <col min="4" max="4" width="36" customWidth="1"/>
    <col min="5" max="6" width="36.42578125" customWidth="1"/>
    <col min="7" max="7" width="29" customWidth="1"/>
    <col min="8" max="8" width="17.85546875" customWidth="1"/>
  </cols>
  <sheetData>
    <row r="3" spans="3:8" x14ac:dyDescent="0.25">
      <c r="C3" t="s">
        <v>3765</v>
      </c>
      <c r="D3" t="s">
        <v>3774</v>
      </c>
      <c r="E3" t="s">
        <v>3788</v>
      </c>
      <c r="F3" t="s">
        <v>3799</v>
      </c>
      <c r="G3" t="s">
        <v>3791</v>
      </c>
      <c r="H3" t="s">
        <v>4</v>
      </c>
    </row>
    <row r="4" spans="3:8" x14ac:dyDescent="0.25">
      <c r="C4" t="s">
        <v>3789</v>
      </c>
      <c r="D4" t="s">
        <v>3790</v>
      </c>
      <c r="E4" s="9" t="s">
        <v>3792</v>
      </c>
      <c r="F4" t="s">
        <v>3800</v>
      </c>
      <c r="G4" s="20" t="s">
        <v>3801</v>
      </c>
    </row>
    <row r="5" spans="3:8" x14ac:dyDescent="0.25">
      <c r="C5" t="s">
        <v>3789</v>
      </c>
      <c r="D5" t="s">
        <v>3796</v>
      </c>
      <c r="E5" s="9" t="s">
        <v>3793</v>
      </c>
      <c r="F5" t="s">
        <v>3800</v>
      </c>
    </row>
    <row r="6" spans="3:8" x14ac:dyDescent="0.25">
      <c r="C6" t="s">
        <v>3802</v>
      </c>
      <c r="D6" t="s">
        <v>3794</v>
      </c>
      <c r="E6" s="9" t="s">
        <v>3795</v>
      </c>
      <c r="F6" t="s">
        <v>3800</v>
      </c>
    </row>
    <row r="7" spans="3:8" x14ac:dyDescent="0.25">
      <c r="C7" t="s">
        <v>3777</v>
      </c>
      <c r="D7" t="s">
        <v>3798</v>
      </c>
      <c r="E7" s="9"/>
    </row>
    <row r="8" spans="3:8" x14ac:dyDescent="0.25">
      <c r="C8" t="s">
        <v>3777</v>
      </c>
      <c r="D8" t="s">
        <v>3798</v>
      </c>
      <c r="E8" s="9"/>
    </row>
    <row r="9" spans="3:8" x14ac:dyDescent="0.25">
      <c r="C9" t="s">
        <v>3778</v>
      </c>
      <c r="D9" t="s">
        <v>3798</v>
      </c>
      <c r="E9" s="9"/>
      <c r="F9" s="9"/>
    </row>
  </sheetData>
  <dataValidations count="1">
    <dataValidation type="list" allowBlank="1" showInputMessage="1" showErrorMessage="1" sqref="C4:C31" xr:uid="{F3955EC2-3A28-44C5-9784-9CBCDF2203C6}">
      <formula1>Lijst_Cascade2_Projecten</formula1>
    </dataValidation>
  </dataValidations>
  <hyperlinks>
    <hyperlink ref="E4" r:id="rId1" xr:uid="{DEE79A54-273B-4E80-82C2-702AC67C2430}"/>
    <hyperlink ref="E5" r:id="rId2" xr:uid="{8A7EF9DB-DB12-47F6-BE04-84874C28F84C}"/>
    <hyperlink ref="E6" r:id="rId3" xr:uid="{59AAC832-B4E9-4505-ADF8-8A9D776E5046}"/>
  </hyperlinks>
  <pageMargins left="0.7" right="0.7" top="0.75" bottom="0.75" header="0.3" footer="0.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BBA32-BAC2-4824-AEFE-1AF6EA2EB101}">
  <sheetPr codeName="Sheet9"/>
  <dimension ref="C3:H8"/>
  <sheetViews>
    <sheetView workbookViewId="0">
      <selection activeCell="C8" sqref="C8:D8"/>
    </sheetView>
  </sheetViews>
  <sheetFormatPr defaultRowHeight="15" x14ac:dyDescent="0.25"/>
  <cols>
    <col min="3" max="3" width="9.7109375" customWidth="1"/>
    <col min="4" max="4" width="14.140625" customWidth="1"/>
    <col min="5" max="5" width="21.7109375" customWidth="1"/>
    <col min="6" max="6" width="37.85546875" customWidth="1"/>
    <col min="8" max="8" width="35.5703125" customWidth="1"/>
  </cols>
  <sheetData>
    <row r="3" spans="3:8" x14ac:dyDescent="0.25">
      <c r="C3" t="s">
        <v>62</v>
      </c>
      <c r="D3" t="s">
        <v>57</v>
      </c>
      <c r="E3" t="s">
        <v>3774</v>
      </c>
      <c r="F3" t="s">
        <v>3788</v>
      </c>
      <c r="G3" t="s">
        <v>3791</v>
      </c>
      <c r="H3" t="s">
        <v>3934</v>
      </c>
    </row>
    <row r="4" spans="3:8" x14ac:dyDescent="0.25">
      <c r="C4" t="s">
        <v>3662</v>
      </c>
      <c r="D4" t="s">
        <v>3679</v>
      </c>
      <c r="E4" t="str">
        <f>"Verantw " &amp; Tabel_Stelplaats_Contacten[[#This Row],[Stelplaats]]</f>
        <v>Verantw Kinrooi</v>
      </c>
      <c r="F4" s="9" t="str">
        <f>"contact_"&amp;LOWER(Tabel_Stelplaats_Contacten[[#This Row],[Stelplaats]])&amp;"@delijn.be"</f>
        <v>contact_kinrooi@delijn.be</v>
      </c>
      <c r="G4" t="str">
        <f t="shared" ref="G4:G6" si="0">"-"</f>
        <v>-</v>
      </c>
      <c r="H4" t="str">
        <f>Tabel_Stelplaats_Contacten[[#This Row],[Entiteit]]&amp;"#"&amp;Tabel_Stelplaats_Contacten[[#This Row],[Stelplaats]]</f>
        <v>Limburg#Kinrooi</v>
      </c>
    </row>
    <row r="5" spans="3:8" x14ac:dyDescent="0.25">
      <c r="C5" t="s">
        <v>3662</v>
      </c>
      <c r="D5" t="s">
        <v>3716</v>
      </c>
      <c r="E5" t="str">
        <f>"Verantw " &amp; Tabel_Stelplaats_Contacten[[#This Row],[Stelplaats]]</f>
        <v>Verantw Winterslag</v>
      </c>
      <c r="F5" s="9" t="str">
        <f>"contact_"&amp;LOWER(Tabel_Stelplaats_Contacten[[#This Row],[Stelplaats]])&amp;"@delijn.be"</f>
        <v>contact_winterslag@delijn.be</v>
      </c>
      <c r="G5" t="str">
        <f t="shared" si="0"/>
        <v>-</v>
      </c>
      <c r="H5" t="str">
        <f>Tabel_Stelplaats_Contacten[[#This Row],[Entiteit]]&amp;"#"&amp;Tabel_Stelplaats_Contacten[[#This Row],[Stelplaats]]</f>
        <v>Limburg#Winterslag</v>
      </c>
    </row>
    <row r="6" spans="3:8" x14ac:dyDescent="0.25">
      <c r="C6" t="s">
        <v>3646</v>
      </c>
      <c r="D6" t="s">
        <v>3653</v>
      </c>
      <c r="E6" t="str">
        <f>"Verantw " &amp; Tabel_Stelplaats_Contacten[[#This Row],[Stelplaats]]</f>
        <v>Verantw Hoogstraten</v>
      </c>
      <c r="F6" t="str">
        <f>"contact_"&amp;LOWER(Tabel_Stelplaats_Contacten[[#This Row],[Stelplaats]])&amp;"@delijn.be"</f>
        <v>contact_hoogstraten@delijn.be</v>
      </c>
      <c r="G6" t="str">
        <f t="shared" si="0"/>
        <v>-</v>
      </c>
      <c r="H6" t="str">
        <f>Tabel_Stelplaats_Contacten[[#This Row],[Entiteit]]&amp;"#"&amp;Tabel_Stelplaats_Contacten[[#This Row],[Stelplaats]]</f>
        <v>Antwerpen#Hoogstraten</v>
      </c>
    </row>
    <row r="7" spans="3:8" x14ac:dyDescent="0.25">
      <c r="C7" t="s">
        <v>3659</v>
      </c>
      <c r="D7" t="s">
        <v>3660</v>
      </c>
      <c r="E7" t="str">
        <f>"Verantw " &amp; Tabel_Stelplaats_Contacten[[#This Row],[Stelplaats]]</f>
        <v>Verantw Destelbergen</v>
      </c>
      <c r="F7" t="str">
        <f>"contact_"&amp;LOWER(Tabel_Stelplaats_Contacten[[#This Row],[Stelplaats]])&amp;"@delijn.be"</f>
        <v>contact_destelbergen@delijn.be</v>
      </c>
      <c r="G7" t="str">
        <f>"-"</f>
        <v>-</v>
      </c>
      <c r="H7" t="str">
        <f>Tabel_Stelplaats_Contacten[[#This Row],[Entiteit]]&amp;"#"&amp;Tabel_Stelplaats_Contacten[[#This Row],[Stelplaats]]</f>
        <v>Oost-Vlaanderen#Destelbergen</v>
      </c>
    </row>
    <row r="8" spans="3:8" x14ac:dyDescent="0.25">
      <c r="C8" t="s">
        <v>3668</v>
      </c>
      <c r="D8" t="s">
        <v>3673</v>
      </c>
      <c r="E8" t="str">
        <f>"Verantw " &amp; Tabel_Stelplaats_Contacten[[#This Row],[Stelplaats]]</f>
        <v>Verantw Oostende Slijkensestwg</v>
      </c>
      <c r="F8" t="str">
        <f>"contact_"&amp;LOWER(Tabel_Stelplaats_Contacten[[#This Row],[Stelplaats]])&amp;"@delijn.be"</f>
        <v>contact_oostende slijkensestwg@delijn.be</v>
      </c>
      <c r="G8" t="str">
        <f>"-"</f>
        <v>-</v>
      </c>
      <c r="H8" t="str">
        <f>Tabel_Stelplaats_Contacten[[#This Row],[Entiteit]]&amp;"#"&amp;Tabel_Stelplaats_Contacten[[#This Row],[Stelplaats]]</f>
        <v>West-Vlaanderen#Oostende Slijkensestwg</v>
      </c>
    </row>
  </sheetData>
  <dataValidations count="2">
    <dataValidation type="list" allowBlank="1" showInputMessage="1" showErrorMessage="1" sqref="C4:C25" xr:uid="{B0EA7D3B-62F7-46F3-B212-8D297B0E89B2}">
      <formula1>Lijst_Cascade1_Entiteiten</formula1>
    </dataValidation>
    <dataValidation type="list" allowBlank="1" showInputMessage="1" showErrorMessage="1" sqref="D4:D27" xr:uid="{5490A2A7-760F-4698-9834-E3CDF0492B95}">
      <formula1>Lijst_Cascade1_Stelplaatsen</formula1>
    </dataValidation>
  </dataValidations>
  <hyperlinks>
    <hyperlink ref="F4" r:id="rId1" display="contact_kinrooi@delijn.be" xr:uid="{5796F6C8-B95A-47CE-A654-55AD8305777C}"/>
    <hyperlink ref="F5" r:id="rId2" display="contact_winterslag@delijn.be" xr:uid="{75ED48E1-A2BD-4EA9-9987-177351FA2EC3}"/>
  </hyperlinks>
  <pageMargins left="0.7" right="0.7" top="0.75" bottom="0.75" header="0.3" footer="0.3"/>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820F6-C689-4CB9-BEE4-CD07C7633A82}">
  <sheetPr codeName="Sheet3"/>
  <dimension ref="B11:AD2803"/>
  <sheetViews>
    <sheetView topLeftCell="W1" workbookViewId="0">
      <selection activeCell="Y31" sqref="Y31"/>
    </sheetView>
  </sheetViews>
  <sheetFormatPr defaultRowHeight="15" x14ac:dyDescent="0.25"/>
  <cols>
    <col min="2" max="2" width="13.5703125" bestFit="1" customWidth="1"/>
    <col min="3" max="3" width="17.42578125" bestFit="1" customWidth="1"/>
    <col min="4" max="4" width="22.85546875" bestFit="1" customWidth="1"/>
    <col min="5" max="5" width="31.28515625" bestFit="1" customWidth="1"/>
    <col min="6" max="6" width="20.28515625" bestFit="1" customWidth="1"/>
    <col min="7" max="7" width="17.140625" bestFit="1" customWidth="1"/>
    <col min="8" max="8" width="10" bestFit="1" customWidth="1"/>
    <col min="9" max="9" width="18" bestFit="1" customWidth="1"/>
    <col min="10" max="10" width="20.85546875" bestFit="1" customWidth="1"/>
    <col min="11" max="11" width="24.140625" bestFit="1" customWidth="1"/>
    <col min="12" max="12" width="22.7109375" bestFit="1" customWidth="1"/>
    <col min="13" max="13" width="10.140625" bestFit="1" customWidth="1"/>
    <col min="14" max="14" width="18.42578125" bestFit="1" customWidth="1"/>
    <col min="15" max="15" width="16.5703125" bestFit="1" customWidth="1"/>
    <col min="16" max="16" width="16.140625" bestFit="1" customWidth="1"/>
    <col min="17" max="17" width="15.5703125" bestFit="1" customWidth="1"/>
    <col min="18" max="18" width="32.7109375" bestFit="1" customWidth="1"/>
    <col min="19" max="19" width="25.5703125" bestFit="1" customWidth="1"/>
    <col min="20" max="20" width="25" bestFit="1" customWidth="1"/>
    <col min="21" max="21" width="19.28515625" bestFit="1" customWidth="1"/>
    <col min="22" max="22" width="16.7109375" bestFit="1" customWidth="1"/>
    <col min="23" max="23" width="21.7109375" bestFit="1" customWidth="1"/>
    <col min="24" max="24" width="10.42578125" bestFit="1" customWidth="1"/>
    <col min="25" max="25" width="40" bestFit="1" customWidth="1"/>
    <col min="26" max="26" width="10.42578125" bestFit="1" customWidth="1"/>
    <col min="27" max="28" width="10.42578125" customWidth="1"/>
    <col min="29" max="29" width="13.5703125" bestFit="1" customWidth="1"/>
    <col min="30" max="30" width="9.28515625" bestFit="1" customWidth="1"/>
    <col min="31" max="31" width="21.7109375" bestFit="1" customWidth="1"/>
    <col min="32" max="32" width="21.140625" bestFit="1" customWidth="1"/>
    <col min="33" max="33" width="27.42578125" bestFit="1" customWidth="1"/>
    <col min="34" max="34" width="13.5703125" bestFit="1" customWidth="1"/>
    <col min="35" max="35" width="9.7109375" bestFit="1" customWidth="1"/>
  </cols>
  <sheetData>
    <row r="11" spans="2:30" x14ac:dyDescent="0.25">
      <c r="B11" s="17">
        <f>SUBTOTAL(109,INPUT_VTS_REGIE[Counter])</f>
        <v>2791</v>
      </c>
    </row>
    <row r="12" spans="2:30" x14ac:dyDescent="0.25">
      <c r="B12" t="s">
        <v>54</v>
      </c>
      <c r="C12" t="s">
        <v>62</v>
      </c>
      <c r="D12" t="s">
        <v>57</v>
      </c>
      <c r="E12" t="s">
        <v>59</v>
      </c>
      <c r="F12" t="s">
        <v>58</v>
      </c>
      <c r="G12" t="s">
        <v>56</v>
      </c>
      <c r="H12" t="s">
        <v>120</v>
      </c>
      <c r="I12" t="s">
        <v>121</v>
      </c>
      <c r="J12" t="s">
        <v>122</v>
      </c>
      <c r="K12" t="s">
        <v>55</v>
      </c>
      <c r="L12" t="s">
        <v>60</v>
      </c>
      <c r="M12" t="s">
        <v>123</v>
      </c>
      <c r="N12" t="s">
        <v>61</v>
      </c>
      <c r="O12" t="s">
        <v>63</v>
      </c>
      <c r="P12" t="s">
        <v>64</v>
      </c>
      <c r="Q12" t="s">
        <v>65</v>
      </c>
      <c r="R12" t="s">
        <v>66</v>
      </c>
      <c r="S12" t="s">
        <v>67</v>
      </c>
      <c r="T12" t="s">
        <v>68</v>
      </c>
      <c r="U12" t="s">
        <v>69</v>
      </c>
      <c r="V12" t="s">
        <v>71</v>
      </c>
      <c r="W12" t="s">
        <v>72</v>
      </c>
      <c r="X12" t="s">
        <v>70</v>
      </c>
      <c r="Y12" t="s">
        <v>3645</v>
      </c>
      <c r="AC12" t="s">
        <v>54</v>
      </c>
      <c r="AD12" t="s">
        <v>3803</v>
      </c>
    </row>
    <row r="13" spans="2:30" x14ac:dyDescent="0.25">
      <c r="B13">
        <v>2000</v>
      </c>
      <c r="C13" t="s">
        <v>3646</v>
      </c>
      <c r="D13" t="s">
        <v>3647</v>
      </c>
      <c r="E13" t="s">
        <v>3807</v>
      </c>
      <c r="F13" t="s">
        <v>105</v>
      </c>
      <c r="G13" t="s">
        <v>108</v>
      </c>
      <c r="H13" t="s">
        <v>3808</v>
      </c>
      <c r="I13" t="s">
        <v>3809</v>
      </c>
      <c r="J13" t="s">
        <v>3810</v>
      </c>
      <c r="K13" t="s">
        <v>1218</v>
      </c>
      <c r="L13" s="13">
        <v>43172</v>
      </c>
      <c r="M13">
        <v>6</v>
      </c>
      <c r="N13" t="s">
        <v>90</v>
      </c>
      <c r="O13" t="s">
        <v>3811</v>
      </c>
      <c r="P13" t="s">
        <v>76</v>
      </c>
      <c r="Q13" t="s">
        <v>76</v>
      </c>
      <c r="R13" t="s">
        <v>76</v>
      </c>
      <c r="S13" t="s">
        <v>76</v>
      </c>
      <c r="T13" t="s">
        <v>76</v>
      </c>
      <c r="U13">
        <v>1</v>
      </c>
      <c r="V13" s="13">
        <v>45175</v>
      </c>
      <c r="W13">
        <v>1</v>
      </c>
      <c r="X13">
        <v>1</v>
      </c>
      <c r="Y13" t="s">
        <v>3648</v>
      </c>
      <c r="AC13">
        <v>2000</v>
      </c>
      <c r="AD13" t="e" vm="10">
        <v>#VALUE!</v>
      </c>
    </row>
    <row r="14" spans="2:30" x14ac:dyDescent="0.25">
      <c r="B14">
        <v>2001</v>
      </c>
      <c r="C14" t="s">
        <v>3646</v>
      </c>
      <c r="D14" t="s">
        <v>3647</v>
      </c>
      <c r="E14" t="s">
        <v>3807</v>
      </c>
      <c r="F14" t="s">
        <v>105</v>
      </c>
      <c r="G14" t="s">
        <v>108</v>
      </c>
      <c r="H14" t="s">
        <v>3808</v>
      </c>
      <c r="I14" t="s">
        <v>3809</v>
      </c>
      <c r="J14" t="s">
        <v>3810</v>
      </c>
      <c r="K14" t="s">
        <v>1218</v>
      </c>
      <c r="L14" s="13">
        <v>42859</v>
      </c>
      <c r="M14">
        <v>6</v>
      </c>
      <c r="N14" t="s">
        <v>90</v>
      </c>
      <c r="O14" t="s">
        <v>3811</v>
      </c>
      <c r="P14" t="s">
        <v>76</v>
      </c>
      <c r="Q14" t="s">
        <v>76</v>
      </c>
      <c r="R14" t="s">
        <v>76</v>
      </c>
      <c r="S14" t="s">
        <v>76</v>
      </c>
      <c r="T14" t="s">
        <v>76</v>
      </c>
      <c r="U14">
        <v>1</v>
      </c>
      <c r="V14" s="13">
        <v>45175</v>
      </c>
      <c r="W14">
        <v>1</v>
      </c>
      <c r="X14">
        <v>1</v>
      </c>
      <c r="Y14" t="s">
        <v>3648</v>
      </c>
      <c r="AC14">
        <v>2001</v>
      </c>
      <c r="AD14" t="e" vm="11">
        <v>#VALUE!</v>
      </c>
    </row>
    <row r="15" spans="2:30" x14ac:dyDescent="0.25">
      <c r="B15">
        <v>2002</v>
      </c>
      <c r="C15" t="s">
        <v>3646</v>
      </c>
      <c r="D15" t="s">
        <v>3647</v>
      </c>
      <c r="E15" t="s">
        <v>3807</v>
      </c>
      <c r="F15" t="s">
        <v>105</v>
      </c>
      <c r="G15" t="s">
        <v>108</v>
      </c>
      <c r="H15" t="s">
        <v>3808</v>
      </c>
      <c r="I15" t="s">
        <v>3809</v>
      </c>
      <c r="J15" t="s">
        <v>3810</v>
      </c>
      <c r="K15" t="s">
        <v>1218</v>
      </c>
      <c r="L15" s="13">
        <v>42859</v>
      </c>
      <c r="M15">
        <v>6</v>
      </c>
      <c r="N15" t="s">
        <v>90</v>
      </c>
      <c r="O15" t="s">
        <v>3811</v>
      </c>
      <c r="P15" t="s">
        <v>76</v>
      </c>
      <c r="Q15" t="s">
        <v>76</v>
      </c>
      <c r="R15" t="s">
        <v>76</v>
      </c>
      <c r="S15" t="s">
        <v>76</v>
      </c>
      <c r="T15" t="s">
        <v>76</v>
      </c>
      <c r="U15">
        <v>1</v>
      </c>
      <c r="V15" s="13">
        <v>45175</v>
      </c>
      <c r="W15">
        <v>1</v>
      </c>
      <c r="X15">
        <v>1</v>
      </c>
      <c r="Y15" t="s">
        <v>3648</v>
      </c>
      <c r="AC15">
        <v>2002</v>
      </c>
      <c r="AD15" t="e" vm="12">
        <v>#VALUE!</v>
      </c>
    </row>
    <row r="16" spans="2:30" x14ac:dyDescent="0.25">
      <c r="B16">
        <v>2003</v>
      </c>
      <c r="C16" t="s">
        <v>3646</v>
      </c>
      <c r="D16" t="s">
        <v>3647</v>
      </c>
      <c r="E16" t="s">
        <v>3807</v>
      </c>
      <c r="F16" t="s">
        <v>105</v>
      </c>
      <c r="G16" t="s">
        <v>108</v>
      </c>
      <c r="H16" t="s">
        <v>3808</v>
      </c>
      <c r="I16" t="s">
        <v>3809</v>
      </c>
      <c r="J16" t="s">
        <v>3810</v>
      </c>
      <c r="K16" t="s">
        <v>1218</v>
      </c>
      <c r="L16" s="13">
        <v>42859</v>
      </c>
      <c r="M16">
        <v>6</v>
      </c>
      <c r="N16" t="s">
        <v>90</v>
      </c>
      <c r="O16" t="s">
        <v>3811</v>
      </c>
      <c r="P16" t="s">
        <v>76</v>
      </c>
      <c r="Q16" t="s">
        <v>76</v>
      </c>
      <c r="R16" t="s">
        <v>76</v>
      </c>
      <c r="S16" t="s">
        <v>76</v>
      </c>
      <c r="T16" t="s">
        <v>76</v>
      </c>
      <c r="U16">
        <v>1</v>
      </c>
      <c r="V16" s="13">
        <v>45175</v>
      </c>
      <c r="W16">
        <v>1</v>
      </c>
      <c r="X16">
        <v>1</v>
      </c>
      <c r="Y16" t="s">
        <v>3648</v>
      </c>
      <c r="AC16">
        <v>2003</v>
      </c>
      <c r="AD16" t="e" vm="13">
        <v>#VALUE!</v>
      </c>
    </row>
    <row r="17" spans="2:30" x14ac:dyDescent="0.25">
      <c r="B17">
        <v>2004</v>
      </c>
      <c r="C17" t="s">
        <v>3646</v>
      </c>
      <c r="D17" t="s">
        <v>3647</v>
      </c>
      <c r="E17" t="s">
        <v>3807</v>
      </c>
      <c r="F17" t="s">
        <v>105</v>
      </c>
      <c r="G17" t="s">
        <v>108</v>
      </c>
      <c r="H17" t="s">
        <v>3808</v>
      </c>
      <c r="I17" t="s">
        <v>3809</v>
      </c>
      <c r="J17" t="s">
        <v>3810</v>
      </c>
      <c r="K17" t="s">
        <v>1218</v>
      </c>
      <c r="L17" s="13">
        <v>42859</v>
      </c>
      <c r="M17">
        <v>6</v>
      </c>
      <c r="N17" t="s">
        <v>90</v>
      </c>
      <c r="O17" t="s">
        <v>3811</v>
      </c>
      <c r="P17" t="s">
        <v>76</v>
      </c>
      <c r="Q17" t="s">
        <v>76</v>
      </c>
      <c r="R17" t="s">
        <v>76</v>
      </c>
      <c r="S17" t="s">
        <v>76</v>
      </c>
      <c r="T17" t="s">
        <v>76</v>
      </c>
      <c r="U17">
        <v>1</v>
      </c>
      <c r="V17" s="13">
        <v>45175</v>
      </c>
      <c r="W17">
        <v>1</v>
      </c>
      <c r="X17">
        <v>1</v>
      </c>
      <c r="Y17" t="s">
        <v>3648</v>
      </c>
      <c r="AC17">
        <v>2004</v>
      </c>
      <c r="AD17" t="e" vm="14">
        <v>#VALUE!</v>
      </c>
    </row>
    <row r="18" spans="2:30" x14ac:dyDescent="0.25">
      <c r="B18">
        <v>2005</v>
      </c>
      <c r="C18" t="s">
        <v>3646</v>
      </c>
      <c r="D18" t="s">
        <v>3647</v>
      </c>
      <c r="E18" t="s">
        <v>3807</v>
      </c>
      <c r="F18" t="s">
        <v>105</v>
      </c>
      <c r="G18" t="s">
        <v>108</v>
      </c>
      <c r="H18" t="s">
        <v>3808</v>
      </c>
      <c r="I18" t="s">
        <v>3809</v>
      </c>
      <c r="J18" t="s">
        <v>3810</v>
      </c>
      <c r="K18" t="s">
        <v>1218</v>
      </c>
      <c r="L18" s="13">
        <v>42844</v>
      </c>
      <c r="M18">
        <v>6</v>
      </c>
      <c r="N18" t="s">
        <v>90</v>
      </c>
      <c r="O18" t="s">
        <v>3811</v>
      </c>
      <c r="P18" t="s">
        <v>76</v>
      </c>
      <c r="Q18" t="s">
        <v>76</v>
      </c>
      <c r="R18" t="s">
        <v>76</v>
      </c>
      <c r="S18" t="s">
        <v>76</v>
      </c>
      <c r="T18" t="s">
        <v>76</v>
      </c>
      <c r="U18">
        <v>1</v>
      </c>
      <c r="V18" s="13">
        <v>45175</v>
      </c>
      <c r="W18">
        <v>1</v>
      </c>
      <c r="X18">
        <v>1</v>
      </c>
      <c r="Y18" t="s">
        <v>3648</v>
      </c>
      <c r="AC18">
        <v>2005</v>
      </c>
      <c r="AD18" t="e" vm="15">
        <v>#VALUE!</v>
      </c>
    </row>
    <row r="19" spans="2:30" x14ac:dyDescent="0.25">
      <c r="B19">
        <v>2006</v>
      </c>
      <c r="C19" t="s">
        <v>3646</v>
      </c>
      <c r="D19" t="s">
        <v>3647</v>
      </c>
      <c r="E19" t="s">
        <v>3807</v>
      </c>
      <c r="F19" t="s">
        <v>105</v>
      </c>
      <c r="G19" t="s">
        <v>108</v>
      </c>
      <c r="H19" t="s">
        <v>3808</v>
      </c>
      <c r="I19" t="s">
        <v>3809</v>
      </c>
      <c r="J19" t="s">
        <v>3810</v>
      </c>
      <c r="K19" t="s">
        <v>1218</v>
      </c>
      <c r="L19" s="13">
        <v>42844</v>
      </c>
      <c r="M19">
        <v>6</v>
      </c>
      <c r="N19" t="s">
        <v>90</v>
      </c>
      <c r="O19" t="s">
        <v>3811</v>
      </c>
      <c r="P19" t="s">
        <v>76</v>
      </c>
      <c r="Q19" t="s">
        <v>76</v>
      </c>
      <c r="R19" t="s">
        <v>76</v>
      </c>
      <c r="S19" t="s">
        <v>76</v>
      </c>
      <c r="T19" t="s">
        <v>76</v>
      </c>
      <c r="U19">
        <v>1</v>
      </c>
      <c r="V19" s="13">
        <v>45175</v>
      </c>
      <c r="W19">
        <v>1</v>
      </c>
      <c r="X19">
        <v>1</v>
      </c>
      <c r="Y19" t="s">
        <v>3648</v>
      </c>
      <c r="AC19">
        <v>2006</v>
      </c>
      <c r="AD19" t="e" vm="16">
        <v>#VALUE!</v>
      </c>
    </row>
    <row r="20" spans="2:30" x14ac:dyDescent="0.25">
      <c r="B20">
        <v>2007</v>
      </c>
      <c r="C20" t="s">
        <v>3646</v>
      </c>
      <c r="D20" t="s">
        <v>3647</v>
      </c>
      <c r="E20" t="s">
        <v>3807</v>
      </c>
      <c r="F20" t="s">
        <v>105</v>
      </c>
      <c r="G20" t="s">
        <v>108</v>
      </c>
      <c r="H20" t="s">
        <v>3808</v>
      </c>
      <c r="I20" t="s">
        <v>3809</v>
      </c>
      <c r="J20" t="s">
        <v>3810</v>
      </c>
      <c r="K20" t="s">
        <v>1218</v>
      </c>
      <c r="L20" s="13">
        <v>42839</v>
      </c>
      <c r="M20">
        <v>6</v>
      </c>
      <c r="N20" t="s">
        <v>90</v>
      </c>
      <c r="O20" t="s">
        <v>3811</v>
      </c>
      <c r="P20" t="s">
        <v>76</v>
      </c>
      <c r="Q20" t="s">
        <v>76</v>
      </c>
      <c r="R20" t="s">
        <v>76</v>
      </c>
      <c r="S20" t="s">
        <v>76</v>
      </c>
      <c r="T20" t="s">
        <v>76</v>
      </c>
      <c r="U20">
        <v>1</v>
      </c>
      <c r="V20" s="13">
        <v>45175</v>
      </c>
      <c r="W20">
        <v>1</v>
      </c>
      <c r="X20">
        <v>1</v>
      </c>
      <c r="Y20" t="s">
        <v>3648</v>
      </c>
      <c r="AC20">
        <v>2007</v>
      </c>
      <c r="AD20" t="e" vm="17">
        <v>#VALUE!</v>
      </c>
    </row>
    <row r="21" spans="2:30" x14ac:dyDescent="0.25">
      <c r="B21">
        <v>2008</v>
      </c>
      <c r="C21" t="s">
        <v>3646</v>
      </c>
      <c r="D21" t="s">
        <v>3647</v>
      </c>
      <c r="E21" t="s">
        <v>3807</v>
      </c>
      <c r="F21" t="s">
        <v>105</v>
      </c>
      <c r="G21" t="s">
        <v>108</v>
      </c>
      <c r="H21" t="s">
        <v>3808</v>
      </c>
      <c r="I21" t="s">
        <v>3809</v>
      </c>
      <c r="J21" t="s">
        <v>3810</v>
      </c>
      <c r="K21" t="s">
        <v>1218</v>
      </c>
      <c r="L21" s="13">
        <v>42844</v>
      </c>
      <c r="M21">
        <v>6</v>
      </c>
      <c r="N21" t="s">
        <v>90</v>
      </c>
      <c r="O21" t="s">
        <v>3811</v>
      </c>
      <c r="P21" t="s">
        <v>76</v>
      </c>
      <c r="Q21" t="s">
        <v>76</v>
      </c>
      <c r="R21" t="s">
        <v>76</v>
      </c>
      <c r="S21" t="s">
        <v>76</v>
      </c>
      <c r="T21" t="s">
        <v>76</v>
      </c>
      <c r="U21">
        <v>1</v>
      </c>
      <c r="V21" s="13">
        <v>45175</v>
      </c>
      <c r="W21">
        <v>1</v>
      </c>
      <c r="X21">
        <v>1</v>
      </c>
      <c r="Y21" t="s">
        <v>3648</v>
      </c>
      <c r="AC21">
        <v>2008</v>
      </c>
      <c r="AD21" t="e" vm="18">
        <v>#VALUE!</v>
      </c>
    </row>
    <row r="22" spans="2:30" x14ac:dyDescent="0.25">
      <c r="B22">
        <v>2009</v>
      </c>
      <c r="C22" t="s">
        <v>3646</v>
      </c>
      <c r="D22" t="s">
        <v>3647</v>
      </c>
      <c r="E22" t="s">
        <v>3807</v>
      </c>
      <c r="F22" t="s">
        <v>105</v>
      </c>
      <c r="G22" t="s">
        <v>108</v>
      </c>
      <c r="H22" t="s">
        <v>3808</v>
      </c>
      <c r="I22" t="s">
        <v>3809</v>
      </c>
      <c r="J22" t="s">
        <v>3810</v>
      </c>
      <c r="K22" t="s">
        <v>1218</v>
      </c>
      <c r="L22" s="13">
        <v>42844</v>
      </c>
      <c r="M22">
        <v>6</v>
      </c>
      <c r="N22" t="s">
        <v>90</v>
      </c>
      <c r="O22" t="s">
        <v>3811</v>
      </c>
      <c r="P22" t="s">
        <v>76</v>
      </c>
      <c r="Q22" t="s">
        <v>76</v>
      </c>
      <c r="R22" t="s">
        <v>76</v>
      </c>
      <c r="S22" t="s">
        <v>76</v>
      </c>
      <c r="T22" t="s">
        <v>76</v>
      </c>
      <c r="U22">
        <v>1</v>
      </c>
      <c r="V22" s="13">
        <v>45175</v>
      </c>
      <c r="W22">
        <v>1</v>
      </c>
      <c r="X22">
        <v>1</v>
      </c>
      <c r="Y22" t="s">
        <v>3648</v>
      </c>
      <c r="AC22">
        <v>2009</v>
      </c>
      <c r="AD22" t="e" vm="19">
        <v>#VALUE!</v>
      </c>
    </row>
    <row r="23" spans="2:30" x14ac:dyDescent="0.25">
      <c r="B23">
        <v>2010</v>
      </c>
      <c r="C23" t="s">
        <v>3646</v>
      </c>
      <c r="D23" t="s">
        <v>3647</v>
      </c>
      <c r="E23" t="s">
        <v>3807</v>
      </c>
      <c r="F23" t="s">
        <v>105</v>
      </c>
      <c r="G23" t="s">
        <v>108</v>
      </c>
      <c r="H23" t="s">
        <v>3808</v>
      </c>
      <c r="I23" t="s">
        <v>3809</v>
      </c>
      <c r="J23" t="s">
        <v>3810</v>
      </c>
      <c r="K23" t="s">
        <v>1218</v>
      </c>
      <c r="L23" s="13">
        <v>42864</v>
      </c>
      <c r="M23">
        <v>6</v>
      </c>
      <c r="N23" t="s">
        <v>90</v>
      </c>
      <c r="O23" t="s">
        <v>3811</v>
      </c>
      <c r="P23" t="s">
        <v>76</v>
      </c>
      <c r="Q23" t="s">
        <v>76</v>
      </c>
      <c r="R23" t="s">
        <v>76</v>
      </c>
      <c r="S23" t="s">
        <v>76</v>
      </c>
      <c r="T23" t="s">
        <v>76</v>
      </c>
      <c r="U23">
        <v>1</v>
      </c>
      <c r="V23" s="13">
        <v>45175</v>
      </c>
      <c r="W23">
        <v>1</v>
      </c>
      <c r="X23">
        <v>1</v>
      </c>
      <c r="Y23" t="s">
        <v>3648</v>
      </c>
      <c r="AC23">
        <v>2010</v>
      </c>
      <c r="AD23" t="e" vm="20">
        <v>#VALUE!</v>
      </c>
    </row>
    <row r="24" spans="2:30" x14ac:dyDescent="0.25">
      <c r="B24">
        <v>2011</v>
      </c>
      <c r="C24" t="s">
        <v>3646</v>
      </c>
      <c r="D24" t="s">
        <v>3647</v>
      </c>
      <c r="E24" t="s">
        <v>3807</v>
      </c>
      <c r="F24" t="s">
        <v>105</v>
      </c>
      <c r="G24" t="s">
        <v>108</v>
      </c>
      <c r="H24" t="s">
        <v>3808</v>
      </c>
      <c r="I24" t="s">
        <v>3809</v>
      </c>
      <c r="J24" t="s">
        <v>3810</v>
      </c>
      <c r="K24" t="s">
        <v>1218</v>
      </c>
      <c r="L24" s="13">
        <v>42772</v>
      </c>
      <c r="M24">
        <v>7</v>
      </c>
      <c r="N24" t="s">
        <v>90</v>
      </c>
      <c r="O24" t="s">
        <v>3811</v>
      </c>
      <c r="P24" t="s">
        <v>76</v>
      </c>
      <c r="Q24" t="s">
        <v>76</v>
      </c>
      <c r="R24" t="s">
        <v>76</v>
      </c>
      <c r="S24" t="s">
        <v>76</v>
      </c>
      <c r="T24" t="s">
        <v>76</v>
      </c>
      <c r="U24">
        <v>1</v>
      </c>
      <c r="V24" s="13">
        <v>45175</v>
      </c>
      <c r="W24">
        <v>1</v>
      </c>
      <c r="X24">
        <v>1</v>
      </c>
      <c r="Y24" t="s">
        <v>3648</v>
      </c>
      <c r="AC24">
        <v>2011</v>
      </c>
      <c r="AD24" t="e" vm="21">
        <v>#VALUE!</v>
      </c>
    </row>
    <row r="25" spans="2:30" x14ac:dyDescent="0.25">
      <c r="B25">
        <v>2012</v>
      </c>
      <c r="C25" t="s">
        <v>3646</v>
      </c>
      <c r="D25" t="s">
        <v>3647</v>
      </c>
      <c r="E25" t="s">
        <v>3807</v>
      </c>
      <c r="F25" t="s">
        <v>105</v>
      </c>
      <c r="G25" t="s">
        <v>108</v>
      </c>
      <c r="H25" t="s">
        <v>3808</v>
      </c>
      <c r="I25" t="s">
        <v>3809</v>
      </c>
      <c r="J25" t="s">
        <v>3810</v>
      </c>
      <c r="K25" t="s">
        <v>1218</v>
      </c>
      <c r="L25" s="13">
        <v>42772</v>
      </c>
      <c r="M25">
        <v>7</v>
      </c>
      <c r="N25" t="s">
        <v>90</v>
      </c>
      <c r="O25" t="s">
        <v>3811</v>
      </c>
      <c r="P25" t="s">
        <v>76</v>
      </c>
      <c r="Q25" t="s">
        <v>76</v>
      </c>
      <c r="R25" t="s">
        <v>76</v>
      </c>
      <c r="S25" t="s">
        <v>76</v>
      </c>
      <c r="T25" t="s">
        <v>76</v>
      </c>
      <c r="U25">
        <v>1</v>
      </c>
      <c r="V25" s="13">
        <v>45175</v>
      </c>
      <c r="W25">
        <v>1</v>
      </c>
      <c r="X25">
        <v>1</v>
      </c>
      <c r="Y25" t="s">
        <v>3648</v>
      </c>
      <c r="AC25">
        <v>2012</v>
      </c>
      <c r="AD25" t="e" vm="22">
        <v>#VALUE!</v>
      </c>
    </row>
    <row r="26" spans="2:30" x14ac:dyDescent="0.25">
      <c r="B26">
        <v>2013</v>
      </c>
      <c r="C26" t="s">
        <v>3646</v>
      </c>
      <c r="D26" t="s">
        <v>3649</v>
      </c>
      <c r="E26" t="s">
        <v>3812</v>
      </c>
      <c r="F26" t="s">
        <v>85</v>
      </c>
      <c r="G26" t="s">
        <v>112</v>
      </c>
      <c r="H26" t="s">
        <v>3808</v>
      </c>
      <c r="I26" t="s">
        <v>3809</v>
      </c>
      <c r="J26" t="s">
        <v>3810</v>
      </c>
      <c r="K26" t="s">
        <v>1218</v>
      </c>
      <c r="L26" s="13">
        <v>42772</v>
      </c>
      <c r="M26">
        <v>7</v>
      </c>
      <c r="N26" t="s">
        <v>90</v>
      </c>
      <c r="O26" t="s">
        <v>3811</v>
      </c>
      <c r="P26" t="s">
        <v>76</v>
      </c>
      <c r="Q26" t="s">
        <v>76</v>
      </c>
      <c r="R26" t="s">
        <v>76</v>
      </c>
      <c r="S26" t="s">
        <v>76</v>
      </c>
      <c r="T26" t="s">
        <v>76</v>
      </c>
      <c r="U26">
        <v>1</v>
      </c>
      <c r="V26" s="13">
        <v>45175</v>
      </c>
      <c r="W26">
        <v>1</v>
      </c>
      <c r="X26">
        <v>1</v>
      </c>
      <c r="Y26" t="s">
        <v>3650</v>
      </c>
      <c r="AC26">
        <v>2013</v>
      </c>
      <c r="AD26" t="e" vm="23">
        <v>#VALUE!</v>
      </c>
    </row>
    <row r="27" spans="2:30" x14ac:dyDescent="0.25">
      <c r="B27">
        <v>2014</v>
      </c>
      <c r="C27" t="s">
        <v>3646</v>
      </c>
      <c r="D27" t="s">
        <v>3649</v>
      </c>
      <c r="E27" t="s">
        <v>3812</v>
      </c>
      <c r="F27" t="s">
        <v>85</v>
      </c>
      <c r="G27" t="s">
        <v>112</v>
      </c>
      <c r="H27" t="s">
        <v>3808</v>
      </c>
      <c r="I27" t="s">
        <v>3809</v>
      </c>
      <c r="J27" t="s">
        <v>3810</v>
      </c>
      <c r="K27" t="s">
        <v>1218</v>
      </c>
      <c r="L27" s="13">
        <v>42783</v>
      </c>
      <c r="M27">
        <v>7</v>
      </c>
      <c r="N27" t="s">
        <v>90</v>
      </c>
      <c r="O27" t="s">
        <v>3811</v>
      </c>
      <c r="P27" t="s">
        <v>76</v>
      </c>
      <c r="Q27" t="s">
        <v>76</v>
      </c>
      <c r="R27" t="s">
        <v>76</v>
      </c>
      <c r="S27" t="s">
        <v>76</v>
      </c>
      <c r="T27" t="s">
        <v>76</v>
      </c>
      <c r="U27">
        <v>1</v>
      </c>
      <c r="V27" s="13">
        <v>45175</v>
      </c>
      <c r="W27">
        <v>1</v>
      </c>
      <c r="X27">
        <v>1</v>
      </c>
      <c r="Y27" t="s">
        <v>3650</v>
      </c>
      <c r="AC27">
        <v>2014</v>
      </c>
      <c r="AD27" t="e" vm="24">
        <v>#VALUE!</v>
      </c>
    </row>
    <row r="28" spans="2:30" x14ac:dyDescent="0.25">
      <c r="B28">
        <v>2015</v>
      </c>
      <c r="C28" t="s">
        <v>3646</v>
      </c>
      <c r="D28" t="s">
        <v>3649</v>
      </c>
      <c r="E28" t="s">
        <v>3812</v>
      </c>
      <c r="F28" t="s">
        <v>85</v>
      </c>
      <c r="G28" t="s">
        <v>112</v>
      </c>
      <c r="H28" t="s">
        <v>3808</v>
      </c>
      <c r="I28" t="s">
        <v>3809</v>
      </c>
      <c r="J28" t="s">
        <v>3810</v>
      </c>
      <c r="K28" t="s">
        <v>1218</v>
      </c>
      <c r="L28" s="13">
        <v>42772</v>
      </c>
      <c r="M28">
        <v>7</v>
      </c>
      <c r="N28" t="s">
        <v>90</v>
      </c>
      <c r="O28" t="s">
        <v>3811</v>
      </c>
      <c r="P28" t="s">
        <v>76</v>
      </c>
      <c r="Q28" t="s">
        <v>76</v>
      </c>
      <c r="R28" t="s">
        <v>76</v>
      </c>
      <c r="S28" t="s">
        <v>76</v>
      </c>
      <c r="T28" t="s">
        <v>76</v>
      </c>
      <c r="U28">
        <v>1</v>
      </c>
      <c r="V28" s="13">
        <v>45175</v>
      </c>
      <c r="W28">
        <v>1</v>
      </c>
      <c r="X28">
        <v>1</v>
      </c>
      <c r="Y28" t="s">
        <v>3650</v>
      </c>
      <c r="AC28">
        <v>2015</v>
      </c>
      <c r="AD28" t="e" vm="25">
        <v>#VALUE!</v>
      </c>
    </row>
    <row r="29" spans="2:30" x14ac:dyDescent="0.25">
      <c r="B29">
        <v>2016</v>
      </c>
      <c r="C29" t="s">
        <v>3646</v>
      </c>
      <c r="D29" t="s">
        <v>3649</v>
      </c>
      <c r="E29" t="s">
        <v>3812</v>
      </c>
      <c r="F29" t="s">
        <v>85</v>
      </c>
      <c r="G29" t="s">
        <v>112</v>
      </c>
      <c r="H29" t="s">
        <v>3808</v>
      </c>
      <c r="I29" t="s">
        <v>3809</v>
      </c>
      <c r="J29" t="s">
        <v>3810</v>
      </c>
      <c r="K29" t="s">
        <v>1218</v>
      </c>
      <c r="L29" s="13">
        <v>42831</v>
      </c>
      <c r="M29">
        <v>6</v>
      </c>
      <c r="N29" t="s">
        <v>90</v>
      </c>
      <c r="O29" t="s">
        <v>3811</v>
      </c>
      <c r="P29" t="s">
        <v>76</v>
      </c>
      <c r="Q29" t="s">
        <v>76</v>
      </c>
      <c r="R29" t="s">
        <v>76</v>
      </c>
      <c r="S29" t="s">
        <v>76</v>
      </c>
      <c r="T29" t="s">
        <v>76</v>
      </c>
      <c r="U29">
        <v>1</v>
      </c>
      <c r="V29" s="13">
        <v>45175</v>
      </c>
      <c r="W29">
        <v>1</v>
      </c>
      <c r="X29">
        <v>1</v>
      </c>
      <c r="Y29" t="s">
        <v>3650</v>
      </c>
      <c r="AC29">
        <v>2016</v>
      </c>
      <c r="AD29" t="e" vm="26">
        <v>#VALUE!</v>
      </c>
    </row>
    <row r="30" spans="2:30" x14ac:dyDescent="0.25">
      <c r="B30">
        <v>2017</v>
      </c>
      <c r="C30" t="s">
        <v>3646</v>
      </c>
      <c r="D30" t="s">
        <v>3649</v>
      </c>
      <c r="E30" t="s">
        <v>3812</v>
      </c>
      <c r="F30" t="s">
        <v>85</v>
      </c>
      <c r="G30" t="s">
        <v>112</v>
      </c>
      <c r="H30" t="s">
        <v>3808</v>
      </c>
      <c r="I30" t="s">
        <v>3809</v>
      </c>
      <c r="J30" t="s">
        <v>3810</v>
      </c>
      <c r="K30" t="s">
        <v>1218</v>
      </c>
      <c r="L30" s="13">
        <v>42831</v>
      </c>
      <c r="M30">
        <v>6</v>
      </c>
      <c r="N30" t="s">
        <v>90</v>
      </c>
      <c r="O30" t="s">
        <v>3811</v>
      </c>
      <c r="P30" t="s">
        <v>76</v>
      </c>
      <c r="Q30" t="s">
        <v>76</v>
      </c>
      <c r="R30" t="s">
        <v>76</v>
      </c>
      <c r="S30" t="s">
        <v>76</v>
      </c>
      <c r="T30" t="s">
        <v>76</v>
      </c>
      <c r="U30">
        <v>1</v>
      </c>
      <c r="V30" s="13">
        <v>45175</v>
      </c>
      <c r="W30">
        <v>1</v>
      </c>
      <c r="X30">
        <v>1</v>
      </c>
      <c r="Y30" t="s">
        <v>3650</v>
      </c>
      <c r="AC30">
        <v>2017</v>
      </c>
      <c r="AD30" t="e" vm="27">
        <v>#VALUE!</v>
      </c>
    </row>
    <row r="31" spans="2:30" x14ac:dyDescent="0.25">
      <c r="B31">
        <v>2018</v>
      </c>
      <c r="C31" t="s">
        <v>3646</v>
      </c>
      <c r="D31" t="s">
        <v>3649</v>
      </c>
      <c r="E31" t="s">
        <v>3812</v>
      </c>
      <c r="F31" t="s">
        <v>85</v>
      </c>
      <c r="G31" t="s">
        <v>112</v>
      </c>
      <c r="H31" t="s">
        <v>3808</v>
      </c>
      <c r="I31" t="s">
        <v>3809</v>
      </c>
      <c r="J31" t="s">
        <v>3810</v>
      </c>
      <c r="K31" t="s">
        <v>1218</v>
      </c>
      <c r="L31" s="13">
        <v>42831</v>
      </c>
      <c r="M31">
        <v>6</v>
      </c>
      <c r="N31" t="s">
        <v>90</v>
      </c>
      <c r="O31" t="s">
        <v>3811</v>
      </c>
      <c r="P31" t="s">
        <v>76</v>
      </c>
      <c r="Q31" t="s">
        <v>76</v>
      </c>
      <c r="R31" t="s">
        <v>76</v>
      </c>
      <c r="S31" t="s">
        <v>76</v>
      </c>
      <c r="T31" t="s">
        <v>76</v>
      </c>
      <c r="U31">
        <v>1</v>
      </c>
      <c r="V31" s="13">
        <v>45175</v>
      </c>
      <c r="W31">
        <v>1</v>
      </c>
      <c r="X31">
        <v>1</v>
      </c>
      <c r="Y31" t="s">
        <v>3650</v>
      </c>
      <c r="AC31">
        <v>2018</v>
      </c>
      <c r="AD31" t="e" vm="28">
        <v>#VALUE!</v>
      </c>
    </row>
    <row r="32" spans="2:30" x14ac:dyDescent="0.25">
      <c r="B32">
        <v>2019</v>
      </c>
      <c r="C32" t="s">
        <v>3646</v>
      </c>
      <c r="D32" t="s">
        <v>3649</v>
      </c>
      <c r="E32" t="s">
        <v>3812</v>
      </c>
      <c r="F32" t="s">
        <v>85</v>
      </c>
      <c r="G32" t="s">
        <v>112</v>
      </c>
      <c r="H32" t="s">
        <v>3808</v>
      </c>
      <c r="I32" t="s">
        <v>3809</v>
      </c>
      <c r="J32" t="s">
        <v>3810</v>
      </c>
      <c r="K32" t="s">
        <v>1218</v>
      </c>
      <c r="L32" s="13">
        <v>42831</v>
      </c>
      <c r="M32">
        <v>6</v>
      </c>
      <c r="N32" t="s">
        <v>90</v>
      </c>
      <c r="O32" t="s">
        <v>3811</v>
      </c>
      <c r="P32" t="s">
        <v>76</v>
      </c>
      <c r="Q32" t="s">
        <v>76</v>
      </c>
      <c r="R32" t="s">
        <v>76</v>
      </c>
      <c r="S32" t="s">
        <v>76</v>
      </c>
      <c r="T32" t="s">
        <v>76</v>
      </c>
      <c r="U32">
        <v>1</v>
      </c>
      <c r="V32" s="13">
        <v>45175</v>
      </c>
      <c r="W32">
        <v>1</v>
      </c>
      <c r="X32">
        <v>1</v>
      </c>
      <c r="Y32" t="s">
        <v>3650</v>
      </c>
      <c r="AC32">
        <v>2019</v>
      </c>
      <c r="AD32" t="e" vm="29">
        <v>#VALUE!</v>
      </c>
    </row>
    <row r="33" spans="2:30" x14ac:dyDescent="0.25">
      <c r="B33">
        <v>2020</v>
      </c>
      <c r="C33" t="s">
        <v>3646</v>
      </c>
      <c r="D33" t="s">
        <v>3649</v>
      </c>
      <c r="E33" t="s">
        <v>3812</v>
      </c>
      <c r="F33" t="s">
        <v>85</v>
      </c>
      <c r="G33" t="s">
        <v>112</v>
      </c>
      <c r="H33" t="s">
        <v>3808</v>
      </c>
      <c r="I33" t="s">
        <v>3809</v>
      </c>
      <c r="J33" t="s">
        <v>3810</v>
      </c>
      <c r="K33" t="s">
        <v>1218</v>
      </c>
      <c r="L33" s="13">
        <v>42831</v>
      </c>
      <c r="M33">
        <v>6</v>
      </c>
      <c r="N33" t="s">
        <v>90</v>
      </c>
      <c r="O33" t="s">
        <v>3811</v>
      </c>
      <c r="P33" t="s">
        <v>76</v>
      </c>
      <c r="Q33" t="s">
        <v>76</v>
      </c>
      <c r="R33" t="s">
        <v>76</v>
      </c>
      <c r="S33" t="s">
        <v>76</v>
      </c>
      <c r="T33" t="s">
        <v>76</v>
      </c>
      <c r="U33">
        <v>1</v>
      </c>
      <c r="V33" s="13">
        <v>45175</v>
      </c>
      <c r="W33">
        <v>1</v>
      </c>
      <c r="X33">
        <v>1</v>
      </c>
      <c r="Y33" t="s">
        <v>3650</v>
      </c>
      <c r="AC33">
        <v>2020</v>
      </c>
      <c r="AD33" t="e" vm="30">
        <v>#VALUE!</v>
      </c>
    </row>
    <row r="34" spans="2:30" x14ac:dyDescent="0.25">
      <c r="B34">
        <v>2021</v>
      </c>
      <c r="C34" t="s">
        <v>3646</v>
      </c>
      <c r="D34" t="s">
        <v>3651</v>
      </c>
      <c r="E34" t="s">
        <v>3812</v>
      </c>
      <c r="F34" t="s">
        <v>85</v>
      </c>
      <c r="G34" t="s">
        <v>117</v>
      </c>
      <c r="H34" t="s">
        <v>3808</v>
      </c>
      <c r="I34" t="s">
        <v>3809</v>
      </c>
      <c r="J34" t="s">
        <v>3810</v>
      </c>
      <c r="K34" t="s">
        <v>1218</v>
      </c>
      <c r="L34" s="13">
        <v>42831</v>
      </c>
      <c r="M34">
        <v>6</v>
      </c>
      <c r="N34" t="s">
        <v>90</v>
      </c>
      <c r="O34" t="s">
        <v>3811</v>
      </c>
      <c r="P34" t="s">
        <v>76</v>
      </c>
      <c r="Q34" t="s">
        <v>76</v>
      </c>
      <c r="R34" t="s">
        <v>76</v>
      </c>
      <c r="S34" t="s">
        <v>76</v>
      </c>
      <c r="T34" t="s">
        <v>76</v>
      </c>
      <c r="U34">
        <v>1</v>
      </c>
      <c r="V34" s="13">
        <v>45175</v>
      </c>
      <c r="W34">
        <v>1</v>
      </c>
      <c r="X34">
        <v>1</v>
      </c>
      <c r="Y34" t="s">
        <v>3652</v>
      </c>
      <c r="AC34">
        <v>2021</v>
      </c>
      <c r="AD34" t="e" vm="31">
        <v>#VALUE!</v>
      </c>
    </row>
    <row r="35" spans="2:30" x14ac:dyDescent="0.25">
      <c r="B35">
        <v>2022</v>
      </c>
      <c r="C35" t="s">
        <v>3646</v>
      </c>
      <c r="D35" t="s">
        <v>3649</v>
      </c>
      <c r="E35" t="s">
        <v>3812</v>
      </c>
      <c r="F35" t="s">
        <v>85</v>
      </c>
      <c r="G35" t="s">
        <v>112</v>
      </c>
      <c r="H35" t="s">
        <v>3808</v>
      </c>
      <c r="I35" t="s">
        <v>3809</v>
      </c>
      <c r="J35" t="s">
        <v>3810</v>
      </c>
      <c r="K35" t="s">
        <v>1218</v>
      </c>
      <c r="L35" s="13">
        <v>42831</v>
      </c>
      <c r="M35">
        <v>6</v>
      </c>
      <c r="N35" t="s">
        <v>90</v>
      </c>
      <c r="O35" t="s">
        <v>3811</v>
      </c>
      <c r="P35" t="s">
        <v>76</v>
      </c>
      <c r="Q35" t="s">
        <v>76</v>
      </c>
      <c r="R35" t="s">
        <v>76</v>
      </c>
      <c r="S35" t="s">
        <v>76</v>
      </c>
      <c r="T35" t="s">
        <v>76</v>
      </c>
      <c r="U35">
        <v>1</v>
      </c>
      <c r="V35" s="13">
        <v>45175</v>
      </c>
      <c r="W35">
        <v>1</v>
      </c>
      <c r="X35">
        <v>1</v>
      </c>
      <c r="Y35" t="s">
        <v>3650</v>
      </c>
      <c r="AC35">
        <v>2022</v>
      </c>
      <c r="AD35" t="e" vm="32">
        <v>#VALUE!</v>
      </c>
    </row>
    <row r="36" spans="2:30" x14ac:dyDescent="0.25">
      <c r="B36">
        <v>2023</v>
      </c>
      <c r="C36" t="s">
        <v>3646</v>
      </c>
      <c r="D36" t="s">
        <v>3649</v>
      </c>
      <c r="E36" t="s">
        <v>3812</v>
      </c>
      <c r="F36" t="s">
        <v>85</v>
      </c>
      <c r="G36" t="s">
        <v>112</v>
      </c>
      <c r="H36" t="s">
        <v>3808</v>
      </c>
      <c r="I36" t="s">
        <v>3809</v>
      </c>
      <c r="J36" t="s">
        <v>3810</v>
      </c>
      <c r="K36" t="s">
        <v>1218</v>
      </c>
      <c r="L36" s="13">
        <v>42831</v>
      </c>
      <c r="M36">
        <v>6</v>
      </c>
      <c r="N36" t="s">
        <v>90</v>
      </c>
      <c r="O36" t="s">
        <v>3811</v>
      </c>
      <c r="P36" t="s">
        <v>76</v>
      </c>
      <c r="Q36" t="s">
        <v>76</v>
      </c>
      <c r="R36" t="s">
        <v>76</v>
      </c>
      <c r="S36" t="s">
        <v>76</v>
      </c>
      <c r="T36" t="s">
        <v>76</v>
      </c>
      <c r="U36">
        <v>1</v>
      </c>
      <c r="V36" s="13">
        <v>45175</v>
      </c>
      <c r="W36">
        <v>1</v>
      </c>
      <c r="X36">
        <v>1</v>
      </c>
      <c r="Y36" t="s">
        <v>3650</v>
      </c>
      <c r="AC36">
        <v>2023</v>
      </c>
      <c r="AD36" t="e" vm="33">
        <v>#VALUE!</v>
      </c>
    </row>
    <row r="37" spans="2:30" x14ac:dyDescent="0.25">
      <c r="B37">
        <v>2024</v>
      </c>
      <c r="C37" t="s">
        <v>3646</v>
      </c>
      <c r="D37" t="s">
        <v>3649</v>
      </c>
      <c r="E37" t="s">
        <v>3812</v>
      </c>
      <c r="F37" t="s">
        <v>85</v>
      </c>
      <c r="G37" t="s">
        <v>112</v>
      </c>
      <c r="H37" t="s">
        <v>3808</v>
      </c>
      <c r="I37" t="s">
        <v>3809</v>
      </c>
      <c r="J37" t="s">
        <v>3810</v>
      </c>
      <c r="K37" t="s">
        <v>1218</v>
      </c>
      <c r="L37" s="13">
        <v>42844</v>
      </c>
      <c r="M37">
        <v>6</v>
      </c>
      <c r="N37" t="s">
        <v>90</v>
      </c>
      <c r="O37" t="s">
        <v>3811</v>
      </c>
      <c r="P37" t="s">
        <v>76</v>
      </c>
      <c r="Q37" t="s">
        <v>76</v>
      </c>
      <c r="R37" t="s">
        <v>76</v>
      </c>
      <c r="S37" t="s">
        <v>76</v>
      </c>
      <c r="T37" t="s">
        <v>76</v>
      </c>
      <c r="U37">
        <v>1</v>
      </c>
      <c r="V37" s="13">
        <v>45175</v>
      </c>
      <c r="W37">
        <v>1</v>
      </c>
      <c r="X37">
        <v>1</v>
      </c>
      <c r="Y37" t="s">
        <v>3650</v>
      </c>
      <c r="AC37">
        <v>2024</v>
      </c>
      <c r="AD37" t="e" vm="34">
        <v>#VALUE!</v>
      </c>
    </row>
    <row r="38" spans="2:30" x14ac:dyDescent="0.25">
      <c r="B38">
        <v>2025</v>
      </c>
      <c r="C38" t="s">
        <v>3646</v>
      </c>
      <c r="D38" t="s">
        <v>3653</v>
      </c>
      <c r="E38" t="s">
        <v>3812</v>
      </c>
      <c r="F38" t="s">
        <v>85</v>
      </c>
      <c r="G38" t="s">
        <v>114</v>
      </c>
      <c r="H38" t="s">
        <v>3808</v>
      </c>
      <c r="I38" t="s">
        <v>3809</v>
      </c>
      <c r="J38" t="s">
        <v>3810</v>
      </c>
      <c r="K38" t="s">
        <v>1218</v>
      </c>
      <c r="L38" s="13">
        <v>42986</v>
      </c>
      <c r="M38">
        <v>6</v>
      </c>
      <c r="N38" t="s">
        <v>90</v>
      </c>
      <c r="O38" t="s">
        <v>3811</v>
      </c>
      <c r="P38" t="s">
        <v>76</v>
      </c>
      <c r="Q38" t="s">
        <v>76</v>
      </c>
      <c r="R38" t="s">
        <v>76</v>
      </c>
      <c r="S38" t="s">
        <v>76</v>
      </c>
      <c r="T38" t="s">
        <v>76</v>
      </c>
      <c r="U38">
        <v>1</v>
      </c>
      <c r="V38" s="13">
        <v>45175</v>
      </c>
      <c r="W38">
        <v>1</v>
      </c>
      <c r="X38">
        <v>1</v>
      </c>
      <c r="Y38" t="s">
        <v>3654</v>
      </c>
      <c r="AC38">
        <v>2025</v>
      </c>
      <c r="AD38" t="e" vm="35">
        <v>#VALUE!</v>
      </c>
    </row>
    <row r="39" spans="2:30" x14ac:dyDescent="0.25">
      <c r="B39">
        <v>2026</v>
      </c>
      <c r="C39" t="s">
        <v>3646</v>
      </c>
      <c r="D39" t="s">
        <v>3653</v>
      </c>
      <c r="E39" t="s">
        <v>3812</v>
      </c>
      <c r="F39" t="s">
        <v>85</v>
      </c>
      <c r="G39" t="s">
        <v>114</v>
      </c>
      <c r="H39" t="s">
        <v>3808</v>
      </c>
      <c r="I39" t="s">
        <v>3809</v>
      </c>
      <c r="J39" t="s">
        <v>3810</v>
      </c>
      <c r="K39" t="s">
        <v>1218</v>
      </c>
      <c r="L39" s="13">
        <v>42986</v>
      </c>
      <c r="M39">
        <v>6</v>
      </c>
      <c r="N39" t="s">
        <v>90</v>
      </c>
      <c r="O39" t="s">
        <v>3811</v>
      </c>
      <c r="P39" t="s">
        <v>76</v>
      </c>
      <c r="Q39" t="s">
        <v>76</v>
      </c>
      <c r="R39" t="s">
        <v>76</v>
      </c>
      <c r="S39" t="s">
        <v>76</v>
      </c>
      <c r="T39" t="s">
        <v>76</v>
      </c>
      <c r="U39">
        <v>1</v>
      </c>
      <c r="V39" s="13">
        <v>45175</v>
      </c>
      <c r="W39">
        <v>1</v>
      </c>
      <c r="X39">
        <v>1</v>
      </c>
      <c r="Y39" t="s">
        <v>3654</v>
      </c>
      <c r="AC39">
        <v>2026</v>
      </c>
      <c r="AD39" t="e" vm="36">
        <v>#VALUE!</v>
      </c>
    </row>
    <row r="40" spans="2:30" x14ac:dyDescent="0.25">
      <c r="B40">
        <v>2027</v>
      </c>
      <c r="C40" t="s">
        <v>3646</v>
      </c>
      <c r="D40" t="s">
        <v>3649</v>
      </c>
      <c r="E40" t="s">
        <v>3812</v>
      </c>
      <c r="F40" t="s">
        <v>85</v>
      </c>
      <c r="G40" t="s">
        <v>112</v>
      </c>
      <c r="H40" t="s">
        <v>3808</v>
      </c>
      <c r="I40" t="s">
        <v>3809</v>
      </c>
      <c r="J40" t="s">
        <v>3810</v>
      </c>
      <c r="K40" t="s">
        <v>1218</v>
      </c>
      <c r="L40" s="13">
        <v>43047</v>
      </c>
      <c r="M40">
        <v>6</v>
      </c>
      <c r="N40" t="s">
        <v>90</v>
      </c>
      <c r="O40" t="s">
        <v>3811</v>
      </c>
      <c r="P40" t="s">
        <v>76</v>
      </c>
      <c r="Q40" t="s">
        <v>76</v>
      </c>
      <c r="R40" t="s">
        <v>76</v>
      </c>
      <c r="S40" t="s">
        <v>76</v>
      </c>
      <c r="T40" t="s">
        <v>76</v>
      </c>
      <c r="U40">
        <v>1</v>
      </c>
      <c r="V40" s="13">
        <v>45175</v>
      </c>
      <c r="W40">
        <v>1</v>
      </c>
      <c r="X40">
        <v>1</v>
      </c>
      <c r="Y40" t="s">
        <v>3650</v>
      </c>
      <c r="AC40">
        <v>2027</v>
      </c>
      <c r="AD40" t="e" vm="37">
        <v>#VALUE!</v>
      </c>
    </row>
    <row r="41" spans="2:30" x14ac:dyDescent="0.25">
      <c r="B41">
        <v>2028</v>
      </c>
      <c r="C41" t="s">
        <v>3646</v>
      </c>
      <c r="D41" t="s">
        <v>3649</v>
      </c>
      <c r="E41" t="s">
        <v>3812</v>
      </c>
      <c r="F41" t="s">
        <v>85</v>
      </c>
      <c r="G41" t="s">
        <v>112</v>
      </c>
      <c r="H41" t="s">
        <v>3808</v>
      </c>
      <c r="I41" t="s">
        <v>3809</v>
      </c>
      <c r="J41" t="s">
        <v>3810</v>
      </c>
      <c r="K41" t="s">
        <v>1218</v>
      </c>
      <c r="L41" s="13">
        <v>42895</v>
      </c>
      <c r="M41">
        <v>6</v>
      </c>
      <c r="N41" t="s">
        <v>90</v>
      </c>
      <c r="O41" t="s">
        <v>3811</v>
      </c>
      <c r="P41" t="s">
        <v>76</v>
      </c>
      <c r="Q41" t="s">
        <v>76</v>
      </c>
      <c r="R41" t="s">
        <v>76</v>
      </c>
      <c r="S41" t="s">
        <v>76</v>
      </c>
      <c r="T41" t="s">
        <v>76</v>
      </c>
      <c r="U41">
        <v>1</v>
      </c>
      <c r="V41" s="13">
        <v>45175</v>
      </c>
      <c r="W41">
        <v>1</v>
      </c>
      <c r="X41">
        <v>1</v>
      </c>
      <c r="Y41" t="s">
        <v>3650</v>
      </c>
      <c r="AC41">
        <v>2028</v>
      </c>
      <c r="AD41" t="e" vm="38">
        <v>#VALUE!</v>
      </c>
    </row>
    <row r="42" spans="2:30" x14ac:dyDescent="0.25">
      <c r="B42">
        <v>2029</v>
      </c>
      <c r="C42" t="s">
        <v>3646</v>
      </c>
      <c r="D42" t="s">
        <v>3655</v>
      </c>
      <c r="E42" t="s">
        <v>3812</v>
      </c>
      <c r="F42" t="s">
        <v>85</v>
      </c>
      <c r="G42" t="s">
        <v>102</v>
      </c>
      <c r="H42" t="s">
        <v>3808</v>
      </c>
      <c r="I42" t="s">
        <v>3809</v>
      </c>
      <c r="J42" t="s">
        <v>3810</v>
      </c>
      <c r="K42" t="s">
        <v>1218</v>
      </c>
      <c r="L42" s="13">
        <v>42893</v>
      </c>
      <c r="M42">
        <v>6</v>
      </c>
      <c r="N42" t="s">
        <v>90</v>
      </c>
      <c r="O42" t="s">
        <v>3811</v>
      </c>
      <c r="P42" t="s">
        <v>76</v>
      </c>
      <c r="Q42" t="s">
        <v>76</v>
      </c>
      <c r="R42" t="s">
        <v>76</v>
      </c>
      <c r="S42" t="s">
        <v>76</v>
      </c>
      <c r="T42" t="s">
        <v>76</v>
      </c>
      <c r="U42">
        <v>1</v>
      </c>
      <c r="V42" s="13">
        <v>45175</v>
      </c>
      <c r="W42">
        <v>1</v>
      </c>
      <c r="X42">
        <v>1</v>
      </c>
      <c r="Y42" t="s">
        <v>3656</v>
      </c>
      <c r="AC42">
        <v>2029</v>
      </c>
      <c r="AD42" t="e" vm="39">
        <v>#VALUE!</v>
      </c>
    </row>
    <row r="43" spans="2:30" x14ac:dyDescent="0.25">
      <c r="B43">
        <v>2030</v>
      </c>
      <c r="C43" t="s">
        <v>3646</v>
      </c>
      <c r="D43" t="s">
        <v>3655</v>
      </c>
      <c r="E43" t="s">
        <v>3812</v>
      </c>
      <c r="F43" t="s">
        <v>85</v>
      </c>
      <c r="G43" t="s">
        <v>102</v>
      </c>
      <c r="H43" t="s">
        <v>3808</v>
      </c>
      <c r="I43" t="s">
        <v>3809</v>
      </c>
      <c r="J43" t="s">
        <v>3810</v>
      </c>
      <c r="K43" t="s">
        <v>1218</v>
      </c>
      <c r="L43" s="13">
        <v>42893</v>
      </c>
      <c r="M43">
        <v>6</v>
      </c>
      <c r="N43" t="s">
        <v>90</v>
      </c>
      <c r="O43" t="s">
        <v>3811</v>
      </c>
      <c r="P43" t="s">
        <v>76</v>
      </c>
      <c r="Q43" t="s">
        <v>76</v>
      </c>
      <c r="R43" t="s">
        <v>76</v>
      </c>
      <c r="S43" t="s">
        <v>76</v>
      </c>
      <c r="T43" t="s">
        <v>76</v>
      </c>
      <c r="U43">
        <v>1</v>
      </c>
      <c r="V43" s="13">
        <v>45175</v>
      </c>
      <c r="W43">
        <v>1</v>
      </c>
      <c r="X43">
        <v>1</v>
      </c>
      <c r="Y43" t="s">
        <v>3656</v>
      </c>
      <c r="AC43">
        <v>2030</v>
      </c>
      <c r="AD43" t="e" vm="40">
        <v>#VALUE!</v>
      </c>
    </row>
    <row r="44" spans="2:30" x14ac:dyDescent="0.25">
      <c r="B44">
        <v>2031</v>
      </c>
      <c r="C44" t="s">
        <v>3646</v>
      </c>
      <c r="D44" t="s">
        <v>3655</v>
      </c>
      <c r="E44" t="s">
        <v>3812</v>
      </c>
      <c r="F44" t="s">
        <v>85</v>
      </c>
      <c r="G44" t="s">
        <v>102</v>
      </c>
      <c r="H44" t="s">
        <v>3808</v>
      </c>
      <c r="I44" t="s">
        <v>3809</v>
      </c>
      <c r="J44" t="s">
        <v>3810</v>
      </c>
      <c r="K44" t="s">
        <v>1218</v>
      </c>
      <c r="L44" s="13">
        <v>42895</v>
      </c>
      <c r="M44">
        <v>6</v>
      </c>
      <c r="N44" t="s">
        <v>90</v>
      </c>
      <c r="O44" t="s">
        <v>3811</v>
      </c>
      <c r="P44" t="s">
        <v>76</v>
      </c>
      <c r="Q44" t="s">
        <v>76</v>
      </c>
      <c r="R44" t="s">
        <v>76</v>
      </c>
      <c r="S44" t="s">
        <v>76</v>
      </c>
      <c r="T44" t="s">
        <v>76</v>
      </c>
      <c r="U44">
        <v>1</v>
      </c>
      <c r="V44" s="13">
        <v>45175</v>
      </c>
      <c r="W44">
        <v>1</v>
      </c>
      <c r="X44">
        <v>1</v>
      </c>
      <c r="Y44" t="s">
        <v>3656</v>
      </c>
      <c r="AC44">
        <v>2031</v>
      </c>
      <c r="AD44" t="e" vm="41">
        <v>#VALUE!</v>
      </c>
    </row>
    <row r="45" spans="2:30" x14ac:dyDescent="0.25">
      <c r="B45">
        <v>2032</v>
      </c>
      <c r="C45" t="s">
        <v>3646</v>
      </c>
      <c r="D45" t="s">
        <v>3655</v>
      </c>
      <c r="E45" t="s">
        <v>3812</v>
      </c>
      <c r="F45" t="s">
        <v>85</v>
      </c>
      <c r="G45" t="s">
        <v>102</v>
      </c>
      <c r="H45" t="s">
        <v>3808</v>
      </c>
      <c r="I45" t="s">
        <v>3809</v>
      </c>
      <c r="J45" t="s">
        <v>3810</v>
      </c>
      <c r="K45" t="s">
        <v>1218</v>
      </c>
      <c r="L45" s="13">
        <v>42899</v>
      </c>
      <c r="M45">
        <v>6</v>
      </c>
      <c r="N45" t="s">
        <v>90</v>
      </c>
      <c r="O45" t="s">
        <v>3811</v>
      </c>
      <c r="P45" t="s">
        <v>76</v>
      </c>
      <c r="Q45" t="s">
        <v>76</v>
      </c>
      <c r="R45" t="s">
        <v>76</v>
      </c>
      <c r="S45" t="s">
        <v>76</v>
      </c>
      <c r="T45" t="s">
        <v>76</v>
      </c>
      <c r="U45">
        <v>1</v>
      </c>
      <c r="V45" s="13">
        <v>45175</v>
      </c>
      <c r="W45">
        <v>1</v>
      </c>
      <c r="X45">
        <v>1</v>
      </c>
      <c r="Y45" t="s">
        <v>3656</v>
      </c>
      <c r="AC45">
        <v>2032</v>
      </c>
      <c r="AD45" t="e" vm="42">
        <v>#VALUE!</v>
      </c>
    </row>
    <row r="46" spans="2:30" x14ac:dyDescent="0.25">
      <c r="B46">
        <v>2033</v>
      </c>
      <c r="C46" t="s">
        <v>3646</v>
      </c>
      <c r="D46" t="s">
        <v>3655</v>
      </c>
      <c r="E46" t="s">
        <v>3812</v>
      </c>
      <c r="F46" t="s">
        <v>85</v>
      </c>
      <c r="G46" t="s">
        <v>102</v>
      </c>
      <c r="H46" t="s">
        <v>3808</v>
      </c>
      <c r="I46" t="s">
        <v>3809</v>
      </c>
      <c r="J46" t="s">
        <v>3810</v>
      </c>
      <c r="K46" t="s">
        <v>1218</v>
      </c>
      <c r="L46" s="13">
        <v>42899</v>
      </c>
      <c r="M46">
        <v>6</v>
      </c>
      <c r="N46" t="s">
        <v>90</v>
      </c>
      <c r="O46" t="s">
        <v>3811</v>
      </c>
      <c r="P46" t="s">
        <v>76</v>
      </c>
      <c r="Q46" t="s">
        <v>76</v>
      </c>
      <c r="R46" t="s">
        <v>76</v>
      </c>
      <c r="S46" t="s">
        <v>76</v>
      </c>
      <c r="T46" t="s">
        <v>76</v>
      </c>
      <c r="U46">
        <v>1</v>
      </c>
      <c r="V46" s="13">
        <v>45175</v>
      </c>
      <c r="W46">
        <v>1</v>
      </c>
      <c r="X46">
        <v>1</v>
      </c>
      <c r="Y46" t="s">
        <v>3656</v>
      </c>
      <c r="AC46">
        <v>2033</v>
      </c>
      <c r="AD46" t="e" vm="43">
        <v>#VALUE!</v>
      </c>
    </row>
    <row r="47" spans="2:30" x14ac:dyDescent="0.25">
      <c r="B47">
        <v>2034</v>
      </c>
      <c r="C47" t="s">
        <v>3646</v>
      </c>
      <c r="D47" t="s">
        <v>3655</v>
      </c>
      <c r="E47" t="s">
        <v>3812</v>
      </c>
      <c r="F47" t="s">
        <v>85</v>
      </c>
      <c r="G47" t="s">
        <v>102</v>
      </c>
      <c r="H47" t="s">
        <v>3808</v>
      </c>
      <c r="I47" t="s">
        <v>3809</v>
      </c>
      <c r="J47" t="s">
        <v>3810</v>
      </c>
      <c r="K47" t="s">
        <v>1218</v>
      </c>
      <c r="L47" s="13">
        <v>42905</v>
      </c>
      <c r="M47">
        <v>6</v>
      </c>
      <c r="N47" t="s">
        <v>90</v>
      </c>
      <c r="O47" t="s">
        <v>3811</v>
      </c>
      <c r="P47" t="s">
        <v>76</v>
      </c>
      <c r="Q47" t="s">
        <v>76</v>
      </c>
      <c r="R47" t="s">
        <v>76</v>
      </c>
      <c r="S47" t="s">
        <v>76</v>
      </c>
      <c r="T47" t="s">
        <v>76</v>
      </c>
      <c r="U47">
        <v>1</v>
      </c>
      <c r="V47" s="13">
        <v>45175</v>
      </c>
      <c r="W47">
        <v>1</v>
      </c>
      <c r="X47">
        <v>1</v>
      </c>
      <c r="Y47" t="s">
        <v>3656</v>
      </c>
      <c r="AC47">
        <v>2034</v>
      </c>
      <c r="AD47" t="e" vm="44">
        <v>#VALUE!</v>
      </c>
    </row>
    <row r="48" spans="2:30" x14ac:dyDescent="0.25">
      <c r="B48">
        <v>2035</v>
      </c>
      <c r="C48" t="s">
        <v>3646</v>
      </c>
      <c r="D48" t="s">
        <v>3655</v>
      </c>
      <c r="E48" t="s">
        <v>3812</v>
      </c>
      <c r="F48" t="s">
        <v>85</v>
      </c>
      <c r="G48" t="s">
        <v>102</v>
      </c>
      <c r="H48" t="s">
        <v>3808</v>
      </c>
      <c r="I48" t="s">
        <v>3809</v>
      </c>
      <c r="J48" t="s">
        <v>3810</v>
      </c>
      <c r="K48" t="s">
        <v>1218</v>
      </c>
      <c r="L48" s="13">
        <v>42905</v>
      </c>
      <c r="M48">
        <v>6</v>
      </c>
      <c r="N48" t="s">
        <v>90</v>
      </c>
      <c r="O48" t="s">
        <v>3811</v>
      </c>
      <c r="P48" t="s">
        <v>76</v>
      </c>
      <c r="Q48" t="s">
        <v>76</v>
      </c>
      <c r="R48" t="s">
        <v>76</v>
      </c>
      <c r="S48" t="s">
        <v>76</v>
      </c>
      <c r="T48" t="s">
        <v>76</v>
      </c>
      <c r="U48">
        <v>1</v>
      </c>
      <c r="V48" s="13">
        <v>45175</v>
      </c>
      <c r="W48">
        <v>1</v>
      </c>
      <c r="X48">
        <v>1</v>
      </c>
      <c r="Y48" t="s">
        <v>3656</v>
      </c>
      <c r="AC48">
        <v>2035</v>
      </c>
      <c r="AD48" t="e" vm="45">
        <v>#VALUE!</v>
      </c>
    </row>
    <row r="49" spans="2:30" x14ac:dyDescent="0.25">
      <c r="B49">
        <v>2036</v>
      </c>
      <c r="C49" t="s">
        <v>3646</v>
      </c>
      <c r="D49" t="s">
        <v>3655</v>
      </c>
      <c r="E49" t="s">
        <v>3812</v>
      </c>
      <c r="F49" t="s">
        <v>85</v>
      </c>
      <c r="G49" t="s">
        <v>102</v>
      </c>
      <c r="H49" t="s">
        <v>3808</v>
      </c>
      <c r="I49" t="s">
        <v>3809</v>
      </c>
      <c r="J49" t="s">
        <v>3810</v>
      </c>
      <c r="K49" t="s">
        <v>1218</v>
      </c>
      <c r="L49" s="13">
        <v>42908</v>
      </c>
      <c r="M49">
        <v>6</v>
      </c>
      <c r="N49" t="s">
        <v>90</v>
      </c>
      <c r="O49" t="s">
        <v>3811</v>
      </c>
      <c r="P49" t="s">
        <v>76</v>
      </c>
      <c r="Q49" t="s">
        <v>76</v>
      </c>
      <c r="R49" t="s">
        <v>76</v>
      </c>
      <c r="S49" t="s">
        <v>76</v>
      </c>
      <c r="T49" t="s">
        <v>76</v>
      </c>
      <c r="U49">
        <v>1</v>
      </c>
      <c r="V49" s="13">
        <v>45175</v>
      </c>
      <c r="W49">
        <v>1</v>
      </c>
      <c r="X49">
        <v>1</v>
      </c>
      <c r="Y49" t="s">
        <v>3656</v>
      </c>
      <c r="AC49">
        <v>2036</v>
      </c>
      <c r="AD49" t="e" vm="46">
        <v>#VALUE!</v>
      </c>
    </row>
    <row r="50" spans="2:30" x14ac:dyDescent="0.25">
      <c r="B50">
        <v>2037</v>
      </c>
      <c r="C50" t="s">
        <v>3646</v>
      </c>
      <c r="D50" t="s">
        <v>3655</v>
      </c>
      <c r="E50" t="s">
        <v>3812</v>
      </c>
      <c r="F50" t="s">
        <v>85</v>
      </c>
      <c r="G50" t="s">
        <v>102</v>
      </c>
      <c r="H50" t="s">
        <v>3808</v>
      </c>
      <c r="I50" t="s">
        <v>3809</v>
      </c>
      <c r="J50" t="s">
        <v>3810</v>
      </c>
      <c r="K50" t="s">
        <v>1218</v>
      </c>
      <c r="L50" s="13">
        <v>42930</v>
      </c>
      <c r="M50">
        <v>6</v>
      </c>
      <c r="N50" t="s">
        <v>90</v>
      </c>
      <c r="O50" t="s">
        <v>3811</v>
      </c>
      <c r="P50" t="s">
        <v>76</v>
      </c>
      <c r="Q50" t="s">
        <v>76</v>
      </c>
      <c r="R50" t="s">
        <v>76</v>
      </c>
      <c r="S50" t="s">
        <v>76</v>
      </c>
      <c r="T50" t="s">
        <v>76</v>
      </c>
      <c r="U50">
        <v>1</v>
      </c>
      <c r="V50" s="13">
        <v>45175</v>
      </c>
      <c r="W50">
        <v>1</v>
      </c>
      <c r="X50">
        <v>1</v>
      </c>
      <c r="Y50" t="s">
        <v>3656</v>
      </c>
      <c r="AC50">
        <v>2037</v>
      </c>
      <c r="AD50" t="e" vm="47">
        <v>#VALUE!</v>
      </c>
    </row>
    <row r="51" spans="2:30" x14ac:dyDescent="0.25">
      <c r="B51">
        <v>2038</v>
      </c>
      <c r="C51" t="s">
        <v>3646</v>
      </c>
      <c r="D51" t="s">
        <v>3655</v>
      </c>
      <c r="E51" t="s">
        <v>3812</v>
      </c>
      <c r="F51" t="s">
        <v>85</v>
      </c>
      <c r="G51" t="s">
        <v>102</v>
      </c>
      <c r="H51" t="s">
        <v>3808</v>
      </c>
      <c r="I51" t="s">
        <v>3809</v>
      </c>
      <c r="J51" t="s">
        <v>3810</v>
      </c>
      <c r="K51" t="s">
        <v>1218</v>
      </c>
      <c r="L51" s="13">
        <v>42929</v>
      </c>
      <c r="M51">
        <v>6</v>
      </c>
      <c r="N51" t="s">
        <v>90</v>
      </c>
      <c r="O51" t="s">
        <v>3811</v>
      </c>
      <c r="P51" t="s">
        <v>76</v>
      </c>
      <c r="Q51" t="s">
        <v>76</v>
      </c>
      <c r="R51" t="s">
        <v>76</v>
      </c>
      <c r="S51" t="s">
        <v>76</v>
      </c>
      <c r="T51" t="s">
        <v>76</v>
      </c>
      <c r="U51">
        <v>1</v>
      </c>
      <c r="V51" s="13">
        <v>45175</v>
      </c>
      <c r="W51">
        <v>1</v>
      </c>
      <c r="X51">
        <v>1</v>
      </c>
      <c r="Y51" t="s">
        <v>3656</v>
      </c>
      <c r="AC51">
        <v>2038</v>
      </c>
      <c r="AD51" t="e" vm="48">
        <v>#VALUE!</v>
      </c>
    </row>
    <row r="52" spans="2:30" x14ac:dyDescent="0.25">
      <c r="B52">
        <v>2039</v>
      </c>
      <c r="C52" t="s">
        <v>3646</v>
      </c>
      <c r="D52" t="s">
        <v>3655</v>
      </c>
      <c r="E52" t="s">
        <v>3812</v>
      </c>
      <c r="F52" t="s">
        <v>85</v>
      </c>
      <c r="G52" t="s">
        <v>102</v>
      </c>
      <c r="H52" t="s">
        <v>3808</v>
      </c>
      <c r="I52" t="s">
        <v>3809</v>
      </c>
      <c r="J52" t="s">
        <v>3810</v>
      </c>
      <c r="K52" t="s">
        <v>1218</v>
      </c>
      <c r="L52" s="13">
        <v>42929</v>
      </c>
      <c r="M52">
        <v>6</v>
      </c>
      <c r="N52" t="s">
        <v>90</v>
      </c>
      <c r="O52" t="s">
        <v>3811</v>
      </c>
      <c r="P52" t="s">
        <v>76</v>
      </c>
      <c r="Q52" t="s">
        <v>76</v>
      </c>
      <c r="R52" t="s">
        <v>76</v>
      </c>
      <c r="S52" t="s">
        <v>76</v>
      </c>
      <c r="T52" t="s">
        <v>76</v>
      </c>
      <c r="U52">
        <v>1</v>
      </c>
      <c r="V52" s="13">
        <v>45175</v>
      </c>
      <c r="W52">
        <v>1</v>
      </c>
      <c r="X52">
        <v>1</v>
      </c>
      <c r="Y52" t="s">
        <v>3656</v>
      </c>
      <c r="AC52">
        <v>2039</v>
      </c>
      <c r="AD52" t="e" vm="49">
        <v>#VALUE!</v>
      </c>
    </row>
    <row r="53" spans="2:30" x14ac:dyDescent="0.25">
      <c r="B53">
        <v>2040</v>
      </c>
      <c r="C53" t="s">
        <v>3646</v>
      </c>
      <c r="D53" t="s">
        <v>3655</v>
      </c>
      <c r="E53" t="s">
        <v>3812</v>
      </c>
      <c r="F53" t="s">
        <v>85</v>
      </c>
      <c r="G53" t="s">
        <v>102</v>
      </c>
      <c r="H53" t="s">
        <v>3808</v>
      </c>
      <c r="I53" t="s">
        <v>3809</v>
      </c>
      <c r="J53" t="s">
        <v>3810</v>
      </c>
      <c r="K53" t="s">
        <v>1218</v>
      </c>
      <c r="L53" s="13">
        <v>42930</v>
      </c>
      <c r="M53">
        <v>6</v>
      </c>
      <c r="N53" t="s">
        <v>90</v>
      </c>
      <c r="O53" t="s">
        <v>3811</v>
      </c>
      <c r="P53" t="s">
        <v>76</v>
      </c>
      <c r="Q53" t="s">
        <v>76</v>
      </c>
      <c r="R53" t="s">
        <v>76</v>
      </c>
      <c r="S53" t="s">
        <v>76</v>
      </c>
      <c r="T53" t="s">
        <v>76</v>
      </c>
      <c r="U53">
        <v>1</v>
      </c>
      <c r="V53" s="13">
        <v>45175</v>
      </c>
      <c r="W53">
        <v>1</v>
      </c>
      <c r="X53">
        <v>1</v>
      </c>
      <c r="Y53" t="s">
        <v>3656</v>
      </c>
      <c r="AC53">
        <v>2040</v>
      </c>
      <c r="AD53" t="e" vm="50">
        <v>#VALUE!</v>
      </c>
    </row>
    <row r="54" spans="2:30" x14ac:dyDescent="0.25">
      <c r="B54">
        <v>2041</v>
      </c>
      <c r="C54" t="s">
        <v>3646</v>
      </c>
      <c r="D54" t="s">
        <v>3657</v>
      </c>
      <c r="E54" t="s">
        <v>3812</v>
      </c>
      <c r="F54" t="s">
        <v>85</v>
      </c>
      <c r="G54" t="s">
        <v>77</v>
      </c>
      <c r="H54" t="s">
        <v>3808</v>
      </c>
      <c r="I54" t="s">
        <v>3809</v>
      </c>
      <c r="J54" t="s">
        <v>3810</v>
      </c>
      <c r="K54" t="s">
        <v>1218</v>
      </c>
      <c r="L54" s="13">
        <v>42986</v>
      </c>
      <c r="M54">
        <v>6</v>
      </c>
      <c r="N54" t="s">
        <v>90</v>
      </c>
      <c r="O54" t="s">
        <v>3811</v>
      </c>
      <c r="P54" t="s">
        <v>76</v>
      </c>
      <c r="Q54" t="s">
        <v>76</v>
      </c>
      <c r="R54" t="s">
        <v>76</v>
      </c>
      <c r="S54" t="s">
        <v>76</v>
      </c>
      <c r="T54" t="s">
        <v>76</v>
      </c>
      <c r="U54">
        <v>1</v>
      </c>
      <c r="V54" s="13">
        <v>45175</v>
      </c>
      <c r="W54">
        <v>1</v>
      </c>
      <c r="X54">
        <v>1</v>
      </c>
      <c r="Y54" t="s">
        <v>3658</v>
      </c>
      <c r="AC54">
        <v>2041</v>
      </c>
      <c r="AD54" t="e" vm="51">
        <v>#VALUE!</v>
      </c>
    </row>
    <row r="55" spans="2:30" x14ac:dyDescent="0.25">
      <c r="B55">
        <v>2042</v>
      </c>
      <c r="C55" t="s">
        <v>3646</v>
      </c>
      <c r="D55" t="s">
        <v>3657</v>
      </c>
      <c r="E55" t="s">
        <v>3812</v>
      </c>
      <c r="F55" t="s">
        <v>85</v>
      </c>
      <c r="G55" t="s">
        <v>77</v>
      </c>
      <c r="H55" t="s">
        <v>3808</v>
      </c>
      <c r="I55" t="s">
        <v>3809</v>
      </c>
      <c r="J55" t="s">
        <v>3810</v>
      </c>
      <c r="K55" t="s">
        <v>1218</v>
      </c>
      <c r="L55" s="13">
        <v>42986</v>
      </c>
      <c r="M55">
        <v>6</v>
      </c>
      <c r="N55" t="s">
        <v>90</v>
      </c>
      <c r="O55" t="s">
        <v>3811</v>
      </c>
      <c r="P55" t="s">
        <v>76</v>
      </c>
      <c r="Q55" t="s">
        <v>76</v>
      </c>
      <c r="R55" t="s">
        <v>76</v>
      </c>
      <c r="S55" t="s">
        <v>76</v>
      </c>
      <c r="T55" t="s">
        <v>76</v>
      </c>
      <c r="U55">
        <v>1</v>
      </c>
      <c r="V55" s="13">
        <v>45175</v>
      </c>
      <c r="W55">
        <v>1</v>
      </c>
      <c r="X55">
        <v>1</v>
      </c>
      <c r="Y55" t="s">
        <v>3658</v>
      </c>
      <c r="AC55">
        <v>2042</v>
      </c>
      <c r="AD55" t="e" vm="52">
        <v>#VALUE!</v>
      </c>
    </row>
    <row r="56" spans="2:30" x14ac:dyDescent="0.25">
      <c r="B56">
        <v>2043</v>
      </c>
      <c r="C56" t="s">
        <v>3646</v>
      </c>
      <c r="D56" t="s">
        <v>3657</v>
      </c>
      <c r="E56" t="s">
        <v>3812</v>
      </c>
      <c r="F56" t="s">
        <v>85</v>
      </c>
      <c r="G56" t="s">
        <v>77</v>
      </c>
      <c r="H56" t="s">
        <v>3808</v>
      </c>
      <c r="I56" t="s">
        <v>3809</v>
      </c>
      <c r="J56" t="s">
        <v>3810</v>
      </c>
      <c r="K56" t="s">
        <v>1218</v>
      </c>
      <c r="L56" s="13">
        <v>42990</v>
      </c>
      <c r="M56">
        <v>6</v>
      </c>
      <c r="N56" t="s">
        <v>90</v>
      </c>
      <c r="O56" t="s">
        <v>3811</v>
      </c>
      <c r="P56" t="s">
        <v>76</v>
      </c>
      <c r="Q56" t="s">
        <v>76</v>
      </c>
      <c r="R56" t="s">
        <v>76</v>
      </c>
      <c r="S56" t="s">
        <v>76</v>
      </c>
      <c r="T56" t="s">
        <v>76</v>
      </c>
      <c r="U56">
        <v>1</v>
      </c>
      <c r="V56" s="13">
        <v>45175</v>
      </c>
      <c r="W56">
        <v>1</v>
      </c>
      <c r="X56">
        <v>1</v>
      </c>
      <c r="Y56" t="s">
        <v>3658</v>
      </c>
      <c r="AC56">
        <v>2043</v>
      </c>
      <c r="AD56" t="e" vm="53">
        <v>#VALUE!</v>
      </c>
    </row>
    <row r="57" spans="2:30" x14ac:dyDescent="0.25">
      <c r="B57">
        <v>2044</v>
      </c>
      <c r="C57" t="s">
        <v>3659</v>
      </c>
      <c r="D57" t="s">
        <v>3660</v>
      </c>
      <c r="E57" t="s">
        <v>3813</v>
      </c>
      <c r="F57" t="s">
        <v>83</v>
      </c>
      <c r="G57" t="s">
        <v>103</v>
      </c>
      <c r="H57" t="s">
        <v>3808</v>
      </c>
      <c r="I57" t="s">
        <v>3809</v>
      </c>
      <c r="J57" t="s">
        <v>3810</v>
      </c>
      <c r="K57" t="s">
        <v>1218</v>
      </c>
      <c r="L57" s="13">
        <v>42983</v>
      </c>
      <c r="M57">
        <v>6</v>
      </c>
      <c r="N57" t="s">
        <v>88</v>
      </c>
      <c r="O57" t="s">
        <v>3811</v>
      </c>
      <c r="P57" t="s">
        <v>76</v>
      </c>
      <c r="Q57" t="s">
        <v>76</v>
      </c>
      <c r="R57" t="s">
        <v>76</v>
      </c>
      <c r="S57" t="s">
        <v>76</v>
      </c>
      <c r="T57" t="s">
        <v>76</v>
      </c>
      <c r="U57">
        <v>1</v>
      </c>
      <c r="V57" s="13">
        <v>45175</v>
      </c>
      <c r="W57">
        <v>1</v>
      </c>
      <c r="X57">
        <v>1</v>
      </c>
      <c r="Y57" t="s">
        <v>3661</v>
      </c>
      <c r="AC57">
        <v>2044</v>
      </c>
      <c r="AD57" t="e" vm="54">
        <v>#VALUE!</v>
      </c>
    </row>
    <row r="58" spans="2:30" x14ac:dyDescent="0.25">
      <c r="B58">
        <v>2045</v>
      </c>
      <c r="C58" t="s">
        <v>3659</v>
      </c>
      <c r="D58" t="s">
        <v>3660</v>
      </c>
      <c r="E58" t="s">
        <v>3813</v>
      </c>
      <c r="F58" t="s">
        <v>83</v>
      </c>
      <c r="G58" t="s">
        <v>103</v>
      </c>
      <c r="H58" t="s">
        <v>3808</v>
      </c>
      <c r="I58" t="s">
        <v>3809</v>
      </c>
      <c r="J58" t="s">
        <v>3810</v>
      </c>
      <c r="K58" t="s">
        <v>1218</v>
      </c>
      <c r="L58" s="13">
        <v>42986</v>
      </c>
      <c r="M58">
        <v>6</v>
      </c>
      <c r="N58" t="s">
        <v>88</v>
      </c>
      <c r="O58" t="s">
        <v>3811</v>
      </c>
      <c r="P58" t="s">
        <v>76</v>
      </c>
      <c r="Q58" t="s">
        <v>76</v>
      </c>
      <c r="R58" t="s">
        <v>76</v>
      </c>
      <c r="S58" t="s">
        <v>76</v>
      </c>
      <c r="T58" t="s">
        <v>76</v>
      </c>
      <c r="U58">
        <v>1</v>
      </c>
      <c r="V58" s="13">
        <v>45175</v>
      </c>
      <c r="W58">
        <v>1</v>
      </c>
      <c r="X58">
        <v>1</v>
      </c>
      <c r="Y58" t="s">
        <v>3661</v>
      </c>
      <c r="AC58">
        <v>2045</v>
      </c>
      <c r="AD58" t="e" vm="55">
        <v>#VALUE!</v>
      </c>
    </row>
    <row r="59" spans="2:30" x14ac:dyDescent="0.25">
      <c r="B59">
        <v>2046</v>
      </c>
      <c r="C59" t="s">
        <v>3659</v>
      </c>
      <c r="D59" t="s">
        <v>3660</v>
      </c>
      <c r="E59" t="s">
        <v>3813</v>
      </c>
      <c r="F59" t="s">
        <v>83</v>
      </c>
      <c r="G59" t="s">
        <v>103</v>
      </c>
      <c r="H59" t="s">
        <v>3808</v>
      </c>
      <c r="I59" t="s">
        <v>3809</v>
      </c>
      <c r="J59" t="s">
        <v>3810</v>
      </c>
      <c r="K59" t="s">
        <v>1218</v>
      </c>
      <c r="L59" s="13">
        <v>42983</v>
      </c>
      <c r="M59">
        <v>6</v>
      </c>
      <c r="N59" t="s">
        <v>88</v>
      </c>
      <c r="O59" t="s">
        <v>3811</v>
      </c>
      <c r="P59" t="s">
        <v>76</v>
      </c>
      <c r="Q59" t="s">
        <v>76</v>
      </c>
      <c r="R59" t="s">
        <v>76</v>
      </c>
      <c r="S59" t="s">
        <v>76</v>
      </c>
      <c r="T59" t="s">
        <v>76</v>
      </c>
      <c r="U59">
        <v>1</v>
      </c>
      <c r="V59" s="13">
        <v>45175</v>
      </c>
      <c r="W59">
        <v>1</v>
      </c>
      <c r="X59">
        <v>1</v>
      </c>
      <c r="Y59" t="s">
        <v>3661</v>
      </c>
      <c r="AC59">
        <v>2046</v>
      </c>
      <c r="AD59" t="e" vm="56">
        <v>#VALUE!</v>
      </c>
    </row>
    <row r="60" spans="2:30" x14ac:dyDescent="0.25">
      <c r="B60">
        <v>2047</v>
      </c>
      <c r="C60" t="s">
        <v>3659</v>
      </c>
      <c r="D60" t="s">
        <v>3660</v>
      </c>
      <c r="E60" t="s">
        <v>3813</v>
      </c>
      <c r="F60" t="s">
        <v>83</v>
      </c>
      <c r="G60" t="s">
        <v>103</v>
      </c>
      <c r="H60" t="s">
        <v>3808</v>
      </c>
      <c r="I60" t="s">
        <v>3809</v>
      </c>
      <c r="J60" t="s">
        <v>3810</v>
      </c>
      <c r="K60" t="s">
        <v>1218</v>
      </c>
      <c r="L60" s="13">
        <v>42986</v>
      </c>
      <c r="M60">
        <v>6</v>
      </c>
      <c r="N60" t="s">
        <v>88</v>
      </c>
      <c r="O60" t="s">
        <v>3811</v>
      </c>
      <c r="P60" t="s">
        <v>76</v>
      </c>
      <c r="Q60" t="s">
        <v>76</v>
      </c>
      <c r="R60" t="s">
        <v>76</v>
      </c>
      <c r="S60" t="s">
        <v>76</v>
      </c>
      <c r="T60" t="s">
        <v>76</v>
      </c>
      <c r="U60">
        <v>1</v>
      </c>
      <c r="V60" s="13">
        <v>45175</v>
      </c>
      <c r="W60">
        <v>1</v>
      </c>
      <c r="X60">
        <v>1</v>
      </c>
      <c r="Y60" t="s">
        <v>3661</v>
      </c>
      <c r="AC60">
        <v>2047</v>
      </c>
      <c r="AD60" t="e" vm="57">
        <v>#VALUE!</v>
      </c>
    </row>
    <row r="61" spans="2:30" x14ac:dyDescent="0.25">
      <c r="B61">
        <v>2048</v>
      </c>
      <c r="C61" t="s">
        <v>3659</v>
      </c>
      <c r="D61" t="s">
        <v>3660</v>
      </c>
      <c r="E61" t="s">
        <v>3813</v>
      </c>
      <c r="F61" t="s">
        <v>83</v>
      </c>
      <c r="G61" t="s">
        <v>103</v>
      </c>
      <c r="H61" t="s">
        <v>3808</v>
      </c>
      <c r="I61" t="s">
        <v>3809</v>
      </c>
      <c r="J61" t="s">
        <v>3810</v>
      </c>
      <c r="K61" t="s">
        <v>1218</v>
      </c>
      <c r="L61" s="13">
        <v>42986</v>
      </c>
      <c r="M61">
        <v>6</v>
      </c>
      <c r="N61" t="s">
        <v>88</v>
      </c>
      <c r="O61" t="s">
        <v>3811</v>
      </c>
      <c r="P61" t="s">
        <v>76</v>
      </c>
      <c r="Q61" t="s">
        <v>76</v>
      </c>
      <c r="R61" t="s">
        <v>76</v>
      </c>
      <c r="S61" t="s">
        <v>76</v>
      </c>
      <c r="T61" t="s">
        <v>76</v>
      </c>
      <c r="U61">
        <v>1</v>
      </c>
      <c r="V61" s="13">
        <v>45175</v>
      </c>
      <c r="W61">
        <v>1</v>
      </c>
      <c r="X61">
        <v>1</v>
      </c>
      <c r="Y61" t="s">
        <v>3661</v>
      </c>
      <c r="AC61">
        <v>2048</v>
      </c>
      <c r="AD61" t="e" vm="58">
        <v>#VALUE!</v>
      </c>
    </row>
    <row r="62" spans="2:30" x14ac:dyDescent="0.25">
      <c r="B62">
        <v>2049</v>
      </c>
      <c r="C62" t="s">
        <v>3659</v>
      </c>
      <c r="D62" t="s">
        <v>3660</v>
      </c>
      <c r="E62" t="s">
        <v>3813</v>
      </c>
      <c r="F62" t="s">
        <v>83</v>
      </c>
      <c r="G62" t="s">
        <v>103</v>
      </c>
      <c r="H62" t="s">
        <v>3808</v>
      </c>
      <c r="I62" t="s">
        <v>3809</v>
      </c>
      <c r="J62" t="s">
        <v>3810</v>
      </c>
      <c r="K62" t="s">
        <v>1218</v>
      </c>
      <c r="L62" s="13">
        <v>42983</v>
      </c>
      <c r="M62">
        <v>6</v>
      </c>
      <c r="N62" t="s">
        <v>88</v>
      </c>
      <c r="O62" t="s">
        <v>3811</v>
      </c>
      <c r="P62" t="s">
        <v>76</v>
      </c>
      <c r="Q62" t="s">
        <v>76</v>
      </c>
      <c r="R62" t="s">
        <v>76</v>
      </c>
      <c r="S62" t="s">
        <v>76</v>
      </c>
      <c r="T62" t="s">
        <v>76</v>
      </c>
      <c r="U62">
        <v>1</v>
      </c>
      <c r="V62" s="13">
        <v>45175</v>
      </c>
      <c r="W62">
        <v>1</v>
      </c>
      <c r="X62">
        <v>1</v>
      </c>
      <c r="Y62" t="s">
        <v>3661</v>
      </c>
      <c r="AC62">
        <v>2049</v>
      </c>
      <c r="AD62" t="e" vm="59">
        <v>#VALUE!</v>
      </c>
    </row>
    <row r="63" spans="2:30" x14ac:dyDescent="0.25">
      <c r="B63">
        <v>2050</v>
      </c>
      <c r="C63" t="s">
        <v>3659</v>
      </c>
      <c r="D63" t="s">
        <v>3660</v>
      </c>
      <c r="E63" t="s">
        <v>3813</v>
      </c>
      <c r="F63" t="s">
        <v>83</v>
      </c>
      <c r="G63" t="s">
        <v>103</v>
      </c>
      <c r="H63" t="s">
        <v>3808</v>
      </c>
      <c r="I63" t="s">
        <v>3809</v>
      </c>
      <c r="J63" t="s">
        <v>3810</v>
      </c>
      <c r="K63" t="s">
        <v>1218</v>
      </c>
      <c r="L63" s="13">
        <v>42986</v>
      </c>
      <c r="M63">
        <v>6</v>
      </c>
      <c r="N63" t="s">
        <v>88</v>
      </c>
      <c r="O63" t="s">
        <v>3811</v>
      </c>
      <c r="P63" t="s">
        <v>76</v>
      </c>
      <c r="Q63" t="s">
        <v>76</v>
      </c>
      <c r="R63" t="s">
        <v>76</v>
      </c>
      <c r="S63" t="s">
        <v>76</v>
      </c>
      <c r="T63" t="s">
        <v>76</v>
      </c>
      <c r="U63">
        <v>1</v>
      </c>
      <c r="V63" s="13">
        <v>45175</v>
      </c>
      <c r="W63">
        <v>1</v>
      </c>
      <c r="X63">
        <v>1</v>
      </c>
      <c r="Y63" t="s">
        <v>3661</v>
      </c>
      <c r="AC63">
        <v>2050</v>
      </c>
      <c r="AD63" t="e" vm="60">
        <v>#VALUE!</v>
      </c>
    </row>
    <row r="64" spans="2:30" x14ac:dyDescent="0.25">
      <c r="B64">
        <v>2051</v>
      </c>
      <c r="C64" t="s">
        <v>3659</v>
      </c>
      <c r="D64" t="s">
        <v>3660</v>
      </c>
      <c r="E64" t="s">
        <v>3813</v>
      </c>
      <c r="F64" t="s">
        <v>83</v>
      </c>
      <c r="G64" t="s">
        <v>103</v>
      </c>
      <c r="H64" t="s">
        <v>3808</v>
      </c>
      <c r="I64" t="s">
        <v>3809</v>
      </c>
      <c r="J64" t="s">
        <v>3810</v>
      </c>
      <c r="K64" t="s">
        <v>1218</v>
      </c>
      <c r="L64" s="13">
        <v>42986</v>
      </c>
      <c r="M64">
        <v>6</v>
      </c>
      <c r="N64" t="s">
        <v>88</v>
      </c>
      <c r="O64" t="s">
        <v>3811</v>
      </c>
      <c r="P64" t="s">
        <v>76</v>
      </c>
      <c r="Q64" t="s">
        <v>76</v>
      </c>
      <c r="R64" t="s">
        <v>76</v>
      </c>
      <c r="S64" t="s">
        <v>76</v>
      </c>
      <c r="T64" t="s">
        <v>76</v>
      </c>
      <c r="U64">
        <v>1</v>
      </c>
      <c r="V64" s="13">
        <v>45175</v>
      </c>
      <c r="W64">
        <v>1</v>
      </c>
      <c r="X64">
        <v>1</v>
      </c>
      <c r="Y64" t="s">
        <v>3661</v>
      </c>
      <c r="AC64">
        <v>2051</v>
      </c>
      <c r="AD64" t="e" vm="61">
        <v>#VALUE!</v>
      </c>
    </row>
    <row r="65" spans="2:30" x14ac:dyDescent="0.25">
      <c r="B65">
        <v>2052</v>
      </c>
      <c r="C65" t="s">
        <v>3659</v>
      </c>
      <c r="D65" t="s">
        <v>3660</v>
      </c>
      <c r="E65" t="s">
        <v>3813</v>
      </c>
      <c r="F65" t="s">
        <v>83</v>
      </c>
      <c r="G65" t="s">
        <v>103</v>
      </c>
      <c r="H65" t="s">
        <v>3808</v>
      </c>
      <c r="I65" t="s">
        <v>3809</v>
      </c>
      <c r="J65" t="s">
        <v>3810</v>
      </c>
      <c r="K65" t="s">
        <v>1218</v>
      </c>
      <c r="L65" s="13">
        <v>42905</v>
      </c>
      <c r="M65">
        <v>6</v>
      </c>
      <c r="N65" t="s">
        <v>88</v>
      </c>
      <c r="O65" t="s">
        <v>3811</v>
      </c>
      <c r="P65" t="s">
        <v>76</v>
      </c>
      <c r="Q65" t="s">
        <v>76</v>
      </c>
      <c r="R65" t="s">
        <v>76</v>
      </c>
      <c r="S65" t="s">
        <v>76</v>
      </c>
      <c r="T65" t="s">
        <v>76</v>
      </c>
      <c r="U65">
        <v>1</v>
      </c>
      <c r="V65" s="13">
        <v>45175</v>
      </c>
      <c r="W65">
        <v>1</v>
      </c>
      <c r="X65">
        <v>1</v>
      </c>
      <c r="Y65" t="s">
        <v>3661</v>
      </c>
      <c r="AC65">
        <v>2052</v>
      </c>
      <c r="AD65" t="e" vm="62">
        <v>#VALUE!</v>
      </c>
    </row>
    <row r="66" spans="2:30" x14ac:dyDescent="0.25">
      <c r="B66">
        <v>2053</v>
      </c>
      <c r="C66" t="s">
        <v>3659</v>
      </c>
      <c r="D66" t="s">
        <v>3660</v>
      </c>
      <c r="E66" t="s">
        <v>3813</v>
      </c>
      <c r="F66" t="s">
        <v>83</v>
      </c>
      <c r="G66" t="s">
        <v>103</v>
      </c>
      <c r="H66" t="s">
        <v>3808</v>
      </c>
      <c r="I66" t="s">
        <v>3809</v>
      </c>
      <c r="J66" t="s">
        <v>3810</v>
      </c>
      <c r="K66" t="s">
        <v>1218</v>
      </c>
      <c r="L66" s="13">
        <v>42905</v>
      </c>
      <c r="M66">
        <v>6</v>
      </c>
      <c r="N66" t="s">
        <v>88</v>
      </c>
      <c r="O66" t="s">
        <v>3811</v>
      </c>
      <c r="P66" t="s">
        <v>76</v>
      </c>
      <c r="Q66" t="s">
        <v>76</v>
      </c>
      <c r="R66" t="s">
        <v>76</v>
      </c>
      <c r="S66" t="s">
        <v>76</v>
      </c>
      <c r="T66" t="s">
        <v>76</v>
      </c>
      <c r="U66">
        <v>1</v>
      </c>
      <c r="V66" s="13">
        <v>45175</v>
      </c>
      <c r="W66">
        <v>1</v>
      </c>
      <c r="X66">
        <v>1</v>
      </c>
      <c r="Y66" t="s">
        <v>3661</v>
      </c>
      <c r="AC66">
        <v>2053</v>
      </c>
      <c r="AD66" t="e" vm="6">
        <v>#VALUE!</v>
      </c>
    </row>
    <row r="67" spans="2:30" x14ac:dyDescent="0.25">
      <c r="B67">
        <v>2054</v>
      </c>
      <c r="C67" t="s">
        <v>3659</v>
      </c>
      <c r="D67" t="s">
        <v>3660</v>
      </c>
      <c r="E67" t="s">
        <v>3813</v>
      </c>
      <c r="F67" t="s">
        <v>83</v>
      </c>
      <c r="G67" t="s">
        <v>103</v>
      </c>
      <c r="H67" t="s">
        <v>3808</v>
      </c>
      <c r="I67" t="s">
        <v>3809</v>
      </c>
      <c r="J67" t="s">
        <v>3810</v>
      </c>
      <c r="K67" t="s">
        <v>1218</v>
      </c>
      <c r="L67" s="13">
        <v>42913</v>
      </c>
      <c r="M67">
        <v>6</v>
      </c>
      <c r="N67" t="s">
        <v>88</v>
      </c>
      <c r="O67" t="s">
        <v>3811</v>
      </c>
      <c r="P67" t="s">
        <v>76</v>
      </c>
      <c r="Q67" t="s">
        <v>76</v>
      </c>
      <c r="R67" t="s">
        <v>76</v>
      </c>
      <c r="S67" t="s">
        <v>76</v>
      </c>
      <c r="T67" t="s">
        <v>76</v>
      </c>
      <c r="U67">
        <v>1</v>
      </c>
      <c r="V67" s="13">
        <v>45175</v>
      </c>
      <c r="W67">
        <v>1</v>
      </c>
      <c r="X67">
        <v>1</v>
      </c>
      <c r="Y67" t="s">
        <v>3661</v>
      </c>
      <c r="AC67">
        <v>2054</v>
      </c>
      <c r="AD67" t="e" vm="63">
        <v>#VALUE!</v>
      </c>
    </row>
    <row r="68" spans="2:30" x14ac:dyDescent="0.25">
      <c r="B68">
        <v>2055</v>
      </c>
      <c r="C68" t="s">
        <v>3659</v>
      </c>
      <c r="D68" t="s">
        <v>3660</v>
      </c>
      <c r="E68" t="s">
        <v>3813</v>
      </c>
      <c r="F68" t="s">
        <v>83</v>
      </c>
      <c r="G68" t="s">
        <v>103</v>
      </c>
      <c r="H68" t="s">
        <v>3808</v>
      </c>
      <c r="I68" t="s">
        <v>3809</v>
      </c>
      <c r="J68" t="s">
        <v>3810</v>
      </c>
      <c r="K68" t="s">
        <v>1218</v>
      </c>
      <c r="L68" s="13">
        <v>42928</v>
      </c>
      <c r="M68">
        <v>6</v>
      </c>
      <c r="N68" t="s">
        <v>88</v>
      </c>
      <c r="O68" t="s">
        <v>3811</v>
      </c>
      <c r="P68" t="s">
        <v>76</v>
      </c>
      <c r="Q68" t="s">
        <v>76</v>
      </c>
      <c r="R68" t="s">
        <v>76</v>
      </c>
      <c r="S68" t="s">
        <v>76</v>
      </c>
      <c r="T68" t="s">
        <v>76</v>
      </c>
      <c r="U68">
        <v>1</v>
      </c>
      <c r="V68" s="13">
        <v>45175</v>
      </c>
      <c r="W68">
        <v>1</v>
      </c>
      <c r="X68">
        <v>1</v>
      </c>
      <c r="Y68" t="s">
        <v>3661</v>
      </c>
      <c r="AC68">
        <v>2055</v>
      </c>
      <c r="AD68" t="e" vm="64">
        <v>#VALUE!</v>
      </c>
    </row>
    <row r="69" spans="2:30" x14ac:dyDescent="0.25">
      <c r="B69">
        <v>2056</v>
      </c>
      <c r="C69" t="s">
        <v>3659</v>
      </c>
      <c r="D69" t="s">
        <v>3660</v>
      </c>
      <c r="E69" t="s">
        <v>3813</v>
      </c>
      <c r="F69" t="s">
        <v>83</v>
      </c>
      <c r="G69" t="s">
        <v>103</v>
      </c>
      <c r="H69" t="s">
        <v>3808</v>
      </c>
      <c r="I69" t="s">
        <v>3809</v>
      </c>
      <c r="J69" t="s">
        <v>3810</v>
      </c>
      <c r="K69" t="s">
        <v>1218</v>
      </c>
      <c r="L69" s="13">
        <v>42913</v>
      </c>
      <c r="M69">
        <v>6</v>
      </c>
      <c r="N69" t="s">
        <v>88</v>
      </c>
      <c r="O69" t="s">
        <v>3811</v>
      </c>
      <c r="P69" t="s">
        <v>76</v>
      </c>
      <c r="Q69" t="s">
        <v>76</v>
      </c>
      <c r="R69" t="s">
        <v>76</v>
      </c>
      <c r="S69" t="s">
        <v>76</v>
      </c>
      <c r="T69" t="s">
        <v>76</v>
      </c>
      <c r="U69">
        <v>1</v>
      </c>
      <c r="V69" s="13">
        <v>45175</v>
      </c>
      <c r="W69">
        <v>1</v>
      </c>
      <c r="X69">
        <v>1</v>
      </c>
      <c r="Y69" t="s">
        <v>3661</v>
      </c>
      <c r="AC69">
        <v>2056</v>
      </c>
      <c r="AD69" t="e" vm="65">
        <v>#VALUE!</v>
      </c>
    </row>
    <row r="70" spans="2:30" x14ac:dyDescent="0.25">
      <c r="B70">
        <v>2057</v>
      </c>
      <c r="C70" t="s">
        <v>3659</v>
      </c>
      <c r="D70" t="s">
        <v>3660</v>
      </c>
      <c r="E70" t="s">
        <v>3813</v>
      </c>
      <c r="F70" t="s">
        <v>83</v>
      </c>
      <c r="G70" t="s">
        <v>103</v>
      </c>
      <c r="H70" t="s">
        <v>3808</v>
      </c>
      <c r="I70" t="s">
        <v>3809</v>
      </c>
      <c r="J70" t="s">
        <v>3810</v>
      </c>
      <c r="K70" t="s">
        <v>1218</v>
      </c>
      <c r="L70" s="13">
        <v>42928</v>
      </c>
      <c r="M70">
        <v>6</v>
      </c>
      <c r="N70" t="s">
        <v>88</v>
      </c>
      <c r="O70" t="s">
        <v>3811</v>
      </c>
      <c r="P70" t="s">
        <v>76</v>
      </c>
      <c r="Q70" t="s">
        <v>76</v>
      </c>
      <c r="R70" t="s">
        <v>76</v>
      </c>
      <c r="S70" t="s">
        <v>76</v>
      </c>
      <c r="T70" t="s">
        <v>76</v>
      </c>
      <c r="U70">
        <v>1</v>
      </c>
      <c r="V70" s="13">
        <v>45175</v>
      </c>
      <c r="W70">
        <v>1</v>
      </c>
      <c r="X70">
        <v>1</v>
      </c>
      <c r="Y70" t="s">
        <v>3661</v>
      </c>
      <c r="AC70">
        <v>2057</v>
      </c>
      <c r="AD70" t="e" vm="66">
        <v>#VALUE!</v>
      </c>
    </row>
    <row r="71" spans="2:30" x14ac:dyDescent="0.25">
      <c r="B71">
        <v>2058</v>
      </c>
      <c r="C71" t="s">
        <v>3659</v>
      </c>
      <c r="D71" t="s">
        <v>3660</v>
      </c>
      <c r="E71" t="s">
        <v>3813</v>
      </c>
      <c r="F71" t="s">
        <v>83</v>
      </c>
      <c r="G71" t="s">
        <v>103</v>
      </c>
      <c r="H71" t="s">
        <v>3808</v>
      </c>
      <c r="I71" t="s">
        <v>3809</v>
      </c>
      <c r="J71" t="s">
        <v>3810</v>
      </c>
      <c r="K71" t="s">
        <v>1218</v>
      </c>
      <c r="L71" s="13">
        <v>42905</v>
      </c>
      <c r="M71">
        <v>6</v>
      </c>
      <c r="N71" t="s">
        <v>88</v>
      </c>
      <c r="O71" t="s">
        <v>3811</v>
      </c>
      <c r="P71" t="s">
        <v>76</v>
      </c>
      <c r="Q71" t="s">
        <v>76</v>
      </c>
      <c r="R71" t="s">
        <v>76</v>
      </c>
      <c r="S71" t="s">
        <v>76</v>
      </c>
      <c r="T71" t="s">
        <v>76</v>
      </c>
      <c r="U71">
        <v>1</v>
      </c>
      <c r="V71" s="13">
        <v>45175</v>
      </c>
      <c r="W71">
        <v>1</v>
      </c>
      <c r="X71">
        <v>1</v>
      </c>
      <c r="Y71" t="s">
        <v>3661</v>
      </c>
      <c r="AC71">
        <v>2058</v>
      </c>
      <c r="AD71" t="e" vm="67">
        <v>#VALUE!</v>
      </c>
    </row>
    <row r="72" spans="2:30" x14ac:dyDescent="0.25">
      <c r="B72">
        <v>2059</v>
      </c>
      <c r="C72" t="s">
        <v>3659</v>
      </c>
      <c r="D72" t="s">
        <v>3660</v>
      </c>
      <c r="E72" t="s">
        <v>3813</v>
      </c>
      <c r="F72" t="s">
        <v>83</v>
      </c>
      <c r="G72" t="s">
        <v>103</v>
      </c>
      <c r="H72" t="s">
        <v>3808</v>
      </c>
      <c r="I72" t="s">
        <v>3809</v>
      </c>
      <c r="J72" t="s">
        <v>3810</v>
      </c>
      <c r="K72" t="s">
        <v>1218</v>
      </c>
      <c r="L72" s="13">
        <v>42905</v>
      </c>
      <c r="M72">
        <v>6</v>
      </c>
      <c r="N72" t="s">
        <v>88</v>
      </c>
      <c r="O72" t="s">
        <v>3811</v>
      </c>
      <c r="P72" t="s">
        <v>76</v>
      </c>
      <c r="Q72" t="s">
        <v>76</v>
      </c>
      <c r="R72" t="s">
        <v>76</v>
      </c>
      <c r="S72" t="s">
        <v>76</v>
      </c>
      <c r="T72" t="s">
        <v>76</v>
      </c>
      <c r="U72">
        <v>1</v>
      </c>
      <c r="V72" s="13">
        <v>45175</v>
      </c>
      <c r="W72">
        <v>1</v>
      </c>
      <c r="X72">
        <v>1</v>
      </c>
      <c r="Y72" t="s">
        <v>3661</v>
      </c>
      <c r="AC72">
        <v>2059</v>
      </c>
      <c r="AD72" t="e" vm="68">
        <v>#VALUE!</v>
      </c>
    </row>
    <row r="73" spans="2:30" x14ac:dyDescent="0.25">
      <c r="B73">
        <v>2060</v>
      </c>
      <c r="C73" t="s">
        <v>3659</v>
      </c>
      <c r="D73" t="s">
        <v>3660</v>
      </c>
      <c r="E73" t="s">
        <v>3813</v>
      </c>
      <c r="F73" t="s">
        <v>83</v>
      </c>
      <c r="G73" t="s">
        <v>103</v>
      </c>
      <c r="H73" t="s">
        <v>3808</v>
      </c>
      <c r="I73" t="s">
        <v>3809</v>
      </c>
      <c r="J73" t="s">
        <v>3810</v>
      </c>
      <c r="K73" t="s">
        <v>1218</v>
      </c>
      <c r="L73" s="13">
        <v>42906</v>
      </c>
      <c r="M73">
        <v>6</v>
      </c>
      <c r="N73" t="s">
        <v>88</v>
      </c>
      <c r="O73" t="s">
        <v>3811</v>
      </c>
      <c r="P73" t="s">
        <v>76</v>
      </c>
      <c r="Q73" t="s">
        <v>76</v>
      </c>
      <c r="R73" t="s">
        <v>76</v>
      </c>
      <c r="S73" t="s">
        <v>76</v>
      </c>
      <c r="T73" t="s">
        <v>76</v>
      </c>
      <c r="U73">
        <v>1</v>
      </c>
      <c r="V73" s="13">
        <v>45175</v>
      </c>
      <c r="W73">
        <v>1</v>
      </c>
      <c r="X73">
        <v>1</v>
      </c>
      <c r="Y73" t="s">
        <v>3661</v>
      </c>
      <c r="AC73">
        <v>2060</v>
      </c>
      <c r="AD73" t="e" vm="69">
        <v>#VALUE!</v>
      </c>
    </row>
    <row r="74" spans="2:30" x14ac:dyDescent="0.25">
      <c r="B74">
        <v>2061</v>
      </c>
      <c r="C74" t="s">
        <v>3659</v>
      </c>
      <c r="D74" t="s">
        <v>3660</v>
      </c>
      <c r="E74" t="s">
        <v>3813</v>
      </c>
      <c r="F74" t="s">
        <v>83</v>
      </c>
      <c r="G74" t="s">
        <v>103</v>
      </c>
      <c r="H74" t="s">
        <v>3808</v>
      </c>
      <c r="I74" t="s">
        <v>3809</v>
      </c>
      <c r="J74" t="s">
        <v>3810</v>
      </c>
      <c r="K74" t="s">
        <v>1218</v>
      </c>
      <c r="L74" s="13">
        <v>42913</v>
      </c>
      <c r="M74">
        <v>6</v>
      </c>
      <c r="N74" t="s">
        <v>88</v>
      </c>
      <c r="O74" t="s">
        <v>3811</v>
      </c>
      <c r="P74" t="s">
        <v>76</v>
      </c>
      <c r="Q74" t="s">
        <v>76</v>
      </c>
      <c r="R74" t="s">
        <v>76</v>
      </c>
      <c r="S74" t="s">
        <v>76</v>
      </c>
      <c r="T74" t="s">
        <v>76</v>
      </c>
      <c r="U74">
        <v>1</v>
      </c>
      <c r="V74" s="13">
        <v>45175</v>
      </c>
      <c r="W74">
        <v>1</v>
      </c>
      <c r="X74">
        <v>1</v>
      </c>
      <c r="Y74" t="s">
        <v>3661</v>
      </c>
      <c r="AC74">
        <v>2061</v>
      </c>
      <c r="AD74" t="e" vm="70">
        <v>#VALUE!</v>
      </c>
    </row>
    <row r="75" spans="2:30" x14ac:dyDescent="0.25">
      <c r="B75">
        <v>2062</v>
      </c>
      <c r="C75" t="s">
        <v>3659</v>
      </c>
      <c r="D75" t="s">
        <v>3660</v>
      </c>
      <c r="E75" t="s">
        <v>3813</v>
      </c>
      <c r="F75" t="s">
        <v>83</v>
      </c>
      <c r="G75" t="s">
        <v>103</v>
      </c>
      <c r="H75" t="s">
        <v>3808</v>
      </c>
      <c r="I75" t="s">
        <v>3809</v>
      </c>
      <c r="J75" t="s">
        <v>3810</v>
      </c>
      <c r="K75" t="s">
        <v>1218</v>
      </c>
      <c r="L75" s="13">
        <v>42913</v>
      </c>
      <c r="M75">
        <v>6</v>
      </c>
      <c r="N75" t="s">
        <v>88</v>
      </c>
      <c r="O75" t="s">
        <v>3811</v>
      </c>
      <c r="P75" t="s">
        <v>76</v>
      </c>
      <c r="Q75" t="s">
        <v>76</v>
      </c>
      <c r="R75" t="s">
        <v>76</v>
      </c>
      <c r="S75" t="s">
        <v>76</v>
      </c>
      <c r="T75" t="s">
        <v>76</v>
      </c>
      <c r="U75">
        <v>1</v>
      </c>
      <c r="V75" s="13">
        <v>45175</v>
      </c>
      <c r="W75">
        <v>1</v>
      </c>
      <c r="X75">
        <v>1</v>
      </c>
      <c r="Y75" t="s">
        <v>3661</v>
      </c>
      <c r="AC75">
        <v>2062</v>
      </c>
      <c r="AD75" t="e" vm="71">
        <v>#VALUE!</v>
      </c>
    </row>
    <row r="76" spans="2:30" x14ac:dyDescent="0.25">
      <c r="B76">
        <v>2063</v>
      </c>
      <c r="C76" t="s">
        <v>3659</v>
      </c>
      <c r="D76" t="s">
        <v>3660</v>
      </c>
      <c r="E76" t="s">
        <v>3813</v>
      </c>
      <c r="F76" t="s">
        <v>83</v>
      </c>
      <c r="G76" t="s">
        <v>103</v>
      </c>
      <c r="H76" t="s">
        <v>3808</v>
      </c>
      <c r="I76" t="s">
        <v>3809</v>
      </c>
      <c r="J76" t="s">
        <v>3810</v>
      </c>
      <c r="K76" t="s">
        <v>1218</v>
      </c>
      <c r="L76" s="13">
        <v>42928</v>
      </c>
      <c r="M76">
        <v>6</v>
      </c>
      <c r="N76" t="s">
        <v>88</v>
      </c>
      <c r="O76" t="s">
        <v>3811</v>
      </c>
      <c r="P76" t="s">
        <v>76</v>
      </c>
      <c r="Q76" t="s">
        <v>76</v>
      </c>
      <c r="R76" t="s">
        <v>76</v>
      </c>
      <c r="S76" t="s">
        <v>76</v>
      </c>
      <c r="T76" t="s">
        <v>76</v>
      </c>
      <c r="U76">
        <v>1</v>
      </c>
      <c r="V76" s="13">
        <v>45175</v>
      </c>
      <c r="W76">
        <v>1</v>
      </c>
      <c r="X76">
        <v>1</v>
      </c>
      <c r="Y76" t="s">
        <v>3661</v>
      </c>
      <c r="AC76">
        <v>2063</v>
      </c>
      <c r="AD76" t="e" vm="72">
        <v>#VALUE!</v>
      </c>
    </row>
    <row r="77" spans="2:30" x14ac:dyDescent="0.25">
      <c r="B77">
        <v>2064</v>
      </c>
      <c r="C77" t="s">
        <v>3659</v>
      </c>
      <c r="D77" t="s">
        <v>3660</v>
      </c>
      <c r="E77" t="s">
        <v>3813</v>
      </c>
      <c r="F77" t="s">
        <v>83</v>
      </c>
      <c r="G77" t="s">
        <v>103</v>
      </c>
      <c r="H77" t="s">
        <v>3808</v>
      </c>
      <c r="I77" t="s">
        <v>3809</v>
      </c>
      <c r="J77" t="s">
        <v>3810</v>
      </c>
      <c r="K77" t="s">
        <v>1218</v>
      </c>
      <c r="L77" s="13">
        <v>42928</v>
      </c>
      <c r="M77">
        <v>6</v>
      </c>
      <c r="N77" t="s">
        <v>88</v>
      </c>
      <c r="O77" t="s">
        <v>3811</v>
      </c>
      <c r="P77" t="s">
        <v>76</v>
      </c>
      <c r="Q77" t="s">
        <v>76</v>
      </c>
      <c r="R77" t="s">
        <v>76</v>
      </c>
      <c r="S77" t="s">
        <v>76</v>
      </c>
      <c r="T77" t="s">
        <v>76</v>
      </c>
      <c r="U77">
        <v>1</v>
      </c>
      <c r="V77" s="13">
        <v>45175</v>
      </c>
      <c r="W77">
        <v>1</v>
      </c>
      <c r="X77">
        <v>1</v>
      </c>
      <c r="Y77" t="s">
        <v>3661</v>
      </c>
      <c r="AC77">
        <v>2064</v>
      </c>
      <c r="AD77" t="e" vm="73">
        <v>#VALUE!</v>
      </c>
    </row>
    <row r="78" spans="2:30" x14ac:dyDescent="0.25">
      <c r="B78">
        <v>2065</v>
      </c>
      <c r="C78" t="s">
        <v>3659</v>
      </c>
      <c r="D78" t="s">
        <v>3660</v>
      </c>
      <c r="E78" t="s">
        <v>3813</v>
      </c>
      <c r="F78" t="s">
        <v>83</v>
      </c>
      <c r="G78" t="s">
        <v>103</v>
      </c>
      <c r="H78" t="s">
        <v>3808</v>
      </c>
      <c r="I78" t="s">
        <v>3809</v>
      </c>
      <c r="J78" t="s">
        <v>3810</v>
      </c>
      <c r="K78" t="s">
        <v>1218</v>
      </c>
      <c r="L78" s="13">
        <v>42923</v>
      </c>
      <c r="M78">
        <v>6</v>
      </c>
      <c r="N78" t="s">
        <v>88</v>
      </c>
      <c r="O78" t="s">
        <v>3811</v>
      </c>
      <c r="P78" t="s">
        <v>76</v>
      </c>
      <c r="Q78" t="s">
        <v>76</v>
      </c>
      <c r="R78" t="s">
        <v>76</v>
      </c>
      <c r="S78" t="s">
        <v>76</v>
      </c>
      <c r="T78" t="s">
        <v>76</v>
      </c>
      <c r="U78">
        <v>1</v>
      </c>
      <c r="V78" s="13">
        <v>45175</v>
      </c>
      <c r="W78">
        <v>1</v>
      </c>
      <c r="X78">
        <v>1</v>
      </c>
      <c r="Y78" t="s">
        <v>3661</v>
      </c>
      <c r="AC78">
        <v>2065</v>
      </c>
      <c r="AD78" t="e" vm="74">
        <v>#VALUE!</v>
      </c>
    </row>
    <row r="79" spans="2:30" x14ac:dyDescent="0.25">
      <c r="B79">
        <v>2066</v>
      </c>
      <c r="C79" t="s">
        <v>3659</v>
      </c>
      <c r="D79" t="s">
        <v>3660</v>
      </c>
      <c r="E79" t="s">
        <v>3813</v>
      </c>
      <c r="F79" t="s">
        <v>83</v>
      </c>
      <c r="G79" t="s">
        <v>103</v>
      </c>
      <c r="H79" t="s">
        <v>3808</v>
      </c>
      <c r="I79" t="s">
        <v>3809</v>
      </c>
      <c r="J79" t="s">
        <v>3810</v>
      </c>
      <c r="K79" t="s">
        <v>1218</v>
      </c>
      <c r="L79" s="13">
        <v>42928</v>
      </c>
      <c r="M79">
        <v>6</v>
      </c>
      <c r="N79" t="s">
        <v>88</v>
      </c>
      <c r="O79" t="s">
        <v>3811</v>
      </c>
      <c r="P79" t="s">
        <v>76</v>
      </c>
      <c r="Q79" t="s">
        <v>76</v>
      </c>
      <c r="R79" t="s">
        <v>76</v>
      </c>
      <c r="S79" t="s">
        <v>76</v>
      </c>
      <c r="T79" t="s">
        <v>76</v>
      </c>
      <c r="U79">
        <v>1</v>
      </c>
      <c r="V79" s="13">
        <v>45175</v>
      </c>
      <c r="W79">
        <v>1</v>
      </c>
      <c r="X79">
        <v>1</v>
      </c>
      <c r="Y79" t="s">
        <v>3661</v>
      </c>
      <c r="AC79">
        <v>2066</v>
      </c>
      <c r="AD79" t="e" vm="75">
        <v>#VALUE!</v>
      </c>
    </row>
    <row r="80" spans="2:30" x14ac:dyDescent="0.25">
      <c r="B80">
        <v>2067</v>
      </c>
      <c r="C80" t="s">
        <v>3659</v>
      </c>
      <c r="D80" t="s">
        <v>3660</v>
      </c>
      <c r="E80" t="s">
        <v>3813</v>
      </c>
      <c r="F80" t="s">
        <v>83</v>
      </c>
      <c r="G80" t="s">
        <v>103</v>
      </c>
      <c r="H80" t="s">
        <v>3808</v>
      </c>
      <c r="I80" t="s">
        <v>3809</v>
      </c>
      <c r="J80" t="s">
        <v>3810</v>
      </c>
      <c r="K80" t="s">
        <v>1218</v>
      </c>
      <c r="L80" s="13">
        <v>42928</v>
      </c>
      <c r="M80">
        <v>6</v>
      </c>
      <c r="N80" t="s">
        <v>88</v>
      </c>
      <c r="O80" t="s">
        <v>3811</v>
      </c>
      <c r="P80" t="s">
        <v>76</v>
      </c>
      <c r="Q80" t="s">
        <v>76</v>
      </c>
      <c r="R80" t="s">
        <v>76</v>
      </c>
      <c r="S80" t="s">
        <v>76</v>
      </c>
      <c r="T80" t="s">
        <v>76</v>
      </c>
      <c r="U80">
        <v>1</v>
      </c>
      <c r="V80" s="13">
        <v>45175</v>
      </c>
      <c r="W80">
        <v>1</v>
      </c>
      <c r="X80">
        <v>1</v>
      </c>
      <c r="Y80" t="s">
        <v>3661</v>
      </c>
      <c r="AC80">
        <v>2067</v>
      </c>
      <c r="AD80" t="e" vm="76">
        <v>#VALUE!</v>
      </c>
    </row>
    <row r="81" spans="2:30" x14ac:dyDescent="0.25">
      <c r="B81">
        <v>2068</v>
      </c>
      <c r="C81" t="s">
        <v>3659</v>
      </c>
      <c r="D81" t="s">
        <v>3660</v>
      </c>
      <c r="E81" t="s">
        <v>3813</v>
      </c>
      <c r="F81" t="s">
        <v>83</v>
      </c>
      <c r="G81" t="s">
        <v>103</v>
      </c>
      <c r="H81" t="s">
        <v>3808</v>
      </c>
      <c r="I81" t="s">
        <v>3809</v>
      </c>
      <c r="J81" t="s">
        <v>3810</v>
      </c>
      <c r="K81" t="s">
        <v>1218</v>
      </c>
      <c r="L81" s="13">
        <v>42930</v>
      </c>
      <c r="M81">
        <v>6</v>
      </c>
      <c r="N81" t="s">
        <v>88</v>
      </c>
      <c r="O81" t="s">
        <v>3811</v>
      </c>
      <c r="P81" t="s">
        <v>76</v>
      </c>
      <c r="Q81" t="s">
        <v>76</v>
      </c>
      <c r="R81" t="s">
        <v>76</v>
      </c>
      <c r="S81" t="s">
        <v>76</v>
      </c>
      <c r="T81" t="s">
        <v>76</v>
      </c>
      <c r="U81">
        <v>1</v>
      </c>
      <c r="V81" s="13">
        <v>45175</v>
      </c>
      <c r="W81">
        <v>1</v>
      </c>
      <c r="X81">
        <v>1</v>
      </c>
      <c r="Y81" t="s">
        <v>3661</v>
      </c>
      <c r="AC81">
        <v>2068</v>
      </c>
      <c r="AD81" t="e" vm="77">
        <v>#VALUE!</v>
      </c>
    </row>
    <row r="82" spans="2:30" x14ac:dyDescent="0.25">
      <c r="B82">
        <v>2069</v>
      </c>
      <c r="C82" t="s">
        <v>3659</v>
      </c>
      <c r="D82" t="s">
        <v>3660</v>
      </c>
      <c r="E82" t="s">
        <v>3813</v>
      </c>
      <c r="F82" t="s">
        <v>83</v>
      </c>
      <c r="G82" t="s">
        <v>103</v>
      </c>
      <c r="H82" t="s">
        <v>3808</v>
      </c>
      <c r="I82" t="s">
        <v>3809</v>
      </c>
      <c r="J82" t="s">
        <v>3810</v>
      </c>
      <c r="K82" t="s">
        <v>1218</v>
      </c>
      <c r="L82" s="13">
        <v>42930</v>
      </c>
      <c r="M82">
        <v>6</v>
      </c>
      <c r="N82" t="s">
        <v>88</v>
      </c>
      <c r="O82" t="s">
        <v>3811</v>
      </c>
      <c r="P82" t="s">
        <v>76</v>
      </c>
      <c r="Q82" t="s">
        <v>76</v>
      </c>
      <c r="R82" t="s">
        <v>76</v>
      </c>
      <c r="S82" t="s">
        <v>76</v>
      </c>
      <c r="T82" t="s">
        <v>76</v>
      </c>
      <c r="U82">
        <v>1</v>
      </c>
      <c r="V82" s="13">
        <v>45175</v>
      </c>
      <c r="W82">
        <v>1</v>
      </c>
      <c r="X82">
        <v>1</v>
      </c>
      <c r="Y82" t="s">
        <v>3661</v>
      </c>
      <c r="AC82">
        <v>2069</v>
      </c>
      <c r="AD82" t="e" vm="78">
        <v>#VALUE!</v>
      </c>
    </row>
    <row r="83" spans="2:30" x14ac:dyDescent="0.25">
      <c r="B83">
        <v>2070</v>
      </c>
      <c r="C83" t="s">
        <v>3659</v>
      </c>
      <c r="D83" t="s">
        <v>3660</v>
      </c>
      <c r="E83" t="s">
        <v>3813</v>
      </c>
      <c r="F83" t="s">
        <v>83</v>
      </c>
      <c r="G83" t="s">
        <v>103</v>
      </c>
      <c r="H83" t="s">
        <v>3808</v>
      </c>
      <c r="I83" t="s">
        <v>3809</v>
      </c>
      <c r="J83" t="s">
        <v>3810</v>
      </c>
      <c r="K83" t="s">
        <v>1218</v>
      </c>
      <c r="L83" s="13">
        <v>42930</v>
      </c>
      <c r="M83">
        <v>6</v>
      </c>
      <c r="N83" t="s">
        <v>88</v>
      </c>
      <c r="O83" t="s">
        <v>3811</v>
      </c>
      <c r="P83" t="s">
        <v>76</v>
      </c>
      <c r="Q83" t="s">
        <v>76</v>
      </c>
      <c r="R83" t="s">
        <v>76</v>
      </c>
      <c r="S83" t="s">
        <v>76</v>
      </c>
      <c r="T83" t="s">
        <v>76</v>
      </c>
      <c r="U83">
        <v>1</v>
      </c>
      <c r="V83" s="13">
        <v>45175</v>
      </c>
      <c r="W83">
        <v>1</v>
      </c>
      <c r="X83">
        <v>1</v>
      </c>
      <c r="Y83" t="s">
        <v>3661</v>
      </c>
      <c r="AC83">
        <v>2070</v>
      </c>
      <c r="AD83" t="e" vm="79">
        <v>#VALUE!</v>
      </c>
    </row>
    <row r="84" spans="2:30" x14ac:dyDescent="0.25">
      <c r="B84">
        <v>2071</v>
      </c>
      <c r="C84" t="s">
        <v>3662</v>
      </c>
      <c r="D84" t="s">
        <v>3663</v>
      </c>
      <c r="E84" t="s">
        <v>3814</v>
      </c>
      <c r="F84" t="s">
        <v>97</v>
      </c>
      <c r="G84" t="s">
        <v>106</v>
      </c>
      <c r="H84" t="s">
        <v>3808</v>
      </c>
      <c r="I84" t="s">
        <v>3809</v>
      </c>
      <c r="J84" t="s">
        <v>3810</v>
      </c>
      <c r="K84" t="s">
        <v>1218</v>
      </c>
      <c r="L84" s="13">
        <v>42772</v>
      </c>
      <c r="M84">
        <v>7</v>
      </c>
      <c r="N84" t="s">
        <v>79</v>
      </c>
      <c r="O84" t="s">
        <v>3811</v>
      </c>
      <c r="P84" t="s">
        <v>76</v>
      </c>
      <c r="Q84" t="s">
        <v>76</v>
      </c>
      <c r="R84" t="s">
        <v>76</v>
      </c>
      <c r="S84" t="s">
        <v>76</v>
      </c>
      <c r="T84" t="s">
        <v>76</v>
      </c>
      <c r="U84">
        <v>1</v>
      </c>
      <c r="V84" s="13">
        <v>45175</v>
      </c>
      <c r="W84">
        <v>1</v>
      </c>
      <c r="X84">
        <v>1</v>
      </c>
      <c r="Y84" t="s">
        <v>3664</v>
      </c>
      <c r="AC84">
        <v>2071</v>
      </c>
      <c r="AD84" t="e" vm="80">
        <v>#VALUE!</v>
      </c>
    </row>
    <row r="85" spans="2:30" x14ac:dyDescent="0.25">
      <c r="B85">
        <v>2072</v>
      </c>
      <c r="C85" t="s">
        <v>3662</v>
      </c>
      <c r="D85" t="s">
        <v>3663</v>
      </c>
      <c r="E85" t="s">
        <v>3814</v>
      </c>
      <c r="F85" t="s">
        <v>97</v>
      </c>
      <c r="G85" t="s">
        <v>106</v>
      </c>
      <c r="H85" t="s">
        <v>3808</v>
      </c>
      <c r="I85" t="s">
        <v>3809</v>
      </c>
      <c r="J85" t="s">
        <v>3810</v>
      </c>
      <c r="K85" t="s">
        <v>1218</v>
      </c>
      <c r="L85" s="13">
        <v>42772</v>
      </c>
      <c r="M85">
        <v>7</v>
      </c>
      <c r="N85" t="s">
        <v>79</v>
      </c>
      <c r="O85" t="s">
        <v>3811</v>
      </c>
      <c r="P85" t="s">
        <v>76</v>
      </c>
      <c r="Q85" t="s">
        <v>76</v>
      </c>
      <c r="R85" t="s">
        <v>76</v>
      </c>
      <c r="S85" t="s">
        <v>76</v>
      </c>
      <c r="T85" t="s">
        <v>76</v>
      </c>
      <c r="U85">
        <v>1</v>
      </c>
      <c r="V85" s="13">
        <v>45175</v>
      </c>
      <c r="W85">
        <v>1</v>
      </c>
      <c r="X85">
        <v>1</v>
      </c>
      <c r="Y85" t="s">
        <v>3664</v>
      </c>
      <c r="AC85">
        <v>2072</v>
      </c>
      <c r="AD85" t="e" vm="81">
        <v>#VALUE!</v>
      </c>
    </row>
    <row r="86" spans="2:30" x14ac:dyDescent="0.25">
      <c r="B86">
        <v>2073</v>
      </c>
      <c r="C86" t="s">
        <v>3662</v>
      </c>
      <c r="D86" t="s">
        <v>3663</v>
      </c>
      <c r="E86" t="s">
        <v>3814</v>
      </c>
      <c r="F86" t="s">
        <v>97</v>
      </c>
      <c r="G86" t="s">
        <v>106</v>
      </c>
      <c r="H86" t="s">
        <v>3808</v>
      </c>
      <c r="I86" t="s">
        <v>3809</v>
      </c>
      <c r="J86" t="s">
        <v>3810</v>
      </c>
      <c r="K86" t="s">
        <v>1218</v>
      </c>
      <c r="L86" s="13">
        <v>42772</v>
      </c>
      <c r="M86">
        <v>7</v>
      </c>
      <c r="N86" t="s">
        <v>79</v>
      </c>
      <c r="O86" t="s">
        <v>3811</v>
      </c>
      <c r="P86" t="s">
        <v>76</v>
      </c>
      <c r="Q86" t="s">
        <v>76</v>
      </c>
      <c r="R86" t="s">
        <v>76</v>
      </c>
      <c r="S86" t="s">
        <v>76</v>
      </c>
      <c r="T86" t="s">
        <v>76</v>
      </c>
      <c r="U86">
        <v>1</v>
      </c>
      <c r="V86" s="13">
        <v>45175</v>
      </c>
      <c r="W86">
        <v>1</v>
      </c>
      <c r="X86">
        <v>1</v>
      </c>
      <c r="Y86" t="s">
        <v>3664</v>
      </c>
      <c r="AC86">
        <v>2073</v>
      </c>
      <c r="AD86" t="e" vm="82">
        <v>#VALUE!</v>
      </c>
    </row>
    <row r="87" spans="2:30" x14ac:dyDescent="0.25">
      <c r="B87">
        <v>2074</v>
      </c>
      <c r="C87" t="s">
        <v>3662</v>
      </c>
      <c r="D87" t="s">
        <v>3663</v>
      </c>
      <c r="E87" t="s">
        <v>3814</v>
      </c>
      <c r="F87" t="s">
        <v>97</v>
      </c>
      <c r="G87" t="s">
        <v>106</v>
      </c>
      <c r="H87" t="s">
        <v>3808</v>
      </c>
      <c r="I87" t="s">
        <v>3809</v>
      </c>
      <c r="J87" t="s">
        <v>3810</v>
      </c>
      <c r="K87" t="s">
        <v>1218</v>
      </c>
      <c r="L87" s="13">
        <v>42783</v>
      </c>
      <c r="M87">
        <v>7</v>
      </c>
      <c r="N87" t="s">
        <v>79</v>
      </c>
      <c r="O87" t="s">
        <v>3811</v>
      </c>
      <c r="P87" t="s">
        <v>76</v>
      </c>
      <c r="Q87" t="s">
        <v>76</v>
      </c>
      <c r="R87" t="s">
        <v>76</v>
      </c>
      <c r="S87" t="s">
        <v>76</v>
      </c>
      <c r="T87" t="s">
        <v>76</v>
      </c>
      <c r="U87">
        <v>1</v>
      </c>
      <c r="V87" s="13">
        <v>45175</v>
      </c>
      <c r="W87">
        <v>1</v>
      </c>
      <c r="X87">
        <v>1</v>
      </c>
      <c r="Y87" t="s">
        <v>3664</v>
      </c>
      <c r="AC87">
        <v>2074</v>
      </c>
      <c r="AD87" t="e" vm="83">
        <v>#VALUE!</v>
      </c>
    </row>
    <row r="88" spans="2:30" x14ac:dyDescent="0.25">
      <c r="B88">
        <v>2075</v>
      </c>
      <c r="C88" t="s">
        <v>3662</v>
      </c>
      <c r="D88" t="s">
        <v>3663</v>
      </c>
      <c r="E88" t="s">
        <v>3814</v>
      </c>
      <c r="F88" t="s">
        <v>97</v>
      </c>
      <c r="G88" t="s">
        <v>106</v>
      </c>
      <c r="H88" t="s">
        <v>3808</v>
      </c>
      <c r="I88" t="s">
        <v>3809</v>
      </c>
      <c r="J88" t="s">
        <v>3810</v>
      </c>
      <c r="K88" t="s">
        <v>1218</v>
      </c>
      <c r="L88" s="13">
        <v>42772</v>
      </c>
      <c r="M88">
        <v>7</v>
      </c>
      <c r="N88" t="s">
        <v>79</v>
      </c>
      <c r="O88" t="s">
        <v>3811</v>
      </c>
      <c r="P88" t="s">
        <v>76</v>
      </c>
      <c r="Q88" t="s">
        <v>76</v>
      </c>
      <c r="R88" t="s">
        <v>76</v>
      </c>
      <c r="S88" t="s">
        <v>76</v>
      </c>
      <c r="T88" t="s">
        <v>76</v>
      </c>
      <c r="U88">
        <v>1</v>
      </c>
      <c r="V88" s="13">
        <v>45175</v>
      </c>
      <c r="W88">
        <v>1</v>
      </c>
      <c r="X88">
        <v>1</v>
      </c>
      <c r="Y88" t="s">
        <v>3664</v>
      </c>
      <c r="AC88">
        <v>2075</v>
      </c>
      <c r="AD88" t="e" vm="84">
        <v>#VALUE!</v>
      </c>
    </row>
    <row r="89" spans="2:30" x14ac:dyDescent="0.25">
      <c r="B89">
        <v>2076</v>
      </c>
      <c r="C89" t="s">
        <v>3662</v>
      </c>
      <c r="D89" t="s">
        <v>3663</v>
      </c>
      <c r="E89" t="s">
        <v>3814</v>
      </c>
      <c r="F89" t="s">
        <v>97</v>
      </c>
      <c r="G89" t="s">
        <v>106</v>
      </c>
      <c r="H89" t="s">
        <v>3808</v>
      </c>
      <c r="I89" t="s">
        <v>3809</v>
      </c>
      <c r="J89" t="s">
        <v>3810</v>
      </c>
      <c r="K89" t="s">
        <v>1218</v>
      </c>
      <c r="L89" s="13">
        <v>42783</v>
      </c>
      <c r="M89">
        <v>7</v>
      </c>
      <c r="N89" t="s">
        <v>79</v>
      </c>
      <c r="O89" t="s">
        <v>3811</v>
      </c>
      <c r="P89" t="s">
        <v>76</v>
      </c>
      <c r="Q89" t="s">
        <v>76</v>
      </c>
      <c r="R89" t="s">
        <v>76</v>
      </c>
      <c r="S89" t="s">
        <v>76</v>
      </c>
      <c r="T89" t="s">
        <v>76</v>
      </c>
      <c r="U89">
        <v>1</v>
      </c>
      <c r="V89" s="13">
        <v>45175</v>
      </c>
      <c r="W89">
        <v>1</v>
      </c>
      <c r="X89">
        <v>1</v>
      </c>
      <c r="Y89" t="s">
        <v>3664</v>
      </c>
      <c r="AC89">
        <v>2076</v>
      </c>
      <c r="AD89" t="e" vm="85">
        <v>#VALUE!</v>
      </c>
    </row>
    <row r="90" spans="2:30" x14ac:dyDescent="0.25">
      <c r="B90">
        <v>2077</v>
      </c>
      <c r="C90" t="s">
        <v>3662</v>
      </c>
      <c r="D90" t="s">
        <v>3663</v>
      </c>
      <c r="E90" t="s">
        <v>3814</v>
      </c>
      <c r="F90" t="s">
        <v>97</v>
      </c>
      <c r="G90" t="s">
        <v>106</v>
      </c>
      <c r="H90" t="s">
        <v>3808</v>
      </c>
      <c r="I90" t="s">
        <v>3809</v>
      </c>
      <c r="J90" t="s">
        <v>3810</v>
      </c>
      <c r="K90" t="s">
        <v>1218</v>
      </c>
      <c r="L90" s="13">
        <v>42783</v>
      </c>
      <c r="M90">
        <v>7</v>
      </c>
      <c r="N90" t="s">
        <v>79</v>
      </c>
      <c r="O90" t="s">
        <v>3811</v>
      </c>
      <c r="P90" t="s">
        <v>76</v>
      </c>
      <c r="Q90" t="s">
        <v>76</v>
      </c>
      <c r="R90" t="s">
        <v>76</v>
      </c>
      <c r="S90" t="s">
        <v>76</v>
      </c>
      <c r="T90" t="s">
        <v>76</v>
      </c>
      <c r="U90">
        <v>1</v>
      </c>
      <c r="V90" s="13">
        <v>45175</v>
      </c>
      <c r="W90">
        <v>1</v>
      </c>
      <c r="X90">
        <v>1</v>
      </c>
      <c r="Y90" t="s">
        <v>3664</v>
      </c>
      <c r="AC90">
        <v>2077</v>
      </c>
      <c r="AD90" t="e" vm="86">
        <v>#VALUE!</v>
      </c>
    </row>
    <row r="91" spans="2:30" x14ac:dyDescent="0.25">
      <c r="B91">
        <v>2078</v>
      </c>
      <c r="C91" t="s">
        <v>3662</v>
      </c>
      <c r="D91" t="s">
        <v>3663</v>
      </c>
      <c r="E91" t="s">
        <v>3814</v>
      </c>
      <c r="F91" t="s">
        <v>97</v>
      </c>
      <c r="G91" t="s">
        <v>106</v>
      </c>
      <c r="H91" t="s">
        <v>3808</v>
      </c>
      <c r="I91" t="s">
        <v>3809</v>
      </c>
      <c r="J91" t="s">
        <v>3810</v>
      </c>
      <c r="K91" t="s">
        <v>1218</v>
      </c>
      <c r="L91" s="13">
        <v>42814</v>
      </c>
      <c r="M91">
        <v>6</v>
      </c>
      <c r="N91" t="s">
        <v>79</v>
      </c>
      <c r="O91" t="s">
        <v>3811</v>
      </c>
      <c r="P91" t="s">
        <v>76</v>
      </c>
      <c r="Q91" t="s">
        <v>76</v>
      </c>
      <c r="R91" t="s">
        <v>76</v>
      </c>
      <c r="S91" t="s">
        <v>76</v>
      </c>
      <c r="T91" t="s">
        <v>76</v>
      </c>
      <c r="U91">
        <v>1</v>
      </c>
      <c r="V91" s="13">
        <v>45175</v>
      </c>
      <c r="W91">
        <v>1</v>
      </c>
      <c r="X91">
        <v>1</v>
      </c>
      <c r="Y91" t="s">
        <v>3664</v>
      </c>
      <c r="AC91">
        <v>2078</v>
      </c>
      <c r="AD91" t="e" vm="87">
        <v>#VALUE!</v>
      </c>
    </row>
    <row r="92" spans="2:30" x14ac:dyDescent="0.25">
      <c r="B92">
        <v>2079</v>
      </c>
      <c r="C92" t="s">
        <v>3662</v>
      </c>
      <c r="D92" t="s">
        <v>3663</v>
      </c>
      <c r="E92" t="s">
        <v>3814</v>
      </c>
      <c r="F92" t="s">
        <v>97</v>
      </c>
      <c r="G92" t="s">
        <v>106</v>
      </c>
      <c r="H92" t="s">
        <v>3808</v>
      </c>
      <c r="I92" t="s">
        <v>3809</v>
      </c>
      <c r="J92" t="s">
        <v>3810</v>
      </c>
      <c r="K92" t="s">
        <v>1218</v>
      </c>
      <c r="L92" s="13">
        <v>42815</v>
      </c>
      <c r="M92">
        <v>6</v>
      </c>
      <c r="N92" t="s">
        <v>79</v>
      </c>
      <c r="O92" t="s">
        <v>3811</v>
      </c>
      <c r="P92" t="s">
        <v>76</v>
      </c>
      <c r="Q92" t="s">
        <v>76</v>
      </c>
      <c r="R92" t="s">
        <v>76</v>
      </c>
      <c r="S92" t="s">
        <v>76</v>
      </c>
      <c r="T92" t="s">
        <v>76</v>
      </c>
      <c r="U92">
        <v>1</v>
      </c>
      <c r="V92" s="13">
        <v>45175</v>
      </c>
      <c r="W92">
        <v>1</v>
      </c>
      <c r="X92">
        <v>1</v>
      </c>
      <c r="Y92" t="s">
        <v>3664</v>
      </c>
      <c r="AC92">
        <v>2079</v>
      </c>
      <c r="AD92" t="e" vm="88">
        <v>#VALUE!</v>
      </c>
    </row>
    <row r="93" spans="2:30" x14ac:dyDescent="0.25">
      <c r="B93">
        <v>2080</v>
      </c>
      <c r="C93" t="s">
        <v>3662</v>
      </c>
      <c r="D93" t="s">
        <v>3663</v>
      </c>
      <c r="E93" t="s">
        <v>3814</v>
      </c>
      <c r="F93" t="s">
        <v>97</v>
      </c>
      <c r="G93" t="s">
        <v>106</v>
      </c>
      <c r="H93" t="s">
        <v>3808</v>
      </c>
      <c r="I93" t="s">
        <v>3809</v>
      </c>
      <c r="J93" t="s">
        <v>3810</v>
      </c>
      <c r="K93" t="s">
        <v>1218</v>
      </c>
      <c r="L93" s="13">
        <v>42814</v>
      </c>
      <c r="M93">
        <v>6</v>
      </c>
      <c r="N93" t="s">
        <v>79</v>
      </c>
      <c r="O93" t="s">
        <v>3811</v>
      </c>
      <c r="P93" t="s">
        <v>76</v>
      </c>
      <c r="Q93" t="s">
        <v>76</v>
      </c>
      <c r="R93" t="s">
        <v>76</v>
      </c>
      <c r="S93" t="s">
        <v>76</v>
      </c>
      <c r="T93" t="s">
        <v>76</v>
      </c>
      <c r="U93">
        <v>1</v>
      </c>
      <c r="V93" s="13">
        <v>45175</v>
      </c>
      <c r="W93">
        <v>1</v>
      </c>
      <c r="X93">
        <v>1</v>
      </c>
      <c r="Y93" t="s">
        <v>3664</v>
      </c>
      <c r="AC93">
        <v>2080</v>
      </c>
      <c r="AD93" t="e" vm="89">
        <v>#VALUE!</v>
      </c>
    </row>
    <row r="94" spans="2:30" x14ac:dyDescent="0.25">
      <c r="B94">
        <v>2081</v>
      </c>
      <c r="C94" t="s">
        <v>3662</v>
      </c>
      <c r="D94" t="s">
        <v>3663</v>
      </c>
      <c r="E94" t="s">
        <v>3814</v>
      </c>
      <c r="F94" t="s">
        <v>97</v>
      </c>
      <c r="G94" t="s">
        <v>106</v>
      </c>
      <c r="H94" t="s">
        <v>3808</v>
      </c>
      <c r="I94" t="s">
        <v>3809</v>
      </c>
      <c r="J94" t="s">
        <v>3810</v>
      </c>
      <c r="K94" t="s">
        <v>1218</v>
      </c>
      <c r="L94" s="13">
        <v>42814</v>
      </c>
      <c r="M94">
        <v>6</v>
      </c>
      <c r="N94" t="s">
        <v>79</v>
      </c>
      <c r="O94" t="s">
        <v>3811</v>
      </c>
      <c r="P94" t="s">
        <v>76</v>
      </c>
      <c r="Q94" t="s">
        <v>76</v>
      </c>
      <c r="R94" t="s">
        <v>76</v>
      </c>
      <c r="S94" t="s">
        <v>76</v>
      </c>
      <c r="T94" t="s">
        <v>76</v>
      </c>
      <c r="U94">
        <v>1</v>
      </c>
      <c r="V94" s="13">
        <v>45175</v>
      </c>
      <c r="W94">
        <v>1</v>
      </c>
      <c r="X94">
        <v>1</v>
      </c>
      <c r="Y94" t="s">
        <v>3664</v>
      </c>
      <c r="AC94">
        <v>2081</v>
      </c>
      <c r="AD94" t="e" vm="90">
        <v>#VALUE!</v>
      </c>
    </row>
    <row r="95" spans="2:30" x14ac:dyDescent="0.25">
      <c r="B95">
        <v>2082</v>
      </c>
      <c r="C95" t="s">
        <v>3662</v>
      </c>
      <c r="D95" t="s">
        <v>3663</v>
      </c>
      <c r="E95" t="s">
        <v>3814</v>
      </c>
      <c r="F95" t="s">
        <v>97</v>
      </c>
      <c r="G95" t="s">
        <v>106</v>
      </c>
      <c r="H95" t="s">
        <v>3808</v>
      </c>
      <c r="I95" t="s">
        <v>3809</v>
      </c>
      <c r="J95" t="s">
        <v>3810</v>
      </c>
      <c r="K95" t="s">
        <v>1218</v>
      </c>
      <c r="L95" s="13">
        <v>42821</v>
      </c>
      <c r="M95">
        <v>6</v>
      </c>
      <c r="N95" t="s">
        <v>79</v>
      </c>
      <c r="O95" t="s">
        <v>3811</v>
      </c>
      <c r="P95" t="s">
        <v>76</v>
      </c>
      <c r="Q95" t="s">
        <v>76</v>
      </c>
      <c r="R95" t="s">
        <v>76</v>
      </c>
      <c r="S95" t="s">
        <v>76</v>
      </c>
      <c r="T95" t="s">
        <v>76</v>
      </c>
      <c r="U95">
        <v>1</v>
      </c>
      <c r="V95" s="13">
        <v>45175</v>
      </c>
      <c r="W95">
        <v>1</v>
      </c>
      <c r="X95">
        <v>1</v>
      </c>
      <c r="Y95" t="s">
        <v>3664</v>
      </c>
      <c r="AC95">
        <v>2082</v>
      </c>
      <c r="AD95" t="e" vm="91">
        <v>#VALUE!</v>
      </c>
    </row>
    <row r="96" spans="2:30" x14ac:dyDescent="0.25">
      <c r="B96">
        <v>2083</v>
      </c>
      <c r="C96" t="s">
        <v>3662</v>
      </c>
      <c r="D96" t="s">
        <v>3663</v>
      </c>
      <c r="E96" t="s">
        <v>3814</v>
      </c>
      <c r="F96" t="s">
        <v>97</v>
      </c>
      <c r="G96" t="s">
        <v>106</v>
      </c>
      <c r="H96" t="s">
        <v>3808</v>
      </c>
      <c r="I96" t="s">
        <v>3809</v>
      </c>
      <c r="J96" t="s">
        <v>3810</v>
      </c>
      <c r="K96" t="s">
        <v>1218</v>
      </c>
      <c r="L96" s="13">
        <v>42821</v>
      </c>
      <c r="M96">
        <v>6</v>
      </c>
      <c r="N96" t="s">
        <v>79</v>
      </c>
      <c r="O96" t="s">
        <v>3811</v>
      </c>
      <c r="P96" t="s">
        <v>76</v>
      </c>
      <c r="Q96" t="s">
        <v>76</v>
      </c>
      <c r="R96" t="s">
        <v>76</v>
      </c>
      <c r="S96" t="s">
        <v>76</v>
      </c>
      <c r="T96" t="s">
        <v>76</v>
      </c>
      <c r="U96">
        <v>1</v>
      </c>
      <c r="V96" s="13">
        <v>45175</v>
      </c>
      <c r="W96">
        <v>1</v>
      </c>
      <c r="X96">
        <v>1</v>
      </c>
      <c r="Y96" t="s">
        <v>3664</v>
      </c>
      <c r="AC96">
        <v>2083</v>
      </c>
      <c r="AD96" t="e" vm="92">
        <v>#VALUE!</v>
      </c>
    </row>
    <row r="97" spans="2:30" x14ac:dyDescent="0.25">
      <c r="B97">
        <v>2084</v>
      </c>
      <c r="C97" t="s">
        <v>3662</v>
      </c>
      <c r="D97" t="s">
        <v>3663</v>
      </c>
      <c r="E97" t="s">
        <v>3814</v>
      </c>
      <c r="F97" t="s">
        <v>97</v>
      </c>
      <c r="G97" t="s">
        <v>106</v>
      </c>
      <c r="H97" t="s">
        <v>3808</v>
      </c>
      <c r="I97" t="s">
        <v>3809</v>
      </c>
      <c r="J97" t="s">
        <v>3810</v>
      </c>
      <c r="K97" t="s">
        <v>1218</v>
      </c>
      <c r="L97" s="13">
        <v>42826</v>
      </c>
      <c r="M97">
        <v>6</v>
      </c>
      <c r="N97" t="s">
        <v>79</v>
      </c>
      <c r="O97" t="s">
        <v>3811</v>
      </c>
      <c r="P97" t="s">
        <v>76</v>
      </c>
      <c r="Q97" t="s">
        <v>76</v>
      </c>
      <c r="R97" t="s">
        <v>76</v>
      </c>
      <c r="S97" t="s">
        <v>76</v>
      </c>
      <c r="T97" t="s">
        <v>76</v>
      </c>
      <c r="U97">
        <v>1</v>
      </c>
      <c r="V97" s="13">
        <v>45175</v>
      </c>
      <c r="W97">
        <v>1</v>
      </c>
      <c r="X97">
        <v>1</v>
      </c>
      <c r="Y97" t="s">
        <v>3664</v>
      </c>
      <c r="AC97">
        <v>2084</v>
      </c>
      <c r="AD97" t="e" vm="93">
        <v>#VALUE!</v>
      </c>
    </row>
    <row r="98" spans="2:30" x14ac:dyDescent="0.25">
      <c r="B98">
        <v>2085</v>
      </c>
      <c r="C98" t="s">
        <v>3662</v>
      </c>
      <c r="D98" t="s">
        <v>3663</v>
      </c>
      <c r="E98" t="s">
        <v>3814</v>
      </c>
      <c r="F98" t="s">
        <v>97</v>
      </c>
      <c r="G98" t="s">
        <v>106</v>
      </c>
      <c r="H98" t="s">
        <v>3808</v>
      </c>
      <c r="I98" t="s">
        <v>3809</v>
      </c>
      <c r="J98" t="s">
        <v>3810</v>
      </c>
      <c r="K98" t="s">
        <v>1218</v>
      </c>
      <c r="L98" s="13">
        <v>42860</v>
      </c>
      <c r="M98">
        <v>6</v>
      </c>
      <c r="N98" t="s">
        <v>79</v>
      </c>
      <c r="O98" t="s">
        <v>3811</v>
      </c>
      <c r="P98" t="s">
        <v>76</v>
      </c>
      <c r="Q98" t="s">
        <v>76</v>
      </c>
      <c r="R98" t="s">
        <v>76</v>
      </c>
      <c r="S98" t="s">
        <v>76</v>
      </c>
      <c r="T98" t="s">
        <v>76</v>
      </c>
      <c r="U98">
        <v>1</v>
      </c>
      <c r="V98" s="13">
        <v>45175</v>
      </c>
      <c r="W98">
        <v>1</v>
      </c>
      <c r="X98">
        <v>1</v>
      </c>
      <c r="Y98" t="s">
        <v>3664</v>
      </c>
      <c r="AC98">
        <v>2085</v>
      </c>
      <c r="AD98" t="e" vm="94">
        <v>#VALUE!</v>
      </c>
    </row>
    <row r="99" spans="2:30" x14ac:dyDescent="0.25">
      <c r="B99">
        <v>2086</v>
      </c>
      <c r="C99" t="s">
        <v>3662</v>
      </c>
      <c r="D99" t="s">
        <v>3665</v>
      </c>
      <c r="E99" t="s">
        <v>3815</v>
      </c>
      <c r="F99" t="s">
        <v>92</v>
      </c>
      <c r="G99" t="s">
        <v>96</v>
      </c>
      <c r="H99" t="s">
        <v>3808</v>
      </c>
      <c r="I99" t="s">
        <v>3809</v>
      </c>
      <c r="J99" t="s">
        <v>3810</v>
      </c>
      <c r="K99" t="s">
        <v>1218</v>
      </c>
      <c r="L99" s="13">
        <v>42814</v>
      </c>
      <c r="M99">
        <v>6</v>
      </c>
      <c r="N99" t="s">
        <v>79</v>
      </c>
      <c r="O99" t="s">
        <v>3811</v>
      </c>
      <c r="P99" t="s">
        <v>76</v>
      </c>
      <c r="Q99" t="s">
        <v>76</v>
      </c>
      <c r="R99" t="s">
        <v>76</v>
      </c>
      <c r="S99" t="s">
        <v>76</v>
      </c>
      <c r="T99" t="s">
        <v>76</v>
      </c>
      <c r="U99">
        <v>1</v>
      </c>
      <c r="V99" s="13">
        <v>45175</v>
      </c>
      <c r="W99">
        <v>1</v>
      </c>
      <c r="X99">
        <v>1</v>
      </c>
      <c r="Y99" t="s">
        <v>3666</v>
      </c>
      <c r="AC99">
        <v>2086</v>
      </c>
      <c r="AD99" t="e" vm="95">
        <v>#VALUE!</v>
      </c>
    </row>
    <row r="100" spans="2:30" x14ac:dyDescent="0.25">
      <c r="B100">
        <v>2087</v>
      </c>
      <c r="C100" t="s">
        <v>3662</v>
      </c>
      <c r="D100" t="s">
        <v>3665</v>
      </c>
      <c r="E100" t="s">
        <v>3815</v>
      </c>
      <c r="F100" t="s">
        <v>92</v>
      </c>
      <c r="G100" t="s">
        <v>96</v>
      </c>
      <c r="H100" t="s">
        <v>3808</v>
      </c>
      <c r="I100" t="s">
        <v>3809</v>
      </c>
      <c r="J100" t="s">
        <v>3810</v>
      </c>
      <c r="K100" t="s">
        <v>1218</v>
      </c>
      <c r="L100" s="13">
        <v>42830</v>
      </c>
      <c r="M100">
        <v>6</v>
      </c>
      <c r="N100" t="s">
        <v>79</v>
      </c>
      <c r="O100" t="s">
        <v>3811</v>
      </c>
      <c r="P100" t="s">
        <v>76</v>
      </c>
      <c r="Q100" t="s">
        <v>76</v>
      </c>
      <c r="R100" t="s">
        <v>76</v>
      </c>
      <c r="S100" t="s">
        <v>76</v>
      </c>
      <c r="T100" t="s">
        <v>76</v>
      </c>
      <c r="U100">
        <v>1</v>
      </c>
      <c r="V100" s="13">
        <v>45175</v>
      </c>
      <c r="W100">
        <v>1</v>
      </c>
      <c r="X100">
        <v>1</v>
      </c>
      <c r="Y100" t="s">
        <v>3666</v>
      </c>
      <c r="AC100">
        <v>2087</v>
      </c>
      <c r="AD100" t="e" vm="96">
        <v>#VALUE!</v>
      </c>
    </row>
    <row r="101" spans="2:30" x14ac:dyDescent="0.25">
      <c r="B101">
        <v>2088</v>
      </c>
      <c r="C101" t="s">
        <v>3662</v>
      </c>
      <c r="D101" t="s">
        <v>3665</v>
      </c>
      <c r="E101" t="s">
        <v>3815</v>
      </c>
      <c r="F101" t="s">
        <v>92</v>
      </c>
      <c r="G101" t="s">
        <v>96</v>
      </c>
      <c r="H101" t="s">
        <v>3808</v>
      </c>
      <c r="I101" t="s">
        <v>3809</v>
      </c>
      <c r="J101" t="s">
        <v>3810</v>
      </c>
      <c r="K101" t="s">
        <v>1218</v>
      </c>
      <c r="L101" s="13">
        <v>42783</v>
      </c>
      <c r="M101">
        <v>7</v>
      </c>
      <c r="N101" t="s">
        <v>79</v>
      </c>
      <c r="O101" t="s">
        <v>3811</v>
      </c>
      <c r="P101" t="s">
        <v>76</v>
      </c>
      <c r="Q101" t="s">
        <v>76</v>
      </c>
      <c r="R101" t="s">
        <v>76</v>
      </c>
      <c r="S101" t="s">
        <v>76</v>
      </c>
      <c r="T101" t="s">
        <v>76</v>
      </c>
      <c r="U101">
        <v>1</v>
      </c>
      <c r="V101" s="13">
        <v>45175</v>
      </c>
      <c r="W101">
        <v>1</v>
      </c>
      <c r="X101">
        <v>1</v>
      </c>
      <c r="Y101" t="s">
        <v>3666</v>
      </c>
      <c r="AC101">
        <v>2088</v>
      </c>
      <c r="AD101" t="e" vm="97">
        <v>#VALUE!</v>
      </c>
    </row>
    <row r="102" spans="2:30" x14ac:dyDescent="0.25">
      <c r="B102">
        <v>2089</v>
      </c>
      <c r="C102" t="s">
        <v>3662</v>
      </c>
      <c r="D102" t="s">
        <v>3665</v>
      </c>
      <c r="E102" t="s">
        <v>3815</v>
      </c>
      <c r="F102" t="s">
        <v>92</v>
      </c>
      <c r="G102" t="s">
        <v>96</v>
      </c>
      <c r="H102" t="s">
        <v>3808</v>
      </c>
      <c r="I102" t="s">
        <v>3809</v>
      </c>
      <c r="J102" t="s">
        <v>3810</v>
      </c>
      <c r="K102" t="s">
        <v>1218</v>
      </c>
      <c r="L102" s="13">
        <v>42812</v>
      </c>
      <c r="M102">
        <v>6</v>
      </c>
      <c r="N102" t="s">
        <v>79</v>
      </c>
      <c r="O102" t="s">
        <v>3811</v>
      </c>
      <c r="P102" t="s">
        <v>76</v>
      </c>
      <c r="Q102" t="s">
        <v>76</v>
      </c>
      <c r="R102" t="s">
        <v>76</v>
      </c>
      <c r="S102" t="s">
        <v>76</v>
      </c>
      <c r="T102" t="s">
        <v>76</v>
      </c>
      <c r="U102">
        <v>1</v>
      </c>
      <c r="V102" s="13">
        <v>45175</v>
      </c>
      <c r="W102">
        <v>1</v>
      </c>
      <c r="X102">
        <v>1</v>
      </c>
      <c r="Y102" t="s">
        <v>3666</v>
      </c>
      <c r="AC102">
        <v>2089</v>
      </c>
      <c r="AD102" t="e" vm="98">
        <v>#VALUE!</v>
      </c>
    </row>
    <row r="103" spans="2:30" x14ac:dyDescent="0.25">
      <c r="B103">
        <v>2090</v>
      </c>
      <c r="C103" t="s">
        <v>3662</v>
      </c>
      <c r="D103" t="s">
        <v>3665</v>
      </c>
      <c r="E103" t="s">
        <v>3815</v>
      </c>
      <c r="F103" t="s">
        <v>92</v>
      </c>
      <c r="G103" t="s">
        <v>96</v>
      </c>
      <c r="H103" t="s">
        <v>3808</v>
      </c>
      <c r="I103" t="s">
        <v>3809</v>
      </c>
      <c r="J103" t="s">
        <v>3810</v>
      </c>
      <c r="K103" t="s">
        <v>1218</v>
      </c>
      <c r="L103" s="13">
        <v>42830</v>
      </c>
      <c r="M103">
        <v>6</v>
      </c>
      <c r="N103" t="s">
        <v>79</v>
      </c>
      <c r="O103" t="s">
        <v>3811</v>
      </c>
      <c r="P103" t="s">
        <v>76</v>
      </c>
      <c r="Q103" t="s">
        <v>76</v>
      </c>
      <c r="R103" t="s">
        <v>76</v>
      </c>
      <c r="S103" t="s">
        <v>76</v>
      </c>
      <c r="T103" t="s">
        <v>76</v>
      </c>
      <c r="U103">
        <v>1</v>
      </c>
      <c r="V103" s="13">
        <v>45175</v>
      </c>
      <c r="W103">
        <v>1</v>
      </c>
      <c r="X103">
        <v>1</v>
      </c>
      <c r="Y103" t="s">
        <v>3666</v>
      </c>
      <c r="AC103">
        <v>2090</v>
      </c>
      <c r="AD103" t="e" vm="99">
        <v>#VALUE!</v>
      </c>
    </row>
    <row r="104" spans="2:30" x14ac:dyDescent="0.25">
      <c r="B104">
        <v>2091</v>
      </c>
      <c r="C104" t="s">
        <v>3662</v>
      </c>
      <c r="D104" t="s">
        <v>3665</v>
      </c>
      <c r="E104" t="s">
        <v>3815</v>
      </c>
      <c r="F104" t="s">
        <v>92</v>
      </c>
      <c r="G104" t="s">
        <v>96</v>
      </c>
      <c r="H104" t="s">
        <v>3808</v>
      </c>
      <c r="I104" t="s">
        <v>3809</v>
      </c>
      <c r="J104" t="s">
        <v>3810</v>
      </c>
      <c r="K104" t="s">
        <v>1218</v>
      </c>
      <c r="L104" s="13">
        <v>42830</v>
      </c>
      <c r="M104">
        <v>6</v>
      </c>
      <c r="N104" t="s">
        <v>79</v>
      </c>
      <c r="O104" t="s">
        <v>3811</v>
      </c>
      <c r="P104" t="s">
        <v>76</v>
      </c>
      <c r="Q104" t="s">
        <v>76</v>
      </c>
      <c r="R104" t="s">
        <v>76</v>
      </c>
      <c r="S104" t="s">
        <v>76</v>
      </c>
      <c r="T104" t="s">
        <v>76</v>
      </c>
      <c r="U104">
        <v>1</v>
      </c>
      <c r="V104" s="13">
        <v>45175</v>
      </c>
      <c r="W104">
        <v>1</v>
      </c>
      <c r="X104">
        <v>1</v>
      </c>
      <c r="Y104" t="s">
        <v>3666</v>
      </c>
      <c r="AC104">
        <v>2091</v>
      </c>
      <c r="AD104" t="e" vm="100">
        <v>#VALUE!</v>
      </c>
    </row>
    <row r="105" spans="2:30" x14ac:dyDescent="0.25">
      <c r="B105">
        <v>2092</v>
      </c>
      <c r="C105" t="s">
        <v>3662</v>
      </c>
      <c r="D105" t="s">
        <v>3665</v>
      </c>
      <c r="E105" t="s">
        <v>3815</v>
      </c>
      <c r="F105" t="s">
        <v>92</v>
      </c>
      <c r="G105" t="s">
        <v>96</v>
      </c>
      <c r="H105" t="s">
        <v>3808</v>
      </c>
      <c r="I105" t="s">
        <v>3809</v>
      </c>
      <c r="J105" t="s">
        <v>3810</v>
      </c>
      <c r="K105" t="s">
        <v>1218</v>
      </c>
      <c r="L105" s="13">
        <v>42830</v>
      </c>
      <c r="M105">
        <v>6</v>
      </c>
      <c r="N105" t="s">
        <v>79</v>
      </c>
      <c r="O105" t="s">
        <v>3811</v>
      </c>
      <c r="P105" t="s">
        <v>76</v>
      </c>
      <c r="Q105" t="s">
        <v>76</v>
      </c>
      <c r="R105" t="s">
        <v>76</v>
      </c>
      <c r="S105" t="s">
        <v>76</v>
      </c>
      <c r="T105" t="s">
        <v>76</v>
      </c>
      <c r="U105">
        <v>1</v>
      </c>
      <c r="V105" s="13">
        <v>45175</v>
      </c>
      <c r="W105">
        <v>1</v>
      </c>
      <c r="X105">
        <v>1</v>
      </c>
      <c r="Y105" t="s">
        <v>3666</v>
      </c>
      <c r="AC105">
        <v>2092</v>
      </c>
      <c r="AD105" t="e" vm="101">
        <v>#VALUE!</v>
      </c>
    </row>
    <row r="106" spans="2:30" x14ac:dyDescent="0.25">
      <c r="B106">
        <v>2093</v>
      </c>
      <c r="C106" t="s">
        <v>3662</v>
      </c>
      <c r="D106" t="s">
        <v>3665</v>
      </c>
      <c r="E106" t="s">
        <v>3815</v>
      </c>
      <c r="F106" t="s">
        <v>92</v>
      </c>
      <c r="G106" t="s">
        <v>96</v>
      </c>
      <c r="H106" t="s">
        <v>3808</v>
      </c>
      <c r="I106" t="s">
        <v>3809</v>
      </c>
      <c r="J106" t="s">
        <v>3810</v>
      </c>
      <c r="K106" t="s">
        <v>1218</v>
      </c>
      <c r="L106" s="13">
        <v>42830</v>
      </c>
      <c r="M106">
        <v>6</v>
      </c>
      <c r="N106" t="s">
        <v>79</v>
      </c>
      <c r="O106" t="s">
        <v>3811</v>
      </c>
      <c r="P106" t="s">
        <v>76</v>
      </c>
      <c r="Q106" t="s">
        <v>76</v>
      </c>
      <c r="R106" t="s">
        <v>76</v>
      </c>
      <c r="S106" t="s">
        <v>76</v>
      </c>
      <c r="T106" t="s">
        <v>76</v>
      </c>
      <c r="U106">
        <v>1</v>
      </c>
      <c r="V106" s="13">
        <v>45175</v>
      </c>
      <c r="W106">
        <v>1</v>
      </c>
      <c r="X106">
        <v>1</v>
      </c>
      <c r="Y106" t="s">
        <v>3666</v>
      </c>
      <c r="AC106">
        <v>2093</v>
      </c>
      <c r="AD106" t="e" vm="102">
        <v>#VALUE!</v>
      </c>
    </row>
    <row r="107" spans="2:30" x14ac:dyDescent="0.25">
      <c r="B107">
        <v>2094</v>
      </c>
      <c r="C107" t="s">
        <v>3662</v>
      </c>
      <c r="D107" t="s">
        <v>3665</v>
      </c>
      <c r="E107" t="s">
        <v>3815</v>
      </c>
      <c r="F107" t="s">
        <v>92</v>
      </c>
      <c r="G107" t="s">
        <v>96</v>
      </c>
      <c r="H107" t="s">
        <v>3808</v>
      </c>
      <c r="I107" t="s">
        <v>3809</v>
      </c>
      <c r="J107" t="s">
        <v>3810</v>
      </c>
      <c r="K107" t="s">
        <v>1218</v>
      </c>
      <c r="L107" s="13">
        <v>42860</v>
      </c>
      <c r="M107">
        <v>6</v>
      </c>
      <c r="N107" t="s">
        <v>79</v>
      </c>
      <c r="O107" t="s">
        <v>3811</v>
      </c>
      <c r="P107" t="s">
        <v>76</v>
      </c>
      <c r="Q107" t="s">
        <v>76</v>
      </c>
      <c r="R107" t="s">
        <v>76</v>
      </c>
      <c r="S107" t="s">
        <v>76</v>
      </c>
      <c r="T107" t="s">
        <v>76</v>
      </c>
      <c r="U107">
        <v>1</v>
      </c>
      <c r="V107" s="13">
        <v>45175</v>
      </c>
      <c r="W107">
        <v>1</v>
      </c>
      <c r="X107">
        <v>1</v>
      </c>
      <c r="Y107" t="s">
        <v>3666</v>
      </c>
      <c r="AC107">
        <v>2094</v>
      </c>
      <c r="AD107" t="e" vm="103">
        <v>#VALUE!</v>
      </c>
    </row>
    <row r="108" spans="2:30" x14ac:dyDescent="0.25">
      <c r="B108">
        <v>2095</v>
      </c>
      <c r="C108" t="s">
        <v>3662</v>
      </c>
      <c r="D108" t="s">
        <v>3665</v>
      </c>
      <c r="E108" t="s">
        <v>3815</v>
      </c>
      <c r="F108" t="s">
        <v>92</v>
      </c>
      <c r="G108" t="s">
        <v>96</v>
      </c>
      <c r="H108" t="s">
        <v>3808</v>
      </c>
      <c r="I108" t="s">
        <v>3809</v>
      </c>
      <c r="J108" t="s">
        <v>3810</v>
      </c>
      <c r="K108" t="s">
        <v>1218</v>
      </c>
      <c r="L108" s="13">
        <v>42859</v>
      </c>
      <c r="M108">
        <v>6</v>
      </c>
      <c r="N108" t="s">
        <v>79</v>
      </c>
      <c r="O108" t="s">
        <v>3811</v>
      </c>
      <c r="P108" t="s">
        <v>76</v>
      </c>
      <c r="Q108" t="s">
        <v>76</v>
      </c>
      <c r="R108" t="s">
        <v>76</v>
      </c>
      <c r="S108" t="s">
        <v>76</v>
      </c>
      <c r="T108" t="s">
        <v>76</v>
      </c>
      <c r="U108">
        <v>1</v>
      </c>
      <c r="V108" s="13">
        <v>45175</v>
      </c>
      <c r="W108">
        <v>1</v>
      </c>
      <c r="X108">
        <v>1</v>
      </c>
      <c r="Y108" t="s">
        <v>3666</v>
      </c>
      <c r="AC108">
        <v>2095</v>
      </c>
      <c r="AD108" t="e" vm="104">
        <v>#VALUE!</v>
      </c>
    </row>
    <row r="109" spans="2:30" x14ac:dyDescent="0.25">
      <c r="B109">
        <v>2096</v>
      </c>
      <c r="C109" t="s">
        <v>3662</v>
      </c>
      <c r="D109" t="s">
        <v>3665</v>
      </c>
      <c r="E109" t="s">
        <v>3815</v>
      </c>
      <c r="F109" t="s">
        <v>92</v>
      </c>
      <c r="G109" t="s">
        <v>96</v>
      </c>
      <c r="H109" t="s">
        <v>3808</v>
      </c>
      <c r="I109" t="s">
        <v>3809</v>
      </c>
      <c r="J109" t="s">
        <v>3810</v>
      </c>
      <c r="K109" t="s">
        <v>1218</v>
      </c>
      <c r="L109" s="13">
        <v>42859</v>
      </c>
      <c r="M109">
        <v>6</v>
      </c>
      <c r="N109" t="s">
        <v>79</v>
      </c>
      <c r="O109" t="s">
        <v>3811</v>
      </c>
      <c r="P109" t="s">
        <v>76</v>
      </c>
      <c r="Q109" t="s">
        <v>76</v>
      </c>
      <c r="R109" t="s">
        <v>76</v>
      </c>
      <c r="S109" t="s">
        <v>76</v>
      </c>
      <c r="T109" t="s">
        <v>76</v>
      </c>
      <c r="U109">
        <v>1</v>
      </c>
      <c r="V109" s="13">
        <v>45175</v>
      </c>
      <c r="W109">
        <v>1</v>
      </c>
      <c r="X109">
        <v>1</v>
      </c>
      <c r="Y109" t="s">
        <v>3666</v>
      </c>
      <c r="AC109">
        <v>2096</v>
      </c>
      <c r="AD109" t="e" vm="105">
        <v>#VALUE!</v>
      </c>
    </row>
    <row r="110" spans="2:30" x14ac:dyDescent="0.25">
      <c r="B110">
        <v>2097</v>
      </c>
      <c r="C110" t="s">
        <v>3662</v>
      </c>
      <c r="D110" t="s">
        <v>3665</v>
      </c>
      <c r="E110" t="s">
        <v>3815</v>
      </c>
      <c r="F110" t="s">
        <v>92</v>
      </c>
      <c r="G110" t="s">
        <v>96</v>
      </c>
      <c r="H110" t="s">
        <v>3808</v>
      </c>
      <c r="I110" t="s">
        <v>3809</v>
      </c>
      <c r="J110" t="s">
        <v>3810</v>
      </c>
      <c r="K110" t="s">
        <v>1218</v>
      </c>
      <c r="L110" s="13">
        <v>43082</v>
      </c>
      <c r="M110">
        <v>6</v>
      </c>
      <c r="N110" t="s">
        <v>79</v>
      </c>
      <c r="O110" t="s">
        <v>3811</v>
      </c>
      <c r="P110" t="s">
        <v>76</v>
      </c>
      <c r="Q110" t="s">
        <v>76</v>
      </c>
      <c r="R110" t="s">
        <v>76</v>
      </c>
      <c r="S110" t="s">
        <v>76</v>
      </c>
      <c r="T110" t="s">
        <v>76</v>
      </c>
      <c r="U110">
        <v>1</v>
      </c>
      <c r="V110" s="13">
        <v>45175</v>
      </c>
      <c r="W110">
        <v>1</v>
      </c>
      <c r="X110">
        <v>1</v>
      </c>
      <c r="Y110" t="s">
        <v>3666</v>
      </c>
      <c r="AC110">
        <v>2097</v>
      </c>
      <c r="AD110" t="e" vm="106">
        <v>#VALUE!</v>
      </c>
    </row>
    <row r="111" spans="2:30" x14ac:dyDescent="0.25">
      <c r="B111">
        <v>2098</v>
      </c>
      <c r="C111" t="s">
        <v>3662</v>
      </c>
      <c r="D111" t="s">
        <v>3665</v>
      </c>
      <c r="E111" t="s">
        <v>3815</v>
      </c>
      <c r="F111" t="s">
        <v>92</v>
      </c>
      <c r="G111" t="s">
        <v>96</v>
      </c>
      <c r="H111" t="s">
        <v>3808</v>
      </c>
      <c r="I111" t="s">
        <v>3809</v>
      </c>
      <c r="J111" t="s">
        <v>3810</v>
      </c>
      <c r="K111" t="s">
        <v>1218</v>
      </c>
      <c r="L111" s="13">
        <v>43008</v>
      </c>
      <c r="M111">
        <v>6</v>
      </c>
      <c r="N111" t="s">
        <v>79</v>
      </c>
      <c r="O111" t="s">
        <v>3811</v>
      </c>
      <c r="P111" t="s">
        <v>76</v>
      </c>
      <c r="Q111" t="s">
        <v>76</v>
      </c>
      <c r="R111" t="s">
        <v>76</v>
      </c>
      <c r="S111" t="s">
        <v>76</v>
      </c>
      <c r="T111" t="s">
        <v>76</v>
      </c>
      <c r="U111">
        <v>1</v>
      </c>
      <c r="V111" s="13">
        <v>45175</v>
      </c>
      <c r="W111">
        <v>1</v>
      </c>
      <c r="X111">
        <v>1</v>
      </c>
      <c r="Y111" t="s">
        <v>3666</v>
      </c>
      <c r="AC111">
        <v>2098</v>
      </c>
      <c r="AD111" t="e" vm="107">
        <v>#VALUE!</v>
      </c>
    </row>
    <row r="112" spans="2:30" x14ac:dyDescent="0.25">
      <c r="B112">
        <v>2099</v>
      </c>
      <c r="C112" t="s">
        <v>3662</v>
      </c>
      <c r="D112" t="s">
        <v>3665</v>
      </c>
      <c r="E112" t="s">
        <v>3815</v>
      </c>
      <c r="F112" t="s">
        <v>92</v>
      </c>
      <c r="G112" t="s">
        <v>96</v>
      </c>
      <c r="H112" t="s">
        <v>3808</v>
      </c>
      <c r="I112" t="s">
        <v>3809</v>
      </c>
      <c r="J112" t="s">
        <v>3810</v>
      </c>
      <c r="K112" t="s">
        <v>1218</v>
      </c>
      <c r="L112" s="13">
        <v>42992</v>
      </c>
      <c r="M112">
        <v>6</v>
      </c>
      <c r="N112" t="s">
        <v>79</v>
      </c>
      <c r="O112" t="s">
        <v>3811</v>
      </c>
      <c r="P112" t="s">
        <v>76</v>
      </c>
      <c r="Q112" t="s">
        <v>76</v>
      </c>
      <c r="R112" t="s">
        <v>76</v>
      </c>
      <c r="S112" t="s">
        <v>76</v>
      </c>
      <c r="T112" t="s">
        <v>76</v>
      </c>
      <c r="U112">
        <v>1</v>
      </c>
      <c r="V112" s="13">
        <v>45175</v>
      </c>
      <c r="W112">
        <v>1</v>
      </c>
      <c r="X112">
        <v>1</v>
      </c>
      <c r="Y112" t="s">
        <v>3666</v>
      </c>
      <c r="AC112">
        <v>2099</v>
      </c>
      <c r="AD112" t="e" vm="108">
        <v>#VALUE!</v>
      </c>
    </row>
    <row r="113" spans="2:30" x14ac:dyDescent="0.25">
      <c r="B113">
        <v>2100</v>
      </c>
      <c r="C113" t="s">
        <v>3662</v>
      </c>
      <c r="D113" t="s">
        <v>3665</v>
      </c>
      <c r="E113" t="s">
        <v>3815</v>
      </c>
      <c r="F113" t="s">
        <v>92</v>
      </c>
      <c r="G113" t="s">
        <v>96</v>
      </c>
      <c r="H113" t="s">
        <v>3808</v>
      </c>
      <c r="I113" t="s">
        <v>3809</v>
      </c>
      <c r="J113" t="s">
        <v>3810</v>
      </c>
      <c r="K113" t="s">
        <v>1218</v>
      </c>
      <c r="L113" s="13">
        <v>42992</v>
      </c>
      <c r="M113">
        <v>6</v>
      </c>
      <c r="N113" t="s">
        <v>79</v>
      </c>
      <c r="O113" t="s">
        <v>3811</v>
      </c>
      <c r="P113" t="s">
        <v>76</v>
      </c>
      <c r="Q113" t="s">
        <v>76</v>
      </c>
      <c r="R113" t="s">
        <v>76</v>
      </c>
      <c r="S113" t="s">
        <v>76</v>
      </c>
      <c r="T113" t="s">
        <v>76</v>
      </c>
      <c r="U113">
        <v>1</v>
      </c>
      <c r="V113" s="13">
        <v>45175</v>
      </c>
      <c r="W113">
        <v>1</v>
      </c>
      <c r="X113">
        <v>1</v>
      </c>
      <c r="Y113" t="s">
        <v>3666</v>
      </c>
      <c r="AC113">
        <v>2100</v>
      </c>
      <c r="AD113" t="e" vm="109">
        <v>#VALUE!</v>
      </c>
    </row>
    <row r="114" spans="2:30" x14ac:dyDescent="0.25">
      <c r="B114">
        <v>2101</v>
      </c>
      <c r="C114" t="s">
        <v>3662</v>
      </c>
      <c r="D114" t="s">
        <v>3665</v>
      </c>
      <c r="E114" t="s">
        <v>3815</v>
      </c>
      <c r="F114" t="s">
        <v>92</v>
      </c>
      <c r="G114" t="s">
        <v>96</v>
      </c>
      <c r="H114" t="s">
        <v>3808</v>
      </c>
      <c r="I114" t="s">
        <v>3809</v>
      </c>
      <c r="J114" t="s">
        <v>3810</v>
      </c>
      <c r="K114" t="s">
        <v>1218</v>
      </c>
      <c r="L114" s="13">
        <v>42992</v>
      </c>
      <c r="M114">
        <v>6</v>
      </c>
      <c r="N114" t="s">
        <v>79</v>
      </c>
      <c r="O114" t="s">
        <v>3811</v>
      </c>
      <c r="P114" t="s">
        <v>76</v>
      </c>
      <c r="Q114" t="s">
        <v>76</v>
      </c>
      <c r="R114" t="s">
        <v>76</v>
      </c>
      <c r="S114" t="s">
        <v>76</v>
      </c>
      <c r="T114" t="s">
        <v>76</v>
      </c>
      <c r="U114">
        <v>1</v>
      </c>
      <c r="V114" s="13">
        <v>45175</v>
      </c>
      <c r="W114">
        <v>1</v>
      </c>
      <c r="X114">
        <v>1</v>
      </c>
      <c r="Y114" t="s">
        <v>3666</v>
      </c>
      <c r="AC114">
        <v>2101</v>
      </c>
      <c r="AD114" t="e" vm="110">
        <v>#VALUE!</v>
      </c>
    </row>
    <row r="115" spans="2:30" x14ac:dyDescent="0.25">
      <c r="B115">
        <v>2102</v>
      </c>
      <c r="C115" t="s">
        <v>3662</v>
      </c>
      <c r="D115" t="s">
        <v>3665</v>
      </c>
      <c r="E115" t="s">
        <v>3815</v>
      </c>
      <c r="F115" t="s">
        <v>92</v>
      </c>
      <c r="G115" t="s">
        <v>96</v>
      </c>
      <c r="H115" t="s">
        <v>3808</v>
      </c>
      <c r="I115" t="s">
        <v>3809</v>
      </c>
      <c r="J115" t="s">
        <v>3810</v>
      </c>
      <c r="K115" t="s">
        <v>1218</v>
      </c>
      <c r="L115" s="13">
        <v>42992</v>
      </c>
      <c r="M115">
        <v>6</v>
      </c>
      <c r="N115" t="s">
        <v>79</v>
      </c>
      <c r="O115" t="s">
        <v>3811</v>
      </c>
      <c r="P115" t="s">
        <v>76</v>
      </c>
      <c r="Q115" t="s">
        <v>76</v>
      </c>
      <c r="R115" t="s">
        <v>76</v>
      </c>
      <c r="S115" t="s">
        <v>76</v>
      </c>
      <c r="T115" t="s">
        <v>76</v>
      </c>
      <c r="U115">
        <v>1</v>
      </c>
      <c r="V115" s="13">
        <v>45175</v>
      </c>
      <c r="W115">
        <v>1</v>
      </c>
      <c r="X115">
        <v>1</v>
      </c>
      <c r="Y115" t="s">
        <v>3666</v>
      </c>
      <c r="AC115">
        <v>2102</v>
      </c>
      <c r="AD115" t="e" vm="111">
        <v>#VALUE!</v>
      </c>
    </row>
    <row r="116" spans="2:30" x14ac:dyDescent="0.25">
      <c r="B116">
        <v>2103</v>
      </c>
      <c r="C116" t="s">
        <v>3662</v>
      </c>
      <c r="D116" t="s">
        <v>3665</v>
      </c>
      <c r="E116" t="s">
        <v>3815</v>
      </c>
      <c r="F116" t="s">
        <v>92</v>
      </c>
      <c r="G116" t="s">
        <v>96</v>
      </c>
      <c r="H116" t="s">
        <v>3808</v>
      </c>
      <c r="I116" t="s">
        <v>3809</v>
      </c>
      <c r="J116" t="s">
        <v>3810</v>
      </c>
      <c r="K116" t="s">
        <v>1218</v>
      </c>
      <c r="L116" s="13">
        <v>42992</v>
      </c>
      <c r="M116">
        <v>6</v>
      </c>
      <c r="N116" t="s">
        <v>79</v>
      </c>
      <c r="O116" t="s">
        <v>3811</v>
      </c>
      <c r="P116" t="s">
        <v>76</v>
      </c>
      <c r="Q116" t="s">
        <v>76</v>
      </c>
      <c r="R116" t="s">
        <v>76</v>
      </c>
      <c r="S116" t="s">
        <v>76</v>
      </c>
      <c r="T116" t="s">
        <v>76</v>
      </c>
      <c r="U116">
        <v>1</v>
      </c>
      <c r="V116" s="13">
        <v>45175</v>
      </c>
      <c r="W116">
        <v>1</v>
      </c>
      <c r="X116">
        <v>1</v>
      </c>
      <c r="Y116" t="s">
        <v>3666</v>
      </c>
      <c r="AC116">
        <v>2103</v>
      </c>
      <c r="AD116" t="e" vm="112">
        <v>#VALUE!</v>
      </c>
    </row>
    <row r="117" spans="2:30" x14ac:dyDescent="0.25">
      <c r="B117">
        <v>2104</v>
      </c>
      <c r="C117" t="s">
        <v>3646</v>
      </c>
      <c r="D117" t="s">
        <v>3647</v>
      </c>
      <c r="E117" t="s">
        <v>3807</v>
      </c>
      <c r="F117" t="s">
        <v>105</v>
      </c>
      <c r="G117" t="s">
        <v>108</v>
      </c>
      <c r="H117" t="s">
        <v>3808</v>
      </c>
      <c r="I117" t="s">
        <v>3809</v>
      </c>
      <c r="J117" t="s">
        <v>3810</v>
      </c>
      <c r="K117" t="s">
        <v>1218</v>
      </c>
      <c r="L117" s="13">
        <v>43010</v>
      </c>
      <c r="M117">
        <v>6</v>
      </c>
      <c r="N117" t="s">
        <v>90</v>
      </c>
      <c r="O117" t="s">
        <v>3811</v>
      </c>
      <c r="P117" t="s">
        <v>76</v>
      </c>
      <c r="Q117" t="s">
        <v>76</v>
      </c>
      <c r="R117" t="s">
        <v>76</v>
      </c>
      <c r="S117" t="s">
        <v>76</v>
      </c>
      <c r="T117" t="s">
        <v>76</v>
      </c>
      <c r="U117">
        <v>1</v>
      </c>
      <c r="V117" s="13">
        <v>45175</v>
      </c>
      <c r="W117">
        <v>1</v>
      </c>
      <c r="X117">
        <v>1</v>
      </c>
      <c r="Y117" t="s">
        <v>3648</v>
      </c>
      <c r="AC117">
        <v>2104</v>
      </c>
      <c r="AD117" t="e" vm="113">
        <v>#VALUE!</v>
      </c>
    </row>
    <row r="118" spans="2:30" x14ac:dyDescent="0.25">
      <c r="B118">
        <v>2105</v>
      </c>
      <c r="C118" t="s">
        <v>3662</v>
      </c>
      <c r="D118" t="s">
        <v>3665</v>
      </c>
      <c r="E118" t="s">
        <v>3815</v>
      </c>
      <c r="F118" t="s">
        <v>92</v>
      </c>
      <c r="G118" t="s">
        <v>96</v>
      </c>
      <c r="H118" t="s">
        <v>3808</v>
      </c>
      <c r="I118" t="s">
        <v>3809</v>
      </c>
      <c r="J118" t="s">
        <v>3810</v>
      </c>
      <c r="K118" t="s">
        <v>1218</v>
      </c>
      <c r="L118" s="13">
        <v>42992</v>
      </c>
      <c r="M118">
        <v>6</v>
      </c>
      <c r="N118" t="s">
        <v>79</v>
      </c>
      <c r="O118" t="s">
        <v>3811</v>
      </c>
      <c r="P118" t="s">
        <v>76</v>
      </c>
      <c r="Q118" t="s">
        <v>76</v>
      </c>
      <c r="R118" t="s">
        <v>76</v>
      </c>
      <c r="S118" t="s">
        <v>76</v>
      </c>
      <c r="T118" t="s">
        <v>76</v>
      </c>
      <c r="U118">
        <v>1</v>
      </c>
      <c r="V118" s="13">
        <v>45175</v>
      </c>
      <c r="W118">
        <v>1</v>
      </c>
      <c r="X118">
        <v>1</v>
      </c>
      <c r="Y118" t="s">
        <v>3666</v>
      </c>
      <c r="AC118">
        <v>2105</v>
      </c>
      <c r="AD118" t="e" vm="114">
        <v>#VALUE!</v>
      </c>
    </row>
    <row r="119" spans="2:30" x14ac:dyDescent="0.25">
      <c r="B119">
        <v>2106</v>
      </c>
      <c r="C119" t="s">
        <v>3662</v>
      </c>
      <c r="D119" t="s">
        <v>3665</v>
      </c>
      <c r="E119" t="s">
        <v>3815</v>
      </c>
      <c r="F119" t="s">
        <v>92</v>
      </c>
      <c r="G119" t="s">
        <v>96</v>
      </c>
      <c r="H119" t="s">
        <v>3808</v>
      </c>
      <c r="I119" t="s">
        <v>3809</v>
      </c>
      <c r="J119" t="s">
        <v>3810</v>
      </c>
      <c r="K119" t="s">
        <v>1218</v>
      </c>
      <c r="L119" s="13">
        <v>43008</v>
      </c>
      <c r="M119">
        <v>6</v>
      </c>
      <c r="N119" t="s">
        <v>79</v>
      </c>
      <c r="O119" t="s">
        <v>3811</v>
      </c>
      <c r="P119" t="s">
        <v>76</v>
      </c>
      <c r="Q119" t="s">
        <v>76</v>
      </c>
      <c r="R119" t="s">
        <v>76</v>
      </c>
      <c r="S119" t="s">
        <v>76</v>
      </c>
      <c r="T119" t="s">
        <v>76</v>
      </c>
      <c r="U119">
        <v>1</v>
      </c>
      <c r="V119" s="13">
        <v>45175</v>
      </c>
      <c r="W119">
        <v>1</v>
      </c>
      <c r="X119">
        <v>1</v>
      </c>
      <c r="Y119" t="s">
        <v>3666</v>
      </c>
      <c r="AC119">
        <v>2106</v>
      </c>
      <c r="AD119" t="e" vm="115">
        <v>#VALUE!</v>
      </c>
    </row>
    <row r="120" spans="2:30" x14ac:dyDescent="0.25">
      <c r="B120">
        <v>2107</v>
      </c>
      <c r="C120" t="s">
        <v>3662</v>
      </c>
      <c r="D120" t="s">
        <v>3665</v>
      </c>
      <c r="E120" t="s">
        <v>3815</v>
      </c>
      <c r="F120" t="s">
        <v>92</v>
      </c>
      <c r="G120" t="s">
        <v>96</v>
      </c>
      <c r="H120" t="s">
        <v>3808</v>
      </c>
      <c r="I120" t="s">
        <v>3809</v>
      </c>
      <c r="J120" t="s">
        <v>3810</v>
      </c>
      <c r="K120" t="s">
        <v>1218</v>
      </c>
      <c r="L120" s="13">
        <v>42992</v>
      </c>
      <c r="M120">
        <v>6</v>
      </c>
      <c r="N120" t="s">
        <v>79</v>
      </c>
      <c r="O120" t="s">
        <v>3811</v>
      </c>
      <c r="P120" t="s">
        <v>76</v>
      </c>
      <c r="Q120" t="s">
        <v>76</v>
      </c>
      <c r="R120" t="s">
        <v>76</v>
      </c>
      <c r="S120" t="s">
        <v>76</v>
      </c>
      <c r="T120" t="s">
        <v>76</v>
      </c>
      <c r="U120">
        <v>1</v>
      </c>
      <c r="V120" s="13">
        <v>45175</v>
      </c>
      <c r="W120">
        <v>1</v>
      </c>
      <c r="X120">
        <v>1</v>
      </c>
      <c r="Y120" t="s">
        <v>3666</v>
      </c>
      <c r="AC120">
        <v>2107</v>
      </c>
      <c r="AD120" t="e" vm="116">
        <v>#VALUE!</v>
      </c>
    </row>
    <row r="121" spans="2:30" x14ac:dyDescent="0.25">
      <c r="B121">
        <v>2108</v>
      </c>
      <c r="C121" t="s">
        <v>3662</v>
      </c>
      <c r="D121" t="s">
        <v>3665</v>
      </c>
      <c r="E121" t="s">
        <v>3815</v>
      </c>
      <c r="F121" t="s">
        <v>92</v>
      </c>
      <c r="G121" t="s">
        <v>96</v>
      </c>
      <c r="H121" t="s">
        <v>3808</v>
      </c>
      <c r="I121" t="s">
        <v>3809</v>
      </c>
      <c r="J121" t="s">
        <v>3810</v>
      </c>
      <c r="K121" t="s">
        <v>1218</v>
      </c>
      <c r="L121" s="13">
        <v>43010</v>
      </c>
      <c r="M121">
        <v>6</v>
      </c>
      <c r="N121" t="s">
        <v>79</v>
      </c>
      <c r="O121" t="s">
        <v>3811</v>
      </c>
      <c r="P121" t="s">
        <v>76</v>
      </c>
      <c r="Q121" t="s">
        <v>76</v>
      </c>
      <c r="R121" t="s">
        <v>76</v>
      </c>
      <c r="S121" t="s">
        <v>76</v>
      </c>
      <c r="T121" t="s">
        <v>76</v>
      </c>
      <c r="U121">
        <v>1</v>
      </c>
      <c r="V121" s="13">
        <v>45175</v>
      </c>
      <c r="W121">
        <v>1</v>
      </c>
      <c r="X121">
        <v>1</v>
      </c>
      <c r="Y121" t="s">
        <v>3666</v>
      </c>
      <c r="AC121">
        <v>2108</v>
      </c>
      <c r="AD121" t="e" vm="117">
        <v>#VALUE!</v>
      </c>
    </row>
    <row r="122" spans="2:30" x14ac:dyDescent="0.25">
      <c r="B122">
        <v>2109</v>
      </c>
      <c r="C122" t="s">
        <v>3662</v>
      </c>
      <c r="D122" t="s">
        <v>3665</v>
      </c>
      <c r="E122" t="s">
        <v>3815</v>
      </c>
      <c r="F122" t="s">
        <v>92</v>
      </c>
      <c r="G122" t="s">
        <v>96</v>
      </c>
      <c r="H122" t="s">
        <v>3808</v>
      </c>
      <c r="I122" t="s">
        <v>3809</v>
      </c>
      <c r="J122" t="s">
        <v>3810</v>
      </c>
      <c r="K122" t="s">
        <v>1218</v>
      </c>
      <c r="L122" s="13">
        <v>43013</v>
      </c>
      <c r="M122">
        <v>6</v>
      </c>
      <c r="N122" t="s">
        <v>79</v>
      </c>
      <c r="O122" t="s">
        <v>3811</v>
      </c>
      <c r="P122" t="s">
        <v>76</v>
      </c>
      <c r="Q122" t="s">
        <v>76</v>
      </c>
      <c r="R122" t="s">
        <v>76</v>
      </c>
      <c r="S122" t="s">
        <v>76</v>
      </c>
      <c r="T122" t="s">
        <v>76</v>
      </c>
      <c r="U122">
        <v>1</v>
      </c>
      <c r="V122" s="13">
        <v>45175</v>
      </c>
      <c r="W122">
        <v>1</v>
      </c>
      <c r="X122">
        <v>1</v>
      </c>
      <c r="Y122" t="s">
        <v>3666</v>
      </c>
      <c r="AC122">
        <v>2109</v>
      </c>
      <c r="AD122" t="e" vm="118">
        <v>#VALUE!</v>
      </c>
    </row>
    <row r="123" spans="2:30" x14ac:dyDescent="0.25">
      <c r="B123">
        <v>2110</v>
      </c>
      <c r="C123" t="s">
        <v>3662</v>
      </c>
      <c r="D123" t="s">
        <v>3665</v>
      </c>
      <c r="E123" t="s">
        <v>3815</v>
      </c>
      <c r="F123" t="s">
        <v>92</v>
      </c>
      <c r="G123" t="s">
        <v>96</v>
      </c>
      <c r="H123" t="s">
        <v>3808</v>
      </c>
      <c r="I123" t="s">
        <v>3809</v>
      </c>
      <c r="J123" t="s">
        <v>3810</v>
      </c>
      <c r="K123" t="s">
        <v>1218</v>
      </c>
      <c r="L123" s="13">
        <v>43010</v>
      </c>
      <c r="M123">
        <v>6</v>
      </c>
      <c r="N123" t="s">
        <v>79</v>
      </c>
      <c r="O123" t="s">
        <v>3811</v>
      </c>
      <c r="P123" t="s">
        <v>76</v>
      </c>
      <c r="Q123" t="s">
        <v>76</v>
      </c>
      <c r="R123" t="s">
        <v>76</v>
      </c>
      <c r="S123" t="s">
        <v>76</v>
      </c>
      <c r="T123" t="s">
        <v>76</v>
      </c>
      <c r="U123">
        <v>1</v>
      </c>
      <c r="V123" s="13">
        <v>45175</v>
      </c>
      <c r="W123">
        <v>1</v>
      </c>
      <c r="X123">
        <v>1</v>
      </c>
      <c r="Y123" t="s">
        <v>3666</v>
      </c>
      <c r="AC123">
        <v>2110</v>
      </c>
      <c r="AD123" t="e" vm="119">
        <v>#VALUE!</v>
      </c>
    </row>
    <row r="124" spans="2:30" x14ac:dyDescent="0.25">
      <c r="B124">
        <v>2112</v>
      </c>
      <c r="C124" t="s">
        <v>3646</v>
      </c>
      <c r="D124" t="s">
        <v>73</v>
      </c>
      <c r="E124" t="s">
        <v>73</v>
      </c>
      <c r="F124" t="s">
        <v>3816</v>
      </c>
      <c r="G124" t="s">
        <v>3816</v>
      </c>
      <c r="H124" t="s">
        <v>3808</v>
      </c>
      <c r="I124" t="s">
        <v>3809</v>
      </c>
      <c r="J124" t="s">
        <v>3810</v>
      </c>
      <c r="K124" t="s">
        <v>1218</v>
      </c>
      <c r="L124" s="13">
        <v>43013</v>
      </c>
      <c r="M124">
        <v>6</v>
      </c>
      <c r="N124" t="s">
        <v>90</v>
      </c>
      <c r="O124" t="s">
        <v>3811</v>
      </c>
      <c r="P124" t="s">
        <v>76</v>
      </c>
      <c r="Q124" t="s">
        <v>76</v>
      </c>
      <c r="R124" t="s">
        <v>76</v>
      </c>
      <c r="S124" t="s">
        <v>76</v>
      </c>
      <c r="T124" t="s">
        <v>76</v>
      </c>
      <c r="U124">
        <v>1</v>
      </c>
      <c r="V124" s="13">
        <v>45175</v>
      </c>
      <c r="W124">
        <v>1</v>
      </c>
      <c r="X124">
        <v>1</v>
      </c>
      <c r="Y124" t="s">
        <v>3667</v>
      </c>
      <c r="AC124">
        <v>2112</v>
      </c>
      <c r="AD124" t="e" vm="120">
        <v>#VALUE!</v>
      </c>
    </row>
    <row r="125" spans="2:30" x14ac:dyDescent="0.25">
      <c r="B125">
        <v>2113</v>
      </c>
      <c r="C125" t="s">
        <v>3646</v>
      </c>
      <c r="D125" t="s">
        <v>73</v>
      </c>
      <c r="E125" t="s">
        <v>73</v>
      </c>
      <c r="F125" t="s">
        <v>3816</v>
      </c>
      <c r="G125" t="s">
        <v>3816</v>
      </c>
      <c r="H125" t="s">
        <v>3808</v>
      </c>
      <c r="I125" t="s">
        <v>3809</v>
      </c>
      <c r="J125" t="s">
        <v>3810</v>
      </c>
      <c r="K125" t="s">
        <v>1218</v>
      </c>
      <c r="L125" s="13">
        <v>43013</v>
      </c>
      <c r="M125">
        <v>6</v>
      </c>
      <c r="N125" t="s">
        <v>90</v>
      </c>
      <c r="O125" t="s">
        <v>3811</v>
      </c>
      <c r="P125" t="s">
        <v>76</v>
      </c>
      <c r="Q125" t="s">
        <v>76</v>
      </c>
      <c r="R125" t="s">
        <v>76</v>
      </c>
      <c r="S125" t="s">
        <v>76</v>
      </c>
      <c r="T125" t="s">
        <v>76</v>
      </c>
      <c r="U125">
        <v>1</v>
      </c>
      <c r="V125" s="13">
        <v>45175</v>
      </c>
      <c r="W125">
        <v>1</v>
      </c>
      <c r="X125">
        <v>1</v>
      </c>
      <c r="Y125" t="s">
        <v>3667</v>
      </c>
      <c r="AC125">
        <v>2113</v>
      </c>
      <c r="AD125" t="e" vm="121">
        <v>#VALUE!</v>
      </c>
    </row>
    <row r="126" spans="2:30" x14ac:dyDescent="0.25">
      <c r="B126">
        <v>2114</v>
      </c>
      <c r="C126" t="s">
        <v>3646</v>
      </c>
      <c r="D126" t="s">
        <v>3647</v>
      </c>
      <c r="E126" t="s">
        <v>3807</v>
      </c>
      <c r="F126" t="s">
        <v>105</v>
      </c>
      <c r="G126" t="s">
        <v>108</v>
      </c>
      <c r="H126" t="s">
        <v>3808</v>
      </c>
      <c r="I126" t="s">
        <v>3809</v>
      </c>
      <c r="J126" t="s">
        <v>3810</v>
      </c>
      <c r="K126" t="s">
        <v>1218</v>
      </c>
      <c r="L126" s="13">
        <v>43013</v>
      </c>
      <c r="M126">
        <v>6</v>
      </c>
      <c r="N126" t="s">
        <v>90</v>
      </c>
      <c r="O126" t="s">
        <v>3811</v>
      </c>
      <c r="P126" t="s">
        <v>76</v>
      </c>
      <c r="Q126" t="s">
        <v>76</v>
      </c>
      <c r="R126" t="s">
        <v>76</v>
      </c>
      <c r="S126" t="s">
        <v>76</v>
      </c>
      <c r="T126" t="s">
        <v>76</v>
      </c>
      <c r="U126">
        <v>1</v>
      </c>
      <c r="V126" s="13">
        <v>45175</v>
      </c>
      <c r="W126">
        <v>1</v>
      </c>
      <c r="X126">
        <v>1</v>
      </c>
      <c r="Y126" t="s">
        <v>3648</v>
      </c>
      <c r="AC126">
        <v>2114</v>
      </c>
      <c r="AD126" t="e" vm="122">
        <v>#VALUE!</v>
      </c>
    </row>
    <row r="127" spans="2:30" x14ac:dyDescent="0.25">
      <c r="B127">
        <v>2115</v>
      </c>
      <c r="C127" t="s">
        <v>3662</v>
      </c>
      <c r="D127" t="s">
        <v>3665</v>
      </c>
      <c r="E127" t="s">
        <v>3815</v>
      </c>
      <c r="F127" t="s">
        <v>92</v>
      </c>
      <c r="G127" t="s">
        <v>96</v>
      </c>
      <c r="H127" t="s">
        <v>3808</v>
      </c>
      <c r="I127" t="s">
        <v>3809</v>
      </c>
      <c r="J127" t="s">
        <v>3810</v>
      </c>
      <c r="K127" t="s">
        <v>1218</v>
      </c>
      <c r="L127" s="13">
        <v>43025</v>
      </c>
      <c r="M127">
        <v>6</v>
      </c>
      <c r="N127" t="s">
        <v>79</v>
      </c>
      <c r="O127" t="s">
        <v>3811</v>
      </c>
      <c r="P127" t="s">
        <v>76</v>
      </c>
      <c r="Q127" t="s">
        <v>76</v>
      </c>
      <c r="R127" t="s">
        <v>76</v>
      </c>
      <c r="S127" t="s">
        <v>76</v>
      </c>
      <c r="T127" t="s">
        <v>76</v>
      </c>
      <c r="U127">
        <v>1</v>
      </c>
      <c r="V127" s="13">
        <v>45175</v>
      </c>
      <c r="W127">
        <v>1</v>
      </c>
      <c r="X127">
        <v>1</v>
      </c>
      <c r="Y127" t="s">
        <v>3666</v>
      </c>
      <c r="AC127">
        <v>2115</v>
      </c>
      <c r="AD127" t="e" vm="123">
        <v>#VALUE!</v>
      </c>
    </row>
    <row r="128" spans="2:30" x14ac:dyDescent="0.25">
      <c r="B128">
        <v>2116</v>
      </c>
      <c r="C128" t="s">
        <v>3662</v>
      </c>
      <c r="D128" t="s">
        <v>3665</v>
      </c>
      <c r="E128" t="s">
        <v>3815</v>
      </c>
      <c r="F128" t="s">
        <v>92</v>
      </c>
      <c r="G128" t="s">
        <v>96</v>
      </c>
      <c r="H128" t="s">
        <v>3808</v>
      </c>
      <c r="I128" t="s">
        <v>3809</v>
      </c>
      <c r="J128" t="s">
        <v>3810</v>
      </c>
      <c r="K128" t="s">
        <v>1218</v>
      </c>
      <c r="L128" s="13">
        <v>43025</v>
      </c>
      <c r="M128">
        <v>6</v>
      </c>
      <c r="N128" t="s">
        <v>79</v>
      </c>
      <c r="O128" t="s">
        <v>3811</v>
      </c>
      <c r="P128" t="s">
        <v>76</v>
      </c>
      <c r="Q128" t="s">
        <v>76</v>
      </c>
      <c r="R128" t="s">
        <v>76</v>
      </c>
      <c r="S128" t="s">
        <v>76</v>
      </c>
      <c r="T128" t="s">
        <v>76</v>
      </c>
      <c r="U128">
        <v>1</v>
      </c>
      <c r="V128" s="13">
        <v>45175</v>
      </c>
      <c r="W128">
        <v>1</v>
      </c>
      <c r="X128">
        <v>1</v>
      </c>
      <c r="Y128" t="s">
        <v>3666</v>
      </c>
      <c r="AC128">
        <v>2116</v>
      </c>
      <c r="AD128" t="e" vm="124">
        <v>#VALUE!</v>
      </c>
    </row>
    <row r="129" spans="2:30" x14ac:dyDescent="0.25">
      <c r="B129">
        <v>2117</v>
      </c>
      <c r="C129" t="s">
        <v>3662</v>
      </c>
      <c r="D129" t="s">
        <v>3665</v>
      </c>
      <c r="E129" t="s">
        <v>3815</v>
      </c>
      <c r="F129" t="s">
        <v>92</v>
      </c>
      <c r="G129" t="s">
        <v>96</v>
      </c>
      <c r="H129" t="s">
        <v>3808</v>
      </c>
      <c r="I129" t="s">
        <v>3809</v>
      </c>
      <c r="J129" t="s">
        <v>3810</v>
      </c>
      <c r="K129" t="s">
        <v>1218</v>
      </c>
      <c r="L129" s="13">
        <v>43025</v>
      </c>
      <c r="M129">
        <v>6</v>
      </c>
      <c r="N129" t="s">
        <v>79</v>
      </c>
      <c r="O129" t="s">
        <v>3811</v>
      </c>
      <c r="P129" t="s">
        <v>76</v>
      </c>
      <c r="Q129" t="s">
        <v>76</v>
      </c>
      <c r="R129" t="s">
        <v>76</v>
      </c>
      <c r="S129" t="s">
        <v>76</v>
      </c>
      <c r="T129" t="s">
        <v>76</v>
      </c>
      <c r="U129">
        <v>1</v>
      </c>
      <c r="V129" s="13">
        <v>45175</v>
      </c>
      <c r="W129">
        <v>1</v>
      </c>
      <c r="X129">
        <v>1</v>
      </c>
      <c r="Y129" t="s">
        <v>3666</v>
      </c>
      <c r="AC129">
        <v>2117</v>
      </c>
      <c r="AD129" t="e" vm="125">
        <v>#VALUE!</v>
      </c>
    </row>
    <row r="130" spans="2:30" x14ac:dyDescent="0.25">
      <c r="B130">
        <v>2118</v>
      </c>
      <c r="C130" t="s">
        <v>3662</v>
      </c>
      <c r="D130" t="s">
        <v>3665</v>
      </c>
      <c r="E130" t="s">
        <v>3815</v>
      </c>
      <c r="F130" t="s">
        <v>92</v>
      </c>
      <c r="G130" t="s">
        <v>96</v>
      </c>
      <c r="H130" t="s">
        <v>3808</v>
      </c>
      <c r="I130" t="s">
        <v>3809</v>
      </c>
      <c r="J130" t="s">
        <v>3810</v>
      </c>
      <c r="K130" t="s">
        <v>1218</v>
      </c>
      <c r="L130" s="13">
        <v>43025</v>
      </c>
      <c r="M130">
        <v>6</v>
      </c>
      <c r="N130" t="s">
        <v>79</v>
      </c>
      <c r="O130" t="s">
        <v>3811</v>
      </c>
      <c r="P130" t="s">
        <v>76</v>
      </c>
      <c r="Q130" t="s">
        <v>76</v>
      </c>
      <c r="R130" t="s">
        <v>76</v>
      </c>
      <c r="S130" t="s">
        <v>76</v>
      </c>
      <c r="T130" t="s">
        <v>76</v>
      </c>
      <c r="U130">
        <v>1</v>
      </c>
      <c r="V130" s="13">
        <v>45175</v>
      </c>
      <c r="W130">
        <v>1</v>
      </c>
      <c r="X130">
        <v>1</v>
      </c>
      <c r="Y130" t="s">
        <v>3666</v>
      </c>
      <c r="AC130">
        <v>2118</v>
      </c>
      <c r="AD130" t="e" vm="126">
        <v>#VALUE!</v>
      </c>
    </row>
    <row r="131" spans="2:30" x14ac:dyDescent="0.25">
      <c r="B131">
        <v>2119</v>
      </c>
      <c r="C131" t="s">
        <v>3662</v>
      </c>
      <c r="D131" t="s">
        <v>3665</v>
      </c>
      <c r="E131" t="s">
        <v>3815</v>
      </c>
      <c r="F131" t="s">
        <v>92</v>
      </c>
      <c r="G131" t="s">
        <v>96</v>
      </c>
      <c r="H131" t="s">
        <v>3808</v>
      </c>
      <c r="I131" t="s">
        <v>3809</v>
      </c>
      <c r="J131" t="s">
        <v>3810</v>
      </c>
      <c r="K131" t="s">
        <v>1218</v>
      </c>
      <c r="L131" s="13">
        <v>43025</v>
      </c>
      <c r="M131">
        <v>6</v>
      </c>
      <c r="N131" t="s">
        <v>79</v>
      </c>
      <c r="O131" t="s">
        <v>3811</v>
      </c>
      <c r="P131" t="s">
        <v>76</v>
      </c>
      <c r="Q131" t="s">
        <v>76</v>
      </c>
      <c r="R131" t="s">
        <v>76</v>
      </c>
      <c r="S131" t="s">
        <v>76</v>
      </c>
      <c r="T131" t="s">
        <v>76</v>
      </c>
      <c r="U131">
        <v>1</v>
      </c>
      <c r="V131" s="13">
        <v>45175</v>
      </c>
      <c r="W131">
        <v>1</v>
      </c>
      <c r="X131">
        <v>1</v>
      </c>
      <c r="Y131" t="s">
        <v>3666</v>
      </c>
      <c r="AC131">
        <v>2119</v>
      </c>
      <c r="AD131" t="e" vm="127">
        <v>#VALUE!</v>
      </c>
    </row>
    <row r="132" spans="2:30" x14ac:dyDescent="0.25">
      <c r="B132">
        <v>2120</v>
      </c>
      <c r="C132" t="s">
        <v>3662</v>
      </c>
      <c r="D132" t="s">
        <v>3665</v>
      </c>
      <c r="E132" t="s">
        <v>3815</v>
      </c>
      <c r="F132" t="s">
        <v>92</v>
      </c>
      <c r="G132" t="s">
        <v>96</v>
      </c>
      <c r="H132" t="s">
        <v>3808</v>
      </c>
      <c r="I132" t="s">
        <v>3809</v>
      </c>
      <c r="J132" t="s">
        <v>3810</v>
      </c>
      <c r="K132" t="s">
        <v>1218</v>
      </c>
      <c r="L132" s="13">
        <v>43034</v>
      </c>
      <c r="M132">
        <v>6</v>
      </c>
      <c r="N132" t="s">
        <v>79</v>
      </c>
      <c r="O132" t="s">
        <v>3811</v>
      </c>
      <c r="P132" t="s">
        <v>76</v>
      </c>
      <c r="Q132" t="s">
        <v>76</v>
      </c>
      <c r="R132" t="s">
        <v>76</v>
      </c>
      <c r="S132" t="s">
        <v>76</v>
      </c>
      <c r="T132" t="s">
        <v>76</v>
      </c>
      <c r="U132">
        <v>1</v>
      </c>
      <c r="V132" s="13">
        <v>45175</v>
      </c>
      <c r="W132">
        <v>1</v>
      </c>
      <c r="X132">
        <v>1</v>
      </c>
      <c r="Y132" t="s">
        <v>3666</v>
      </c>
      <c r="AC132">
        <v>2120</v>
      </c>
      <c r="AD132" t="e" vm="128">
        <v>#VALUE!</v>
      </c>
    </row>
    <row r="133" spans="2:30" x14ac:dyDescent="0.25">
      <c r="B133">
        <v>2121</v>
      </c>
      <c r="C133" t="s">
        <v>3662</v>
      </c>
      <c r="D133" t="s">
        <v>3665</v>
      </c>
      <c r="E133" t="s">
        <v>3815</v>
      </c>
      <c r="F133" t="s">
        <v>92</v>
      </c>
      <c r="G133" t="s">
        <v>96</v>
      </c>
      <c r="H133" t="s">
        <v>3808</v>
      </c>
      <c r="I133" t="s">
        <v>3809</v>
      </c>
      <c r="J133" t="s">
        <v>3810</v>
      </c>
      <c r="K133" t="s">
        <v>1218</v>
      </c>
      <c r="L133" s="13">
        <v>43025</v>
      </c>
      <c r="M133">
        <v>6</v>
      </c>
      <c r="N133" t="s">
        <v>79</v>
      </c>
      <c r="O133" t="s">
        <v>3811</v>
      </c>
      <c r="P133" t="s">
        <v>76</v>
      </c>
      <c r="Q133" t="s">
        <v>76</v>
      </c>
      <c r="R133" t="s">
        <v>76</v>
      </c>
      <c r="S133" t="s">
        <v>76</v>
      </c>
      <c r="T133" t="s">
        <v>76</v>
      </c>
      <c r="U133">
        <v>1</v>
      </c>
      <c r="V133" s="13">
        <v>45175</v>
      </c>
      <c r="W133">
        <v>1</v>
      </c>
      <c r="X133">
        <v>1</v>
      </c>
      <c r="Y133" t="s">
        <v>3666</v>
      </c>
      <c r="AC133">
        <v>2121</v>
      </c>
      <c r="AD133" t="e" vm="129">
        <v>#VALUE!</v>
      </c>
    </row>
    <row r="134" spans="2:30" x14ac:dyDescent="0.25">
      <c r="B134">
        <v>2122</v>
      </c>
      <c r="C134" t="s">
        <v>3662</v>
      </c>
      <c r="D134" t="s">
        <v>3665</v>
      </c>
      <c r="E134" t="s">
        <v>3815</v>
      </c>
      <c r="F134" t="s">
        <v>92</v>
      </c>
      <c r="G134" t="s">
        <v>96</v>
      </c>
      <c r="H134" t="s">
        <v>3808</v>
      </c>
      <c r="I134" t="s">
        <v>3809</v>
      </c>
      <c r="J134" t="s">
        <v>3810</v>
      </c>
      <c r="K134" t="s">
        <v>1218</v>
      </c>
      <c r="L134" s="13">
        <v>43025</v>
      </c>
      <c r="M134">
        <v>6</v>
      </c>
      <c r="N134" t="s">
        <v>79</v>
      </c>
      <c r="O134" t="s">
        <v>3811</v>
      </c>
      <c r="P134" t="s">
        <v>76</v>
      </c>
      <c r="Q134" t="s">
        <v>76</v>
      </c>
      <c r="R134" t="s">
        <v>76</v>
      </c>
      <c r="S134" t="s">
        <v>76</v>
      </c>
      <c r="T134" t="s">
        <v>76</v>
      </c>
      <c r="U134">
        <v>1</v>
      </c>
      <c r="V134" s="13">
        <v>45175</v>
      </c>
      <c r="W134">
        <v>1</v>
      </c>
      <c r="X134">
        <v>1</v>
      </c>
      <c r="Y134" t="s">
        <v>3666</v>
      </c>
      <c r="AC134">
        <v>2122</v>
      </c>
      <c r="AD134" t="e" vm="130">
        <v>#VALUE!</v>
      </c>
    </row>
    <row r="135" spans="2:30" x14ac:dyDescent="0.25">
      <c r="B135">
        <v>2123</v>
      </c>
      <c r="C135" t="s">
        <v>3662</v>
      </c>
      <c r="D135" t="s">
        <v>3665</v>
      </c>
      <c r="E135" t="s">
        <v>3815</v>
      </c>
      <c r="F135" t="s">
        <v>92</v>
      </c>
      <c r="G135" t="s">
        <v>96</v>
      </c>
      <c r="H135" t="s">
        <v>3808</v>
      </c>
      <c r="I135" t="s">
        <v>3809</v>
      </c>
      <c r="J135" t="s">
        <v>3810</v>
      </c>
      <c r="K135" t="s">
        <v>1218</v>
      </c>
      <c r="L135" s="13">
        <v>43025</v>
      </c>
      <c r="M135">
        <v>6</v>
      </c>
      <c r="N135" t="s">
        <v>79</v>
      </c>
      <c r="O135" t="s">
        <v>3811</v>
      </c>
      <c r="P135" t="s">
        <v>76</v>
      </c>
      <c r="Q135" t="s">
        <v>76</v>
      </c>
      <c r="R135" t="s">
        <v>76</v>
      </c>
      <c r="S135" t="s">
        <v>76</v>
      </c>
      <c r="T135" t="s">
        <v>76</v>
      </c>
      <c r="U135">
        <v>1</v>
      </c>
      <c r="V135" s="13">
        <v>45175</v>
      </c>
      <c r="W135">
        <v>1</v>
      </c>
      <c r="X135">
        <v>1</v>
      </c>
      <c r="Y135" t="s">
        <v>3666</v>
      </c>
      <c r="AC135">
        <v>2123</v>
      </c>
      <c r="AD135" t="e" vm="131">
        <v>#VALUE!</v>
      </c>
    </row>
    <row r="136" spans="2:30" x14ac:dyDescent="0.25">
      <c r="B136">
        <v>2124</v>
      </c>
      <c r="C136" t="s">
        <v>3662</v>
      </c>
      <c r="D136" t="s">
        <v>3665</v>
      </c>
      <c r="E136" t="s">
        <v>3815</v>
      </c>
      <c r="F136" t="s">
        <v>92</v>
      </c>
      <c r="G136" t="s">
        <v>96</v>
      </c>
      <c r="H136" t="s">
        <v>3808</v>
      </c>
      <c r="I136" t="s">
        <v>3809</v>
      </c>
      <c r="J136" t="s">
        <v>3810</v>
      </c>
      <c r="K136" t="s">
        <v>1218</v>
      </c>
      <c r="L136" s="13">
        <v>43174</v>
      </c>
      <c r="M136">
        <v>6</v>
      </c>
      <c r="N136" t="s">
        <v>79</v>
      </c>
      <c r="O136" t="s">
        <v>3811</v>
      </c>
      <c r="P136" t="s">
        <v>76</v>
      </c>
      <c r="Q136" t="s">
        <v>76</v>
      </c>
      <c r="R136" t="s">
        <v>76</v>
      </c>
      <c r="S136" t="s">
        <v>76</v>
      </c>
      <c r="T136" t="s">
        <v>76</v>
      </c>
      <c r="U136">
        <v>1</v>
      </c>
      <c r="V136" s="13">
        <v>45175</v>
      </c>
      <c r="W136">
        <v>1</v>
      </c>
      <c r="X136">
        <v>1</v>
      </c>
      <c r="Y136" t="s">
        <v>3666</v>
      </c>
      <c r="AC136">
        <v>2124</v>
      </c>
      <c r="AD136" t="e" vm="132">
        <v>#VALUE!</v>
      </c>
    </row>
    <row r="137" spans="2:30" x14ac:dyDescent="0.25">
      <c r="B137">
        <v>2125</v>
      </c>
      <c r="C137" t="s">
        <v>3662</v>
      </c>
      <c r="D137" t="s">
        <v>3665</v>
      </c>
      <c r="E137" t="s">
        <v>3815</v>
      </c>
      <c r="F137" t="s">
        <v>92</v>
      </c>
      <c r="G137" t="s">
        <v>96</v>
      </c>
      <c r="H137" t="s">
        <v>3808</v>
      </c>
      <c r="I137" t="s">
        <v>3809</v>
      </c>
      <c r="J137" t="s">
        <v>3810</v>
      </c>
      <c r="K137" t="s">
        <v>1218</v>
      </c>
      <c r="L137" s="13">
        <v>43025</v>
      </c>
      <c r="M137">
        <v>6</v>
      </c>
      <c r="N137" t="s">
        <v>79</v>
      </c>
      <c r="O137" t="s">
        <v>3811</v>
      </c>
      <c r="P137" t="s">
        <v>76</v>
      </c>
      <c r="Q137" t="s">
        <v>76</v>
      </c>
      <c r="R137" t="s">
        <v>76</v>
      </c>
      <c r="S137" t="s">
        <v>76</v>
      </c>
      <c r="T137" t="s">
        <v>76</v>
      </c>
      <c r="U137">
        <v>1</v>
      </c>
      <c r="V137" s="13">
        <v>45175</v>
      </c>
      <c r="W137">
        <v>1</v>
      </c>
      <c r="X137">
        <v>1</v>
      </c>
      <c r="Y137" t="s">
        <v>3666</v>
      </c>
      <c r="AC137">
        <v>2125</v>
      </c>
      <c r="AD137" t="e" vm="133">
        <v>#VALUE!</v>
      </c>
    </row>
    <row r="138" spans="2:30" x14ac:dyDescent="0.25">
      <c r="B138">
        <v>2126</v>
      </c>
      <c r="C138" t="s">
        <v>3662</v>
      </c>
      <c r="D138" t="s">
        <v>3665</v>
      </c>
      <c r="E138" t="s">
        <v>3815</v>
      </c>
      <c r="F138" t="s">
        <v>92</v>
      </c>
      <c r="G138" t="s">
        <v>96</v>
      </c>
      <c r="H138" t="s">
        <v>3808</v>
      </c>
      <c r="I138" t="s">
        <v>3809</v>
      </c>
      <c r="J138" t="s">
        <v>3810</v>
      </c>
      <c r="K138" t="s">
        <v>1218</v>
      </c>
      <c r="L138" s="13">
        <v>43034</v>
      </c>
      <c r="M138">
        <v>6</v>
      </c>
      <c r="N138" t="s">
        <v>79</v>
      </c>
      <c r="O138" t="s">
        <v>3811</v>
      </c>
      <c r="P138" t="s">
        <v>76</v>
      </c>
      <c r="Q138" t="s">
        <v>76</v>
      </c>
      <c r="R138" t="s">
        <v>76</v>
      </c>
      <c r="S138" t="s">
        <v>76</v>
      </c>
      <c r="T138" t="s">
        <v>76</v>
      </c>
      <c r="U138">
        <v>1</v>
      </c>
      <c r="V138" s="13">
        <v>45175</v>
      </c>
      <c r="W138">
        <v>1</v>
      </c>
      <c r="X138">
        <v>1</v>
      </c>
      <c r="Y138" t="s">
        <v>3666</v>
      </c>
      <c r="AC138">
        <v>2126</v>
      </c>
      <c r="AD138" t="e" vm="134">
        <v>#VALUE!</v>
      </c>
    </row>
    <row r="139" spans="2:30" x14ac:dyDescent="0.25">
      <c r="B139">
        <v>2127</v>
      </c>
      <c r="C139" t="s">
        <v>3662</v>
      </c>
      <c r="D139" t="s">
        <v>3665</v>
      </c>
      <c r="E139" t="s">
        <v>3815</v>
      </c>
      <c r="F139" t="s">
        <v>92</v>
      </c>
      <c r="G139" t="s">
        <v>96</v>
      </c>
      <c r="H139" t="s">
        <v>3808</v>
      </c>
      <c r="I139" t="s">
        <v>3809</v>
      </c>
      <c r="J139" t="s">
        <v>3810</v>
      </c>
      <c r="K139" t="s">
        <v>1218</v>
      </c>
      <c r="L139" s="13">
        <v>43025</v>
      </c>
      <c r="M139">
        <v>6</v>
      </c>
      <c r="N139" t="s">
        <v>79</v>
      </c>
      <c r="O139" t="s">
        <v>3811</v>
      </c>
      <c r="P139" t="s">
        <v>76</v>
      </c>
      <c r="Q139" t="s">
        <v>76</v>
      </c>
      <c r="R139" t="s">
        <v>76</v>
      </c>
      <c r="S139" t="s">
        <v>76</v>
      </c>
      <c r="T139" t="s">
        <v>76</v>
      </c>
      <c r="U139">
        <v>1</v>
      </c>
      <c r="V139" s="13">
        <v>45175</v>
      </c>
      <c r="W139">
        <v>1</v>
      </c>
      <c r="X139">
        <v>1</v>
      </c>
      <c r="Y139" t="s">
        <v>3666</v>
      </c>
      <c r="AC139">
        <v>2127</v>
      </c>
      <c r="AD139" t="e" vm="135">
        <v>#VALUE!</v>
      </c>
    </row>
    <row r="140" spans="2:30" x14ac:dyDescent="0.25">
      <c r="B140">
        <v>2128</v>
      </c>
      <c r="C140" t="s">
        <v>3662</v>
      </c>
      <c r="D140" t="s">
        <v>3665</v>
      </c>
      <c r="E140" t="s">
        <v>3815</v>
      </c>
      <c r="F140" t="s">
        <v>92</v>
      </c>
      <c r="G140" t="s">
        <v>96</v>
      </c>
      <c r="H140" t="s">
        <v>3808</v>
      </c>
      <c r="I140" t="s">
        <v>3809</v>
      </c>
      <c r="J140" t="s">
        <v>3810</v>
      </c>
      <c r="K140" t="s">
        <v>1218</v>
      </c>
      <c r="L140" s="13">
        <v>43034</v>
      </c>
      <c r="M140">
        <v>6</v>
      </c>
      <c r="N140" t="s">
        <v>79</v>
      </c>
      <c r="O140" t="s">
        <v>3811</v>
      </c>
      <c r="P140" t="s">
        <v>76</v>
      </c>
      <c r="Q140" t="s">
        <v>76</v>
      </c>
      <c r="R140" t="s">
        <v>76</v>
      </c>
      <c r="S140" t="s">
        <v>76</v>
      </c>
      <c r="T140" t="s">
        <v>76</v>
      </c>
      <c r="U140">
        <v>1</v>
      </c>
      <c r="V140" s="13">
        <v>45175</v>
      </c>
      <c r="W140">
        <v>1</v>
      </c>
      <c r="X140">
        <v>1</v>
      </c>
      <c r="Y140" t="s">
        <v>3666</v>
      </c>
      <c r="AC140">
        <v>2128</v>
      </c>
      <c r="AD140" t="e" vm="136">
        <v>#VALUE!</v>
      </c>
    </row>
    <row r="141" spans="2:30" x14ac:dyDescent="0.25">
      <c r="B141">
        <v>2129</v>
      </c>
      <c r="C141" t="s">
        <v>3662</v>
      </c>
      <c r="D141" t="s">
        <v>3665</v>
      </c>
      <c r="E141" t="s">
        <v>3815</v>
      </c>
      <c r="F141" t="s">
        <v>92</v>
      </c>
      <c r="G141" t="s">
        <v>96</v>
      </c>
      <c r="H141" t="s">
        <v>3808</v>
      </c>
      <c r="I141" t="s">
        <v>3809</v>
      </c>
      <c r="J141" t="s">
        <v>3810</v>
      </c>
      <c r="K141" t="s">
        <v>1218</v>
      </c>
      <c r="L141" s="13">
        <v>43034</v>
      </c>
      <c r="M141">
        <v>6</v>
      </c>
      <c r="N141" t="s">
        <v>79</v>
      </c>
      <c r="O141" t="s">
        <v>3811</v>
      </c>
      <c r="P141" t="s">
        <v>76</v>
      </c>
      <c r="Q141" t="s">
        <v>76</v>
      </c>
      <c r="R141" t="s">
        <v>76</v>
      </c>
      <c r="S141" t="s">
        <v>76</v>
      </c>
      <c r="T141" t="s">
        <v>76</v>
      </c>
      <c r="U141">
        <v>1</v>
      </c>
      <c r="V141" s="13">
        <v>45175</v>
      </c>
      <c r="W141">
        <v>1</v>
      </c>
      <c r="X141">
        <v>1</v>
      </c>
      <c r="Y141" t="s">
        <v>3666</v>
      </c>
      <c r="AC141">
        <v>2129</v>
      </c>
      <c r="AD141" t="e" vm="137">
        <v>#VALUE!</v>
      </c>
    </row>
    <row r="142" spans="2:30" x14ac:dyDescent="0.25">
      <c r="B142">
        <v>2130</v>
      </c>
      <c r="C142" t="s">
        <v>3662</v>
      </c>
      <c r="D142" t="s">
        <v>3663</v>
      </c>
      <c r="E142" t="s">
        <v>3814</v>
      </c>
      <c r="F142" t="s">
        <v>97</v>
      </c>
      <c r="G142" t="s">
        <v>106</v>
      </c>
      <c r="H142" t="s">
        <v>3808</v>
      </c>
      <c r="I142" t="s">
        <v>3809</v>
      </c>
      <c r="J142" t="s">
        <v>3810</v>
      </c>
      <c r="K142" t="s">
        <v>1218</v>
      </c>
      <c r="L142" s="13">
        <v>43034</v>
      </c>
      <c r="M142">
        <v>6</v>
      </c>
      <c r="N142" t="s">
        <v>79</v>
      </c>
      <c r="O142" t="s">
        <v>3811</v>
      </c>
      <c r="P142" t="s">
        <v>76</v>
      </c>
      <c r="Q142" t="s">
        <v>76</v>
      </c>
      <c r="R142" t="s">
        <v>76</v>
      </c>
      <c r="S142" t="s">
        <v>76</v>
      </c>
      <c r="T142" t="s">
        <v>76</v>
      </c>
      <c r="U142">
        <v>1</v>
      </c>
      <c r="V142" s="13">
        <v>45175</v>
      </c>
      <c r="W142">
        <v>1</v>
      </c>
      <c r="X142">
        <v>1</v>
      </c>
      <c r="Y142" t="s">
        <v>3664</v>
      </c>
      <c r="AC142">
        <v>2130</v>
      </c>
      <c r="AD142" t="e" vm="138">
        <v>#VALUE!</v>
      </c>
    </row>
    <row r="143" spans="2:30" x14ac:dyDescent="0.25">
      <c r="B143">
        <v>2131</v>
      </c>
      <c r="C143" t="s">
        <v>3662</v>
      </c>
      <c r="D143" t="s">
        <v>3663</v>
      </c>
      <c r="E143" t="s">
        <v>3814</v>
      </c>
      <c r="F143" t="s">
        <v>97</v>
      </c>
      <c r="G143" t="s">
        <v>106</v>
      </c>
      <c r="H143" t="s">
        <v>3808</v>
      </c>
      <c r="I143" t="s">
        <v>3809</v>
      </c>
      <c r="J143" t="s">
        <v>3810</v>
      </c>
      <c r="K143" t="s">
        <v>1218</v>
      </c>
      <c r="L143" s="13">
        <v>43059</v>
      </c>
      <c r="M143">
        <v>6</v>
      </c>
      <c r="N143" t="s">
        <v>79</v>
      </c>
      <c r="O143" t="s">
        <v>3811</v>
      </c>
      <c r="P143" t="s">
        <v>76</v>
      </c>
      <c r="Q143" t="s">
        <v>76</v>
      </c>
      <c r="R143" t="s">
        <v>76</v>
      </c>
      <c r="S143" t="s">
        <v>76</v>
      </c>
      <c r="T143" t="s">
        <v>76</v>
      </c>
      <c r="U143">
        <v>1</v>
      </c>
      <c r="V143" s="13">
        <v>45175</v>
      </c>
      <c r="W143">
        <v>1</v>
      </c>
      <c r="X143">
        <v>1</v>
      </c>
      <c r="Y143" t="s">
        <v>3664</v>
      </c>
      <c r="AC143">
        <v>2131</v>
      </c>
      <c r="AD143" t="e" vm="139">
        <v>#VALUE!</v>
      </c>
    </row>
    <row r="144" spans="2:30" x14ac:dyDescent="0.25">
      <c r="B144">
        <v>2132</v>
      </c>
      <c r="C144" t="s">
        <v>3662</v>
      </c>
      <c r="D144" t="s">
        <v>3663</v>
      </c>
      <c r="E144" t="s">
        <v>3814</v>
      </c>
      <c r="F144" t="s">
        <v>97</v>
      </c>
      <c r="G144" t="s">
        <v>106</v>
      </c>
      <c r="H144" t="s">
        <v>3808</v>
      </c>
      <c r="I144" t="s">
        <v>3809</v>
      </c>
      <c r="J144" t="s">
        <v>3810</v>
      </c>
      <c r="K144" t="s">
        <v>1218</v>
      </c>
      <c r="L144" s="13">
        <v>43059</v>
      </c>
      <c r="M144">
        <v>6</v>
      </c>
      <c r="N144" t="s">
        <v>79</v>
      </c>
      <c r="O144" t="s">
        <v>3811</v>
      </c>
      <c r="P144" t="s">
        <v>76</v>
      </c>
      <c r="Q144" t="s">
        <v>76</v>
      </c>
      <c r="R144" t="s">
        <v>76</v>
      </c>
      <c r="S144" t="s">
        <v>76</v>
      </c>
      <c r="T144" t="s">
        <v>76</v>
      </c>
      <c r="U144">
        <v>1</v>
      </c>
      <c r="V144" s="13">
        <v>45175</v>
      </c>
      <c r="W144">
        <v>1</v>
      </c>
      <c r="X144">
        <v>1</v>
      </c>
      <c r="Y144" t="s">
        <v>3664</v>
      </c>
      <c r="AC144">
        <v>2132</v>
      </c>
      <c r="AD144" t="e" vm="140">
        <v>#VALUE!</v>
      </c>
    </row>
    <row r="145" spans="2:30" x14ac:dyDescent="0.25">
      <c r="B145">
        <v>2133</v>
      </c>
      <c r="C145" t="s">
        <v>3662</v>
      </c>
      <c r="D145" t="s">
        <v>3663</v>
      </c>
      <c r="E145" t="s">
        <v>3814</v>
      </c>
      <c r="F145" t="s">
        <v>97</v>
      </c>
      <c r="G145" t="s">
        <v>106</v>
      </c>
      <c r="H145" t="s">
        <v>3808</v>
      </c>
      <c r="I145" t="s">
        <v>3809</v>
      </c>
      <c r="J145" t="s">
        <v>3810</v>
      </c>
      <c r="K145" t="s">
        <v>1218</v>
      </c>
      <c r="L145" s="13">
        <v>43053</v>
      </c>
      <c r="M145">
        <v>6</v>
      </c>
      <c r="N145" t="s">
        <v>79</v>
      </c>
      <c r="O145" t="s">
        <v>3811</v>
      </c>
      <c r="P145" t="s">
        <v>76</v>
      </c>
      <c r="Q145" t="s">
        <v>76</v>
      </c>
      <c r="R145" t="s">
        <v>76</v>
      </c>
      <c r="S145" t="s">
        <v>76</v>
      </c>
      <c r="T145" t="s">
        <v>76</v>
      </c>
      <c r="U145">
        <v>1</v>
      </c>
      <c r="V145" s="13">
        <v>45175</v>
      </c>
      <c r="W145">
        <v>1</v>
      </c>
      <c r="X145">
        <v>1</v>
      </c>
      <c r="Y145" t="s">
        <v>3664</v>
      </c>
      <c r="AC145">
        <v>2133</v>
      </c>
      <c r="AD145" t="e" vm="141">
        <v>#VALUE!</v>
      </c>
    </row>
    <row r="146" spans="2:30" x14ac:dyDescent="0.25">
      <c r="B146">
        <v>2134</v>
      </c>
      <c r="C146" t="s">
        <v>3662</v>
      </c>
      <c r="D146" t="s">
        <v>3663</v>
      </c>
      <c r="E146" t="s">
        <v>3814</v>
      </c>
      <c r="F146" t="s">
        <v>97</v>
      </c>
      <c r="G146" t="s">
        <v>106</v>
      </c>
      <c r="H146" t="s">
        <v>3808</v>
      </c>
      <c r="I146" t="s">
        <v>3809</v>
      </c>
      <c r="J146" t="s">
        <v>3810</v>
      </c>
      <c r="K146" t="s">
        <v>1218</v>
      </c>
      <c r="L146" s="13">
        <v>43090</v>
      </c>
      <c r="M146">
        <v>6</v>
      </c>
      <c r="N146" t="s">
        <v>79</v>
      </c>
      <c r="O146" t="s">
        <v>3811</v>
      </c>
      <c r="P146" t="s">
        <v>76</v>
      </c>
      <c r="Q146" t="s">
        <v>76</v>
      </c>
      <c r="R146" t="s">
        <v>76</v>
      </c>
      <c r="S146" t="s">
        <v>76</v>
      </c>
      <c r="T146" t="s">
        <v>76</v>
      </c>
      <c r="U146">
        <v>1</v>
      </c>
      <c r="V146" s="13">
        <v>45175</v>
      </c>
      <c r="W146">
        <v>1</v>
      </c>
      <c r="X146">
        <v>1</v>
      </c>
      <c r="Y146" t="s">
        <v>3664</v>
      </c>
      <c r="AC146">
        <v>2134</v>
      </c>
      <c r="AD146" t="e" vm="142">
        <v>#VALUE!</v>
      </c>
    </row>
    <row r="147" spans="2:30" x14ac:dyDescent="0.25">
      <c r="B147">
        <v>2135</v>
      </c>
      <c r="C147" t="s">
        <v>3662</v>
      </c>
      <c r="D147" t="s">
        <v>3663</v>
      </c>
      <c r="E147" t="s">
        <v>3814</v>
      </c>
      <c r="F147" t="s">
        <v>97</v>
      </c>
      <c r="G147" t="s">
        <v>106</v>
      </c>
      <c r="H147" t="s">
        <v>3808</v>
      </c>
      <c r="I147" t="s">
        <v>3809</v>
      </c>
      <c r="J147" t="s">
        <v>3810</v>
      </c>
      <c r="K147" t="s">
        <v>1218</v>
      </c>
      <c r="L147" s="13">
        <v>43054</v>
      </c>
      <c r="M147">
        <v>6</v>
      </c>
      <c r="N147" t="s">
        <v>79</v>
      </c>
      <c r="O147" t="s">
        <v>3811</v>
      </c>
      <c r="P147" t="s">
        <v>76</v>
      </c>
      <c r="Q147" t="s">
        <v>76</v>
      </c>
      <c r="R147" t="s">
        <v>76</v>
      </c>
      <c r="S147" t="s">
        <v>76</v>
      </c>
      <c r="T147" t="s">
        <v>76</v>
      </c>
      <c r="U147">
        <v>1</v>
      </c>
      <c r="V147" s="13">
        <v>45175</v>
      </c>
      <c r="W147">
        <v>1</v>
      </c>
      <c r="X147">
        <v>1</v>
      </c>
      <c r="Y147" t="s">
        <v>3664</v>
      </c>
      <c r="AC147">
        <v>2135</v>
      </c>
      <c r="AD147" t="e" vm="143">
        <v>#VALUE!</v>
      </c>
    </row>
    <row r="148" spans="2:30" x14ac:dyDescent="0.25">
      <c r="B148">
        <v>2136</v>
      </c>
      <c r="C148" t="s">
        <v>3662</v>
      </c>
      <c r="D148" t="s">
        <v>3663</v>
      </c>
      <c r="E148" t="s">
        <v>3814</v>
      </c>
      <c r="F148" t="s">
        <v>97</v>
      </c>
      <c r="G148" t="s">
        <v>106</v>
      </c>
      <c r="H148" t="s">
        <v>3808</v>
      </c>
      <c r="I148" t="s">
        <v>3809</v>
      </c>
      <c r="J148" t="s">
        <v>3810</v>
      </c>
      <c r="K148" t="s">
        <v>1218</v>
      </c>
      <c r="L148" s="13">
        <v>43082</v>
      </c>
      <c r="M148">
        <v>6</v>
      </c>
      <c r="N148" t="s">
        <v>79</v>
      </c>
      <c r="O148" t="s">
        <v>3811</v>
      </c>
      <c r="P148" t="s">
        <v>76</v>
      </c>
      <c r="Q148" t="s">
        <v>76</v>
      </c>
      <c r="R148" t="s">
        <v>76</v>
      </c>
      <c r="S148" t="s">
        <v>76</v>
      </c>
      <c r="T148" t="s">
        <v>76</v>
      </c>
      <c r="U148">
        <v>1</v>
      </c>
      <c r="V148" s="13">
        <v>45175</v>
      </c>
      <c r="W148">
        <v>1</v>
      </c>
      <c r="X148">
        <v>1</v>
      </c>
      <c r="Y148" t="s">
        <v>3664</v>
      </c>
      <c r="AC148">
        <v>2136</v>
      </c>
      <c r="AD148" t="e" vm="144">
        <v>#VALUE!</v>
      </c>
    </row>
    <row r="149" spans="2:30" x14ac:dyDescent="0.25">
      <c r="B149">
        <v>2137</v>
      </c>
      <c r="C149" t="s">
        <v>3662</v>
      </c>
      <c r="D149" t="s">
        <v>3663</v>
      </c>
      <c r="E149" t="s">
        <v>3814</v>
      </c>
      <c r="F149" t="s">
        <v>97</v>
      </c>
      <c r="G149" t="s">
        <v>106</v>
      </c>
      <c r="H149" t="s">
        <v>3808</v>
      </c>
      <c r="I149" t="s">
        <v>3809</v>
      </c>
      <c r="J149" t="s">
        <v>3810</v>
      </c>
      <c r="K149" t="s">
        <v>1218</v>
      </c>
      <c r="L149" s="13">
        <v>43082</v>
      </c>
      <c r="M149">
        <v>6</v>
      </c>
      <c r="N149" t="s">
        <v>79</v>
      </c>
      <c r="O149" t="s">
        <v>3811</v>
      </c>
      <c r="P149" t="s">
        <v>76</v>
      </c>
      <c r="Q149" t="s">
        <v>76</v>
      </c>
      <c r="R149" t="s">
        <v>76</v>
      </c>
      <c r="S149" t="s">
        <v>76</v>
      </c>
      <c r="T149" t="s">
        <v>76</v>
      </c>
      <c r="U149">
        <v>1</v>
      </c>
      <c r="V149" s="13">
        <v>45175</v>
      </c>
      <c r="W149">
        <v>1</v>
      </c>
      <c r="X149">
        <v>1</v>
      </c>
      <c r="Y149" t="s">
        <v>3664</v>
      </c>
      <c r="AC149">
        <v>2137</v>
      </c>
      <c r="AD149" t="e" vm="145">
        <v>#VALUE!</v>
      </c>
    </row>
    <row r="150" spans="2:30" x14ac:dyDescent="0.25">
      <c r="B150">
        <v>2138</v>
      </c>
      <c r="C150" t="s">
        <v>3662</v>
      </c>
      <c r="D150" t="s">
        <v>3663</v>
      </c>
      <c r="E150" t="s">
        <v>3814</v>
      </c>
      <c r="F150" t="s">
        <v>97</v>
      </c>
      <c r="G150" t="s">
        <v>106</v>
      </c>
      <c r="H150" t="s">
        <v>3808</v>
      </c>
      <c r="I150" t="s">
        <v>3809</v>
      </c>
      <c r="J150" t="s">
        <v>3810</v>
      </c>
      <c r="K150" t="s">
        <v>1218</v>
      </c>
      <c r="L150" s="13">
        <v>43174</v>
      </c>
      <c r="M150">
        <v>6</v>
      </c>
      <c r="N150" t="s">
        <v>79</v>
      </c>
      <c r="O150" t="s">
        <v>3811</v>
      </c>
      <c r="P150" t="s">
        <v>76</v>
      </c>
      <c r="Q150" t="s">
        <v>76</v>
      </c>
      <c r="R150" t="s">
        <v>76</v>
      </c>
      <c r="S150" t="s">
        <v>76</v>
      </c>
      <c r="T150" t="s">
        <v>76</v>
      </c>
      <c r="U150">
        <v>1</v>
      </c>
      <c r="V150" s="13">
        <v>45175</v>
      </c>
      <c r="W150">
        <v>1</v>
      </c>
      <c r="X150">
        <v>1</v>
      </c>
      <c r="Y150" t="s">
        <v>3664</v>
      </c>
      <c r="AC150">
        <v>2138</v>
      </c>
      <c r="AD150" t="e" vm="146">
        <v>#VALUE!</v>
      </c>
    </row>
    <row r="151" spans="2:30" x14ac:dyDescent="0.25">
      <c r="B151">
        <v>2139</v>
      </c>
      <c r="C151" t="s">
        <v>3662</v>
      </c>
      <c r="D151" t="s">
        <v>3663</v>
      </c>
      <c r="E151" t="s">
        <v>3814</v>
      </c>
      <c r="F151" t="s">
        <v>97</v>
      </c>
      <c r="G151" t="s">
        <v>106</v>
      </c>
      <c r="H151" t="s">
        <v>3808</v>
      </c>
      <c r="I151" t="s">
        <v>3809</v>
      </c>
      <c r="J151" t="s">
        <v>3810</v>
      </c>
      <c r="K151" t="s">
        <v>1218</v>
      </c>
      <c r="L151" s="13">
        <v>43181</v>
      </c>
      <c r="M151">
        <v>5</v>
      </c>
      <c r="N151" t="s">
        <v>79</v>
      </c>
      <c r="O151" t="s">
        <v>3811</v>
      </c>
      <c r="P151" t="s">
        <v>76</v>
      </c>
      <c r="Q151" t="s">
        <v>76</v>
      </c>
      <c r="R151" t="s">
        <v>76</v>
      </c>
      <c r="S151" t="s">
        <v>76</v>
      </c>
      <c r="T151" t="s">
        <v>76</v>
      </c>
      <c r="U151">
        <v>1</v>
      </c>
      <c r="V151" s="13">
        <v>45175</v>
      </c>
      <c r="W151">
        <v>1</v>
      </c>
      <c r="X151">
        <v>1</v>
      </c>
      <c r="Y151" t="s">
        <v>3664</v>
      </c>
      <c r="AC151">
        <v>2139</v>
      </c>
      <c r="AD151" t="e" vm="147">
        <v>#VALUE!</v>
      </c>
    </row>
    <row r="152" spans="2:30" x14ac:dyDescent="0.25">
      <c r="B152">
        <v>2140</v>
      </c>
      <c r="C152" t="s">
        <v>3662</v>
      </c>
      <c r="D152" t="s">
        <v>3663</v>
      </c>
      <c r="E152" t="s">
        <v>3814</v>
      </c>
      <c r="F152" t="s">
        <v>97</v>
      </c>
      <c r="G152" t="s">
        <v>106</v>
      </c>
      <c r="H152" t="s">
        <v>3808</v>
      </c>
      <c r="I152" t="s">
        <v>3809</v>
      </c>
      <c r="J152" t="s">
        <v>3810</v>
      </c>
      <c r="K152" t="s">
        <v>1218</v>
      </c>
      <c r="L152" s="13">
        <v>43181</v>
      </c>
      <c r="M152">
        <v>5</v>
      </c>
      <c r="N152" t="s">
        <v>79</v>
      </c>
      <c r="O152" t="s">
        <v>3811</v>
      </c>
      <c r="P152" t="s">
        <v>76</v>
      </c>
      <c r="Q152" t="s">
        <v>76</v>
      </c>
      <c r="R152" t="s">
        <v>76</v>
      </c>
      <c r="S152" t="s">
        <v>76</v>
      </c>
      <c r="T152" t="s">
        <v>76</v>
      </c>
      <c r="U152">
        <v>1</v>
      </c>
      <c r="V152" s="13">
        <v>45175</v>
      </c>
      <c r="W152">
        <v>1</v>
      </c>
      <c r="X152">
        <v>1</v>
      </c>
      <c r="Y152" t="s">
        <v>3664</v>
      </c>
      <c r="AC152">
        <v>2140</v>
      </c>
      <c r="AD152" t="e" vm="148">
        <v>#VALUE!</v>
      </c>
    </row>
    <row r="153" spans="2:30" x14ac:dyDescent="0.25">
      <c r="B153">
        <v>2141</v>
      </c>
      <c r="C153" t="s">
        <v>3662</v>
      </c>
      <c r="D153" t="s">
        <v>3663</v>
      </c>
      <c r="E153" t="s">
        <v>3814</v>
      </c>
      <c r="F153" t="s">
        <v>97</v>
      </c>
      <c r="G153" t="s">
        <v>106</v>
      </c>
      <c r="H153" t="s">
        <v>3808</v>
      </c>
      <c r="I153" t="s">
        <v>3809</v>
      </c>
      <c r="J153" t="s">
        <v>3810</v>
      </c>
      <c r="K153" t="s">
        <v>1218</v>
      </c>
      <c r="L153" s="13">
        <v>43181</v>
      </c>
      <c r="M153">
        <v>5</v>
      </c>
      <c r="N153" t="s">
        <v>79</v>
      </c>
      <c r="O153" t="s">
        <v>3811</v>
      </c>
      <c r="P153" t="s">
        <v>76</v>
      </c>
      <c r="Q153" t="s">
        <v>76</v>
      </c>
      <c r="R153" t="s">
        <v>76</v>
      </c>
      <c r="S153" t="s">
        <v>76</v>
      </c>
      <c r="T153" t="s">
        <v>76</v>
      </c>
      <c r="U153">
        <v>1</v>
      </c>
      <c r="V153" s="13">
        <v>45175</v>
      </c>
      <c r="W153">
        <v>1</v>
      </c>
      <c r="X153">
        <v>1</v>
      </c>
      <c r="Y153" t="s">
        <v>3664</v>
      </c>
      <c r="AC153">
        <v>2141</v>
      </c>
      <c r="AD153" t="e" vm="149">
        <v>#VALUE!</v>
      </c>
    </row>
    <row r="154" spans="2:30" x14ac:dyDescent="0.25">
      <c r="B154">
        <v>2142</v>
      </c>
      <c r="C154" t="s">
        <v>3662</v>
      </c>
      <c r="D154" t="s">
        <v>3663</v>
      </c>
      <c r="E154" t="s">
        <v>3814</v>
      </c>
      <c r="F154" t="s">
        <v>97</v>
      </c>
      <c r="G154" t="s">
        <v>106</v>
      </c>
      <c r="H154" t="s">
        <v>3808</v>
      </c>
      <c r="I154" t="s">
        <v>3809</v>
      </c>
      <c r="J154" t="s">
        <v>3810</v>
      </c>
      <c r="K154" t="s">
        <v>1218</v>
      </c>
      <c r="L154" s="13">
        <v>43195</v>
      </c>
      <c r="M154">
        <v>5</v>
      </c>
      <c r="N154" t="s">
        <v>79</v>
      </c>
      <c r="O154" t="s">
        <v>3811</v>
      </c>
      <c r="P154" t="s">
        <v>76</v>
      </c>
      <c r="Q154" t="s">
        <v>76</v>
      </c>
      <c r="R154" t="s">
        <v>76</v>
      </c>
      <c r="S154" t="s">
        <v>76</v>
      </c>
      <c r="T154" t="s">
        <v>76</v>
      </c>
      <c r="U154">
        <v>1</v>
      </c>
      <c r="V154" s="13">
        <v>45175</v>
      </c>
      <c r="W154">
        <v>1</v>
      </c>
      <c r="X154">
        <v>1</v>
      </c>
      <c r="Y154" t="s">
        <v>3664</v>
      </c>
      <c r="AC154">
        <v>2142</v>
      </c>
      <c r="AD154" t="e" vm="150">
        <v>#VALUE!</v>
      </c>
    </row>
    <row r="155" spans="2:30" x14ac:dyDescent="0.25">
      <c r="B155">
        <v>2143</v>
      </c>
      <c r="C155" t="s">
        <v>3662</v>
      </c>
      <c r="D155" t="s">
        <v>3663</v>
      </c>
      <c r="E155" t="s">
        <v>3814</v>
      </c>
      <c r="F155" t="s">
        <v>97</v>
      </c>
      <c r="G155" t="s">
        <v>106</v>
      </c>
      <c r="H155" t="s">
        <v>3808</v>
      </c>
      <c r="I155" t="s">
        <v>3809</v>
      </c>
      <c r="J155" t="s">
        <v>3810</v>
      </c>
      <c r="K155" t="s">
        <v>1218</v>
      </c>
      <c r="L155" s="13">
        <v>43090</v>
      </c>
      <c r="M155">
        <v>6</v>
      </c>
      <c r="N155" t="s">
        <v>79</v>
      </c>
      <c r="O155" t="s">
        <v>3811</v>
      </c>
      <c r="P155" t="s">
        <v>76</v>
      </c>
      <c r="Q155" t="s">
        <v>76</v>
      </c>
      <c r="R155" t="s">
        <v>76</v>
      </c>
      <c r="S155" t="s">
        <v>76</v>
      </c>
      <c r="T155" t="s">
        <v>76</v>
      </c>
      <c r="U155">
        <v>1</v>
      </c>
      <c r="V155" s="13">
        <v>45175</v>
      </c>
      <c r="W155">
        <v>1</v>
      </c>
      <c r="X155">
        <v>1</v>
      </c>
      <c r="Y155" t="s">
        <v>3664</v>
      </c>
      <c r="AC155">
        <v>2143</v>
      </c>
      <c r="AD155" t="e" vm="151">
        <v>#VALUE!</v>
      </c>
    </row>
    <row r="156" spans="2:30" x14ac:dyDescent="0.25">
      <c r="B156">
        <v>2144</v>
      </c>
      <c r="C156" t="s">
        <v>3646</v>
      </c>
      <c r="D156" t="s">
        <v>73</v>
      </c>
      <c r="E156" t="s">
        <v>73</v>
      </c>
      <c r="F156" t="s">
        <v>3816</v>
      </c>
      <c r="G156" t="s">
        <v>3816</v>
      </c>
      <c r="H156" t="s">
        <v>3808</v>
      </c>
      <c r="I156" t="s">
        <v>3809</v>
      </c>
      <c r="J156" t="s">
        <v>3810</v>
      </c>
      <c r="K156" t="s">
        <v>1218</v>
      </c>
      <c r="L156" s="13">
        <v>42782</v>
      </c>
      <c r="M156">
        <v>7</v>
      </c>
      <c r="N156" t="s">
        <v>90</v>
      </c>
      <c r="O156" t="s">
        <v>3811</v>
      </c>
      <c r="P156" t="s">
        <v>76</v>
      </c>
      <c r="Q156" t="s">
        <v>76</v>
      </c>
      <c r="R156" t="s">
        <v>76</v>
      </c>
      <c r="S156" t="s">
        <v>76</v>
      </c>
      <c r="T156" t="s">
        <v>76</v>
      </c>
      <c r="U156">
        <v>1</v>
      </c>
      <c r="V156" s="13">
        <v>45175</v>
      </c>
      <c r="W156">
        <v>1</v>
      </c>
      <c r="X156">
        <v>1</v>
      </c>
      <c r="Y156" t="s">
        <v>3667</v>
      </c>
      <c r="AC156">
        <v>2144</v>
      </c>
      <c r="AD156" t="e" vm="152">
        <v>#VALUE!</v>
      </c>
    </row>
    <row r="157" spans="2:30" x14ac:dyDescent="0.25">
      <c r="B157">
        <v>2145</v>
      </c>
      <c r="C157" t="s">
        <v>3646</v>
      </c>
      <c r="D157" t="s">
        <v>73</v>
      </c>
      <c r="E157" t="s">
        <v>73</v>
      </c>
      <c r="F157" t="s">
        <v>3816</v>
      </c>
      <c r="G157" t="s">
        <v>3816</v>
      </c>
      <c r="H157" t="s">
        <v>3808</v>
      </c>
      <c r="I157" t="s">
        <v>3809</v>
      </c>
      <c r="J157" t="s">
        <v>3810</v>
      </c>
      <c r="K157" t="s">
        <v>1218</v>
      </c>
      <c r="L157" s="13">
        <v>42782</v>
      </c>
      <c r="M157">
        <v>7</v>
      </c>
      <c r="N157" t="s">
        <v>90</v>
      </c>
      <c r="O157" t="s">
        <v>3811</v>
      </c>
      <c r="P157" t="s">
        <v>76</v>
      </c>
      <c r="Q157" t="s">
        <v>76</v>
      </c>
      <c r="R157" t="s">
        <v>76</v>
      </c>
      <c r="S157" t="s">
        <v>76</v>
      </c>
      <c r="T157" t="s">
        <v>76</v>
      </c>
      <c r="U157">
        <v>1</v>
      </c>
      <c r="V157" s="13">
        <v>45175</v>
      </c>
      <c r="W157">
        <v>1</v>
      </c>
      <c r="X157">
        <v>1</v>
      </c>
      <c r="Y157" t="s">
        <v>3667</v>
      </c>
      <c r="AC157">
        <v>2145</v>
      </c>
      <c r="AD157" t="e" vm="153">
        <v>#VALUE!</v>
      </c>
    </row>
    <row r="158" spans="2:30" x14ac:dyDescent="0.25">
      <c r="B158">
        <v>2146</v>
      </c>
      <c r="C158" t="s">
        <v>3668</v>
      </c>
      <c r="D158" t="s">
        <v>3669</v>
      </c>
      <c r="E158" t="s">
        <v>3817</v>
      </c>
      <c r="F158" t="s">
        <v>81</v>
      </c>
      <c r="G158" t="s">
        <v>80</v>
      </c>
      <c r="H158" t="s">
        <v>3808</v>
      </c>
      <c r="I158" t="s">
        <v>3809</v>
      </c>
      <c r="J158" t="s">
        <v>3810</v>
      </c>
      <c r="K158" t="s">
        <v>1218</v>
      </c>
      <c r="L158" s="13">
        <v>42815</v>
      </c>
      <c r="M158">
        <v>6</v>
      </c>
      <c r="N158" t="s">
        <v>82</v>
      </c>
      <c r="O158" t="s">
        <v>3811</v>
      </c>
      <c r="P158" t="s">
        <v>76</v>
      </c>
      <c r="Q158" t="s">
        <v>76</v>
      </c>
      <c r="R158" t="s">
        <v>76</v>
      </c>
      <c r="S158" t="s">
        <v>76</v>
      </c>
      <c r="T158" t="s">
        <v>76</v>
      </c>
      <c r="U158">
        <v>1</v>
      </c>
      <c r="V158" s="13">
        <v>45175</v>
      </c>
      <c r="W158">
        <v>1</v>
      </c>
      <c r="X158">
        <v>1</v>
      </c>
      <c r="Y158" t="s">
        <v>3670</v>
      </c>
      <c r="AC158">
        <v>2146</v>
      </c>
      <c r="AD158" t="e" vm="154">
        <v>#VALUE!</v>
      </c>
    </row>
    <row r="159" spans="2:30" x14ac:dyDescent="0.25">
      <c r="B159">
        <v>2147</v>
      </c>
      <c r="C159" t="s">
        <v>3668</v>
      </c>
      <c r="D159" t="s">
        <v>3669</v>
      </c>
      <c r="E159" t="s">
        <v>3817</v>
      </c>
      <c r="F159" t="s">
        <v>81</v>
      </c>
      <c r="G159" t="s">
        <v>80</v>
      </c>
      <c r="H159" t="s">
        <v>3808</v>
      </c>
      <c r="I159" t="s">
        <v>3809</v>
      </c>
      <c r="J159" t="s">
        <v>3810</v>
      </c>
      <c r="K159" t="s">
        <v>1218</v>
      </c>
      <c r="L159" s="13">
        <v>42816</v>
      </c>
      <c r="M159">
        <v>6</v>
      </c>
      <c r="N159" t="s">
        <v>82</v>
      </c>
      <c r="O159" t="s">
        <v>3811</v>
      </c>
      <c r="P159" t="s">
        <v>76</v>
      </c>
      <c r="Q159" t="s">
        <v>76</v>
      </c>
      <c r="R159" t="s">
        <v>76</v>
      </c>
      <c r="S159" t="s">
        <v>76</v>
      </c>
      <c r="T159" t="s">
        <v>76</v>
      </c>
      <c r="U159">
        <v>1</v>
      </c>
      <c r="V159" s="13">
        <v>45175</v>
      </c>
      <c r="W159">
        <v>1</v>
      </c>
      <c r="X159">
        <v>1</v>
      </c>
      <c r="Y159" t="s">
        <v>3670</v>
      </c>
      <c r="AC159">
        <v>2147</v>
      </c>
      <c r="AD159" t="e" vm="155">
        <v>#VALUE!</v>
      </c>
    </row>
    <row r="160" spans="2:30" x14ac:dyDescent="0.25">
      <c r="B160">
        <v>2148</v>
      </c>
      <c r="C160" t="s">
        <v>3668</v>
      </c>
      <c r="D160" t="s">
        <v>3669</v>
      </c>
      <c r="E160" t="s">
        <v>3817</v>
      </c>
      <c r="F160" t="s">
        <v>81</v>
      </c>
      <c r="G160" t="s">
        <v>80</v>
      </c>
      <c r="H160" t="s">
        <v>3808</v>
      </c>
      <c r="I160" t="s">
        <v>3809</v>
      </c>
      <c r="J160" t="s">
        <v>3810</v>
      </c>
      <c r="K160" t="s">
        <v>1218</v>
      </c>
      <c r="L160" s="13">
        <v>42816</v>
      </c>
      <c r="M160">
        <v>6</v>
      </c>
      <c r="N160" t="s">
        <v>82</v>
      </c>
      <c r="O160" t="s">
        <v>3811</v>
      </c>
      <c r="P160" t="s">
        <v>76</v>
      </c>
      <c r="Q160" t="s">
        <v>76</v>
      </c>
      <c r="R160" t="s">
        <v>76</v>
      </c>
      <c r="S160" t="s">
        <v>76</v>
      </c>
      <c r="T160" t="s">
        <v>76</v>
      </c>
      <c r="U160">
        <v>1</v>
      </c>
      <c r="V160" s="13">
        <v>45175</v>
      </c>
      <c r="W160">
        <v>1</v>
      </c>
      <c r="X160">
        <v>1</v>
      </c>
      <c r="Y160" t="s">
        <v>3670</v>
      </c>
      <c r="AC160">
        <v>2148</v>
      </c>
      <c r="AD160" t="e" vm="156">
        <v>#VALUE!</v>
      </c>
    </row>
    <row r="161" spans="2:30" x14ac:dyDescent="0.25">
      <c r="B161">
        <v>2149</v>
      </c>
      <c r="C161" t="s">
        <v>3668</v>
      </c>
      <c r="D161" t="s">
        <v>3669</v>
      </c>
      <c r="E161" t="s">
        <v>3817</v>
      </c>
      <c r="F161" t="s">
        <v>81</v>
      </c>
      <c r="G161" t="s">
        <v>80</v>
      </c>
      <c r="H161" t="s">
        <v>3808</v>
      </c>
      <c r="I161" t="s">
        <v>3809</v>
      </c>
      <c r="J161" t="s">
        <v>3810</v>
      </c>
      <c r="K161" t="s">
        <v>1218</v>
      </c>
      <c r="L161" s="13">
        <v>42818</v>
      </c>
      <c r="M161">
        <v>6</v>
      </c>
      <c r="N161" t="s">
        <v>82</v>
      </c>
      <c r="O161" t="s">
        <v>3811</v>
      </c>
      <c r="P161" t="s">
        <v>76</v>
      </c>
      <c r="Q161" t="s">
        <v>76</v>
      </c>
      <c r="R161" t="s">
        <v>76</v>
      </c>
      <c r="S161" t="s">
        <v>76</v>
      </c>
      <c r="T161" t="s">
        <v>76</v>
      </c>
      <c r="U161">
        <v>1</v>
      </c>
      <c r="V161" s="13">
        <v>45175</v>
      </c>
      <c r="W161">
        <v>1</v>
      </c>
      <c r="X161">
        <v>1</v>
      </c>
      <c r="Y161" t="s">
        <v>3670</v>
      </c>
      <c r="AC161">
        <v>2149</v>
      </c>
      <c r="AD161" t="e" vm="157">
        <v>#VALUE!</v>
      </c>
    </row>
    <row r="162" spans="2:30" x14ac:dyDescent="0.25">
      <c r="B162">
        <v>2150</v>
      </c>
      <c r="C162" t="s">
        <v>3668</v>
      </c>
      <c r="D162" t="s">
        <v>3669</v>
      </c>
      <c r="E162" t="s">
        <v>3817</v>
      </c>
      <c r="F162" t="s">
        <v>81</v>
      </c>
      <c r="G162" t="s">
        <v>80</v>
      </c>
      <c r="H162" t="s">
        <v>3808</v>
      </c>
      <c r="I162" t="s">
        <v>3809</v>
      </c>
      <c r="J162" t="s">
        <v>3810</v>
      </c>
      <c r="K162" t="s">
        <v>1218</v>
      </c>
      <c r="L162" s="13">
        <v>42811</v>
      </c>
      <c r="M162">
        <v>7</v>
      </c>
      <c r="N162" t="s">
        <v>82</v>
      </c>
      <c r="O162" t="s">
        <v>3811</v>
      </c>
      <c r="P162" t="s">
        <v>76</v>
      </c>
      <c r="Q162" t="s">
        <v>76</v>
      </c>
      <c r="R162" t="s">
        <v>76</v>
      </c>
      <c r="S162" t="s">
        <v>76</v>
      </c>
      <c r="T162" t="s">
        <v>76</v>
      </c>
      <c r="U162">
        <v>1</v>
      </c>
      <c r="V162" s="13">
        <v>45175</v>
      </c>
      <c r="W162">
        <v>1</v>
      </c>
      <c r="X162">
        <v>1</v>
      </c>
      <c r="Y162" t="s">
        <v>3670</v>
      </c>
      <c r="AC162">
        <v>2150</v>
      </c>
      <c r="AD162" t="e" vm="158">
        <v>#VALUE!</v>
      </c>
    </row>
    <row r="163" spans="2:30" x14ac:dyDescent="0.25">
      <c r="B163">
        <v>2151</v>
      </c>
      <c r="C163" t="s">
        <v>3668</v>
      </c>
      <c r="D163" t="s">
        <v>3669</v>
      </c>
      <c r="E163" t="s">
        <v>3817</v>
      </c>
      <c r="F163" t="s">
        <v>81</v>
      </c>
      <c r="G163" t="s">
        <v>80</v>
      </c>
      <c r="H163" t="s">
        <v>3808</v>
      </c>
      <c r="I163" t="s">
        <v>3809</v>
      </c>
      <c r="J163" t="s">
        <v>3810</v>
      </c>
      <c r="K163" t="s">
        <v>1218</v>
      </c>
      <c r="L163" s="13">
        <v>42818</v>
      </c>
      <c r="M163">
        <v>6</v>
      </c>
      <c r="N163" t="s">
        <v>82</v>
      </c>
      <c r="O163" t="s">
        <v>3811</v>
      </c>
      <c r="P163" t="s">
        <v>76</v>
      </c>
      <c r="Q163" t="s">
        <v>76</v>
      </c>
      <c r="R163" t="s">
        <v>76</v>
      </c>
      <c r="S163" t="s">
        <v>76</v>
      </c>
      <c r="T163" t="s">
        <v>76</v>
      </c>
      <c r="U163">
        <v>1</v>
      </c>
      <c r="V163" s="13">
        <v>45175</v>
      </c>
      <c r="W163">
        <v>1</v>
      </c>
      <c r="X163">
        <v>1</v>
      </c>
      <c r="Y163" t="s">
        <v>3670</v>
      </c>
      <c r="AC163">
        <v>2151</v>
      </c>
      <c r="AD163" t="e" vm="159">
        <v>#VALUE!</v>
      </c>
    </row>
    <row r="164" spans="2:30" x14ac:dyDescent="0.25">
      <c r="B164">
        <v>2152</v>
      </c>
      <c r="C164" t="s">
        <v>3668</v>
      </c>
      <c r="D164" t="s">
        <v>3669</v>
      </c>
      <c r="E164" t="s">
        <v>3817</v>
      </c>
      <c r="F164" t="s">
        <v>81</v>
      </c>
      <c r="G164" t="s">
        <v>80</v>
      </c>
      <c r="H164" t="s">
        <v>3808</v>
      </c>
      <c r="I164" t="s">
        <v>3809</v>
      </c>
      <c r="J164" t="s">
        <v>3810</v>
      </c>
      <c r="K164" t="s">
        <v>1218</v>
      </c>
      <c r="L164" s="13">
        <v>42811</v>
      </c>
      <c r="M164">
        <v>7</v>
      </c>
      <c r="N164" t="s">
        <v>82</v>
      </c>
      <c r="O164" t="s">
        <v>3811</v>
      </c>
      <c r="P164" t="s">
        <v>76</v>
      </c>
      <c r="Q164" t="s">
        <v>76</v>
      </c>
      <c r="R164" t="s">
        <v>76</v>
      </c>
      <c r="S164" t="s">
        <v>76</v>
      </c>
      <c r="T164" t="s">
        <v>76</v>
      </c>
      <c r="U164">
        <v>1</v>
      </c>
      <c r="V164" s="13">
        <v>45175</v>
      </c>
      <c r="W164">
        <v>1</v>
      </c>
      <c r="X164">
        <v>1</v>
      </c>
      <c r="Y164" t="s">
        <v>3670</v>
      </c>
      <c r="AC164">
        <v>2152</v>
      </c>
      <c r="AD164" t="e" vm="160">
        <v>#VALUE!</v>
      </c>
    </row>
    <row r="165" spans="2:30" x14ac:dyDescent="0.25">
      <c r="B165">
        <v>2153</v>
      </c>
      <c r="C165" t="s">
        <v>3668</v>
      </c>
      <c r="D165" t="s">
        <v>3669</v>
      </c>
      <c r="E165" t="s">
        <v>3817</v>
      </c>
      <c r="F165" t="s">
        <v>81</v>
      </c>
      <c r="G165" t="s">
        <v>80</v>
      </c>
      <c r="H165" t="s">
        <v>3808</v>
      </c>
      <c r="I165" t="s">
        <v>3809</v>
      </c>
      <c r="J165" t="s">
        <v>3810</v>
      </c>
      <c r="K165" t="s">
        <v>1218</v>
      </c>
      <c r="L165" s="13">
        <v>42821</v>
      </c>
      <c r="M165">
        <v>6</v>
      </c>
      <c r="N165" t="s">
        <v>82</v>
      </c>
      <c r="O165" t="s">
        <v>3811</v>
      </c>
      <c r="P165" t="s">
        <v>76</v>
      </c>
      <c r="Q165" t="s">
        <v>76</v>
      </c>
      <c r="R165" t="s">
        <v>76</v>
      </c>
      <c r="S165" t="s">
        <v>76</v>
      </c>
      <c r="T165" t="s">
        <v>76</v>
      </c>
      <c r="U165">
        <v>1</v>
      </c>
      <c r="V165" s="13">
        <v>45175</v>
      </c>
      <c r="W165">
        <v>1</v>
      </c>
      <c r="X165">
        <v>1</v>
      </c>
      <c r="Y165" t="s">
        <v>3670</v>
      </c>
      <c r="AC165">
        <v>2153</v>
      </c>
      <c r="AD165" t="e" vm="161">
        <v>#VALUE!</v>
      </c>
    </row>
    <row r="166" spans="2:30" x14ac:dyDescent="0.25">
      <c r="B166">
        <v>2154</v>
      </c>
      <c r="C166" t="s">
        <v>3668</v>
      </c>
      <c r="D166" t="s">
        <v>3669</v>
      </c>
      <c r="E166" t="s">
        <v>3817</v>
      </c>
      <c r="F166" t="s">
        <v>81</v>
      </c>
      <c r="G166" t="s">
        <v>80</v>
      </c>
      <c r="H166" t="s">
        <v>3808</v>
      </c>
      <c r="I166" t="s">
        <v>3809</v>
      </c>
      <c r="J166" t="s">
        <v>3810</v>
      </c>
      <c r="K166" t="s">
        <v>1218</v>
      </c>
      <c r="L166" s="13">
        <v>42811</v>
      </c>
      <c r="M166">
        <v>7</v>
      </c>
      <c r="N166" t="s">
        <v>82</v>
      </c>
      <c r="O166" t="s">
        <v>3811</v>
      </c>
      <c r="P166" t="s">
        <v>76</v>
      </c>
      <c r="Q166" t="s">
        <v>76</v>
      </c>
      <c r="R166" t="s">
        <v>76</v>
      </c>
      <c r="S166" t="s">
        <v>76</v>
      </c>
      <c r="T166" t="s">
        <v>76</v>
      </c>
      <c r="U166">
        <v>1</v>
      </c>
      <c r="V166" s="13">
        <v>45175</v>
      </c>
      <c r="W166">
        <v>1</v>
      </c>
      <c r="X166">
        <v>1</v>
      </c>
      <c r="Y166" t="s">
        <v>3670</v>
      </c>
      <c r="AC166">
        <v>2154</v>
      </c>
      <c r="AD166" t="e" vm="162">
        <v>#VALUE!</v>
      </c>
    </row>
    <row r="167" spans="2:30" x14ac:dyDescent="0.25">
      <c r="B167">
        <v>2155</v>
      </c>
      <c r="C167" t="s">
        <v>3668</v>
      </c>
      <c r="D167" t="s">
        <v>3669</v>
      </c>
      <c r="E167" t="s">
        <v>3817</v>
      </c>
      <c r="F167" t="s">
        <v>81</v>
      </c>
      <c r="G167" t="s">
        <v>80</v>
      </c>
      <c r="H167" t="s">
        <v>3808</v>
      </c>
      <c r="I167" t="s">
        <v>3809</v>
      </c>
      <c r="J167" t="s">
        <v>3810</v>
      </c>
      <c r="K167" t="s">
        <v>1218</v>
      </c>
      <c r="L167" s="13">
        <v>42822</v>
      </c>
      <c r="M167">
        <v>6</v>
      </c>
      <c r="N167" t="s">
        <v>82</v>
      </c>
      <c r="O167" t="s">
        <v>3811</v>
      </c>
      <c r="P167" t="s">
        <v>76</v>
      </c>
      <c r="Q167" t="s">
        <v>76</v>
      </c>
      <c r="R167" t="s">
        <v>76</v>
      </c>
      <c r="S167" t="s">
        <v>76</v>
      </c>
      <c r="T167" t="s">
        <v>76</v>
      </c>
      <c r="U167">
        <v>1</v>
      </c>
      <c r="V167" s="13">
        <v>45175</v>
      </c>
      <c r="W167">
        <v>1</v>
      </c>
      <c r="X167">
        <v>1</v>
      </c>
      <c r="Y167" t="s">
        <v>3670</v>
      </c>
      <c r="AC167">
        <v>2155</v>
      </c>
      <c r="AD167" t="e" vm="163">
        <v>#VALUE!</v>
      </c>
    </row>
    <row r="168" spans="2:30" x14ac:dyDescent="0.25">
      <c r="B168">
        <v>2156</v>
      </c>
      <c r="C168" t="s">
        <v>3668</v>
      </c>
      <c r="D168" t="s">
        <v>3669</v>
      </c>
      <c r="E168" t="s">
        <v>3817</v>
      </c>
      <c r="F168" t="s">
        <v>81</v>
      </c>
      <c r="G168" t="s">
        <v>80</v>
      </c>
      <c r="H168" t="s">
        <v>3808</v>
      </c>
      <c r="I168" t="s">
        <v>3809</v>
      </c>
      <c r="J168" t="s">
        <v>3810</v>
      </c>
      <c r="K168" t="s">
        <v>1218</v>
      </c>
      <c r="L168" s="13">
        <v>42822</v>
      </c>
      <c r="M168">
        <v>6</v>
      </c>
      <c r="N168" t="s">
        <v>82</v>
      </c>
      <c r="O168" t="s">
        <v>3811</v>
      </c>
      <c r="P168" t="s">
        <v>76</v>
      </c>
      <c r="Q168" t="s">
        <v>76</v>
      </c>
      <c r="R168" t="s">
        <v>76</v>
      </c>
      <c r="S168" t="s">
        <v>76</v>
      </c>
      <c r="T168" t="s">
        <v>76</v>
      </c>
      <c r="U168">
        <v>1</v>
      </c>
      <c r="V168" s="13">
        <v>45175</v>
      </c>
      <c r="W168">
        <v>1</v>
      </c>
      <c r="X168">
        <v>1</v>
      </c>
      <c r="Y168" t="s">
        <v>3670</v>
      </c>
      <c r="AC168">
        <v>2156</v>
      </c>
      <c r="AD168" t="e" vm="164">
        <v>#VALUE!</v>
      </c>
    </row>
    <row r="169" spans="2:30" x14ac:dyDescent="0.25">
      <c r="B169">
        <v>2157</v>
      </c>
      <c r="C169" t="s">
        <v>3668</v>
      </c>
      <c r="D169" t="s">
        <v>3669</v>
      </c>
      <c r="E169" t="s">
        <v>3817</v>
      </c>
      <c r="F169" t="s">
        <v>81</v>
      </c>
      <c r="G169" t="s">
        <v>80</v>
      </c>
      <c r="H169" t="s">
        <v>3808</v>
      </c>
      <c r="I169" t="s">
        <v>3809</v>
      </c>
      <c r="J169" t="s">
        <v>3810</v>
      </c>
      <c r="K169" t="s">
        <v>1218</v>
      </c>
      <c r="L169" s="13">
        <v>42822</v>
      </c>
      <c r="M169">
        <v>6</v>
      </c>
      <c r="N169" t="s">
        <v>82</v>
      </c>
      <c r="O169" t="s">
        <v>3811</v>
      </c>
      <c r="P169" t="s">
        <v>76</v>
      </c>
      <c r="Q169" t="s">
        <v>76</v>
      </c>
      <c r="R169" t="s">
        <v>76</v>
      </c>
      <c r="S169" t="s">
        <v>76</v>
      </c>
      <c r="T169" t="s">
        <v>76</v>
      </c>
      <c r="U169">
        <v>1</v>
      </c>
      <c r="V169" s="13">
        <v>45175</v>
      </c>
      <c r="W169">
        <v>1</v>
      </c>
      <c r="X169">
        <v>1</v>
      </c>
      <c r="Y169" t="s">
        <v>3670</v>
      </c>
      <c r="AC169">
        <v>2157</v>
      </c>
      <c r="AD169" t="e" vm="165">
        <v>#VALUE!</v>
      </c>
    </row>
    <row r="170" spans="2:30" x14ac:dyDescent="0.25">
      <c r="B170">
        <v>2158</v>
      </c>
      <c r="C170" t="s">
        <v>3668</v>
      </c>
      <c r="D170" t="s">
        <v>3669</v>
      </c>
      <c r="E170" t="s">
        <v>3817</v>
      </c>
      <c r="F170" t="s">
        <v>81</v>
      </c>
      <c r="G170" t="s">
        <v>80</v>
      </c>
      <c r="H170" t="s">
        <v>3808</v>
      </c>
      <c r="I170" t="s">
        <v>3809</v>
      </c>
      <c r="J170" t="s">
        <v>3810</v>
      </c>
      <c r="K170" t="s">
        <v>1218</v>
      </c>
      <c r="L170" s="13">
        <v>42823</v>
      </c>
      <c r="M170">
        <v>6</v>
      </c>
      <c r="N170" t="s">
        <v>82</v>
      </c>
      <c r="O170" t="s">
        <v>3811</v>
      </c>
      <c r="P170" t="s">
        <v>76</v>
      </c>
      <c r="Q170" t="s">
        <v>76</v>
      </c>
      <c r="R170" t="s">
        <v>76</v>
      </c>
      <c r="S170" t="s">
        <v>76</v>
      </c>
      <c r="T170" t="s">
        <v>76</v>
      </c>
      <c r="U170">
        <v>1</v>
      </c>
      <c r="V170" s="13">
        <v>45175</v>
      </c>
      <c r="W170">
        <v>1</v>
      </c>
      <c r="X170">
        <v>1</v>
      </c>
      <c r="Y170" t="s">
        <v>3670</v>
      </c>
      <c r="AC170">
        <v>2158</v>
      </c>
      <c r="AD170" t="e" vm="166">
        <v>#VALUE!</v>
      </c>
    </row>
    <row r="171" spans="2:30" x14ac:dyDescent="0.25">
      <c r="B171">
        <v>2159</v>
      </c>
      <c r="C171" t="s">
        <v>3668</v>
      </c>
      <c r="D171" t="s">
        <v>3669</v>
      </c>
      <c r="E171" t="s">
        <v>3817</v>
      </c>
      <c r="F171" t="s">
        <v>81</v>
      </c>
      <c r="G171" t="s">
        <v>80</v>
      </c>
      <c r="H171" t="s">
        <v>3808</v>
      </c>
      <c r="I171" t="s">
        <v>3809</v>
      </c>
      <c r="J171" t="s">
        <v>3810</v>
      </c>
      <c r="K171" t="s">
        <v>1218</v>
      </c>
      <c r="L171" s="13">
        <v>42838</v>
      </c>
      <c r="M171">
        <v>6</v>
      </c>
      <c r="N171" t="s">
        <v>82</v>
      </c>
      <c r="O171" t="s">
        <v>3811</v>
      </c>
      <c r="P171" t="s">
        <v>76</v>
      </c>
      <c r="Q171" t="s">
        <v>76</v>
      </c>
      <c r="R171" t="s">
        <v>76</v>
      </c>
      <c r="S171" t="s">
        <v>76</v>
      </c>
      <c r="T171" t="s">
        <v>76</v>
      </c>
      <c r="U171">
        <v>1</v>
      </c>
      <c r="V171" s="13">
        <v>45175</v>
      </c>
      <c r="W171">
        <v>1</v>
      </c>
      <c r="X171">
        <v>1</v>
      </c>
      <c r="Y171" t="s">
        <v>3670</v>
      </c>
      <c r="AC171">
        <v>2159</v>
      </c>
      <c r="AD171" t="e" vm="167">
        <v>#VALUE!</v>
      </c>
    </row>
    <row r="172" spans="2:30" x14ac:dyDescent="0.25">
      <c r="B172">
        <v>2160</v>
      </c>
      <c r="C172" t="s">
        <v>3668</v>
      </c>
      <c r="D172" t="s">
        <v>3669</v>
      </c>
      <c r="E172" t="s">
        <v>3817</v>
      </c>
      <c r="F172" t="s">
        <v>81</v>
      </c>
      <c r="G172" t="s">
        <v>80</v>
      </c>
      <c r="H172" t="s">
        <v>3808</v>
      </c>
      <c r="I172" t="s">
        <v>3809</v>
      </c>
      <c r="J172" t="s">
        <v>3810</v>
      </c>
      <c r="K172" t="s">
        <v>1218</v>
      </c>
      <c r="L172" s="13">
        <v>42895</v>
      </c>
      <c r="M172">
        <v>6</v>
      </c>
      <c r="N172" t="s">
        <v>82</v>
      </c>
      <c r="O172" t="s">
        <v>3811</v>
      </c>
      <c r="P172" t="s">
        <v>76</v>
      </c>
      <c r="Q172" t="s">
        <v>76</v>
      </c>
      <c r="R172" t="s">
        <v>76</v>
      </c>
      <c r="S172" t="s">
        <v>76</v>
      </c>
      <c r="T172" t="s">
        <v>76</v>
      </c>
      <c r="U172">
        <v>1</v>
      </c>
      <c r="V172" s="13">
        <v>45175</v>
      </c>
      <c r="W172">
        <v>1</v>
      </c>
      <c r="X172">
        <v>1</v>
      </c>
      <c r="Y172" t="s">
        <v>3670</v>
      </c>
      <c r="AC172">
        <v>2160</v>
      </c>
      <c r="AD172" t="e" vm="168">
        <v>#VALUE!</v>
      </c>
    </row>
    <row r="173" spans="2:30" x14ac:dyDescent="0.25">
      <c r="B173">
        <v>2161</v>
      </c>
      <c r="C173" t="s">
        <v>3668</v>
      </c>
      <c r="D173" t="s">
        <v>3669</v>
      </c>
      <c r="E173" t="s">
        <v>3817</v>
      </c>
      <c r="F173" t="s">
        <v>81</v>
      </c>
      <c r="G173" t="s">
        <v>80</v>
      </c>
      <c r="H173" t="s">
        <v>3808</v>
      </c>
      <c r="I173" t="s">
        <v>3809</v>
      </c>
      <c r="J173" t="s">
        <v>3810</v>
      </c>
      <c r="K173" t="s">
        <v>1218</v>
      </c>
      <c r="L173" s="13">
        <v>42895</v>
      </c>
      <c r="M173">
        <v>6</v>
      </c>
      <c r="N173" t="s">
        <v>82</v>
      </c>
      <c r="O173" t="s">
        <v>3811</v>
      </c>
      <c r="P173" t="s">
        <v>76</v>
      </c>
      <c r="Q173" t="s">
        <v>76</v>
      </c>
      <c r="R173" t="s">
        <v>76</v>
      </c>
      <c r="S173" t="s">
        <v>76</v>
      </c>
      <c r="T173" t="s">
        <v>76</v>
      </c>
      <c r="U173">
        <v>1</v>
      </c>
      <c r="V173" s="13">
        <v>45175</v>
      </c>
      <c r="W173">
        <v>1</v>
      </c>
      <c r="X173">
        <v>1</v>
      </c>
      <c r="Y173" t="s">
        <v>3670</v>
      </c>
      <c r="AC173">
        <v>2161</v>
      </c>
      <c r="AD173" t="e" vm="169">
        <v>#VALUE!</v>
      </c>
    </row>
    <row r="174" spans="2:30" x14ac:dyDescent="0.25">
      <c r="B174">
        <v>2162</v>
      </c>
      <c r="C174" t="s">
        <v>3668</v>
      </c>
      <c r="D174" t="s">
        <v>3669</v>
      </c>
      <c r="E174" t="s">
        <v>3817</v>
      </c>
      <c r="F174" t="s">
        <v>81</v>
      </c>
      <c r="G174" t="s">
        <v>80</v>
      </c>
      <c r="H174" t="s">
        <v>3808</v>
      </c>
      <c r="I174" t="s">
        <v>3809</v>
      </c>
      <c r="J174" t="s">
        <v>3810</v>
      </c>
      <c r="K174" t="s">
        <v>1218</v>
      </c>
      <c r="L174" s="13">
        <v>42905</v>
      </c>
      <c r="M174">
        <v>6</v>
      </c>
      <c r="N174" t="s">
        <v>82</v>
      </c>
      <c r="O174" t="s">
        <v>3811</v>
      </c>
      <c r="P174" t="s">
        <v>76</v>
      </c>
      <c r="Q174" t="s">
        <v>76</v>
      </c>
      <c r="R174" t="s">
        <v>76</v>
      </c>
      <c r="S174" t="s">
        <v>76</v>
      </c>
      <c r="T174" t="s">
        <v>76</v>
      </c>
      <c r="U174">
        <v>1</v>
      </c>
      <c r="V174" s="13">
        <v>45175</v>
      </c>
      <c r="W174">
        <v>1</v>
      </c>
      <c r="X174">
        <v>1</v>
      </c>
      <c r="Y174" t="s">
        <v>3670</v>
      </c>
      <c r="AC174">
        <v>2162</v>
      </c>
      <c r="AD174" t="e" vm="170">
        <v>#VALUE!</v>
      </c>
    </row>
    <row r="175" spans="2:30" x14ac:dyDescent="0.25">
      <c r="B175">
        <v>2163</v>
      </c>
      <c r="C175" t="s">
        <v>3668</v>
      </c>
      <c r="D175" t="s">
        <v>3669</v>
      </c>
      <c r="E175" t="s">
        <v>3817</v>
      </c>
      <c r="F175" t="s">
        <v>81</v>
      </c>
      <c r="G175" t="s">
        <v>80</v>
      </c>
      <c r="H175" t="s">
        <v>3808</v>
      </c>
      <c r="I175" t="s">
        <v>3809</v>
      </c>
      <c r="J175" t="s">
        <v>3810</v>
      </c>
      <c r="K175" t="s">
        <v>1218</v>
      </c>
      <c r="L175" s="13">
        <v>42905</v>
      </c>
      <c r="M175">
        <v>6</v>
      </c>
      <c r="N175" t="s">
        <v>82</v>
      </c>
      <c r="O175" t="s">
        <v>3811</v>
      </c>
      <c r="P175" t="s">
        <v>76</v>
      </c>
      <c r="Q175" t="s">
        <v>76</v>
      </c>
      <c r="R175" t="s">
        <v>76</v>
      </c>
      <c r="S175" t="s">
        <v>76</v>
      </c>
      <c r="T175" t="s">
        <v>76</v>
      </c>
      <c r="U175">
        <v>1</v>
      </c>
      <c r="V175" s="13">
        <v>45175</v>
      </c>
      <c r="W175">
        <v>1</v>
      </c>
      <c r="X175">
        <v>1</v>
      </c>
      <c r="Y175" t="s">
        <v>3670</v>
      </c>
      <c r="AC175">
        <v>2163</v>
      </c>
      <c r="AD175" t="e" vm="171">
        <v>#VALUE!</v>
      </c>
    </row>
    <row r="176" spans="2:30" x14ac:dyDescent="0.25">
      <c r="B176">
        <v>2164</v>
      </c>
      <c r="C176" t="s">
        <v>3668</v>
      </c>
      <c r="D176" t="s">
        <v>3669</v>
      </c>
      <c r="E176" t="s">
        <v>3817</v>
      </c>
      <c r="F176" t="s">
        <v>81</v>
      </c>
      <c r="G176" t="s">
        <v>80</v>
      </c>
      <c r="H176" t="s">
        <v>3808</v>
      </c>
      <c r="I176" t="s">
        <v>3809</v>
      </c>
      <c r="J176" t="s">
        <v>3810</v>
      </c>
      <c r="K176" t="s">
        <v>1218</v>
      </c>
      <c r="L176" s="13">
        <v>42913</v>
      </c>
      <c r="M176">
        <v>6</v>
      </c>
      <c r="N176" t="s">
        <v>82</v>
      </c>
      <c r="O176" t="s">
        <v>3811</v>
      </c>
      <c r="P176" t="s">
        <v>76</v>
      </c>
      <c r="Q176" t="s">
        <v>76</v>
      </c>
      <c r="R176" t="s">
        <v>76</v>
      </c>
      <c r="S176" t="s">
        <v>76</v>
      </c>
      <c r="T176" t="s">
        <v>76</v>
      </c>
      <c r="U176">
        <v>1</v>
      </c>
      <c r="V176" s="13">
        <v>45175</v>
      </c>
      <c r="W176">
        <v>1</v>
      </c>
      <c r="X176">
        <v>1</v>
      </c>
      <c r="Y176" t="s">
        <v>3670</v>
      </c>
      <c r="AC176">
        <v>2164</v>
      </c>
      <c r="AD176" t="e" vm="172">
        <v>#VALUE!</v>
      </c>
    </row>
    <row r="177" spans="2:30" x14ac:dyDescent="0.25">
      <c r="B177">
        <v>2165</v>
      </c>
      <c r="C177" t="s">
        <v>3668</v>
      </c>
      <c r="D177" t="s">
        <v>3671</v>
      </c>
      <c r="E177" t="s">
        <v>3818</v>
      </c>
      <c r="F177" t="s">
        <v>83</v>
      </c>
      <c r="G177" t="s">
        <v>77</v>
      </c>
      <c r="H177" t="s">
        <v>3808</v>
      </c>
      <c r="I177" t="s">
        <v>3809</v>
      </c>
      <c r="J177" t="s">
        <v>3810</v>
      </c>
      <c r="K177" t="s">
        <v>1218</v>
      </c>
      <c r="L177" s="13">
        <v>42905</v>
      </c>
      <c r="M177">
        <v>6</v>
      </c>
      <c r="N177" t="s">
        <v>82</v>
      </c>
      <c r="O177" t="s">
        <v>3811</v>
      </c>
      <c r="P177" t="s">
        <v>76</v>
      </c>
      <c r="Q177" t="s">
        <v>76</v>
      </c>
      <c r="R177" t="s">
        <v>76</v>
      </c>
      <c r="S177" t="s">
        <v>76</v>
      </c>
      <c r="T177" t="s">
        <v>76</v>
      </c>
      <c r="U177">
        <v>1</v>
      </c>
      <c r="V177" s="13">
        <v>45175</v>
      </c>
      <c r="W177">
        <v>1</v>
      </c>
      <c r="X177">
        <v>1</v>
      </c>
      <c r="Y177" t="s">
        <v>3672</v>
      </c>
      <c r="AC177">
        <v>2165</v>
      </c>
      <c r="AD177" t="e" vm="173">
        <v>#VALUE!</v>
      </c>
    </row>
    <row r="178" spans="2:30" x14ac:dyDescent="0.25">
      <c r="B178">
        <v>2166</v>
      </c>
      <c r="C178" t="s">
        <v>3668</v>
      </c>
      <c r="D178" t="s">
        <v>3671</v>
      </c>
      <c r="E178" t="s">
        <v>3818</v>
      </c>
      <c r="F178" t="s">
        <v>83</v>
      </c>
      <c r="G178" t="s">
        <v>77</v>
      </c>
      <c r="H178" t="s">
        <v>3808</v>
      </c>
      <c r="I178" t="s">
        <v>3809</v>
      </c>
      <c r="J178" t="s">
        <v>3810</v>
      </c>
      <c r="K178" t="s">
        <v>1218</v>
      </c>
      <c r="L178" s="13">
        <v>42977</v>
      </c>
      <c r="M178">
        <v>6</v>
      </c>
      <c r="N178" t="s">
        <v>82</v>
      </c>
      <c r="O178" t="s">
        <v>3811</v>
      </c>
      <c r="P178" t="s">
        <v>76</v>
      </c>
      <c r="Q178" t="s">
        <v>76</v>
      </c>
      <c r="R178" t="s">
        <v>76</v>
      </c>
      <c r="S178" t="s">
        <v>76</v>
      </c>
      <c r="T178" t="s">
        <v>76</v>
      </c>
      <c r="U178">
        <v>1</v>
      </c>
      <c r="V178" s="13">
        <v>45175</v>
      </c>
      <c r="W178">
        <v>1</v>
      </c>
      <c r="X178">
        <v>1</v>
      </c>
      <c r="Y178" t="s">
        <v>3672</v>
      </c>
      <c r="AC178">
        <v>2166</v>
      </c>
      <c r="AD178" t="e" vm="174">
        <v>#VALUE!</v>
      </c>
    </row>
    <row r="179" spans="2:30" x14ac:dyDescent="0.25">
      <c r="B179">
        <v>2167</v>
      </c>
      <c r="C179" t="s">
        <v>3668</v>
      </c>
      <c r="D179" t="s">
        <v>3671</v>
      </c>
      <c r="E179" t="s">
        <v>3818</v>
      </c>
      <c r="F179" t="s">
        <v>83</v>
      </c>
      <c r="G179" t="s">
        <v>77</v>
      </c>
      <c r="H179" t="s">
        <v>3808</v>
      </c>
      <c r="I179" t="s">
        <v>3809</v>
      </c>
      <c r="J179" t="s">
        <v>3810</v>
      </c>
      <c r="K179" t="s">
        <v>1218</v>
      </c>
      <c r="L179" s="13">
        <v>42977</v>
      </c>
      <c r="M179">
        <v>6</v>
      </c>
      <c r="N179" t="s">
        <v>82</v>
      </c>
      <c r="O179" t="s">
        <v>3811</v>
      </c>
      <c r="P179" t="s">
        <v>76</v>
      </c>
      <c r="Q179" t="s">
        <v>76</v>
      </c>
      <c r="R179" t="s">
        <v>76</v>
      </c>
      <c r="S179" t="s">
        <v>76</v>
      </c>
      <c r="T179" t="s">
        <v>76</v>
      </c>
      <c r="U179">
        <v>1</v>
      </c>
      <c r="V179" s="13">
        <v>45175</v>
      </c>
      <c r="W179">
        <v>1</v>
      </c>
      <c r="X179">
        <v>1</v>
      </c>
      <c r="Y179" t="s">
        <v>3672</v>
      </c>
      <c r="AC179">
        <v>2167</v>
      </c>
      <c r="AD179" t="e" vm="175">
        <v>#VALUE!</v>
      </c>
    </row>
    <row r="180" spans="2:30" x14ac:dyDescent="0.25">
      <c r="B180">
        <v>2168</v>
      </c>
      <c r="C180" t="s">
        <v>3668</v>
      </c>
      <c r="D180" t="s">
        <v>3671</v>
      </c>
      <c r="E180" t="s">
        <v>3818</v>
      </c>
      <c r="F180" t="s">
        <v>83</v>
      </c>
      <c r="G180" t="s">
        <v>77</v>
      </c>
      <c r="H180" t="s">
        <v>3808</v>
      </c>
      <c r="I180" t="s">
        <v>3809</v>
      </c>
      <c r="J180" t="s">
        <v>3810</v>
      </c>
      <c r="K180" t="s">
        <v>1218</v>
      </c>
      <c r="L180" s="13">
        <v>42977</v>
      </c>
      <c r="M180">
        <v>6</v>
      </c>
      <c r="N180" t="s">
        <v>82</v>
      </c>
      <c r="O180" t="s">
        <v>3811</v>
      </c>
      <c r="P180" t="s">
        <v>76</v>
      </c>
      <c r="Q180" t="s">
        <v>76</v>
      </c>
      <c r="R180" t="s">
        <v>76</v>
      </c>
      <c r="S180" t="s">
        <v>76</v>
      </c>
      <c r="T180" t="s">
        <v>76</v>
      </c>
      <c r="U180">
        <v>1</v>
      </c>
      <c r="V180" s="13">
        <v>45175</v>
      </c>
      <c r="W180">
        <v>1</v>
      </c>
      <c r="X180">
        <v>1</v>
      </c>
      <c r="Y180" t="s">
        <v>3672</v>
      </c>
      <c r="AC180">
        <v>2168</v>
      </c>
      <c r="AD180" t="e" vm="176">
        <v>#VALUE!</v>
      </c>
    </row>
    <row r="181" spans="2:30" x14ac:dyDescent="0.25">
      <c r="B181">
        <v>2169</v>
      </c>
      <c r="C181" t="s">
        <v>3668</v>
      </c>
      <c r="D181" t="s">
        <v>3671</v>
      </c>
      <c r="E181" t="s">
        <v>3818</v>
      </c>
      <c r="F181" t="s">
        <v>83</v>
      </c>
      <c r="G181" t="s">
        <v>77</v>
      </c>
      <c r="H181" t="s">
        <v>3808</v>
      </c>
      <c r="I181" t="s">
        <v>3809</v>
      </c>
      <c r="J181" t="s">
        <v>3810</v>
      </c>
      <c r="K181" t="s">
        <v>1218</v>
      </c>
      <c r="L181" s="13">
        <v>43087</v>
      </c>
      <c r="M181">
        <v>6</v>
      </c>
      <c r="N181" t="s">
        <v>82</v>
      </c>
      <c r="O181" t="s">
        <v>3811</v>
      </c>
      <c r="P181" t="s">
        <v>76</v>
      </c>
      <c r="Q181" t="s">
        <v>76</v>
      </c>
      <c r="R181" t="s">
        <v>76</v>
      </c>
      <c r="S181" t="s">
        <v>76</v>
      </c>
      <c r="T181" t="s">
        <v>76</v>
      </c>
      <c r="U181">
        <v>1</v>
      </c>
      <c r="V181" s="13">
        <v>45175</v>
      </c>
      <c r="W181">
        <v>1</v>
      </c>
      <c r="X181">
        <v>1</v>
      </c>
      <c r="Y181" t="s">
        <v>3672</v>
      </c>
      <c r="AC181">
        <v>2169</v>
      </c>
      <c r="AD181" t="e" vm="177">
        <v>#VALUE!</v>
      </c>
    </row>
    <row r="182" spans="2:30" x14ac:dyDescent="0.25">
      <c r="B182">
        <v>2170</v>
      </c>
      <c r="C182" t="s">
        <v>3668</v>
      </c>
      <c r="D182" t="s">
        <v>3671</v>
      </c>
      <c r="E182" t="s">
        <v>3818</v>
      </c>
      <c r="F182" t="s">
        <v>83</v>
      </c>
      <c r="G182" t="s">
        <v>77</v>
      </c>
      <c r="H182" t="s">
        <v>3808</v>
      </c>
      <c r="I182" t="s">
        <v>3809</v>
      </c>
      <c r="J182" t="s">
        <v>3810</v>
      </c>
      <c r="K182" t="s">
        <v>1218</v>
      </c>
      <c r="L182" s="13">
        <v>43098</v>
      </c>
      <c r="M182">
        <v>6</v>
      </c>
      <c r="N182" t="s">
        <v>82</v>
      </c>
      <c r="O182" t="s">
        <v>3811</v>
      </c>
      <c r="P182" t="s">
        <v>76</v>
      </c>
      <c r="Q182" t="s">
        <v>76</v>
      </c>
      <c r="R182" t="s">
        <v>76</v>
      </c>
      <c r="S182" t="s">
        <v>76</v>
      </c>
      <c r="T182" t="s">
        <v>76</v>
      </c>
      <c r="U182">
        <v>1</v>
      </c>
      <c r="V182" s="13">
        <v>45175</v>
      </c>
      <c r="W182">
        <v>1</v>
      </c>
      <c r="X182">
        <v>1</v>
      </c>
      <c r="Y182" t="s">
        <v>3672</v>
      </c>
      <c r="AC182">
        <v>2170</v>
      </c>
      <c r="AD182" t="e" vm="178">
        <v>#VALUE!</v>
      </c>
    </row>
    <row r="183" spans="2:30" x14ac:dyDescent="0.25">
      <c r="B183">
        <v>2171</v>
      </c>
      <c r="C183" t="s">
        <v>3668</v>
      </c>
      <c r="D183" t="s">
        <v>3671</v>
      </c>
      <c r="E183" t="s">
        <v>3818</v>
      </c>
      <c r="F183" t="s">
        <v>83</v>
      </c>
      <c r="G183" t="s">
        <v>77</v>
      </c>
      <c r="H183" t="s">
        <v>3808</v>
      </c>
      <c r="I183" t="s">
        <v>3809</v>
      </c>
      <c r="J183" t="s">
        <v>3810</v>
      </c>
      <c r="K183" t="s">
        <v>1218</v>
      </c>
      <c r="L183" s="13">
        <v>43077</v>
      </c>
      <c r="M183">
        <v>6</v>
      </c>
      <c r="N183" t="s">
        <v>82</v>
      </c>
      <c r="O183" t="s">
        <v>3811</v>
      </c>
      <c r="P183" t="s">
        <v>76</v>
      </c>
      <c r="Q183" t="s">
        <v>76</v>
      </c>
      <c r="R183" t="s">
        <v>76</v>
      </c>
      <c r="S183" t="s">
        <v>76</v>
      </c>
      <c r="T183" t="s">
        <v>76</v>
      </c>
      <c r="U183">
        <v>1</v>
      </c>
      <c r="V183" s="13">
        <v>45175</v>
      </c>
      <c r="W183">
        <v>1</v>
      </c>
      <c r="X183">
        <v>1</v>
      </c>
      <c r="Y183" t="s">
        <v>3672</v>
      </c>
      <c r="AC183">
        <v>2171</v>
      </c>
      <c r="AD183" t="e" vm="179">
        <v>#VALUE!</v>
      </c>
    </row>
    <row r="184" spans="2:30" x14ac:dyDescent="0.25">
      <c r="B184">
        <v>2172</v>
      </c>
      <c r="C184" t="s">
        <v>3668</v>
      </c>
      <c r="D184" t="s">
        <v>3671</v>
      </c>
      <c r="E184" t="s">
        <v>3818</v>
      </c>
      <c r="F184" t="s">
        <v>83</v>
      </c>
      <c r="G184" t="s">
        <v>77</v>
      </c>
      <c r="H184" t="s">
        <v>3808</v>
      </c>
      <c r="I184" t="s">
        <v>3809</v>
      </c>
      <c r="J184" t="s">
        <v>3810</v>
      </c>
      <c r="K184" t="s">
        <v>1218</v>
      </c>
      <c r="L184" s="13">
        <v>43117</v>
      </c>
      <c r="M184">
        <v>6</v>
      </c>
      <c r="N184" t="s">
        <v>82</v>
      </c>
      <c r="O184" t="s">
        <v>3811</v>
      </c>
      <c r="P184" t="s">
        <v>76</v>
      </c>
      <c r="Q184" t="s">
        <v>76</v>
      </c>
      <c r="R184" t="s">
        <v>76</v>
      </c>
      <c r="S184" t="s">
        <v>76</v>
      </c>
      <c r="T184" t="s">
        <v>76</v>
      </c>
      <c r="U184">
        <v>1</v>
      </c>
      <c r="V184" s="13">
        <v>45175</v>
      </c>
      <c r="W184">
        <v>1</v>
      </c>
      <c r="X184">
        <v>1</v>
      </c>
      <c r="Y184" t="s">
        <v>3672</v>
      </c>
      <c r="AC184">
        <v>2172</v>
      </c>
      <c r="AD184" t="e" vm="180">
        <v>#VALUE!</v>
      </c>
    </row>
    <row r="185" spans="2:30" x14ac:dyDescent="0.25">
      <c r="B185">
        <v>2173</v>
      </c>
      <c r="C185" t="s">
        <v>3668</v>
      </c>
      <c r="D185" t="s">
        <v>3671</v>
      </c>
      <c r="E185" t="s">
        <v>3818</v>
      </c>
      <c r="F185" t="s">
        <v>83</v>
      </c>
      <c r="G185" t="s">
        <v>77</v>
      </c>
      <c r="H185" t="s">
        <v>3808</v>
      </c>
      <c r="I185" t="s">
        <v>3809</v>
      </c>
      <c r="J185" t="s">
        <v>3810</v>
      </c>
      <c r="K185" t="s">
        <v>1218</v>
      </c>
      <c r="L185" s="13">
        <v>43098</v>
      </c>
      <c r="M185">
        <v>6</v>
      </c>
      <c r="N185" t="s">
        <v>82</v>
      </c>
      <c r="O185" t="s">
        <v>3811</v>
      </c>
      <c r="P185" t="s">
        <v>76</v>
      </c>
      <c r="Q185" t="s">
        <v>76</v>
      </c>
      <c r="R185" t="s">
        <v>76</v>
      </c>
      <c r="S185" t="s">
        <v>76</v>
      </c>
      <c r="T185" t="s">
        <v>76</v>
      </c>
      <c r="U185">
        <v>1</v>
      </c>
      <c r="V185" s="13">
        <v>45175</v>
      </c>
      <c r="W185">
        <v>1</v>
      </c>
      <c r="X185">
        <v>1</v>
      </c>
      <c r="Y185" t="s">
        <v>3672</v>
      </c>
      <c r="AC185">
        <v>2173</v>
      </c>
      <c r="AD185" t="e" vm="181">
        <v>#VALUE!</v>
      </c>
    </row>
    <row r="186" spans="2:30" x14ac:dyDescent="0.25">
      <c r="B186">
        <v>2174</v>
      </c>
      <c r="C186" t="s">
        <v>3668</v>
      </c>
      <c r="D186" t="s">
        <v>3671</v>
      </c>
      <c r="E186" t="s">
        <v>3818</v>
      </c>
      <c r="F186" t="s">
        <v>83</v>
      </c>
      <c r="G186" t="s">
        <v>77</v>
      </c>
      <c r="H186" t="s">
        <v>3808</v>
      </c>
      <c r="I186" t="s">
        <v>3809</v>
      </c>
      <c r="J186" t="s">
        <v>3810</v>
      </c>
      <c r="K186" t="s">
        <v>1218</v>
      </c>
      <c r="L186" s="13">
        <v>43118</v>
      </c>
      <c r="M186">
        <v>6</v>
      </c>
      <c r="N186" t="s">
        <v>82</v>
      </c>
      <c r="O186" t="s">
        <v>3811</v>
      </c>
      <c r="P186" t="s">
        <v>76</v>
      </c>
      <c r="Q186" t="s">
        <v>76</v>
      </c>
      <c r="R186" t="s">
        <v>76</v>
      </c>
      <c r="S186" t="s">
        <v>76</v>
      </c>
      <c r="T186" t="s">
        <v>76</v>
      </c>
      <c r="U186">
        <v>1</v>
      </c>
      <c r="V186" s="13">
        <v>45175</v>
      </c>
      <c r="W186">
        <v>1</v>
      </c>
      <c r="X186">
        <v>1</v>
      </c>
      <c r="Y186" t="s">
        <v>3672</v>
      </c>
      <c r="AC186">
        <v>2174</v>
      </c>
      <c r="AD186" t="e" vm="182">
        <v>#VALUE!</v>
      </c>
    </row>
    <row r="187" spans="2:30" x14ac:dyDescent="0.25">
      <c r="B187">
        <v>2175</v>
      </c>
      <c r="C187" t="s">
        <v>3668</v>
      </c>
      <c r="D187" t="s">
        <v>3671</v>
      </c>
      <c r="E187" t="s">
        <v>3818</v>
      </c>
      <c r="F187" t="s">
        <v>83</v>
      </c>
      <c r="G187" t="s">
        <v>77</v>
      </c>
      <c r="H187" t="s">
        <v>3808</v>
      </c>
      <c r="I187" t="s">
        <v>3809</v>
      </c>
      <c r="J187" t="s">
        <v>3810</v>
      </c>
      <c r="K187" t="s">
        <v>1218</v>
      </c>
      <c r="L187" s="13">
        <v>43098</v>
      </c>
      <c r="M187">
        <v>6</v>
      </c>
      <c r="N187" t="s">
        <v>82</v>
      </c>
      <c r="O187" t="s">
        <v>3811</v>
      </c>
      <c r="P187" t="s">
        <v>76</v>
      </c>
      <c r="Q187" t="s">
        <v>76</v>
      </c>
      <c r="R187" t="s">
        <v>76</v>
      </c>
      <c r="S187" t="s">
        <v>76</v>
      </c>
      <c r="T187" t="s">
        <v>76</v>
      </c>
      <c r="U187">
        <v>1</v>
      </c>
      <c r="V187" s="13">
        <v>45175</v>
      </c>
      <c r="W187">
        <v>1</v>
      </c>
      <c r="X187">
        <v>1</v>
      </c>
      <c r="Y187" t="s">
        <v>3672</v>
      </c>
      <c r="AC187">
        <v>2175</v>
      </c>
      <c r="AD187" t="e" vm="183">
        <v>#VALUE!</v>
      </c>
    </row>
    <row r="188" spans="2:30" x14ac:dyDescent="0.25">
      <c r="B188">
        <v>2176</v>
      </c>
      <c r="C188" t="s">
        <v>3668</v>
      </c>
      <c r="D188" t="s">
        <v>3673</v>
      </c>
      <c r="E188" t="s">
        <v>3819</v>
      </c>
      <c r="F188" t="s">
        <v>87</v>
      </c>
      <c r="G188" t="s">
        <v>84</v>
      </c>
      <c r="H188" t="s">
        <v>3808</v>
      </c>
      <c r="I188" t="s">
        <v>3809</v>
      </c>
      <c r="J188" t="s">
        <v>3810</v>
      </c>
      <c r="K188" t="s">
        <v>1218</v>
      </c>
      <c r="L188" s="13">
        <v>43090</v>
      </c>
      <c r="M188">
        <v>6</v>
      </c>
      <c r="N188" t="s">
        <v>82</v>
      </c>
      <c r="O188" t="s">
        <v>3811</v>
      </c>
      <c r="P188" t="s">
        <v>76</v>
      </c>
      <c r="Q188" t="s">
        <v>76</v>
      </c>
      <c r="R188" t="s">
        <v>76</v>
      </c>
      <c r="S188" t="s">
        <v>76</v>
      </c>
      <c r="T188" t="s">
        <v>76</v>
      </c>
      <c r="U188">
        <v>1</v>
      </c>
      <c r="V188" s="13">
        <v>45175</v>
      </c>
      <c r="W188">
        <v>1</v>
      </c>
      <c r="X188">
        <v>1</v>
      </c>
      <c r="Y188" t="s">
        <v>3674</v>
      </c>
      <c r="AC188">
        <v>2176</v>
      </c>
      <c r="AD188" t="e" vm="184">
        <v>#VALUE!</v>
      </c>
    </row>
    <row r="189" spans="2:30" x14ac:dyDescent="0.25">
      <c r="B189">
        <v>2177</v>
      </c>
      <c r="C189" t="s">
        <v>3668</v>
      </c>
      <c r="D189" t="s">
        <v>3673</v>
      </c>
      <c r="E189" t="s">
        <v>3819</v>
      </c>
      <c r="F189" t="s">
        <v>87</v>
      </c>
      <c r="G189" t="s">
        <v>84</v>
      </c>
      <c r="H189" t="s">
        <v>3808</v>
      </c>
      <c r="I189" t="s">
        <v>3809</v>
      </c>
      <c r="J189" t="s">
        <v>3810</v>
      </c>
      <c r="K189" t="s">
        <v>1218</v>
      </c>
      <c r="L189" s="13">
        <v>43090</v>
      </c>
      <c r="M189">
        <v>6</v>
      </c>
      <c r="N189" t="s">
        <v>82</v>
      </c>
      <c r="O189" t="s">
        <v>3811</v>
      </c>
      <c r="P189" t="s">
        <v>76</v>
      </c>
      <c r="Q189" t="s">
        <v>76</v>
      </c>
      <c r="R189" t="s">
        <v>76</v>
      </c>
      <c r="S189" t="s">
        <v>76</v>
      </c>
      <c r="T189" t="s">
        <v>76</v>
      </c>
      <c r="U189">
        <v>1</v>
      </c>
      <c r="V189" s="13">
        <v>45175</v>
      </c>
      <c r="W189">
        <v>1</v>
      </c>
      <c r="X189">
        <v>1</v>
      </c>
      <c r="Y189" t="s">
        <v>3674</v>
      </c>
      <c r="AC189">
        <v>2177</v>
      </c>
      <c r="AD189" t="e" vm="185">
        <v>#VALUE!</v>
      </c>
    </row>
    <row r="190" spans="2:30" x14ac:dyDescent="0.25">
      <c r="B190">
        <v>2178</v>
      </c>
      <c r="C190" t="s">
        <v>3668</v>
      </c>
      <c r="D190" t="s">
        <v>3673</v>
      </c>
      <c r="E190" t="s">
        <v>3819</v>
      </c>
      <c r="F190" t="s">
        <v>87</v>
      </c>
      <c r="G190" t="s">
        <v>84</v>
      </c>
      <c r="H190" t="s">
        <v>3808</v>
      </c>
      <c r="I190" t="s">
        <v>3809</v>
      </c>
      <c r="J190" t="s">
        <v>3810</v>
      </c>
      <c r="K190" t="s">
        <v>1218</v>
      </c>
      <c r="L190" s="13">
        <v>43098</v>
      </c>
      <c r="M190">
        <v>6</v>
      </c>
      <c r="N190" t="s">
        <v>82</v>
      </c>
      <c r="O190" t="s">
        <v>3811</v>
      </c>
      <c r="P190" t="s">
        <v>76</v>
      </c>
      <c r="Q190" t="s">
        <v>76</v>
      </c>
      <c r="R190" t="s">
        <v>76</v>
      </c>
      <c r="S190" t="s">
        <v>76</v>
      </c>
      <c r="T190" t="s">
        <v>76</v>
      </c>
      <c r="U190">
        <v>1</v>
      </c>
      <c r="V190" s="13">
        <v>45175</v>
      </c>
      <c r="W190">
        <v>1</v>
      </c>
      <c r="X190">
        <v>1</v>
      </c>
      <c r="Y190" t="s">
        <v>3674</v>
      </c>
      <c r="AC190">
        <v>2178</v>
      </c>
      <c r="AD190" t="e" vm="186">
        <v>#VALUE!</v>
      </c>
    </row>
    <row r="191" spans="2:30" x14ac:dyDescent="0.25">
      <c r="B191">
        <v>2179</v>
      </c>
      <c r="C191" t="s">
        <v>3668</v>
      </c>
      <c r="D191" t="s">
        <v>3673</v>
      </c>
      <c r="E191" t="s">
        <v>3819</v>
      </c>
      <c r="F191" t="s">
        <v>87</v>
      </c>
      <c r="G191" t="s">
        <v>84</v>
      </c>
      <c r="H191" t="s">
        <v>3808</v>
      </c>
      <c r="I191" t="s">
        <v>3809</v>
      </c>
      <c r="J191" t="s">
        <v>3810</v>
      </c>
      <c r="K191" t="s">
        <v>1218</v>
      </c>
      <c r="L191" s="13">
        <v>43090</v>
      </c>
      <c r="M191">
        <v>6</v>
      </c>
      <c r="N191" t="s">
        <v>82</v>
      </c>
      <c r="O191" t="s">
        <v>3811</v>
      </c>
      <c r="P191" t="s">
        <v>76</v>
      </c>
      <c r="Q191" t="s">
        <v>76</v>
      </c>
      <c r="R191" t="s">
        <v>76</v>
      </c>
      <c r="S191" t="s">
        <v>76</v>
      </c>
      <c r="T191" t="s">
        <v>76</v>
      </c>
      <c r="U191">
        <v>1</v>
      </c>
      <c r="V191" s="13">
        <v>45175</v>
      </c>
      <c r="W191">
        <v>1</v>
      </c>
      <c r="X191">
        <v>1</v>
      </c>
      <c r="Y191" t="s">
        <v>3674</v>
      </c>
      <c r="AC191">
        <v>2179</v>
      </c>
      <c r="AD191" t="e" vm="187">
        <v>#VALUE!</v>
      </c>
    </row>
    <row r="192" spans="2:30" x14ac:dyDescent="0.25">
      <c r="B192">
        <v>2180</v>
      </c>
      <c r="C192" t="s">
        <v>3668</v>
      </c>
      <c r="D192" t="s">
        <v>3673</v>
      </c>
      <c r="E192" t="s">
        <v>3819</v>
      </c>
      <c r="F192" t="s">
        <v>87</v>
      </c>
      <c r="G192" t="s">
        <v>84</v>
      </c>
      <c r="H192" t="s">
        <v>3808</v>
      </c>
      <c r="I192" t="s">
        <v>3809</v>
      </c>
      <c r="J192" t="s">
        <v>3810</v>
      </c>
      <c r="K192" t="s">
        <v>1218</v>
      </c>
      <c r="L192" s="13">
        <v>43124</v>
      </c>
      <c r="M192">
        <v>6</v>
      </c>
      <c r="N192" t="s">
        <v>82</v>
      </c>
      <c r="O192" t="s">
        <v>3811</v>
      </c>
      <c r="P192" t="s">
        <v>76</v>
      </c>
      <c r="Q192" t="s">
        <v>76</v>
      </c>
      <c r="R192" t="s">
        <v>76</v>
      </c>
      <c r="S192" t="s">
        <v>76</v>
      </c>
      <c r="T192" t="s">
        <v>76</v>
      </c>
      <c r="U192">
        <v>1</v>
      </c>
      <c r="V192" s="13">
        <v>45175</v>
      </c>
      <c r="W192">
        <v>1</v>
      </c>
      <c r="X192">
        <v>1</v>
      </c>
      <c r="Y192" t="s">
        <v>3674</v>
      </c>
      <c r="AC192">
        <v>2180</v>
      </c>
      <c r="AD192" t="e" vm="188">
        <v>#VALUE!</v>
      </c>
    </row>
    <row r="193" spans="2:30" x14ac:dyDescent="0.25">
      <c r="B193">
        <v>2181</v>
      </c>
      <c r="C193" t="s">
        <v>3668</v>
      </c>
      <c r="D193" t="s">
        <v>3673</v>
      </c>
      <c r="E193" t="s">
        <v>3819</v>
      </c>
      <c r="F193" t="s">
        <v>87</v>
      </c>
      <c r="G193" t="s">
        <v>84</v>
      </c>
      <c r="H193" t="s">
        <v>3808</v>
      </c>
      <c r="I193" t="s">
        <v>3809</v>
      </c>
      <c r="J193" t="s">
        <v>3810</v>
      </c>
      <c r="K193" t="s">
        <v>1218</v>
      </c>
      <c r="L193" s="13">
        <v>43098</v>
      </c>
      <c r="M193">
        <v>6</v>
      </c>
      <c r="N193" t="s">
        <v>82</v>
      </c>
      <c r="O193" t="s">
        <v>3811</v>
      </c>
      <c r="P193" t="s">
        <v>76</v>
      </c>
      <c r="Q193" t="s">
        <v>76</v>
      </c>
      <c r="R193" t="s">
        <v>76</v>
      </c>
      <c r="S193" t="s">
        <v>76</v>
      </c>
      <c r="T193" t="s">
        <v>76</v>
      </c>
      <c r="U193">
        <v>1</v>
      </c>
      <c r="V193" s="13">
        <v>45175</v>
      </c>
      <c r="W193">
        <v>1</v>
      </c>
      <c r="X193">
        <v>1</v>
      </c>
      <c r="Y193" t="s">
        <v>3674</v>
      </c>
      <c r="AC193">
        <v>2181</v>
      </c>
      <c r="AD193" t="e" vm="2">
        <v>#VALUE!</v>
      </c>
    </row>
    <row r="194" spans="2:30" x14ac:dyDescent="0.25">
      <c r="B194">
        <v>2182</v>
      </c>
      <c r="C194" t="s">
        <v>3668</v>
      </c>
      <c r="D194" t="s">
        <v>3673</v>
      </c>
      <c r="E194" t="s">
        <v>3819</v>
      </c>
      <c r="F194" t="s">
        <v>87</v>
      </c>
      <c r="G194" t="s">
        <v>84</v>
      </c>
      <c r="H194" t="s">
        <v>3808</v>
      </c>
      <c r="I194" t="s">
        <v>3809</v>
      </c>
      <c r="J194" t="s">
        <v>3810</v>
      </c>
      <c r="K194" t="s">
        <v>1218</v>
      </c>
      <c r="L194" s="13">
        <v>43098</v>
      </c>
      <c r="M194">
        <v>6</v>
      </c>
      <c r="N194" t="s">
        <v>82</v>
      </c>
      <c r="O194" t="s">
        <v>3811</v>
      </c>
      <c r="P194" t="s">
        <v>76</v>
      </c>
      <c r="Q194" t="s">
        <v>76</v>
      </c>
      <c r="R194" t="s">
        <v>76</v>
      </c>
      <c r="S194" t="s">
        <v>76</v>
      </c>
      <c r="T194" t="s">
        <v>76</v>
      </c>
      <c r="U194">
        <v>1</v>
      </c>
      <c r="V194" s="13">
        <v>45175</v>
      </c>
      <c r="W194">
        <v>1</v>
      </c>
      <c r="X194">
        <v>1</v>
      </c>
      <c r="Y194" t="s">
        <v>3674</v>
      </c>
      <c r="AC194">
        <v>2182</v>
      </c>
      <c r="AD194" t="e" vm="189">
        <v>#VALUE!</v>
      </c>
    </row>
    <row r="195" spans="2:30" x14ac:dyDescent="0.25">
      <c r="B195">
        <v>2183</v>
      </c>
      <c r="C195" t="s">
        <v>3668</v>
      </c>
      <c r="D195" t="s">
        <v>3673</v>
      </c>
      <c r="E195" t="s">
        <v>3819</v>
      </c>
      <c r="F195" t="s">
        <v>87</v>
      </c>
      <c r="G195" t="s">
        <v>84</v>
      </c>
      <c r="H195" t="s">
        <v>3808</v>
      </c>
      <c r="I195" t="s">
        <v>3809</v>
      </c>
      <c r="J195" t="s">
        <v>3810</v>
      </c>
      <c r="K195" t="s">
        <v>1218</v>
      </c>
      <c r="L195" s="13">
        <v>43098</v>
      </c>
      <c r="M195">
        <v>6</v>
      </c>
      <c r="N195" t="s">
        <v>82</v>
      </c>
      <c r="O195" t="s">
        <v>3811</v>
      </c>
      <c r="P195" t="s">
        <v>76</v>
      </c>
      <c r="Q195" t="s">
        <v>76</v>
      </c>
      <c r="R195" t="s">
        <v>76</v>
      </c>
      <c r="S195" t="s">
        <v>76</v>
      </c>
      <c r="T195" t="s">
        <v>76</v>
      </c>
      <c r="U195">
        <v>1</v>
      </c>
      <c r="V195" s="13">
        <v>45175</v>
      </c>
      <c r="W195">
        <v>1</v>
      </c>
      <c r="X195">
        <v>1</v>
      </c>
      <c r="Y195" t="s">
        <v>3674</v>
      </c>
      <c r="AC195">
        <v>2183</v>
      </c>
      <c r="AD195" t="e" vm="190">
        <v>#VALUE!</v>
      </c>
    </row>
    <row r="196" spans="2:30" x14ac:dyDescent="0.25">
      <c r="B196">
        <v>2184</v>
      </c>
      <c r="C196" t="s">
        <v>3668</v>
      </c>
      <c r="D196" t="s">
        <v>3673</v>
      </c>
      <c r="E196" t="s">
        <v>3819</v>
      </c>
      <c r="F196" t="s">
        <v>87</v>
      </c>
      <c r="G196" t="s">
        <v>84</v>
      </c>
      <c r="H196" t="s">
        <v>3808</v>
      </c>
      <c r="I196" t="s">
        <v>3809</v>
      </c>
      <c r="J196" t="s">
        <v>3810</v>
      </c>
      <c r="K196" t="s">
        <v>1218</v>
      </c>
      <c r="L196" s="13">
        <v>43098</v>
      </c>
      <c r="M196">
        <v>6</v>
      </c>
      <c r="N196" t="s">
        <v>82</v>
      </c>
      <c r="O196" t="s">
        <v>3811</v>
      </c>
      <c r="P196" t="s">
        <v>76</v>
      </c>
      <c r="Q196" t="s">
        <v>76</v>
      </c>
      <c r="R196" t="s">
        <v>76</v>
      </c>
      <c r="S196" t="s">
        <v>76</v>
      </c>
      <c r="T196" t="s">
        <v>76</v>
      </c>
      <c r="U196">
        <v>1</v>
      </c>
      <c r="V196" s="13">
        <v>45175</v>
      </c>
      <c r="W196">
        <v>1</v>
      </c>
      <c r="X196">
        <v>1</v>
      </c>
      <c r="Y196" t="s">
        <v>3674</v>
      </c>
      <c r="AC196">
        <v>2184</v>
      </c>
      <c r="AD196" t="e" vm="191">
        <v>#VALUE!</v>
      </c>
    </row>
    <row r="197" spans="2:30" x14ac:dyDescent="0.25">
      <c r="B197">
        <v>2185</v>
      </c>
      <c r="C197" t="s">
        <v>3668</v>
      </c>
      <c r="D197" t="s">
        <v>3673</v>
      </c>
      <c r="E197" t="s">
        <v>3819</v>
      </c>
      <c r="F197" t="s">
        <v>87</v>
      </c>
      <c r="G197" t="s">
        <v>84</v>
      </c>
      <c r="H197" t="s">
        <v>3808</v>
      </c>
      <c r="I197" t="s">
        <v>3809</v>
      </c>
      <c r="J197" t="s">
        <v>3810</v>
      </c>
      <c r="K197" t="s">
        <v>1218</v>
      </c>
      <c r="L197" s="13">
        <v>43090</v>
      </c>
      <c r="M197">
        <v>6</v>
      </c>
      <c r="N197" t="s">
        <v>82</v>
      </c>
      <c r="O197" t="s">
        <v>3811</v>
      </c>
      <c r="P197" t="s">
        <v>76</v>
      </c>
      <c r="Q197" t="s">
        <v>76</v>
      </c>
      <c r="R197" t="s">
        <v>76</v>
      </c>
      <c r="S197" t="s">
        <v>76</v>
      </c>
      <c r="T197" t="s">
        <v>76</v>
      </c>
      <c r="U197">
        <v>1</v>
      </c>
      <c r="V197" s="13">
        <v>45175</v>
      </c>
      <c r="W197">
        <v>1</v>
      </c>
      <c r="X197">
        <v>1</v>
      </c>
      <c r="Y197" t="s">
        <v>3674</v>
      </c>
      <c r="AC197">
        <v>2185</v>
      </c>
      <c r="AD197" t="e" vm="192">
        <v>#VALUE!</v>
      </c>
    </row>
    <row r="198" spans="2:30" x14ac:dyDescent="0.25">
      <c r="B198">
        <v>2186</v>
      </c>
      <c r="C198" t="s">
        <v>3668</v>
      </c>
      <c r="D198" t="s">
        <v>3673</v>
      </c>
      <c r="E198" t="s">
        <v>3819</v>
      </c>
      <c r="F198" t="s">
        <v>87</v>
      </c>
      <c r="G198" t="s">
        <v>84</v>
      </c>
      <c r="H198" t="s">
        <v>3808</v>
      </c>
      <c r="I198" t="s">
        <v>3809</v>
      </c>
      <c r="J198" t="s">
        <v>3810</v>
      </c>
      <c r="K198" t="s">
        <v>1218</v>
      </c>
      <c r="L198" s="13">
        <v>43124</v>
      </c>
      <c r="M198">
        <v>6</v>
      </c>
      <c r="N198" t="s">
        <v>82</v>
      </c>
      <c r="O198" t="s">
        <v>3811</v>
      </c>
      <c r="P198" t="s">
        <v>76</v>
      </c>
      <c r="Q198" t="s">
        <v>76</v>
      </c>
      <c r="R198" t="s">
        <v>76</v>
      </c>
      <c r="S198" t="s">
        <v>76</v>
      </c>
      <c r="T198" t="s">
        <v>76</v>
      </c>
      <c r="U198">
        <v>1</v>
      </c>
      <c r="V198" s="13">
        <v>45175</v>
      </c>
      <c r="W198">
        <v>1</v>
      </c>
      <c r="X198">
        <v>1</v>
      </c>
      <c r="Y198" t="s">
        <v>3674</v>
      </c>
      <c r="AC198">
        <v>2186</v>
      </c>
      <c r="AD198" t="e" vm="193">
        <v>#VALUE!</v>
      </c>
    </row>
    <row r="199" spans="2:30" x14ac:dyDescent="0.25">
      <c r="B199">
        <v>2187</v>
      </c>
      <c r="C199" t="s">
        <v>3668</v>
      </c>
      <c r="D199" t="s">
        <v>3673</v>
      </c>
      <c r="E199" t="s">
        <v>3819</v>
      </c>
      <c r="F199" t="s">
        <v>87</v>
      </c>
      <c r="G199" t="s">
        <v>84</v>
      </c>
      <c r="H199" t="s">
        <v>3808</v>
      </c>
      <c r="I199" t="s">
        <v>3809</v>
      </c>
      <c r="J199" t="s">
        <v>3810</v>
      </c>
      <c r="K199" t="s">
        <v>1218</v>
      </c>
      <c r="L199" s="13">
        <v>43098</v>
      </c>
      <c r="M199">
        <v>6</v>
      </c>
      <c r="N199" t="s">
        <v>82</v>
      </c>
      <c r="O199" t="s">
        <v>3811</v>
      </c>
      <c r="P199" t="s">
        <v>76</v>
      </c>
      <c r="Q199" t="s">
        <v>76</v>
      </c>
      <c r="R199" t="s">
        <v>76</v>
      </c>
      <c r="S199" t="s">
        <v>76</v>
      </c>
      <c r="T199" t="s">
        <v>76</v>
      </c>
      <c r="U199">
        <v>1</v>
      </c>
      <c r="V199" s="13">
        <v>45175</v>
      </c>
      <c r="W199">
        <v>1</v>
      </c>
      <c r="X199">
        <v>1</v>
      </c>
      <c r="Y199" t="s">
        <v>3674</v>
      </c>
      <c r="AC199">
        <v>2187</v>
      </c>
      <c r="AD199" t="e" vm="194">
        <v>#VALUE!</v>
      </c>
    </row>
    <row r="200" spans="2:30" x14ac:dyDescent="0.25">
      <c r="B200">
        <v>2188</v>
      </c>
      <c r="C200" t="s">
        <v>3659</v>
      </c>
      <c r="D200" t="s">
        <v>3675</v>
      </c>
      <c r="E200" t="s">
        <v>3820</v>
      </c>
      <c r="F200" t="s">
        <v>85</v>
      </c>
      <c r="G200" t="s">
        <v>107</v>
      </c>
      <c r="H200" t="s">
        <v>3808</v>
      </c>
      <c r="I200" t="s">
        <v>3821</v>
      </c>
      <c r="J200" t="s">
        <v>3810</v>
      </c>
      <c r="K200" t="s">
        <v>1218</v>
      </c>
      <c r="L200" s="13">
        <v>42566</v>
      </c>
      <c r="M200">
        <v>7</v>
      </c>
      <c r="N200" t="s">
        <v>88</v>
      </c>
      <c r="O200" t="s">
        <v>3822</v>
      </c>
      <c r="P200" t="s">
        <v>76</v>
      </c>
      <c r="Q200" t="s">
        <v>76</v>
      </c>
      <c r="R200" t="s">
        <v>76</v>
      </c>
      <c r="S200" t="s">
        <v>76</v>
      </c>
      <c r="T200" t="s">
        <v>76</v>
      </c>
      <c r="U200">
        <v>1</v>
      </c>
      <c r="V200" s="13">
        <v>45175</v>
      </c>
      <c r="W200">
        <v>1</v>
      </c>
      <c r="X200">
        <v>1</v>
      </c>
      <c r="Y200" t="s">
        <v>3676</v>
      </c>
      <c r="AC200">
        <v>2188</v>
      </c>
      <c r="AD200" t="e" vm="195">
        <v>#VALUE!</v>
      </c>
    </row>
    <row r="201" spans="2:30" x14ac:dyDescent="0.25">
      <c r="B201">
        <v>2189</v>
      </c>
      <c r="C201" t="s">
        <v>3659</v>
      </c>
      <c r="D201" t="s">
        <v>3675</v>
      </c>
      <c r="E201" t="s">
        <v>3820</v>
      </c>
      <c r="F201" t="s">
        <v>85</v>
      </c>
      <c r="G201" t="s">
        <v>107</v>
      </c>
      <c r="H201" t="s">
        <v>3808</v>
      </c>
      <c r="I201" t="s">
        <v>3821</v>
      </c>
      <c r="J201" t="s">
        <v>3810</v>
      </c>
      <c r="K201" t="s">
        <v>1218</v>
      </c>
      <c r="L201" s="13">
        <v>42543</v>
      </c>
      <c r="M201">
        <v>7</v>
      </c>
      <c r="N201" t="s">
        <v>88</v>
      </c>
      <c r="O201" t="s">
        <v>3822</v>
      </c>
      <c r="P201" t="s">
        <v>76</v>
      </c>
      <c r="Q201" t="s">
        <v>76</v>
      </c>
      <c r="R201" t="s">
        <v>76</v>
      </c>
      <c r="S201" t="s">
        <v>76</v>
      </c>
      <c r="T201" t="s">
        <v>76</v>
      </c>
      <c r="U201">
        <v>1</v>
      </c>
      <c r="V201" s="13">
        <v>45175</v>
      </c>
      <c r="W201">
        <v>1</v>
      </c>
      <c r="X201">
        <v>1</v>
      </c>
      <c r="Y201" t="s">
        <v>3676</v>
      </c>
      <c r="AC201">
        <v>2189</v>
      </c>
      <c r="AD201" t="e" vm="196">
        <v>#VALUE!</v>
      </c>
    </row>
    <row r="202" spans="2:30" x14ac:dyDescent="0.25">
      <c r="B202">
        <v>2190</v>
      </c>
      <c r="C202" t="s">
        <v>3659</v>
      </c>
      <c r="D202" t="s">
        <v>3675</v>
      </c>
      <c r="E202" t="s">
        <v>3820</v>
      </c>
      <c r="F202" t="s">
        <v>85</v>
      </c>
      <c r="G202" t="s">
        <v>107</v>
      </c>
      <c r="H202" t="s">
        <v>3808</v>
      </c>
      <c r="I202" t="s">
        <v>3821</v>
      </c>
      <c r="J202" t="s">
        <v>3810</v>
      </c>
      <c r="K202" t="s">
        <v>1218</v>
      </c>
      <c r="L202" s="13">
        <v>42543</v>
      </c>
      <c r="M202">
        <v>7</v>
      </c>
      <c r="N202" t="s">
        <v>88</v>
      </c>
      <c r="O202" t="s">
        <v>3822</v>
      </c>
      <c r="P202" t="s">
        <v>76</v>
      </c>
      <c r="Q202" t="s">
        <v>76</v>
      </c>
      <c r="R202" t="s">
        <v>76</v>
      </c>
      <c r="S202" t="s">
        <v>76</v>
      </c>
      <c r="T202" t="s">
        <v>76</v>
      </c>
      <c r="U202">
        <v>1</v>
      </c>
      <c r="V202" s="13">
        <v>45175</v>
      </c>
      <c r="W202">
        <v>1</v>
      </c>
      <c r="X202">
        <v>1</v>
      </c>
      <c r="Y202" t="s">
        <v>3676</v>
      </c>
      <c r="AC202">
        <v>2190</v>
      </c>
      <c r="AD202" t="e" vm="197">
        <v>#VALUE!</v>
      </c>
    </row>
    <row r="203" spans="2:30" x14ac:dyDescent="0.25">
      <c r="B203">
        <v>2191</v>
      </c>
      <c r="C203" t="s">
        <v>3659</v>
      </c>
      <c r="D203" t="s">
        <v>3675</v>
      </c>
      <c r="E203" t="s">
        <v>3820</v>
      </c>
      <c r="F203" t="s">
        <v>85</v>
      </c>
      <c r="G203" t="s">
        <v>107</v>
      </c>
      <c r="H203" t="s">
        <v>3808</v>
      </c>
      <c r="I203" t="s">
        <v>3821</v>
      </c>
      <c r="J203" t="s">
        <v>3810</v>
      </c>
      <c r="K203" t="s">
        <v>1218</v>
      </c>
      <c r="L203" s="13">
        <v>42543</v>
      </c>
      <c r="M203">
        <v>7</v>
      </c>
      <c r="N203" t="s">
        <v>88</v>
      </c>
      <c r="O203" t="s">
        <v>3822</v>
      </c>
      <c r="P203" t="s">
        <v>76</v>
      </c>
      <c r="Q203" t="s">
        <v>76</v>
      </c>
      <c r="R203" t="s">
        <v>76</v>
      </c>
      <c r="S203" t="s">
        <v>76</v>
      </c>
      <c r="T203" t="s">
        <v>76</v>
      </c>
      <c r="U203">
        <v>1</v>
      </c>
      <c r="V203" s="13">
        <v>45175</v>
      </c>
      <c r="W203">
        <v>1</v>
      </c>
      <c r="X203">
        <v>1</v>
      </c>
      <c r="Y203" t="s">
        <v>3676</v>
      </c>
      <c r="AC203">
        <v>2191</v>
      </c>
      <c r="AD203" t="e" vm="198">
        <v>#VALUE!</v>
      </c>
    </row>
    <row r="204" spans="2:30" x14ac:dyDescent="0.25">
      <c r="B204">
        <v>2192</v>
      </c>
      <c r="C204" t="s">
        <v>3659</v>
      </c>
      <c r="D204" t="s">
        <v>3675</v>
      </c>
      <c r="E204" t="s">
        <v>3820</v>
      </c>
      <c r="F204" t="s">
        <v>85</v>
      </c>
      <c r="G204" t="s">
        <v>107</v>
      </c>
      <c r="H204" t="s">
        <v>3808</v>
      </c>
      <c r="I204" t="s">
        <v>3821</v>
      </c>
      <c r="J204" t="s">
        <v>3810</v>
      </c>
      <c r="K204" t="s">
        <v>1218</v>
      </c>
      <c r="L204" s="13">
        <v>42543</v>
      </c>
      <c r="M204">
        <v>7</v>
      </c>
      <c r="N204" t="s">
        <v>88</v>
      </c>
      <c r="O204" t="s">
        <v>3822</v>
      </c>
      <c r="P204" t="s">
        <v>76</v>
      </c>
      <c r="Q204" t="s">
        <v>76</v>
      </c>
      <c r="R204" t="s">
        <v>76</v>
      </c>
      <c r="S204" t="s">
        <v>76</v>
      </c>
      <c r="T204" t="s">
        <v>76</v>
      </c>
      <c r="U204">
        <v>1</v>
      </c>
      <c r="V204" s="13">
        <v>45175</v>
      </c>
      <c r="W204">
        <v>1</v>
      </c>
      <c r="X204">
        <v>1</v>
      </c>
      <c r="Y204" t="s">
        <v>3676</v>
      </c>
      <c r="AC204">
        <v>2192</v>
      </c>
      <c r="AD204" t="e" vm="199">
        <v>#VALUE!</v>
      </c>
    </row>
    <row r="205" spans="2:30" x14ac:dyDescent="0.25">
      <c r="B205">
        <v>2193</v>
      </c>
      <c r="C205" t="s">
        <v>3659</v>
      </c>
      <c r="D205" t="s">
        <v>3675</v>
      </c>
      <c r="E205" t="s">
        <v>3820</v>
      </c>
      <c r="F205" t="s">
        <v>85</v>
      </c>
      <c r="G205" t="s">
        <v>107</v>
      </c>
      <c r="H205" t="s">
        <v>3808</v>
      </c>
      <c r="I205" t="s">
        <v>3821</v>
      </c>
      <c r="J205" t="s">
        <v>3810</v>
      </c>
      <c r="K205" t="s">
        <v>1218</v>
      </c>
      <c r="L205" s="13">
        <v>42543</v>
      </c>
      <c r="M205">
        <v>7</v>
      </c>
      <c r="N205" t="s">
        <v>88</v>
      </c>
      <c r="O205" t="s">
        <v>3822</v>
      </c>
      <c r="P205" t="s">
        <v>76</v>
      </c>
      <c r="Q205" t="s">
        <v>76</v>
      </c>
      <c r="R205" t="s">
        <v>76</v>
      </c>
      <c r="S205" t="s">
        <v>76</v>
      </c>
      <c r="T205" t="s">
        <v>76</v>
      </c>
      <c r="U205">
        <v>1</v>
      </c>
      <c r="V205" s="13">
        <v>45175</v>
      </c>
      <c r="W205">
        <v>1</v>
      </c>
      <c r="X205">
        <v>1</v>
      </c>
      <c r="Y205" t="s">
        <v>3676</v>
      </c>
      <c r="AC205">
        <v>2193</v>
      </c>
      <c r="AD205" t="e" vm="200">
        <v>#VALUE!</v>
      </c>
    </row>
    <row r="206" spans="2:30" x14ac:dyDescent="0.25">
      <c r="B206">
        <v>2194</v>
      </c>
      <c r="C206" t="s">
        <v>3659</v>
      </c>
      <c r="D206" t="s">
        <v>3675</v>
      </c>
      <c r="E206" t="s">
        <v>3820</v>
      </c>
      <c r="F206" t="s">
        <v>85</v>
      </c>
      <c r="G206" t="s">
        <v>107</v>
      </c>
      <c r="H206" t="s">
        <v>3808</v>
      </c>
      <c r="I206" t="s">
        <v>3821</v>
      </c>
      <c r="J206" t="s">
        <v>3810</v>
      </c>
      <c r="K206" t="s">
        <v>1218</v>
      </c>
      <c r="L206" s="13">
        <v>42543</v>
      </c>
      <c r="M206">
        <v>7</v>
      </c>
      <c r="N206" t="s">
        <v>88</v>
      </c>
      <c r="O206" t="s">
        <v>3822</v>
      </c>
      <c r="P206" t="s">
        <v>76</v>
      </c>
      <c r="Q206" t="s">
        <v>76</v>
      </c>
      <c r="R206" t="s">
        <v>76</v>
      </c>
      <c r="S206" t="s">
        <v>76</v>
      </c>
      <c r="T206" t="s">
        <v>76</v>
      </c>
      <c r="U206">
        <v>1</v>
      </c>
      <c r="V206" s="13">
        <v>45175</v>
      </c>
      <c r="W206">
        <v>1</v>
      </c>
      <c r="X206">
        <v>1</v>
      </c>
      <c r="Y206" t="s">
        <v>3676</v>
      </c>
      <c r="AC206">
        <v>2194</v>
      </c>
      <c r="AD206" t="e" vm="201">
        <v>#VALUE!</v>
      </c>
    </row>
    <row r="207" spans="2:30" x14ac:dyDescent="0.25">
      <c r="B207">
        <v>2195</v>
      </c>
      <c r="C207" t="s">
        <v>3659</v>
      </c>
      <c r="D207" t="s">
        <v>3677</v>
      </c>
      <c r="E207" t="s">
        <v>3823</v>
      </c>
      <c r="F207" t="s">
        <v>87</v>
      </c>
      <c r="G207" t="s">
        <v>86</v>
      </c>
      <c r="H207" t="s">
        <v>3808</v>
      </c>
      <c r="I207" t="s">
        <v>3821</v>
      </c>
      <c r="J207" t="s">
        <v>3810</v>
      </c>
      <c r="K207" t="s">
        <v>1218</v>
      </c>
      <c r="L207" s="13">
        <v>42556</v>
      </c>
      <c r="M207">
        <v>7</v>
      </c>
      <c r="N207" t="s">
        <v>88</v>
      </c>
      <c r="O207" t="s">
        <v>3822</v>
      </c>
      <c r="P207" t="s">
        <v>76</v>
      </c>
      <c r="Q207" t="s">
        <v>76</v>
      </c>
      <c r="R207" t="s">
        <v>76</v>
      </c>
      <c r="S207" t="s">
        <v>76</v>
      </c>
      <c r="T207" t="s">
        <v>76</v>
      </c>
      <c r="U207">
        <v>1</v>
      </c>
      <c r="V207" s="13">
        <v>45175</v>
      </c>
      <c r="W207">
        <v>1</v>
      </c>
      <c r="X207">
        <v>1</v>
      </c>
      <c r="Y207" t="s">
        <v>3678</v>
      </c>
      <c r="AC207">
        <v>2195</v>
      </c>
      <c r="AD207" t="e" vm="202">
        <v>#VALUE!</v>
      </c>
    </row>
    <row r="208" spans="2:30" x14ac:dyDescent="0.25">
      <c r="B208">
        <v>2196</v>
      </c>
      <c r="C208" t="s">
        <v>3659</v>
      </c>
      <c r="D208" t="s">
        <v>3677</v>
      </c>
      <c r="E208" t="s">
        <v>3823</v>
      </c>
      <c r="F208" t="s">
        <v>87</v>
      </c>
      <c r="G208" t="s">
        <v>86</v>
      </c>
      <c r="H208" t="s">
        <v>3808</v>
      </c>
      <c r="I208" t="s">
        <v>3821</v>
      </c>
      <c r="J208" t="s">
        <v>3810</v>
      </c>
      <c r="K208" t="s">
        <v>1218</v>
      </c>
      <c r="L208" s="13">
        <v>42556</v>
      </c>
      <c r="M208">
        <v>7</v>
      </c>
      <c r="N208" t="s">
        <v>88</v>
      </c>
      <c r="O208" t="s">
        <v>3822</v>
      </c>
      <c r="P208" t="s">
        <v>76</v>
      </c>
      <c r="Q208" t="s">
        <v>76</v>
      </c>
      <c r="R208" t="s">
        <v>76</v>
      </c>
      <c r="S208" t="s">
        <v>76</v>
      </c>
      <c r="T208" t="s">
        <v>76</v>
      </c>
      <c r="U208">
        <v>1</v>
      </c>
      <c r="V208" s="13">
        <v>45175</v>
      </c>
      <c r="W208">
        <v>1</v>
      </c>
      <c r="X208">
        <v>1</v>
      </c>
      <c r="Y208" t="s">
        <v>3678</v>
      </c>
      <c r="AC208">
        <v>2196</v>
      </c>
      <c r="AD208" t="e" vm="203">
        <v>#VALUE!</v>
      </c>
    </row>
    <row r="209" spans="2:30" x14ac:dyDescent="0.25">
      <c r="B209">
        <v>2197</v>
      </c>
      <c r="C209" t="s">
        <v>3659</v>
      </c>
      <c r="D209" t="s">
        <v>3677</v>
      </c>
      <c r="E209" t="s">
        <v>3823</v>
      </c>
      <c r="F209" t="s">
        <v>87</v>
      </c>
      <c r="G209" t="s">
        <v>86</v>
      </c>
      <c r="H209" t="s">
        <v>3808</v>
      </c>
      <c r="I209" t="s">
        <v>3821</v>
      </c>
      <c r="J209" t="s">
        <v>3810</v>
      </c>
      <c r="K209" t="s">
        <v>1218</v>
      </c>
      <c r="L209" s="13">
        <v>42558</v>
      </c>
      <c r="M209">
        <v>7</v>
      </c>
      <c r="N209" t="s">
        <v>88</v>
      </c>
      <c r="O209" t="s">
        <v>3822</v>
      </c>
      <c r="P209" t="s">
        <v>76</v>
      </c>
      <c r="Q209" t="s">
        <v>76</v>
      </c>
      <c r="R209" t="s">
        <v>76</v>
      </c>
      <c r="S209" t="s">
        <v>76</v>
      </c>
      <c r="T209" t="s">
        <v>76</v>
      </c>
      <c r="U209">
        <v>1</v>
      </c>
      <c r="V209" s="13">
        <v>45175</v>
      </c>
      <c r="W209">
        <v>1</v>
      </c>
      <c r="X209">
        <v>1</v>
      </c>
      <c r="Y209" t="s">
        <v>3678</v>
      </c>
      <c r="AC209">
        <v>2197</v>
      </c>
      <c r="AD209" t="e" vm="204">
        <v>#VALUE!</v>
      </c>
    </row>
    <row r="210" spans="2:30" x14ac:dyDescent="0.25">
      <c r="B210">
        <v>2198</v>
      </c>
      <c r="C210" t="s">
        <v>3659</v>
      </c>
      <c r="D210" t="s">
        <v>3677</v>
      </c>
      <c r="E210" t="s">
        <v>3823</v>
      </c>
      <c r="F210" t="s">
        <v>87</v>
      </c>
      <c r="G210" t="s">
        <v>86</v>
      </c>
      <c r="H210" t="s">
        <v>3808</v>
      </c>
      <c r="I210" t="s">
        <v>3821</v>
      </c>
      <c r="J210" t="s">
        <v>3810</v>
      </c>
      <c r="K210" t="s">
        <v>1218</v>
      </c>
      <c r="L210" s="13">
        <v>42558</v>
      </c>
      <c r="M210">
        <v>7</v>
      </c>
      <c r="N210" t="s">
        <v>88</v>
      </c>
      <c r="O210" t="s">
        <v>3822</v>
      </c>
      <c r="P210" t="s">
        <v>76</v>
      </c>
      <c r="Q210" t="s">
        <v>76</v>
      </c>
      <c r="R210" t="s">
        <v>76</v>
      </c>
      <c r="S210" t="s">
        <v>76</v>
      </c>
      <c r="T210" t="s">
        <v>76</v>
      </c>
      <c r="U210">
        <v>1</v>
      </c>
      <c r="V210" s="13">
        <v>45175</v>
      </c>
      <c r="W210">
        <v>1</v>
      </c>
      <c r="X210">
        <v>1</v>
      </c>
      <c r="Y210" t="s">
        <v>3678</v>
      </c>
      <c r="AC210">
        <v>2198</v>
      </c>
      <c r="AD210" t="e" vm="205">
        <v>#VALUE!</v>
      </c>
    </row>
    <row r="211" spans="2:30" x14ac:dyDescent="0.25">
      <c r="B211">
        <v>2199</v>
      </c>
      <c r="C211" t="s">
        <v>3659</v>
      </c>
      <c r="D211" t="s">
        <v>3677</v>
      </c>
      <c r="E211" t="s">
        <v>3823</v>
      </c>
      <c r="F211" t="s">
        <v>87</v>
      </c>
      <c r="G211" t="s">
        <v>86</v>
      </c>
      <c r="H211" t="s">
        <v>3808</v>
      </c>
      <c r="I211" t="s">
        <v>3821</v>
      </c>
      <c r="J211" t="s">
        <v>3810</v>
      </c>
      <c r="K211" t="s">
        <v>1218</v>
      </c>
      <c r="L211" s="13">
        <v>42564</v>
      </c>
      <c r="M211">
        <v>7</v>
      </c>
      <c r="N211" t="s">
        <v>88</v>
      </c>
      <c r="O211" t="s">
        <v>3822</v>
      </c>
      <c r="P211" t="s">
        <v>76</v>
      </c>
      <c r="Q211" t="s">
        <v>76</v>
      </c>
      <c r="R211" t="s">
        <v>76</v>
      </c>
      <c r="S211" t="s">
        <v>76</v>
      </c>
      <c r="T211" t="s">
        <v>76</v>
      </c>
      <c r="U211">
        <v>1</v>
      </c>
      <c r="V211" s="13">
        <v>45175</v>
      </c>
      <c r="W211">
        <v>1</v>
      </c>
      <c r="X211">
        <v>1</v>
      </c>
      <c r="Y211" t="s">
        <v>3678</v>
      </c>
      <c r="AC211">
        <v>2199</v>
      </c>
      <c r="AD211" t="e" vm="206">
        <v>#VALUE!</v>
      </c>
    </row>
    <row r="212" spans="2:30" x14ac:dyDescent="0.25">
      <c r="B212">
        <v>2200</v>
      </c>
      <c r="C212" t="s">
        <v>3659</v>
      </c>
      <c r="D212" t="s">
        <v>3677</v>
      </c>
      <c r="E212" t="s">
        <v>3823</v>
      </c>
      <c r="F212" t="s">
        <v>87</v>
      </c>
      <c r="G212" t="s">
        <v>86</v>
      </c>
      <c r="H212" t="s">
        <v>3808</v>
      </c>
      <c r="I212" t="s">
        <v>3821</v>
      </c>
      <c r="J212" t="s">
        <v>3810</v>
      </c>
      <c r="K212" t="s">
        <v>1218</v>
      </c>
      <c r="L212" s="13">
        <v>42563</v>
      </c>
      <c r="M212">
        <v>7</v>
      </c>
      <c r="N212" t="s">
        <v>88</v>
      </c>
      <c r="O212" t="s">
        <v>3822</v>
      </c>
      <c r="P212" t="s">
        <v>76</v>
      </c>
      <c r="Q212" t="s">
        <v>76</v>
      </c>
      <c r="R212" t="s">
        <v>76</v>
      </c>
      <c r="S212" t="s">
        <v>76</v>
      </c>
      <c r="T212" t="s">
        <v>76</v>
      </c>
      <c r="U212">
        <v>1</v>
      </c>
      <c r="V212" s="13">
        <v>45175</v>
      </c>
      <c r="W212">
        <v>1</v>
      </c>
      <c r="X212">
        <v>1</v>
      </c>
      <c r="Y212" t="s">
        <v>3678</v>
      </c>
      <c r="AC212">
        <v>2200</v>
      </c>
      <c r="AD212" t="e" vm="207">
        <v>#VALUE!</v>
      </c>
    </row>
    <row r="213" spans="2:30" x14ac:dyDescent="0.25">
      <c r="B213">
        <v>2201</v>
      </c>
      <c r="C213" t="s">
        <v>3659</v>
      </c>
      <c r="D213" t="s">
        <v>3677</v>
      </c>
      <c r="E213" t="s">
        <v>3823</v>
      </c>
      <c r="F213" t="s">
        <v>87</v>
      </c>
      <c r="G213" t="s">
        <v>86</v>
      </c>
      <c r="H213" t="s">
        <v>3808</v>
      </c>
      <c r="I213" t="s">
        <v>3821</v>
      </c>
      <c r="J213" t="s">
        <v>3810</v>
      </c>
      <c r="K213" t="s">
        <v>1218</v>
      </c>
      <c r="L213" s="13">
        <v>42559</v>
      </c>
      <c r="M213">
        <v>7</v>
      </c>
      <c r="N213" t="s">
        <v>88</v>
      </c>
      <c r="O213" t="s">
        <v>3822</v>
      </c>
      <c r="P213" t="s">
        <v>76</v>
      </c>
      <c r="Q213" t="s">
        <v>76</v>
      </c>
      <c r="R213" t="s">
        <v>76</v>
      </c>
      <c r="S213" t="s">
        <v>76</v>
      </c>
      <c r="T213" t="s">
        <v>76</v>
      </c>
      <c r="U213">
        <v>1</v>
      </c>
      <c r="V213" s="13">
        <v>45175</v>
      </c>
      <c r="W213">
        <v>1</v>
      </c>
      <c r="X213">
        <v>1</v>
      </c>
      <c r="Y213" t="s">
        <v>3678</v>
      </c>
      <c r="AC213">
        <v>2201</v>
      </c>
      <c r="AD213" t="e" vm="7">
        <v>#VALUE!</v>
      </c>
    </row>
    <row r="214" spans="2:30" x14ac:dyDescent="0.25">
      <c r="B214">
        <v>2202</v>
      </c>
      <c r="C214" t="s">
        <v>3659</v>
      </c>
      <c r="D214" t="s">
        <v>3677</v>
      </c>
      <c r="E214" t="s">
        <v>3823</v>
      </c>
      <c r="F214" t="s">
        <v>87</v>
      </c>
      <c r="G214" t="s">
        <v>86</v>
      </c>
      <c r="H214" t="s">
        <v>3808</v>
      </c>
      <c r="I214" t="s">
        <v>3821</v>
      </c>
      <c r="J214" t="s">
        <v>3810</v>
      </c>
      <c r="K214" t="s">
        <v>1218</v>
      </c>
      <c r="L214" s="13">
        <v>42563</v>
      </c>
      <c r="M214">
        <v>7</v>
      </c>
      <c r="N214" t="s">
        <v>88</v>
      </c>
      <c r="O214" t="s">
        <v>3822</v>
      </c>
      <c r="P214" t="s">
        <v>76</v>
      </c>
      <c r="Q214" t="s">
        <v>76</v>
      </c>
      <c r="R214" t="s">
        <v>76</v>
      </c>
      <c r="S214" t="s">
        <v>76</v>
      </c>
      <c r="T214" t="s">
        <v>76</v>
      </c>
      <c r="U214">
        <v>1</v>
      </c>
      <c r="V214" s="13">
        <v>45175</v>
      </c>
      <c r="W214">
        <v>1</v>
      </c>
      <c r="X214">
        <v>1</v>
      </c>
      <c r="Y214" t="s">
        <v>3678</v>
      </c>
      <c r="AC214">
        <v>2202</v>
      </c>
      <c r="AD214" t="e" vm="208">
        <v>#VALUE!</v>
      </c>
    </row>
    <row r="215" spans="2:30" x14ac:dyDescent="0.25">
      <c r="B215">
        <v>2203</v>
      </c>
      <c r="C215" t="s">
        <v>3659</v>
      </c>
      <c r="D215" t="s">
        <v>3677</v>
      </c>
      <c r="E215" t="s">
        <v>3823</v>
      </c>
      <c r="F215" t="s">
        <v>87</v>
      </c>
      <c r="G215" t="s">
        <v>86</v>
      </c>
      <c r="H215" t="s">
        <v>3808</v>
      </c>
      <c r="I215" t="s">
        <v>3821</v>
      </c>
      <c r="J215" t="s">
        <v>3810</v>
      </c>
      <c r="K215" t="s">
        <v>1218</v>
      </c>
      <c r="L215" s="13">
        <v>42564</v>
      </c>
      <c r="M215">
        <v>7</v>
      </c>
      <c r="N215" t="s">
        <v>88</v>
      </c>
      <c r="O215" t="s">
        <v>3822</v>
      </c>
      <c r="P215" t="s">
        <v>76</v>
      </c>
      <c r="Q215" t="s">
        <v>76</v>
      </c>
      <c r="R215" t="s">
        <v>76</v>
      </c>
      <c r="S215" t="s">
        <v>76</v>
      </c>
      <c r="T215" t="s">
        <v>76</v>
      </c>
      <c r="U215">
        <v>1</v>
      </c>
      <c r="V215" s="13">
        <v>45175</v>
      </c>
      <c r="W215">
        <v>1</v>
      </c>
      <c r="X215">
        <v>1</v>
      </c>
      <c r="Y215" t="s">
        <v>3678</v>
      </c>
      <c r="AC215">
        <v>2203</v>
      </c>
      <c r="AD215" t="e" vm="209">
        <v>#VALUE!</v>
      </c>
    </row>
    <row r="216" spans="2:30" x14ac:dyDescent="0.25">
      <c r="B216">
        <v>2204</v>
      </c>
      <c r="C216" t="s">
        <v>3659</v>
      </c>
      <c r="D216" t="s">
        <v>3677</v>
      </c>
      <c r="E216" t="s">
        <v>3823</v>
      </c>
      <c r="F216" t="s">
        <v>87</v>
      </c>
      <c r="G216" t="s">
        <v>86</v>
      </c>
      <c r="H216" t="s">
        <v>3808</v>
      </c>
      <c r="I216" t="s">
        <v>3821</v>
      </c>
      <c r="J216" t="s">
        <v>3810</v>
      </c>
      <c r="K216" t="s">
        <v>1218</v>
      </c>
      <c r="L216" s="13">
        <v>42564</v>
      </c>
      <c r="M216">
        <v>7</v>
      </c>
      <c r="N216" t="s">
        <v>88</v>
      </c>
      <c r="O216" t="s">
        <v>3822</v>
      </c>
      <c r="P216" t="s">
        <v>76</v>
      </c>
      <c r="Q216" t="s">
        <v>76</v>
      </c>
      <c r="R216" t="s">
        <v>76</v>
      </c>
      <c r="S216" t="s">
        <v>76</v>
      </c>
      <c r="T216" t="s">
        <v>76</v>
      </c>
      <c r="U216">
        <v>1</v>
      </c>
      <c r="V216" s="13">
        <v>45175</v>
      </c>
      <c r="W216">
        <v>1</v>
      </c>
      <c r="X216">
        <v>1</v>
      </c>
      <c r="Y216" t="s">
        <v>3678</v>
      </c>
      <c r="AC216">
        <v>2204</v>
      </c>
      <c r="AD216" t="e" vm="210">
        <v>#VALUE!</v>
      </c>
    </row>
    <row r="217" spans="2:30" x14ac:dyDescent="0.25">
      <c r="B217">
        <v>2205</v>
      </c>
      <c r="C217" t="s">
        <v>3659</v>
      </c>
      <c r="D217" t="s">
        <v>3677</v>
      </c>
      <c r="E217" t="s">
        <v>3823</v>
      </c>
      <c r="F217" t="s">
        <v>87</v>
      </c>
      <c r="G217" t="s">
        <v>86</v>
      </c>
      <c r="H217" t="s">
        <v>3808</v>
      </c>
      <c r="I217" t="s">
        <v>3821</v>
      </c>
      <c r="J217" t="s">
        <v>3810</v>
      </c>
      <c r="K217" t="s">
        <v>1218</v>
      </c>
      <c r="L217" s="13">
        <v>42565</v>
      </c>
      <c r="M217">
        <v>7</v>
      </c>
      <c r="N217" t="s">
        <v>88</v>
      </c>
      <c r="O217" t="s">
        <v>3822</v>
      </c>
      <c r="P217" t="s">
        <v>76</v>
      </c>
      <c r="Q217" t="s">
        <v>76</v>
      </c>
      <c r="R217" t="s">
        <v>76</v>
      </c>
      <c r="S217" t="s">
        <v>76</v>
      </c>
      <c r="T217" t="s">
        <v>76</v>
      </c>
      <c r="U217">
        <v>1</v>
      </c>
      <c r="V217" s="13">
        <v>45175</v>
      </c>
      <c r="W217">
        <v>1</v>
      </c>
      <c r="X217">
        <v>1</v>
      </c>
      <c r="Y217" t="s">
        <v>3678</v>
      </c>
      <c r="AC217">
        <v>2205</v>
      </c>
      <c r="AD217" t="e" vm="211">
        <v>#VALUE!</v>
      </c>
    </row>
    <row r="218" spans="2:30" x14ac:dyDescent="0.25">
      <c r="B218">
        <v>2206</v>
      </c>
      <c r="C218" t="s">
        <v>3659</v>
      </c>
      <c r="D218" t="s">
        <v>3677</v>
      </c>
      <c r="E218" t="s">
        <v>3823</v>
      </c>
      <c r="F218" t="s">
        <v>87</v>
      </c>
      <c r="G218" t="s">
        <v>86</v>
      </c>
      <c r="H218" t="s">
        <v>3808</v>
      </c>
      <c r="I218" t="s">
        <v>3821</v>
      </c>
      <c r="J218" t="s">
        <v>3810</v>
      </c>
      <c r="K218" t="s">
        <v>1218</v>
      </c>
      <c r="L218" s="13">
        <v>42566</v>
      </c>
      <c r="M218">
        <v>7</v>
      </c>
      <c r="N218" t="s">
        <v>88</v>
      </c>
      <c r="O218" t="s">
        <v>3822</v>
      </c>
      <c r="P218" t="s">
        <v>76</v>
      </c>
      <c r="Q218" t="s">
        <v>76</v>
      </c>
      <c r="R218" t="s">
        <v>76</v>
      </c>
      <c r="S218" t="s">
        <v>76</v>
      </c>
      <c r="T218" t="s">
        <v>76</v>
      </c>
      <c r="U218">
        <v>1</v>
      </c>
      <c r="V218" s="13">
        <v>45175</v>
      </c>
      <c r="W218">
        <v>1</v>
      </c>
      <c r="X218">
        <v>1</v>
      </c>
      <c r="Y218" t="s">
        <v>3678</v>
      </c>
      <c r="AC218">
        <v>2206</v>
      </c>
      <c r="AD218" t="e" vm="212">
        <v>#VALUE!</v>
      </c>
    </row>
    <row r="219" spans="2:30" x14ac:dyDescent="0.25">
      <c r="B219">
        <v>2207</v>
      </c>
      <c r="C219" t="s">
        <v>3659</v>
      </c>
      <c r="D219" t="s">
        <v>3677</v>
      </c>
      <c r="E219" t="s">
        <v>3823</v>
      </c>
      <c r="F219" t="s">
        <v>87</v>
      </c>
      <c r="G219" t="s">
        <v>86</v>
      </c>
      <c r="H219" t="s">
        <v>3808</v>
      </c>
      <c r="I219" t="s">
        <v>3821</v>
      </c>
      <c r="J219" t="s">
        <v>3810</v>
      </c>
      <c r="K219" t="s">
        <v>1218</v>
      </c>
      <c r="L219" s="13">
        <v>42569</v>
      </c>
      <c r="M219">
        <v>7</v>
      </c>
      <c r="N219" t="s">
        <v>88</v>
      </c>
      <c r="O219" t="s">
        <v>3822</v>
      </c>
      <c r="P219" t="s">
        <v>76</v>
      </c>
      <c r="Q219" t="s">
        <v>76</v>
      </c>
      <c r="R219" t="s">
        <v>76</v>
      </c>
      <c r="S219" t="s">
        <v>76</v>
      </c>
      <c r="T219" t="s">
        <v>76</v>
      </c>
      <c r="U219">
        <v>1</v>
      </c>
      <c r="V219" s="13">
        <v>45175</v>
      </c>
      <c r="W219">
        <v>1</v>
      </c>
      <c r="X219">
        <v>1</v>
      </c>
      <c r="Y219" t="s">
        <v>3678</v>
      </c>
      <c r="AC219">
        <v>2207</v>
      </c>
      <c r="AD219" t="e" vm="213">
        <v>#VALUE!</v>
      </c>
    </row>
    <row r="220" spans="2:30" x14ac:dyDescent="0.25">
      <c r="B220">
        <v>2208</v>
      </c>
      <c r="C220" t="s">
        <v>3662</v>
      </c>
      <c r="D220" t="s">
        <v>3679</v>
      </c>
      <c r="E220" t="s">
        <v>3824</v>
      </c>
      <c r="F220" t="s">
        <v>110</v>
      </c>
      <c r="G220" t="s">
        <v>109</v>
      </c>
      <c r="H220" t="s">
        <v>3808</v>
      </c>
      <c r="I220" t="s">
        <v>3821</v>
      </c>
      <c r="J220" t="s">
        <v>3810</v>
      </c>
      <c r="K220" t="s">
        <v>1218</v>
      </c>
      <c r="L220" s="13">
        <v>42566</v>
      </c>
      <c r="M220">
        <v>7</v>
      </c>
      <c r="N220" t="s">
        <v>79</v>
      </c>
      <c r="O220" t="s">
        <v>3822</v>
      </c>
      <c r="P220" t="s">
        <v>76</v>
      </c>
      <c r="Q220" t="s">
        <v>76</v>
      </c>
      <c r="R220" t="s">
        <v>76</v>
      </c>
      <c r="S220" t="s">
        <v>76</v>
      </c>
      <c r="T220" t="s">
        <v>76</v>
      </c>
      <c r="U220">
        <v>1</v>
      </c>
      <c r="V220" s="13">
        <v>45175</v>
      </c>
      <c r="W220">
        <v>1</v>
      </c>
      <c r="X220">
        <v>1</v>
      </c>
      <c r="Y220" t="s">
        <v>3680</v>
      </c>
      <c r="AC220">
        <v>2208</v>
      </c>
      <c r="AD220" t="e" vm="214">
        <v>#VALUE!</v>
      </c>
    </row>
    <row r="221" spans="2:30" x14ac:dyDescent="0.25">
      <c r="B221">
        <v>2209</v>
      </c>
      <c r="C221" t="s">
        <v>3662</v>
      </c>
      <c r="D221" t="s">
        <v>3679</v>
      </c>
      <c r="E221" t="s">
        <v>3824</v>
      </c>
      <c r="F221" t="s">
        <v>110</v>
      </c>
      <c r="G221" t="s">
        <v>109</v>
      </c>
      <c r="H221" t="s">
        <v>3808</v>
      </c>
      <c r="I221" t="s">
        <v>3821</v>
      </c>
      <c r="J221" t="s">
        <v>3810</v>
      </c>
      <c r="K221" t="s">
        <v>1218</v>
      </c>
      <c r="L221" s="13">
        <v>42566</v>
      </c>
      <c r="M221">
        <v>7</v>
      </c>
      <c r="N221" t="s">
        <v>79</v>
      </c>
      <c r="O221" t="s">
        <v>3822</v>
      </c>
      <c r="P221" t="s">
        <v>76</v>
      </c>
      <c r="Q221" t="s">
        <v>76</v>
      </c>
      <c r="R221" t="s">
        <v>76</v>
      </c>
      <c r="S221" t="s">
        <v>76</v>
      </c>
      <c r="T221" t="s">
        <v>76</v>
      </c>
      <c r="U221">
        <v>1</v>
      </c>
      <c r="V221" s="13">
        <v>45175</v>
      </c>
      <c r="W221">
        <v>1</v>
      </c>
      <c r="X221">
        <v>1</v>
      </c>
      <c r="Y221" t="s">
        <v>3680</v>
      </c>
      <c r="AC221">
        <v>2209</v>
      </c>
      <c r="AD221" t="e" vm="215">
        <v>#VALUE!</v>
      </c>
    </row>
    <row r="222" spans="2:30" x14ac:dyDescent="0.25">
      <c r="B222">
        <v>2210</v>
      </c>
      <c r="C222" t="s">
        <v>3662</v>
      </c>
      <c r="D222" t="s">
        <v>3679</v>
      </c>
      <c r="E222" t="s">
        <v>3824</v>
      </c>
      <c r="F222" t="s">
        <v>110</v>
      </c>
      <c r="G222" t="s">
        <v>109</v>
      </c>
      <c r="H222" t="s">
        <v>3808</v>
      </c>
      <c r="I222" t="s">
        <v>3821</v>
      </c>
      <c r="J222" t="s">
        <v>3810</v>
      </c>
      <c r="K222" t="s">
        <v>1218</v>
      </c>
      <c r="L222" s="13">
        <v>42566</v>
      </c>
      <c r="M222">
        <v>7</v>
      </c>
      <c r="N222" t="s">
        <v>79</v>
      </c>
      <c r="O222" t="s">
        <v>3822</v>
      </c>
      <c r="P222" t="s">
        <v>76</v>
      </c>
      <c r="Q222" t="s">
        <v>76</v>
      </c>
      <c r="R222" t="s">
        <v>76</v>
      </c>
      <c r="S222" t="s">
        <v>76</v>
      </c>
      <c r="T222" t="s">
        <v>76</v>
      </c>
      <c r="U222">
        <v>1</v>
      </c>
      <c r="V222" s="13">
        <v>45175</v>
      </c>
      <c r="W222">
        <v>1</v>
      </c>
      <c r="X222">
        <v>1</v>
      </c>
      <c r="Y222" t="s">
        <v>3680</v>
      </c>
      <c r="AC222">
        <v>2210</v>
      </c>
      <c r="AD222" t="e" vm="216">
        <v>#VALUE!</v>
      </c>
    </row>
    <row r="223" spans="2:30" x14ac:dyDescent="0.25">
      <c r="B223">
        <v>2211</v>
      </c>
      <c r="C223" t="s">
        <v>3662</v>
      </c>
      <c r="D223" t="s">
        <v>73</v>
      </c>
      <c r="E223" t="s">
        <v>73</v>
      </c>
      <c r="F223" t="s">
        <v>3816</v>
      </c>
      <c r="G223" t="s">
        <v>3816</v>
      </c>
      <c r="H223" t="s">
        <v>3808</v>
      </c>
      <c r="I223" t="s">
        <v>3821</v>
      </c>
      <c r="J223" t="s">
        <v>3810</v>
      </c>
      <c r="K223" t="s">
        <v>1218</v>
      </c>
      <c r="L223" s="13">
        <v>42566</v>
      </c>
      <c r="M223">
        <v>7</v>
      </c>
      <c r="N223" t="s">
        <v>79</v>
      </c>
      <c r="O223" t="s">
        <v>3822</v>
      </c>
      <c r="P223" t="s">
        <v>76</v>
      </c>
      <c r="Q223" t="s">
        <v>76</v>
      </c>
      <c r="R223" t="s">
        <v>76</v>
      </c>
      <c r="S223" t="s">
        <v>76</v>
      </c>
      <c r="T223" t="s">
        <v>76</v>
      </c>
      <c r="U223">
        <v>1</v>
      </c>
      <c r="V223" s="13">
        <v>45175</v>
      </c>
      <c r="W223">
        <v>1</v>
      </c>
      <c r="X223">
        <v>1</v>
      </c>
      <c r="Y223" t="s">
        <v>3681</v>
      </c>
      <c r="AC223">
        <v>2211</v>
      </c>
      <c r="AD223" t="e" vm="217">
        <v>#VALUE!</v>
      </c>
    </row>
    <row r="224" spans="2:30" x14ac:dyDescent="0.25">
      <c r="B224">
        <v>2212</v>
      </c>
      <c r="C224" t="s">
        <v>3662</v>
      </c>
      <c r="D224" t="s">
        <v>73</v>
      </c>
      <c r="E224" t="s">
        <v>73</v>
      </c>
      <c r="F224" t="s">
        <v>3816</v>
      </c>
      <c r="G224" t="s">
        <v>3816</v>
      </c>
      <c r="H224" t="s">
        <v>3808</v>
      </c>
      <c r="I224" t="s">
        <v>3821</v>
      </c>
      <c r="J224" t="s">
        <v>3810</v>
      </c>
      <c r="K224" t="s">
        <v>1218</v>
      </c>
      <c r="L224" s="13">
        <v>42569</v>
      </c>
      <c r="M224">
        <v>7</v>
      </c>
      <c r="N224" t="s">
        <v>79</v>
      </c>
      <c r="O224" t="s">
        <v>3822</v>
      </c>
      <c r="P224" t="s">
        <v>76</v>
      </c>
      <c r="Q224" t="s">
        <v>76</v>
      </c>
      <c r="R224" t="s">
        <v>76</v>
      </c>
      <c r="S224" t="s">
        <v>76</v>
      </c>
      <c r="T224" t="s">
        <v>76</v>
      </c>
      <c r="U224">
        <v>1</v>
      </c>
      <c r="V224" s="13">
        <v>45175</v>
      </c>
      <c r="W224">
        <v>1</v>
      </c>
      <c r="X224">
        <v>1</v>
      </c>
      <c r="Y224" t="s">
        <v>3681</v>
      </c>
      <c r="AC224">
        <v>2212</v>
      </c>
      <c r="AD224" t="e" vm="218">
        <v>#VALUE!</v>
      </c>
    </row>
    <row r="225" spans="2:30" x14ac:dyDescent="0.25">
      <c r="B225">
        <v>2213</v>
      </c>
      <c r="C225" t="s">
        <v>3662</v>
      </c>
      <c r="D225" t="s">
        <v>3679</v>
      </c>
      <c r="E225" t="s">
        <v>3824</v>
      </c>
      <c r="F225" t="s">
        <v>110</v>
      </c>
      <c r="G225" t="s">
        <v>109</v>
      </c>
      <c r="H225" t="s">
        <v>3808</v>
      </c>
      <c r="I225" t="s">
        <v>3821</v>
      </c>
      <c r="J225" t="s">
        <v>3810</v>
      </c>
      <c r="K225" t="s">
        <v>1218</v>
      </c>
      <c r="L225" s="13">
        <v>42569</v>
      </c>
      <c r="M225">
        <v>7</v>
      </c>
      <c r="N225" t="s">
        <v>79</v>
      </c>
      <c r="O225" t="s">
        <v>3822</v>
      </c>
      <c r="P225" t="s">
        <v>76</v>
      </c>
      <c r="Q225" t="s">
        <v>76</v>
      </c>
      <c r="R225" t="s">
        <v>76</v>
      </c>
      <c r="S225" t="s">
        <v>76</v>
      </c>
      <c r="T225" t="s">
        <v>76</v>
      </c>
      <c r="U225">
        <v>1</v>
      </c>
      <c r="V225" s="13">
        <v>45175</v>
      </c>
      <c r="W225">
        <v>1</v>
      </c>
      <c r="X225">
        <v>1</v>
      </c>
      <c r="Y225" t="s">
        <v>3680</v>
      </c>
      <c r="AC225">
        <v>2213</v>
      </c>
      <c r="AD225" t="e" vm="219">
        <v>#VALUE!</v>
      </c>
    </row>
    <row r="226" spans="2:30" x14ac:dyDescent="0.25">
      <c r="B226">
        <v>2214</v>
      </c>
      <c r="C226" t="s">
        <v>3662</v>
      </c>
      <c r="D226" t="s">
        <v>3679</v>
      </c>
      <c r="E226" t="s">
        <v>3824</v>
      </c>
      <c r="F226" t="s">
        <v>110</v>
      </c>
      <c r="G226" t="s">
        <v>109</v>
      </c>
      <c r="H226" t="s">
        <v>3808</v>
      </c>
      <c r="I226" t="s">
        <v>3821</v>
      </c>
      <c r="J226" t="s">
        <v>3810</v>
      </c>
      <c r="K226" t="s">
        <v>1218</v>
      </c>
      <c r="L226" s="13">
        <v>42569</v>
      </c>
      <c r="M226">
        <v>7</v>
      </c>
      <c r="N226" t="s">
        <v>79</v>
      </c>
      <c r="O226" t="s">
        <v>3822</v>
      </c>
      <c r="P226" t="s">
        <v>76</v>
      </c>
      <c r="Q226" t="s">
        <v>76</v>
      </c>
      <c r="R226" t="s">
        <v>76</v>
      </c>
      <c r="S226" t="s">
        <v>76</v>
      </c>
      <c r="T226" t="s">
        <v>76</v>
      </c>
      <c r="U226">
        <v>1</v>
      </c>
      <c r="V226" s="13">
        <v>45175</v>
      </c>
      <c r="W226">
        <v>1</v>
      </c>
      <c r="X226">
        <v>1</v>
      </c>
      <c r="Y226" t="s">
        <v>3680</v>
      </c>
      <c r="AC226">
        <v>2214</v>
      </c>
      <c r="AD226" t="e" vm="220">
        <v>#VALUE!</v>
      </c>
    </row>
    <row r="227" spans="2:30" x14ac:dyDescent="0.25">
      <c r="B227">
        <v>2215</v>
      </c>
      <c r="C227" t="s">
        <v>3662</v>
      </c>
      <c r="D227" t="s">
        <v>3679</v>
      </c>
      <c r="E227" t="s">
        <v>3824</v>
      </c>
      <c r="F227" t="s">
        <v>110</v>
      </c>
      <c r="G227" t="s">
        <v>109</v>
      </c>
      <c r="H227" t="s">
        <v>3808</v>
      </c>
      <c r="I227" t="s">
        <v>3821</v>
      </c>
      <c r="J227" t="s">
        <v>3810</v>
      </c>
      <c r="K227" t="s">
        <v>1218</v>
      </c>
      <c r="L227" s="13">
        <v>42570</v>
      </c>
      <c r="M227">
        <v>7</v>
      </c>
      <c r="N227" t="s">
        <v>79</v>
      </c>
      <c r="O227" t="s">
        <v>3822</v>
      </c>
      <c r="P227" t="s">
        <v>76</v>
      </c>
      <c r="Q227" t="s">
        <v>76</v>
      </c>
      <c r="R227" t="s">
        <v>76</v>
      </c>
      <c r="S227" t="s">
        <v>76</v>
      </c>
      <c r="T227" t="s">
        <v>76</v>
      </c>
      <c r="U227">
        <v>1</v>
      </c>
      <c r="V227" s="13">
        <v>45175</v>
      </c>
      <c r="W227">
        <v>1</v>
      </c>
      <c r="X227">
        <v>1</v>
      </c>
      <c r="Y227" t="s">
        <v>3680</v>
      </c>
      <c r="AC227">
        <v>2215</v>
      </c>
      <c r="AD227" t="e" vm="3">
        <v>#VALUE!</v>
      </c>
    </row>
    <row r="228" spans="2:30" x14ac:dyDescent="0.25">
      <c r="B228">
        <v>2216</v>
      </c>
      <c r="C228" t="s">
        <v>3662</v>
      </c>
      <c r="D228" t="s">
        <v>3679</v>
      </c>
      <c r="E228" t="s">
        <v>3824</v>
      </c>
      <c r="F228" t="s">
        <v>110</v>
      </c>
      <c r="G228" t="s">
        <v>109</v>
      </c>
      <c r="H228" t="s">
        <v>3808</v>
      </c>
      <c r="I228" t="s">
        <v>3821</v>
      </c>
      <c r="J228" t="s">
        <v>3810</v>
      </c>
      <c r="K228" t="s">
        <v>1218</v>
      </c>
      <c r="L228" s="13">
        <v>42598</v>
      </c>
      <c r="M228">
        <v>7</v>
      </c>
      <c r="N228" t="s">
        <v>79</v>
      </c>
      <c r="O228" t="s">
        <v>3822</v>
      </c>
      <c r="P228" t="s">
        <v>76</v>
      </c>
      <c r="Q228" t="s">
        <v>76</v>
      </c>
      <c r="R228" t="s">
        <v>76</v>
      </c>
      <c r="S228" t="s">
        <v>76</v>
      </c>
      <c r="T228" t="s">
        <v>76</v>
      </c>
      <c r="U228">
        <v>1</v>
      </c>
      <c r="V228" s="13">
        <v>45175</v>
      </c>
      <c r="W228">
        <v>1</v>
      </c>
      <c r="X228">
        <v>1</v>
      </c>
      <c r="Y228" t="s">
        <v>3680</v>
      </c>
      <c r="AC228">
        <v>2216</v>
      </c>
      <c r="AD228" t="e" vm="1">
        <v>#VALUE!</v>
      </c>
    </row>
    <row r="229" spans="2:30" x14ac:dyDescent="0.25">
      <c r="B229">
        <v>2217</v>
      </c>
      <c r="C229" t="s">
        <v>3662</v>
      </c>
      <c r="D229" t="s">
        <v>3679</v>
      </c>
      <c r="E229" t="s">
        <v>3824</v>
      </c>
      <c r="F229" t="s">
        <v>110</v>
      </c>
      <c r="G229" t="s">
        <v>109</v>
      </c>
      <c r="H229" t="s">
        <v>3808</v>
      </c>
      <c r="I229" t="s">
        <v>3821</v>
      </c>
      <c r="J229" t="s">
        <v>3810</v>
      </c>
      <c r="K229" t="s">
        <v>1218</v>
      </c>
      <c r="L229" s="13">
        <v>42615</v>
      </c>
      <c r="M229">
        <v>7</v>
      </c>
      <c r="N229" t="s">
        <v>79</v>
      </c>
      <c r="O229" t="s">
        <v>3822</v>
      </c>
      <c r="P229" t="s">
        <v>76</v>
      </c>
      <c r="Q229" t="s">
        <v>76</v>
      </c>
      <c r="R229" t="s">
        <v>76</v>
      </c>
      <c r="S229" t="s">
        <v>76</v>
      </c>
      <c r="T229" t="s">
        <v>76</v>
      </c>
      <c r="U229">
        <v>1</v>
      </c>
      <c r="V229" s="13">
        <v>45175</v>
      </c>
      <c r="W229">
        <v>1</v>
      </c>
      <c r="X229">
        <v>1</v>
      </c>
      <c r="Y229" t="s">
        <v>3680</v>
      </c>
      <c r="AC229">
        <v>2217</v>
      </c>
      <c r="AD229" t="e" vm="221">
        <v>#VALUE!</v>
      </c>
    </row>
    <row r="230" spans="2:30" x14ac:dyDescent="0.25">
      <c r="B230">
        <v>2218</v>
      </c>
      <c r="C230" t="s">
        <v>3662</v>
      </c>
      <c r="D230" t="s">
        <v>3679</v>
      </c>
      <c r="E230" t="s">
        <v>3824</v>
      </c>
      <c r="F230" t="s">
        <v>110</v>
      </c>
      <c r="G230" t="s">
        <v>109</v>
      </c>
      <c r="H230" t="s">
        <v>3808</v>
      </c>
      <c r="I230" t="s">
        <v>3821</v>
      </c>
      <c r="J230" t="s">
        <v>3810</v>
      </c>
      <c r="K230" t="s">
        <v>1218</v>
      </c>
      <c r="L230" s="13">
        <v>42615</v>
      </c>
      <c r="M230">
        <v>7</v>
      </c>
      <c r="N230" t="s">
        <v>79</v>
      </c>
      <c r="O230" t="s">
        <v>3822</v>
      </c>
      <c r="P230" t="s">
        <v>76</v>
      </c>
      <c r="Q230" t="s">
        <v>76</v>
      </c>
      <c r="R230" t="s">
        <v>76</v>
      </c>
      <c r="S230" t="s">
        <v>76</v>
      </c>
      <c r="T230" t="s">
        <v>76</v>
      </c>
      <c r="U230">
        <v>1</v>
      </c>
      <c r="V230" s="13">
        <v>45175</v>
      </c>
      <c r="W230">
        <v>1</v>
      </c>
      <c r="X230">
        <v>1</v>
      </c>
      <c r="Y230" t="s">
        <v>3680</v>
      </c>
      <c r="AC230">
        <v>2218</v>
      </c>
      <c r="AD230" t="e" vm="222">
        <v>#VALUE!</v>
      </c>
    </row>
    <row r="231" spans="2:30" x14ac:dyDescent="0.25">
      <c r="B231">
        <v>2219</v>
      </c>
      <c r="C231" t="s">
        <v>3646</v>
      </c>
      <c r="D231" t="s">
        <v>3649</v>
      </c>
      <c r="E231" t="s">
        <v>3812</v>
      </c>
      <c r="F231" t="s">
        <v>85</v>
      </c>
      <c r="G231" t="s">
        <v>112</v>
      </c>
      <c r="H231" t="s">
        <v>3808</v>
      </c>
      <c r="I231" t="s">
        <v>3821</v>
      </c>
      <c r="J231" t="s">
        <v>3810</v>
      </c>
      <c r="K231" t="s">
        <v>1218</v>
      </c>
      <c r="L231" s="13">
        <v>42831</v>
      </c>
      <c r="M231">
        <v>6</v>
      </c>
      <c r="N231" t="s">
        <v>90</v>
      </c>
      <c r="O231" t="s">
        <v>3825</v>
      </c>
      <c r="P231" t="s">
        <v>76</v>
      </c>
      <c r="Q231" t="s">
        <v>76</v>
      </c>
      <c r="R231" t="s">
        <v>76</v>
      </c>
      <c r="S231" t="s">
        <v>76</v>
      </c>
      <c r="T231" t="s">
        <v>76</v>
      </c>
      <c r="U231">
        <v>1</v>
      </c>
      <c r="V231" s="13">
        <v>45175</v>
      </c>
      <c r="W231">
        <v>1</v>
      </c>
      <c r="X231">
        <v>1</v>
      </c>
      <c r="Y231" t="s">
        <v>3650</v>
      </c>
      <c r="AC231">
        <v>2219</v>
      </c>
      <c r="AD231" t="e" vm="223">
        <v>#VALUE!</v>
      </c>
    </row>
    <row r="232" spans="2:30" x14ac:dyDescent="0.25">
      <c r="B232">
        <v>2220</v>
      </c>
      <c r="C232" t="s">
        <v>3646</v>
      </c>
      <c r="D232" t="s">
        <v>3649</v>
      </c>
      <c r="E232" t="s">
        <v>3812</v>
      </c>
      <c r="F232" t="s">
        <v>85</v>
      </c>
      <c r="G232" t="s">
        <v>112</v>
      </c>
      <c r="H232" t="s">
        <v>3808</v>
      </c>
      <c r="I232" t="s">
        <v>3821</v>
      </c>
      <c r="J232" t="s">
        <v>3810</v>
      </c>
      <c r="K232" t="s">
        <v>1218</v>
      </c>
      <c r="L232" s="13">
        <v>42768</v>
      </c>
      <c r="M232">
        <v>7</v>
      </c>
      <c r="N232" t="s">
        <v>90</v>
      </c>
      <c r="O232" t="s">
        <v>3825</v>
      </c>
      <c r="P232" t="s">
        <v>76</v>
      </c>
      <c r="Q232" t="s">
        <v>76</v>
      </c>
      <c r="R232" t="s">
        <v>76</v>
      </c>
      <c r="S232" t="s">
        <v>76</v>
      </c>
      <c r="T232" t="s">
        <v>76</v>
      </c>
      <c r="U232">
        <v>1</v>
      </c>
      <c r="V232" s="13">
        <v>45175</v>
      </c>
      <c r="W232">
        <v>1</v>
      </c>
      <c r="X232">
        <v>1</v>
      </c>
      <c r="Y232" t="s">
        <v>3650</v>
      </c>
      <c r="AC232">
        <v>2220</v>
      </c>
      <c r="AD232" t="e" vm="224">
        <v>#VALUE!</v>
      </c>
    </row>
    <row r="233" spans="2:30" x14ac:dyDescent="0.25">
      <c r="B233">
        <v>2221</v>
      </c>
      <c r="C233" t="s">
        <v>3646</v>
      </c>
      <c r="D233" t="s">
        <v>3649</v>
      </c>
      <c r="E233" t="s">
        <v>3812</v>
      </c>
      <c r="F233" t="s">
        <v>85</v>
      </c>
      <c r="G233" t="s">
        <v>112</v>
      </c>
      <c r="H233" t="s">
        <v>3808</v>
      </c>
      <c r="I233" t="s">
        <v>3821</v>
      </c>
      <c r="J233" t="s">
        <v>3810</v>
      </c>
      <c r="K233" t="s">
        <v>1218</v>
      </c>
      <c r="L233" s="13">
        <v>42782</v>
      </c>
      <c r="M233">
        <v>7</v>
      </c>
      <c r="N233" t="s">
        <v>90</v>
      </c>
      <c r="O233" t="s">
        <v>3825</v>
      </c>
      <c r="P233" t="s">
        <v>76</v>
      </c>
      <c r="Q233" t="s">
        <v>76</v>
      </c>
      <c r="R233" t="s">
        <v>76</v>
      </c>
      <c r="S233" t="s">
        <v>76</v>
      </c>
      <c r="T233" t="s">
        <v>76</v>
      </c>
      <c r="U233">
        <v>1</v>
      </c>
      <c r="V233" s="13">
        <v>45175</v>
      </c>
      <c r="W233">
        <v>1</v>
      </c>
      <c r="X233">
        <v>1</v>
      </c>
      <c r="Y233" t="s">
        <v>3650</v>
      </c>
      <c r="AC233">
        <v>2221</v>
      </c>
      <c r="AD233" t="e" vm="225">
        <v>#VALUE!</v>
      </c>
    </row>
    <row r="234" spans="2:30" x14ac:dyDescent="0.25">
      <c r="B234">
        <v>2222</v>
      </c>
      <c r="C234" t="s">
        <v>3646</v>
      </c>
      <c r="D234" t="s">
        <v>3649</v>
      </c>
      <c r="E234" t="s">
        <v>3812</v>
      </c>
      <c r="F234" t="s">
        <v>85</v>
      </c>
      <c r="G234" t="s">
        <v>112</v>
      </c>
      <c r="H234" t="s">
        <v>3808</v>
      </c>
      <c r="I234" t="s">
        <v>3821</v>
      </c>
      <c r="J234" t="s">
        <v>3810</v>
      </c>
      <c r="K234" t="s">
        <v>1218</v>
      </c>
      <c r="L234" s="13">
        <v>42796</v>
      </c>
      <c r="M234">
        <v>7</v>
      </c>
      <c r="N234" t="s">
        <v>90</v>
      </c>
      <c r="O234" t="s">
        <v>3825</v>
      </c>
      <c r="P234" t="s">
        <v>76</v>
      </c>
      <c r="Q234" t="s">
        <v>76</v>
      </c>
      <c r="R234" t="s">
        <v>76</v>
      </c>
      <c r="S234" t="s">
        <v>76</v>
      </c>
      <c r="T234" t="s">
        <v>76</v>
      </c>
      <c r="U234">
        <v>1</v>
      </c>
      <c r="V234" s="13">
        <v>45175</v>
      </c>
      <c r="W234">
        <v>1</v>
      </c>
      <c r="X234">
        <v>1</v>
      </c>
      <c r="Y234" t="s">
        <v>3650</v>
      </c>
      <c r="AC234">
        <v>2222</v>
      </c>
      <c r="AD234" t="e" vm="226">
        <v>#VALUE!</v>
      </c>
    </row>
    <row r="235" spans="2:30" x14ac:dyDescent="0.25">
      <c r="B235">
        <v>2223</v>
      </c>
      <c r="C235" t="s">
        <v>3646</v>
      </c>
      <c r="D235" t="s">
        <v>3655</v>
      </c>
      <c r="E235" t="s">
        <v>3812</v>
      </c>
      <c r="F235" t="s">
        <v>85</v>
      </c>
      <c r="G235" t="s">
        <v>102</v>
      </c>
      <c r="H235" t="s">
        <v>3808</v>
      </c>
      <c r="I235" t="s">
        <v>3821</v>
      </c>
      <c r="J235" t="s">
        <v>3810</v>
      </c>
      <c r="K235" t="s">
        <v>1218</v>
      </c>
      <c r="L235" s="13">
        <v>42783</v>
      </c>
      <c r="M235">
        <v>7</v>
      </c>
      <c r="N235" t="s">
        <v>90</v>
      </c>
      <c r="O235" t="s">
        <v>3825</v>
      </c>
      <c r="P235" t="s">
        <v>76</v>
      </c>
      <c r="Q235" t="s">
        <v>76</v>
      </c>
      <c r="R235" t="s">
        <v>76</v>
      </c>
      <c r="S235" t="s">
        <v>76</v>
      </c>
      <c r="T235" t="s">
        <v>76</v>
      </c>
      <c r="U235">
        <v>1</v>
      </c>
      <c r="V235" s="13">
        <v>45175</v>
      </c>
      <c r="W235">
        <v>1</v>
      </c>
      <c r="X235">
        <v>1</v>
      </c>
      <c r="Y235" t="s">
        <v>3656</v>
      </c>
      <c r="AC235">
        <v>2223</v>
      </c>
      <c r="AD235" t="e" vm="227">
        <v>#VALUE!</v>
      </c>
    </row>
    <row r="236" spans="2:30" x14ac:dyDescent="0.25">
      <c r="B236">
        <v>2224</v>
      </c>
      <c r="C236" t="s">
        <v>3646</v>
      </c>
      <c r="D236" t="s">
        <v>3649</v>
      </c>
      <c r="E236" t="s">
        <v>3812</v>
      </c>
      <c r="F236" t="s">
        <v>85</v>
      </c>
      <c r="G236" t="s">
        <v>112</v>
      </c>
      <c r="H236" t="s">
        <v>3808</v>
      </c>
      <c r="I236" t="s">
        <v>3821</v>
      </c>
      <c r="J236" t="s">
        <v>3810</v>
      </c>
      <c r="K236" t="s">
        <v>1218</v>
      </c>
      <c r="L236" s="13">
        <v>43012</v>
      </c>
      <c r="M236">
        <v>6</v>
      </c>
      <c r="N236" t="s">
        <v>90</v>
      </c>
      <c r="O236" t="s">
        <v>3825</v>
      </c>
      <c r="P236" t="s">
        <v>76</v>
      </c>
      <c r="Q236" t="s">
        <v>76</v>
      </c>
      <c r="R236" t="s">
        <v>76</v>
      </c>
      <c r="S236" t="s">
        <v>76</v>
      </c>
      <c r="T236" t="s">
        <v>76</v>
      </c>
      <c r="U236">
        <v>1</v>
      </c>
      <c r="V236" s="13">
        <v>45175</v>
      </c>
      <c r="W236">
        <v>1</v>
      </c>
      <c r="X236">
        <v>1</v>
      </c>
      <c r="Y236" t="s">
        <v>3650</v>
      </c>
      <c r="AC236">
        <v>2224</v>
      </c>
      <c r="AD236" t="e" vm="228">
        <v>#VALUE!</v>
      </c>
    </row>
    <row r="237" spans="2:30" x14ac:dyDescent="0.25">
      <c r="B237">
        <v>2225</v>
      </c>
      <c r="C237" t="s">
        <v>3646</v>
      </c>
      <c r="D237" t="s">
        <v>3649</v>
      </c>
      <c r="E237" t="s">
        <v>3812</v>
      </c>
      <c r="F237" t="s">
        <v>85</v>
      </c>
      <c r="G237" t="s">
        <v>112</v>
      </c>
      <c r="H237" t="s">
        <v>3808</v>
      </c>
      <c r="I237" t="s">
        <v>3821</v>
      </c>
      <c r="J237" t="s">
        <v>3810</v>
      </c>
      <c r="K237" t="s">
        <v>1218</v>
      </c>
      <c r="L237" s="13">
        <v>42766</v>
      </c>
      <c r="M237">
        <v>7</v>
      </c>
      <c r="N237" t="s">
        <v>90</v>
      </c>
      <c r="O237" t="s">
        <v>3825</v>
      </c>
      <c r="P237" t="s">
        <v>76</v>
      </c>
      <c r="Q237" t="s">
        <v>76</v>
      </c>
      <c r="R237" t="s">
        <v>76</v>
      </c>
      <c r="S237" t="s">
        <v>76</v>
      </c>
      <c r="T237" t="s">
        <v>76</v>
      </c>
      <c r="U237">
        <v>1</v>
      </c>
      <c r="V237" s="13">
        <v>45175</v>
      </c>
      <c r="W237">
        <v>1</v>
      </c>
      <c r="X237">
        <v>1</v>
      </c>
      <c r="Y237" t="s">
        <v>3650</v>
      </c>
      <c r="AC237">
        <v>2225</v>
      </c>
      <c r="AD237" t="e" vm="229">
        <v>#VALUE!</v>
      </c>
    </row>
    <row r="238" spans="2:30" x14ac:dyDescent="0.25">
      <c r="B238">
        <v>2226</v>
      </c>
      <c r="C238" t="s">
        <v>3646</v>
      </c>
      <c r="D238" t="s">
        <v>3649</v>
      </c>
      <c r="E238" t="s">
        <v>3812</v>
      </c>
      <c r="F238" t="s">
        <v>85</v>
      </c>
      <c r="G238" t="s">
        <v>112</v>
      </c>
      <c r="H238" t="s">
        <v>3808</v>
      </c>
      <c r="I238" t="s">
        <v>3821</v>
      </c>
      <c r="J238" t="s">
        <v>3810</v>
      </c>
      <c r="K238" t="s">
        <v>1218</v>
      </c>
      <c r="L238" s="13">
        <v>42768</v>
      </c>
      <c r="M238">
        <v>7</v>
      </c>
      <c r="N238" t="s">
        <v>90</v>
      </c>
      <c r="O238" t="s">
        <v>3825</v>
      </c>
      <c r="P238" t="s">
        <v>76</v>
      </c>
      <c r="Q238" t="s">
        <v>76</v>
      </c>
      <c r="R238" t="s">
        <v>76</v>
      </c>
      <c r="S238" t="s">
        <v>76</v>
      </c>
      <c r="T238" t="s">
        <v>76</v>
      </c>
      <c r="U238">
        <v>1</v>
      </c>
      <c r="V238" s="13">
        <v>45175</v>
      </c>
      <c r="W238">
        <v>1</v>
      </c>
      <c r="X238">
        <v>1</v>
      </c>
      <c r="Y238" t="s">
        <v>3650</v>
      </c>
      <c r="AC238">
        <v>2226</v>
      </c>
      <c r="AD238" t="e" vm="230">
        <v>#VALUE!</v>
      </c>
    </row>
    <row r="239" spans="2:30" x14ac:dyDescent="0.25">
      <c r="B239">
        <v>2227</v>
      </c>
      <c r="C239" t="s">
        <v>3646</v>
      </c>
      <c r="D239" t="s">
        <v>3649</v>
      </c>
      <c r="E239" t="s">
        <v>3812</v>
      </c>
      <c r="F239" t="s">
        <v>85</v>
      </c>
      <c r="G239" t="s">
        <v>112</v>
      </c>
      <c r="H239" t="s">
        <v>3808</v>
      </c>
      <c r="I239" t="s">
        <v>3821</v>
      </c>
      <c r="J239" t="s">
        <v>3810</v>
      </c>
      <c r="K239" t="s">
        <v>1218</v>
      </c>
      <c r="L239" s="13">
        <v>42811</v>
      </c>
      <c r="M239">
        <v>7</v>
      </c>
      <c r="N239" t="s">
        <v>90</v>
      </c>
      <c r="O239" t="s">
        <v>3825</v>
      </c>
      <c r="P239" t="s">
        <v>76</v>
      </c>
      <c r="Q239" t="s">
        <v>76</v>
      </c>
      <c r="R239" t="s">
        <v>76</v>
      </c>
      <c r="S239" t="s">
        <v>76</v>
      </c>
      <c r="T239" t="s">
        <v>76</v>
      </c>
      <c r="U239">
        <v>1</v>
      </c>
      <c r="V239" s="13">
        <v>45175</v>
      </c>
      <c r="W239">
        <v>1</v>
      </c>
      <c r="X239">
        <v>1</v>
      </c>
      <c r="Y239" t="s">
        <v>3650</v>
      </c>
      <c r="AC239">
        <v>2227</v>
      </c>
      <c r="AD239" t="e" vm="231">
        <v>#VALUE!</v>
      </c>
    </row>
    <row r="240" spans="2:30" x14ac:dyDescent="0.25">
      <c r="B240">
        <v>2228</v>
      </c>
      <c r="C240" t="s">
        <v>3646</v>
      </c>
      <c r="D240" t="s">
        <v>3682</v>
      </c>
      <c r="E240" t="s">
        <v>3826</v>
      </c>
      <c r="F240" t="s">
        <v>81</v>
      </c>
      <c r="G240" t="s">
        <v>100</v>
      </c>
      <c r="H240" t="s">
        <v>3808</v>
      </c>
      <c r="I240" t="s">
        <v>3809</v>
      </c>
      <c r="J240" t="s">
        <v>3827</v>
      </c>
      <c r="K240" t="s">
        <v>1218</v>
      </c>
      <c r="L240" s="13">
        <v>44610</v>
      </c>
      <c r="M240">
        <v>2</v>
      </c>
      <c r="N240" t="s">
        <v>90</v>
      </c>
      <c r="O240" t="s">
        <v>3828</v>
      </c>
      <c r="P240" t="s">
        <v>76</v>
      </c>
      <c r="Q240" t="s">
        <v>76</v>
      </c>
      <c r="R240" t="s">
        <v>76</v>
      </c>
      <c r="S240" t="s">
        <v>76</v>
      </c>
      <c r="T240" t="s">
        <v>76</v>
      </c>
      <c r="U240">
        <v>1</v>
      </c>
      <c r="V240" s="13">
        <v>45175</v>
      </c>
      <c r="W240">
        <v>1</v>
      </c>
      <c r="X240">
        <v>1</v>
      </c>
      <c r="Y240" t="s">
        <v>3683</v>
      </c>
      <c r="AC240">
        <v>2228</v>
      </c>
      <c r="AD240" t="e" vm="232">
        <v>#VALUE!</v>
      </c>
    </row>
    <row r="241" spans="2:30" x14ac:dyDescent="0.25">
      <c r="B241">
        <v>2229</v>
      </c>
      <c r="C241" t="s">
        <v>3646</v>
      </c>
      <c r="D241" t="s">
        <v>3682</v>
      </c>
      <c r="E241" t="s">
        <v>3826</v>
      </c>
      <c r="F241" t="s">
        <v>81</v>
      </c>
      <c r="G241" t="s">
        <v>100</v>
      </c>
      <c r="H241" t="s">
        <v>3808</v>
      </c>
      <c r="I241" t="s">
        <v>3809</v>
      </c>
      <c r="J241" t="s">
        <v>3827</v>
      </c>
      <c r="K241" t="s">
        <v>1218</v>
      </c>
      <c r="L241" s="13">
        <v>43412</v>
      </c>
      <c r="M241">
        <v>5</v>
      </c>
      <c r="N241" t="s">
        <v>90</v>
      </c>
      <c r="O241" t="s">
        <v>3828</v>
      </c>
      <c r="P241" t="s">
        <v>76</v>
      </c>
      <c r="Q241" t="s">
        <v>76</v>
      </c>
      <c r="R241" t="s">
        <v>76</v>
      </c>
      <c r="S241" t="s">
        <v>76</v>
      </c>
      <c r="T241" t="s">
        <v>76</v>
      </c>
      <c r="U241">
        <v>1</v>
      </c>
      <c r="V241" s="13">
        <v>45175</v>
      </c>
      <c r="W241">
        <v>1</v>
      </c>
      <c r="X241">
        <v>1</v>
      </c>
      <c r="Y241" t="s">
        <v>3683</v>
      </c>
      <c r="AC241">
        <v>2229</v>
      </c>
      <c r="AD241" t="e" vm="233">
        <v>#VALUE!</v>
      </c>
    </row>
    <row r="242" spans="2:30" x14ac:dyDescent="0.25">
      <c r="B242">
        <v>2230</v>
      </c>
      <c r="C242" t="s">
        <v>3646</v>
      </c>
      <c r="D242" t="s">
        <v>3682</v>
      </c>
      <c r="E242" t="s">
        <v>3826</v>
      </c>
      <c r="F242" t="s">
        <v>81</v>
      </c>
      <c r="G242" t="s">
        <v>100</v>
      </c>
      <c r="H242" t="s">
        <v>3808</v>
      </c>
      <c r="I242" t="s">
        <v>3809</v>
      </c>
      <c r="J242" t="s">
        <v>3827</v>
      </c>
      <c r="K242" t="s">
        <v>1218</v>
      </c>
      <c r="L242" s="13">
        <v>43574</v>
      </c>
      <c r="M242">
        <v>4</v>
      </c>
      <c r="N242" t="s">
        <v>90</v>
      </c>
      <c r="O242" t="s">
        <v>3828</v>
      </c>
      <c r="P242" t="s">
        <v>76</v>
      </c>
      <c r="Q242" t="s">
        <v>76</v>
      </c>
      <c r="R242" t="s">
        <v>76</v>
      </c>
      <c r="S242" t="s">
        <v>76</v>
      </c>
      <c r="T242" t="s">
        <v>76</v>
      </c>
      <c r="U242">
        <v>1</v>
      </c>
      <c r="V242" s="13">
        <v>45175</v>
      </c>
      <c r="W242">
        <v>1</v>
      </c>
      <c r="X242">
        <v>1</v>
      </c>
      <c r="Y242" t="s">
        <v>3683</v>
      </c>
      <c r="AC242">
        <v>2230</v>
      </c>
      <c r="AD242" t="e" vm="234">
        <v>#VALUE!</v>
      </c>
    </row>
    <row r="243" spans="2:30" x14ac:dyDescent="0.25">
      <c r="B243">
        <v>2231</v>
      </c>
      <c r="C243" t="s">
        <v>3646</v>
      </c>
      <c r="D243" t="s">
        <v>3682</v>
      </c>
      <c r="E243" t="s">
        <v>3826</v>
      </c>
      <c r="F243" t="s">
        <v>81</v>
      </c>
      <c r="G243" t="s">
        <v>100</v>
      </c>
      <c r="H243" t="s">
        <v>3808</v>
      </c>
      <c r="I243" t="s">
        <v>3809</v>
      </c>
      <c r="J243" t="s">
        <v>3827</v>
      </c>
      <c r="K243" t="s">
        <v>1218</v>
      </c>
      <c r="L243" s="13">
        <v>43417</v>
      </c>
      <c r="M243">
        <v>5</v>
      </c>
      <c r="N243" t="s">
        <v>90</v>
      </c>
      <c r="O243" t="s">
        <v>3828</v>
      </c>
      <c r="P243" t="s">
        <v>76</v>
      </c>
      <c r="Q243" t="s">
        <v>76</v>
      </c>
      <c r="R243" t="s">
        <v>76</v>
      </c>
      <c r="S243" t="s">
        <v>76</v>
      </c>
      <c r="T243" t="s">
        <v>76</v>
      </c>
      <c r="U243">
        <v>1</v>
      </c>
      <c r="V243" s="13">
        <v>45175</v>
      </c>
      <c r="W243">
        <v>1</v>
      </c>
      <c r="X243">
        <v>1</v>
      </c>
      <c r="Y243" t="s">
        <v>3683</v>
      </c>
      <c r="AC243">
        <v>2231</v>
      </c>
      <c r="AD243" t="e" vm="235">
        <v>#VALUE!</v>
      </c>
    </row>
    <row r="244" spans="2:30" x14ac:dyDescent="0.25">
      <c r="B244">
        <v>2232</v>
      </c>
      <c r="C244" t="s">
        <v>3646</v>
      </c>
      <c r="D244" t="s">
        <v>3682</v>
      </c>
      <c r="E244" t="s">
        <v>3826</v>
      </c>
      <c r="F244" t="s">
        <v>81</v>
      </c>
      <c r="G244" t="s">
        <v>100</v>
      </c>
      <c r="H244" t="s">
        <v>3808</v>
      </c>
      <c r="I244" t="s">
        <v>3809</v>
      </c>
      <c r="J244" t="s">
        <v>3827</v>
      </c>
      <c r="K244" t="s">
        <v>1218</v>
      </c>
      <c r="L244" s="13">
        <v>43417</v>
      </c>
      <c r="M244">
        <v>5</v>
      </c>
      <c r="N244" t="s">
        <v>90</v>
      </c>
      <c r="O244" t="s">
        <v>3828</v>
      </c>
      <c r="P244" t="s">
        <v>76</v>
      </c>
      <c r="Q244" t="s">
        <v>76</v>
      </c>
      <c r="R244" t="s">
        <v>76</v>
      </c>
      <c r="S244" t="s">
        <v>76</v>
      </c>
      <c r="T244" t="s">
        <v>76</v>
      </c>
      <c r="U244">
        <v>1</v>
      </c>
      <c r="V244" s="13">
        <v>45175</v>
      </c>
      <c r="W244">
        <v>1</v>
      </c>
      <c r="X244">
        <v>1</v>
      </c>
      <c r="Y244" t="s">
        <v>3683</v>
      </c>
      <c r="AC244">
        <v>2232</v>
      </c>
      <c r="AD244" t="e" vm="236">
        <v>#VALUE!</v>
      </c>
    </row>
    <row r="245" spans="2:30" x14ac:dyDescent="0.25">
      <c r="B245">
        <v>2233</v>
      </c>
      <c r="C245" t="s">
        <v>3646</v>
      </c>
      <c r="D245" t="s">
        <v>3682</v>
      </c>
      <c r="E245" t="s">
        <v>3826</v>
      </c>
      <c r="F245" t="s">
        <v>81</v>
      </c>
      <c r="G245" t="s">
        <v>100</v>
      </c>
      <c r="H245" t="s">
        <v>3808</v>
      </c>
      <c r="I245" t="s">
        <v>3809</v>
      </c>
      <c r="J245" t="s">
        <v>3827</v>
      </c>
      <c r="K245" t="s">
        <v>1218</v>
      </c>
      <c r="L245" s="13">
        <v>43412</v>
      </c>
      <c r="M245">
        <v>5</v>
      </c>
      <c r="N245" t="s">
        <v>90</v>
      </c>
      <c r="O245" t="s">
        <v>3828</v>
      </c>
      <c r="P245" t="s">
        <v>76</v>
      </c>
      <c r="Q245" t="s">
        <v>76</v>
      </c>
      <c r="R245" t="s">
        <v>76</v>
      </c>
      <c r="S245" t="s">
        <v>76</v>
      </c>
      <c r="T245" t="s">
        <v>76</v>
      </c>
      <c r="U245">
        <v>1</v>
      </c>
      <c r="V245" s="13">
        <v>45175</v>
      </c>
      <c r="W245">
        <v>1</v>
      </c>
      <c r="X245">
        <v>1</v>
      </c>
      <c r="Y245" t="s">
        <v>3683</v>
      </c>
      <c r="AC245">
        <v>2233</v>
      </c>
      <c r="AD245" t="e" vm="237">
        <v>#VALUE!</v>
      </c>
    </row>
    <row r="246" spans="2:30" x14ac:dyDescent="0.25">
      <c r="B246">
        <v>2234</v>
      </c>
      <c r="C246" t="s">
        <v>3646</v>
      </c>
      <c r="D246" t="s">
        <v>3682</v>
      </c>
      <c r="E246" t="s">
        <v>3826</v>
      </c>
      <c r="F246" t="s">
        <v>81</v>
      </c>
      <c r="G246" t="s">
        <v>100</v>
      </c>
      <c r="H246" t="s">
        <v>3808</v>
      </c>
      <c r="I246" t="s">
        <v>3809</v>
      </c>
      <c r="J246" t="s">
        <v>3827</v>
      </c>
      <c r="K246" t="s">
        <v>1218</v>
      </c>
      <c r="L246" s="13">
        <v>43412</v>
      </c>
      <c r="M246">
        <v>5</v>
      </c>
      <c r="N246" t="s">
        <v>90</v>
      </c>
      <c r="O246" t="s">
        <v>3828</v>
      </c>
      <c r="P246" t="s">
        <v>76</v>
      </c>
      <c r="Q246" t="s">
        <v>76</v>
      </c>
      <c r="R246" t="s">
        <v>76</v>
      </c>
      <c r="S246" t="s">
        <v>76</v>
      </c>
      <c r="T246" t="s">
        <v>76</v>
      </c>
      <c r="U246">
        <v>1</v>
      </c>
      <c r="V246" s="13">
        <v>45175</v>
      </c>
      <c r="W246">
        <v>1</v>
      </c>
      <c r="X246">
        <v>1</v>
      </c>
      <c r="Y246" t="s">
        <v>3683</v>
      </c>
      <c r="AC246">
        <v>2234</v>
      </c>
      <c r="AD246" t="e" vm="238">
        <v>#VALUE!</v>
      </c>
    </row>
    <row r="247" spans="2:30" x14ac:dyDescent="0.25">
      <c r="B247">
        <v>2235</v>
      </c>
      <c r="C247" t="s">
        <v>3646</v>
      </c>
      <c r="D247" t="s">
        <v>3682</v>
      </c>
      <c r="E247" t="s">
        <v>3826</v>
      </c>
      <c r="F247" t="s">
        <v>81</v>
      </c>
      <c r="G247" t="s">
        <v>100</v>
      </c>
      <c r="H247" t="s">
        <v>3808</v>
      </c>
      <c r="I247" t="s">
        <v>3809</v>
      </c>
      <c r="J247" t="s">
        <v>3827</v>
      </c>
      <c r="K247" t="s">
        <v>1218</v>
      </c>
      <c r="L247" s="13">
        <v>43545</v>
      </c>
      <c r="M247">
        <v>4</v>
      </c>
      <c r="N247" t="s">
        <v>90</v>
      </c>
      <c r="O247" t="s">
        <v>3828</v>
      </c>
      <c r="P247" t="s">
        <v>76</v>
      </c>
      <c r="Q247" t="s">
        <v>76</v>
      </c>
      <c r="R247" t="s">
        <v>76</v>
      </c>
      <c r="S247" t="s">
        <v>76</v>
      </c>
      <c r="T247" t="s">
        <v>76</v>
      </c>
      <c r="U247">
        <v>1</v>
      </c>
      <c r="V247" s="13">
        <v>45175</v>
      </c>
      <c r="W247">
        <v>1</v>
      </c>
      <c r="X247">
        <v>1</v>
      </c>
      <c r="Y247" t="s">
        <v>3683</v>
      </c>
      <c r="AC247">
        <v>2235</v>
      </c>
      <c r="AD247" t="e" vm="239">
        <v>#VALUE!</v>
      </c>
    </row>
    <row r="248" spans="2:30" x14ac:dyDescent="0.25">
      <c r="B248">
        <v>2236</v>
      </c>
      <c r="C248" t="s">
        <v>3646</v>
      </c>
      <c r="D248" t="s">
        <v>3682</v>
      </c>
      <c r="E248" t="s">
        <v>3826</v>
      </c>
      <c r="F248" t="s">
        <v>81</v>
      </c>
      <c r="G248" t="s">
        <v>100</v>
      </c>
      <c r="H248" t="s">
        <v>3808</v>
      </c>
      <c r="I248" t="s">
        <v>3809</v>
      </c>
      <c r="J248" t="s">
        <v>3827</v>
      </c>
      <c r="K248" t="s">
        <v>1218</v>
      </c>
      <c r="L248" s="13">
        <v>43413</v>
      </c>
      <c r="M248">
        <v>5</v>
      </c>
      <c r="N248" t="s">
        <v>90</v>
      </c>
      <c r="O248" t="s">
        <v>3828</v>
      </c>
      <c r="P248" t="s">
        <v>76</v>
      </c>
      <c r="Q248" t="s">
        <v>76</v>
      </c>
      <c r="R248" t="s">
        <v>76</v>
      </c>
      <c r="S248" t="s">
        <v>76</v>
      </c>
      <c r="T248" t="s">
        <v>76</v>
      </c>
      <c r="U248">
        <v>1</v>
      </c>
      <c r="V248" s="13">
        <v>45175</v>
      </c>
      <c r="W248">
        <v>1</v>
      </c>
      <c r="X248">
        <v>1</v>
      </c>
      <c r="Y248" t="s">
        <v>3683</v>
      </c>
      <c r="AC248">
        <v>2236</v>
      </c>
      <c r="AD248" t="e" vm="240">
        <v>#VALUE!</v>
      </c>
    </row>
    <row r="249" spans="2:30" x14ac:dyDescent="0.25">
      <c r="B249">
        <v>2237</v>
      </c>
      <c r="C249" t="s">
        <v>3646</v>
      </c>
      <c r="D249" t="s">
        <v>3682</v>
      </c>
      <c r="E249" t="s">
        <v>3826</v>
      </c>
      <c r="F249" t="s">
        <v>81</v>
      </c>
      <c r="G249" t="s">
        <v>100</v>
      </c>
      <c r="H249" t="s">
        <v>3808</v>
      </c>
      <c r="I249" t="s">
        <v>3809</v>
      </c>
      <c r="J249" t="s">
        <v>3827</v>
      </c>
      <c r="K249" t="s">
        <v>1218</v>
      </c>
      <c r="L249" s="13">
        <v>43413</v>
      </c>
      <c r="M249">
        <v>5</v>
      </c>
      <c r="N249" t="s">
        <v>90</v>
      </c>
      <c r="O249" t="s">
        <v>3828</v>
      </c>
      <c r="P249" t="s">
        <v>76</v>
      </c>
      <c r="Q249" t="s">
        <v>76</v>
      </c>
      <c r="R249" t="s">
        <v>76</v>
      </c>
      <c r="S249" t="s">
        <v>76</v>
      </c>
      <c r="T249" t="s">
        <v>76</v>
      </c>
      <c r="U249">
        <v>1</v>
      </c>
      <c r="V249" s="13">
        <v>45175</v>
      </c>
      <c r="W249">
        <v>1</v>
      </c>
      <c r="X249">
        <v>1</v>
      </c>
      <c r="Y249" t="s">
        <v>3683</v>
      </c>
      <c r="AC249">
        <v>2237</v>
      </c>
      <c r="AD249" t="e" vm="241">
        <v>#VALUE!</v>
      </c>
    </row>
    <row r="250" spans="2:30" x14ac:dyDescent="0.25">
      <c r="B250">
        <v>2238</v>
      </c>
      <c r="C250" t="s">
        <v>3646</v>
      </c>
      <c r="D250" t="s">
        <v>3682</v>
      </c>
      <c r="E250" t="s">
        <v>3826</v>
      </c>
      <c r="F250" t="s">
        <v>81</v>
      </c>
      <c r="G250" t="s">
        <v>100</v>
      </c>
      <c r="H250" t="s">
        <v>3808</v>
      </c>
      <c r="I250" t="s">
        <v>3809</v>
      </c>
      <c r="J250" t="s">
        <v>3827</v>
      </c>
      <c r="K250" t="s">
        <v>1218</v>
      </c>
      <c r="L250" s="13">
        <v>43545</v>
      </c>
      <c r="M250">
        <v>4</v>
      </c>
      <c r="N250" t="s">
        <v>90</v>
      </c>
      <c r="O250" t="s">
        <v>3828</v>
      </c>
      <c r="P250" t="s">
        <v>76</v>
      </c>
      <c r="Q250" t="s">
        <v>76</v>
      </c>
      <c r="R250" t="s">
        <v>76</v>
      </c>
      <c r="S250" t="s">
        <v>76</v>
      </c>
      <c r="T250" t="s">
        <v>76</v>
      </c>
      <c r="U250">
        <v>1</v>
      </c>
      <c r="V250" s="13">
        <v>45175</v>
      </c>
      <c r="W250">
        <v>1</v>
      </c>
      <c r="X250">
        <v>1</v>
      </c>
      <c r="Y250" t="s">
        <v>3683</v>
      </c>
      <c r="AC250">
        <v>2238</v>
      </c>
      <c r="AD250" t="e" vm="242">
        <v>#VALUE!</v>
      </c>
    </row>
    <row r="251" spans="2:30" x14ac:dyDescent="0.25">
      <c r="B251">
        <v>2239</v>
      </c>
      <c r="C251" t="s">
        <v>3646</v>
      </c>
      <c r="D251" t="s">
        <v>3682</v>
      </c>
      <c r="E251" t="s">
        <v>3826</v>
      </c>
      <c r="F251" t="s">
        <v>81</v>
      </c>
      <c r="G251" t="s">
        <v>100</v>
      </c>
      <c r="H251" t="s">
        <v>3808</v>
      </c>
      <c r="I251" t="s">
        <v>3809</v>
      </c>
      <c r="J251" t="s">
        <v>3827</v>
      </c>
      <c r="K251" t="s">
        <v>1218</v>
      </c>
      <c r="L251" s="13">
        <v>43413</v>
      </c>
      <c r="M251">
        <v>5</v>
      </c>
      <c r="N251" t="s">
        <v>90</v>
      </c>
      <c r="O251" t="s">
        <v>3828</v>
      </c>
      <c r="P251" t="s">
        <v>76</v>
      </c>
      <c r="Q251" t="s">
        <v>76</v>
      </c>
      <c r="R251" t="s">
        <v>76</v>
      </c>
      <c r="S251" t="s">
        <v>76</v>
      </c>
      <c r="T251" t="s">
        <v>76</v>
      </c>
      <c r="U251">
        <v>1</v>
      </c>
      <c r="V251" s="13">
        <v>45175</v>
      </c>
      <c r="W251">
        <v>1</v>
      </c>
      <c r="X251">
        <v>1</v>
      </c>
      <c r="Y251" t="s">
        <v>3683</v>
      </c>
      <c r="AC251">
        <v>2239</v>
      </c>
      <c r="AD251" t="e" vm="243">
        <v>#VALUE!</v>
      </c>
    </row>
    <row r="252" spans="2:30" x14ac:dyDescent="0.25">
      <c r="B252">
        <v>2240</v>
      </c>
      <c r="C252" t="s">
        <v>3646</v>
      </c>
      <c r="D252" t="s">
        <v>3682</v>
      </c>
      <c r="E252" t="s">
        <v>3826</v>
      </c>
      <c r="F252" t="s">
        <v>81</v>
      </c>
      <c r="G252" t="s">
        <v>100</v>
      </c>
      <c r="H252" t="s">
        <v>3808</v>
      </c>
      <c r="I252" t="s">
        <v>3809</v>
      </c>
      <c r="J252" t="s">
        <v>3827</v>
      </c>
      <c r="K252" t="s">
        <v>1218</v>
      </c>
      <c r="L252" s="13">
        <v>43423</v>
      </c>
      <c r="M252">
        <v>5</v>
      </c>
      <c r="N252" t="s">
        <v>90</v>
      </c>
      <c r="O252" t="s">
        <v>3828</v>
      </c>
      <c r="P252" t="s">
        <v>76</v>
      </c>
      <c r="Q252" t="s">
        <v>76</v>
      </c>
      <c r="R252" t="s">
        <v>76</v>
      </c>
      <c r="S252" t="s">
        <v>76</v>
      </c>
      <c r="T252" t="s">
        <v>76</v>
      </c>
      <c r="U252">
        <v>1</v>
      </c>
      <c r="V252" s="13">
        <v>45175</v>
      </c>
      <c r="W252">
        <v>1</v>
      </c>
      <c r="X252">
        <v>1</v>
      </c>
      <c r="Y252" t="s">
        <v>3683</v>
      </c>
      <c r="AC252">
        <v>2240</v>
      </c>
      <c r="AD252" t="e" vm="244">
        <v>#VALUE!</v>
      </c>
    </row>
    <row r="253" spans="2:30" x14ac:dyDescent="0.25">
      <c r="B253">
        <v>2241</v>
      </c>
      <c r="C253" t="s">
        <v>3646</v>
      </c>
      <c r="D253" t="s">
        <v>3682</v>
      </c>
      <c r="E253" t="s">
        <v>3826</v>
      </c>
      <c r="F253" t="s">
        <v>81</v>
      </c>
      <c r="G253" t="s">
        <v>100</v>
      </c>
      <c r="H253" t="s">
        <v>3808</v>
      </c>
      <c r="I253" t="s">
        <v>3809</v>
      </c>
      <c r="J253" t="s">
        <v>3827</v>
      </c>
      <c r="K253" t="s">
        <v>1218</v>
      </c>
      <c r="L253" s="13">
        <v>43413</v>
      </c>
      <c r="M253">
        <v>5</v>
      </c>
      <c r="N253" t="s">
        <v>90</v>
      </c>
      <c r="O253" t="s">
        <v>3828</v>
      </c>
      <c r="P253" t="s">
        <v>76</v>
      </c>
      <c r="Q253" t="s">
        <v>76</v>
      </c>
      <c r="R253" t="s">
        <v>76</v>
      </c>
      <c r="S253" t="s">
        <v>76</v>
      </c>
      <c r="T253" t="s">
        <v>76</v>
      </c>
      <c r="U253">
        <v>1</v>
      </c>
      <c r="V253" s="13">
        <v>45175</v>
      </c>
      <c r="W253">
        <v>1</v>
      </c>
      <c r="X253">
        <v>1</v>
      </c>
      <c r="Y253" t="s">
        <v>3683</v>
      </c>
      <c r="AC253">
        <v>2241</v>
      </c>
      <c r="AD253" t="e" vm="245">
        <v>#VALUE!</v>
      </c>
    </row>
    <row r="254" spans="2:30" x14ac:dyDescent="0.25">
      <c r="B254">
        <v>2242</v>
      </c>
      <c r="C254" t="s">
        <v>3646</v>
      </c>
      <c r="D254" t="s">
        <v>3682</v>
      </c>
      <c r="E254" t="s">
        <v>3826</v>
      </c>
      <c r="F254" t="s">
        <v>81</v>
      </c>
      <c r="G254" t="s">
        <v>100</v>
      </c>
      <c r="H254" t="s">
        <v>3808</v>
      </c>
      <c r="I254" t="s">
        <v>3809</v>
      </c>
      <c r="J254" t="s">
        <v>3827</v>
      </c>
      <c r="K254" t="s">
        <v>1218</v>
      </c>
      <c r="L254" s="13">
        <v>43545</v>
      </c>
      <c r="M254">
        <v>4</v>
      </c>
      <c r="N254" t="s">
        <v>90</v>
      </c>
      <c r="O254" t="s">
        <v>3828</v>
      </c>
      <c r="P254" t="s">
        <v>76</v>
      </c>
      <c r="Q254" t="s">
        <v>76</v>
      </c>
      <c r="R254" t="s">
        <v>76</v>
      </c>
      <c r="S254" t="s">
        <v>76</v>
      </c>
      <c r="T254" t="s">
        <v>76</v>
      </c>
      <c r="U254">
        <v>1</v>
      </c>
      <c r="V254" s="13">
        <v>45175</v>
      </c>
      <c r="W254">
        <v>1</v>
      </c>
      <c r="X254">
        <v>1</v>
      </c>
      <c r="Y254" t="s">
        <v>3683</v>
      </c>
      <c r="AC254">
        <v>2242</v>
      </c>
      <c r="AD254" t="e" vm="246">
        <v>#VALUE!</v>
      </c>
    </row>
    <row r="255" spans="2:30" x14ac:dyDescent="0.25">
      <c r="B255">
        <v>2243</v>
      </c>
      <c r="C255" t="s">
        <v>3646</v>
      </c>
      <c r="D255" t="s">
        <v>3682</v>
      </c>
      <c r="E255" t="s">
        <v>3826</v>
      </c>
      <c r="F255" t="s">
        <v>81</v>
      </c>
      <c r="G255" t="s">
        <v>100</v>
      </c>
      <c r="H255" t="s">
        <v>3808</v>
      </c>
      <c r="I255" t="s">
        <v>3809</v>
      </c>
      <c r="J255" t="s">
        <v>3827</v>
      </c>
      <c r="K255" t="s">
        <v>1218</v>
      </c>
      <c r="L255" s="13">
        <v>43605</v>
      </c>
      <c r="M255">
        <v>4</v>
      </c>
      <c r="N255" t="s">
        <v>90</v>
      </c>
      <c r="O255" t="s">
        <v>3828</v>
      </c>
      <c r="P255" t="s">
        <v>76</v>
      </c>
      <c r="Q255" t="s">
        <v>76</v>
      </c>
      <c r="R255" t="s">
        <v>76</v>
      </c>
      <c r="S255" t="s">
        <v>76</v>
      </c>
      <c r="T255" t="s">
        <v>76</v>
      </c>
      <c r="U255">
        <v>1</v>
      </c>
      <c r="V255" s="13">
        <v>45175</v>
      </c>
      <c r="W255">
        <v>1</v>
      </c>
      <c r="X255">
        <v>1</v>
      </c>
      <c r="Y255" t="s">
        <v>3683</v>
      </c>
      <c r="AC255">
        <v>2243</v>
      </c>
      <c r="AD255" t="e" vm="247">
        <v>#VALUE!</v>
      </c>
    </row>
    <row r="256" spans="2:30" x14ac:dyDescent="0.25">
      <c r="B256">
        <v>2244</v>
      </c>
      <c r="C256" t="s">
        <v>3646</v>
      </c>
      <c r="D256" t="s">
        <v>3682</v>
      </c>
      <c r="E256" t="s">
        <v>3826</v>
      </c>
      <c r="F256" t="s">
        <v>81</v>
      </c>
      <c r="G256" t="s">
        <v>100</v>
      </c>
      <c r="H256" t="s">
        <v>3808</v>
      </c>
      <c r="I256" t="s">
        <v>3809</v>
      </c>
      <c r="J256" t="s">
        <v>3827</v>
      </c>
      <c r="K256" t="s">
        <v>1218</v>
      </c>
      <c r="L256" s="13">
        <v>43612</v>
      </c>
      <c r="M256">
        <v>4</v>
      </c>
      <c r="N256" t="s">
        <v>90</v>
      </c>
      <c r="O256" t="s">
        <v>3828</v>
      </c>
      <c r="P256" t="s">
        <v>76</v>
      </c>
      <c r="Q256" t="s">
        <v>76</v>
      </c>
      <c r="R256" t="s">
        <v>76</v>
      </c>
      <c r="S256" t="s">
        <v>76</v>
      </c>
      <c r="T256" t="s">
        <v>76</v>
      </c>
      <c r="U256">
        <v>1</v>
      </c>
      <c r="V256" s="13">
        <v>45175</v>
      </c>
      <c r="W256">
        <v>1</v>
      </c>
      <c r="X256">
        <v>1</v>
      </c>
      <c r="Y256" t="s">
        <v>3683</v>
      </c>
      <c r="AC256">
        <v>2244</v>
      </c>
      <c r="AD256" t="e" vm="248">
        <v>#VALUE!</v>
      </c>
    </row>
    <row r="257" spans="2:30" x14ac:dyDescent="0.25">
      <c r="B257">
        <v>2245</v>
      </c>
      <c r="C257" t="s">
        <v>3646</v>
      </c>
      <c r="D257" t="s">
        <v>3682</v>
      </c>
      <c r="E257" t="s">
        <v>3826</v>
      </c>
      <c r="F257" t="s">
        <v>81</v>
      </c>
      <c r="G257" t="s">
        <v>100</v>
      </c>
      <c r="H257" t="s">
        <v>3808</v>
      </c>
      <c r="I257" t="s">
        <v>3809</v>
      </c>
      <c r="J257" t="s">
        <v>3827</v>
      </c>
      <c r="K257" t="s">
        <v>1218</v>
      </c>
      <c r="L257" s="13">
        <v>43605</v>
      </c>
      <c r="M257">
        <v>4</v>
      </c>
      <c r="N257" t="s">
        <v>90</v>
      </c>
      <c r="O257" t="s">
        <v>3828</v>
      </c>
      <c r="P257" t="s">
        <v>76</v>
      </c>
      <c r="Q257" t="s">
        <v>76</v>
      </c>
      <c r="R257" t="s">
        <v>76</v>
      </c>
      <c r="S257" t="s">
        <v>76</v>
      </c>
      <c r="T257" t="s">
        <v>76</v>
      </c>
      <c r="U257">
        <v>1</v>
      </c>
      <c r="V257" s="13">
        <v>45175</v>
      </c>
      <c r="W257">
        <v>1</v>
      </c>
      <c r="X257">
        <v>1</v>
      </c>
      <c r="Y257" t="s">
        <v>3683</v>
      </c>
      <c r="AC257">
        <v>2245</v>
      </c>
      <c r="AD257" t="e" vm="249">
        <v>#VALUE!</v>
      </c>
    </row>
    <row r="258" spans="2:30" x14ac:dyDescent="0.25">
      <c r="B258">
        <v>2246</v>
      </c>
      <c r="C258" t="s">
        <v>3646</v>
      </c>
      <c r="D258" t="s">
        <v>3682</v>
      </c>
      <c r="E258" t="s">
        <v>3826</v>
      </c>
      <c r="F258" t="s">
        <v>81</v>
      </c>
      <c r="G258" t="s">
        <v>100</v>
      </c>
      <c r="H258" t="s">
        <v>3808</v>
      </c>
      <c r="I258" t="s">
        <v>3809</v>
      </c>
      <c r="J258" t="s">
        <v>3827</v>
      </c>
      <c r="K258" t="s">
        <v>1218</v>
      </c>
      <c r="L258" s="13">
        <v>43612</v>
      </c>
      <c r="M258">
        <v>4</v>
      </c>
      <c r="N258" t="s">
        <v>90</v>
      </c>
      <c r="O258" t="s">
        <v>3828</v>
      </c>
      <c r="P258" t="s">
        <v>76</v>
      </c>
      <c r="Q258" t="s">
        <v>76</v>
      </c>
      <c r="R258" t="s">
        <v>76</v>
      </c>
      <c r="S258" t="s">
        <v>76</v>
      </c>
      <c r="T258" t="s">
        <v>76</v>
      </c>
      <c r="U258">
        <v>1</v>
      </c>
      <c r="V258" s="13">
        <v>45175</v>
      </c>
      <c r="W258">
        <v>1</v>
      </c>
      <c r="X258">
        <v>1</v>
      </c>
      <c r="Y258" t="s">
        <v>3683</v>
      </c>
      <c r="AC258">
        <v>2246</v>
      </c>
      <c r="AD258" t="e" vm="250">
        <v>#VALUE!</v>
      </c>
    </row>
    <row r="259" spans="2:30" x14ac:dyDescent="0.25">
      <c r="B259">
        <v>2247</v>
      </c>
      <c r="C259" t="s">
        <v>3646</v>
      </c>
      <c r="D259" t="s">
        <v>3682</v>
      </c>
      <c r="E259" t="s">
        <v>3826</v>
      </c>
      <c r="F259" t="s">
        <v>81</v>
      </c>
      <c r="G259" t="s">
        <v>100</v>
      </c>
      <c r="H259" t="s">
        <v>3808</v>
      </c>
      <c r="I259" t="s">
        <v>3809</v>
      </c>
      <c r="J259" t="s">
        <v>3827</v>
      </c>
      <c r="K259" t="s">
        <v>1218</v>
      </c>
      <c r="L259" s="13">
        <v>43605</v>
      </c>
      <c r="M259">
        <v>4</v>
      </c>
      <c r="N259" t="s">
        <v>90</v>
      </c>
      <c r="O259" t="s">
        <v>3828</v>
      </c>
      <c r="P259" t="s">
        <v>76</v>
      </c>
      <c r="Q259" t="s">
        <v>76</v>
      </c>
      <c r="R259" t="s">
        <v>76</v>
      </c>
      <c r="S259" t="s">
        <v>76</v>
      </c>
      <c r="T259" t="s">
        <v>76</v>
      </c>
      <c r="U259">
        <v>1</v>
      </c>
      <c r="V259" s="13">
        <v>45175</v>
      </c>
      <c r="W259">
        <v>1</v>
      </c>
      <c r="X259">
        <v>1</v>
      </c>
      <c r="Y259" t="s">
        <v>3683</v>
      </c>
      <c r="AC259">
        <v>2247</v>
      </c>
      <c r="AD259" t="e" vm="251">
        <v>#VALUE!</v>
      </c>
    </row>
    <row r="260" spans="2:30" x14ac:dyDescent="0.25">
      <c r="B260">
        <v>2248</v>
      </c>
      <c r="C260" t="s">
        <v>3646</v>
      </c>
      <c r="D260" t="s">
        <v>3682</v>
      </c>
      <c r="E260" t="s">
        <v>3826</v>
      </c>
      <c r="F260" t="s">
        <v>81</v>
      </c>
      <c r="G260" t="s">
        <v>100</v>
      </c>
      <c r="H260" t="s">
        <v>3808</v>
      </c>
      <c r="I260" t="s">
        <v>3809</v>
      </c>
      <c r="J260" t="s">
        <v>3827</v>
      </c>
      <c r="K260" t="s">
        <v>1218</v>
      </c>
      <c r="L260" s="13">
        <v>43612</v>
      </c>
      <c r="M260">
        <v>4</v>
      </c>
      <c r="N260" t="s">
        <v>90</v>
      </c>
      <c r="O260" t="s">
        <v>3828</v>
      </c>
      <c r="P260" t="s">
        <v>76</v>
      </c>
      <c r="Q260" t="s">
        <v>76</v>
      </c>
      <c r="R260" t="s">
        <v>76</v>
      </c>
      <c r="S260" t="s">
        <v>76</v>
      </c>
      <c r="T260" t="s">
        <v>76</v>
      </c>
      <c r="U260">
        <v>1</v>
      </c>
      <c r="V260" s="13">
        <v>45175</v>
      </c>
      <c r="W260">
        <v>1</v>
      </c>
      <c r="X260">
        <v>1</v>
      </c>
      <c r="Y260" t="s">
        <v>3683</v>
      </c>
      <c r="AC260">
        <v>2248</v>
      </c>
      <c r="AD260" t="e" vm="252">
        <v>#VALUE!</v>
      </c>
    </row>
    <row r="261" spans="2:30" x14ac:dyDescent="0.25">
      <c r="B261">
        <v>2249</v>
      </c>
      <c r="C261" t="s">
        <v>3646</v>
      </c>
      <c r="D261" t="s">
        <v>3682</v>
      </c>
      <c r="E261" t="s">
        <v>3826</v>
      </c>
      <c r="F261" t="s">
        <v>81</v>
      </c>
      <c r="G261" t="s">
        <v>100</v>
      </c>
      <c r="H261" t="s">
        <v>3808</v>
      </c>
      <c r="I261" t="s">
        <v>3809</v>
      </c>
      <c r="J261" t="s">
        <v>3827</v>
      </c>
      <c r="K261" t="s">
        <v>1218</v>
      </c>
      <c r="L261" s="13">
        <v>43612</v>
      </c>
      <c r="M261">
        <v>4</v>
      </c>
      <c r="N261" t="s">
        <v>90</v>
      </c>
      <c r="O261" t="s">
        <v>3828</v>
      </c>
      <c r="P261" t="s">
        <v>76</v>
      </c>
      <c r="Q261" t="s">
        <v>76</v>
      </c>
      <c r="R261" t="s">
        <v>76</v>
      </c>
      <c r="S261" t="s">
        <v>76</v>
      </c>
      <c r="T261" t="s">
        <v>76</v>
      </c>
      <c r="U261">
        <v>1</v>
      </c>
      <c r="V261" s="13">
        <v>45175</v>
      </c>
      <c r="W261">
        <v>1</v>
      </c>
      <c r="X261">
        <v>1</v>
      </c>
      <c r="Y261" t="s">
        <v>3683</v>
      </c>
      <c r="AC261">
        <v>2249</v>
      </c>
      <c r="AD261" t="e" vm="253">
        <v>#VALUE!</v>
      </c>
    </row>
    <row r="262" spans="2:30" x14ac:dyDescent="0.25">
      <c r="B262">
        <v>2250</v>
      </c>
      <c r="C262" t="s">
        <v>3646</v>
      </c>
      <c r="D262" t="s">
        <v>3682</v>
      </c>
      <c r="E262" t="s">
        <v>3826</v>
      </c>
      <c r="F262" t="s">
        <v>81</v>
      </c>
      <c r="G262" t="s">
        <v>100</v>
      </c>
      <c r="H262" t="s">
        <v>3808</v>
      </c>
      <c r="I262" t="s">
        <v>3809</v>
      </c>
      <c r="J262" t="s">
        <v>3827</v>
      </c>
      <c r="K262" t="s">
        <v>1218</v>
      </c>
      <c r="L262" s="13">
        <v>43910</v>
      </c>
      <c r="M262">
        <v>3</v>
      </c>
      <c r="N262" t="s">
        <v>90</v>
      </c>
      <c r="O262" t="s">
        <v>3828</v>
      </c>
      <c r="P262" t="s">
        <v>76</v>
      </c>
      <c r="Q262" t="s">
        <v>76</v>
      </c>
      <c r="R262" t="s">
        <v>76</v>
      </c>
      <c r="S262" t="s">
        <v>76</v>
      </c>
      <c r="T262" t="s">
        <v>76</v>
      </c>
      <c r="U262">
        <v>1</v>
      </c>
      <c r="V262" s="13">
        <v>45175</v>
      </c>
      <c r="W262">
        <v>1</v>
      </c>
      <c r="X262">
        <v>1</v>
      </c>
      <c r="Y262" t="s">
        <v>3683</v>
      </c>
      <c r="AC262">
        <v>2250</v>
      </c>
      <c r="AD262" t="e" vm="254">
        <v>#VALUE!</v>
      </c>
    </row>
    <row r="263" spans="2:30" x14ac:dyDescent="0.25">
      <c r="B263">
        <v>2251</v>
      </c>
      <c r="C263" t="s">
        <v>3646</v>
      </c>
      <c r="D263" t="s">
        <v>3682</v>
      </c>
      <c r="E263" t="s">
        <v>3826</v>
      </c>
      <c r="F263" t="s">
        <v>81</v>
      </c>
      <c r="G263" t="s">
        <v>100</v>
      </c>
      <c r="H263" t="s">
        <v>3808</v>
      </c>
      <c r="I263" t="s">
        <v>3809</v>
      </c>
      <c r="J263" t="s">
        <v>3827</v>
      </c>
      <c r="K263" t="s">
        <v>1218</v>
      </c>
      <c r="L263" s="13">
        <v>43894</v>
      </c>
      <c r="M263">
        <v>4</v>
      </c>
      <c r="N263" t="s">
        <v>90</v>
      </c>
      <c r="O263" t="s">
        <v>3828</v>
      </c>
      <c r="P263" t="s">
        <v>76</v>
      </c>
      <c r="Q263" t="s">
        <v>76</v>
      </c>
      <c r="R263" t="s">
        <v>76</v>
      </c>
      <c r="S263" t="s">
        <v>76</v>
      </c>
      <c r="T263" t="s">
        <v>76</v>
      </c>
      <c r="U263">
        <v>1</v>
      </c>
      <c r="V263" s="13">
        <v>45175</v>
      </c>
      <c r="W263">
        <v>1</v>
      </c>
      <c r="X263">
        <v>1</v>
      </c>
      <c r="Y263" t="s">
        <v>3683</v>
      </c>
      <c r="AC263">
        <v>2251</v>
      </c>
      <c r="AD263" t="e" vm="255">
        <v>#VALUE!</v>
      </c>
    </row>
    <row r="264" spans="2:30" x14ac:dyDescent="0.25">
      <c r="B264">
        <v>2252</v>
      </c>
      <c r="C264" t="s">
        <v>3646</v>
      </c>
      <c r="D264" t="s">
        <v>3682</v>
      </c>
      <c r="E264" t="s">
        <v>3826</v>
      </c>
      <c r="F264" t="s">
        <v>81</v>
      </c>
      <c r="G264" t="s">
        <v>100</v>
      </c>
      <c r="H264" t="s">
        <v>3808</v>
      </c>
      <c r="I264" t="s">
        <v>3809</v>
      </c>
      <c r="J264" t="s">
        <v>3827</v>
      </c>
      <c r="K264" t="s">
        <v>1218</v>
      </c>
      <c r="L264" s="13">
        <v>43852</v>
      </c>
      <c r="M264">
        <v>4</v>
      </c>
      <c r="N264" t="s">
        <v>90</v>
      </c>
      <c r="O264" t="s">
        <v>3828</v>
      </c>
      <c r="P264" t="s">
        <v>76</v>
      </c>
      <c r="Q264" t="s">
        <v>76</v>
      </c>
      <c r="R264" t="s">
        <v>76</v>
      </c>
      <c r="S264" t="s">
        <v>76</v>
      </c>
      <c r="T264" t="s">
        <v>76</v>
      </c>
      <c r="U264">
        <v>1</v>
      </c>
      <c r="V264" s="13">
        <v>45175</v>
      </c>
      <c r="W264">
        <v>1</v>
      </c>
      <c r="X264">
        <v>1</v>
      </c>
      <c r="Y264" t="s">
        <v>3683</v>
      </c>
      <c r="AC264">
        <v>2252</v>
      </c>
      <c r="AD264" t="e" vm="256">
        <v>#VALUE!</v>
      </c>
    </row>
    <row r="265" spans="2:30" x14ac:dyDescent="0.25">
      <c r="B265">
        <v>2253</v>
      </c>
      <c r="C265" t="s">
        <v>3646</v>
      </c>
      <c r="D265" t="s">
        <v>3682</v>
      </c>
      <c r="E265" t="s">
        <v>3826</v>
      </c>
      <c r="F265" t="s">
        <v>81</v>
      </c>
      <c r="G265" t="s">
        <v>100</v>
      </c>
      <c r="H265" t="s">
        <v>3808</v>
      </c>
      <c r="I265" t="s">
        <v>3809</v>
      </c>
      <c r="J265" t="s">
        <v>3827</v>
      </c>
      <c r="K265" t="s">
        <v>1218</v>
      </c>
      <c r="L265" s="13">
        <v>43545</v>
      </c>
      <c r="M265">
        <v>4</v>
      </c>
      <c r="N265" t="s">
        <v>90</v>
      </c>
      <c r="O265" t="s">
        <v>3828</v>
      </c>
      <c r="P265" t="s">
        <v>76</v>
      </c>
      <c r="Q265" t="s">
        <v>76</v>
      </c>
      <c r="R265" t="s">
        <v>76</v>
      </c>
      <c r="S265" t="s">
        <v>76</v>
      </c>
      <c r="T265" t="s">
        <v>76</v>
      </c>
      <c r="U265">
        <v>1</v>
      </c>
      <c r="V265" s="13">
        <v>45175</v>
      </c>
      <c r="W265">
        <v>1</v>
      </c>
      <c r="X265">
        <v>1</v>
      </c>
      <c r="Y265" t="s">
        <v>3683</v>
      </c>
      <c r="AC265">
        <v>2253</v>
      </c>
      <c r="AD265" t="e" vm="257">
        <v>#VALUE!</v>
      </c>
    </row>
    <row r="266" spans="2:30" x14ac:dyDescent="0.25">
      <c r="B266">
        <v>2254</v>
      </c>
      <c r="C266" t="s">
        <v>3646</v>
      </c>
      <c r="D266" t="s">
        <v>3682</v>
      </c>
      <c r="E266" t="s">
        <v>3826</v>
      </c>
      <c r="F266" t="s">
        <v>81</v>
      </c>
      <c r="G266" t="s">
        <v>100</v>
      </c>
      <c r="H266" t="s">
        <v>3808</v>
      </c>
      <c r="I266" t="s">
        <v>3809</v>
      </c>
      <c r="J266" t="s">
        <v>3827</v>
      </c>
      <c r="K266" t="s">
        <v>1218</v>
      </c>
      <c r="L266" s="13">
        <v>43545</v>
      </c>
      <c r="M266">
        <v>4</v>
      </c>
      <c r="N266" t="s">
        <v>90</v>
      </c>
      <c r="O266" t="s">
        <v>3828</v>
      </c>
      <c r="P266" t="s">
        <v>76</v>
      </c>
      <c r="Q266" t="s">
        <v>76</v>
      </c>
      <c r="R266" t="s">
        <v>76</v>
      </c>
      <c r="S266" t="s">
        <v>76</v>
      </c>
      <c r="T266" t="s">
        <v>76</v>
      </c>
      <c r="U266">
        <v>1</v>
      </c>
      <c r="V266" s="13">
        <v>45175</v>
      </c>
      <c r="W266">
        <v>1</v>
      </c>
      <c r="X266">
        <v>1</v>
      </c>
      <c r="Y266" t="s">
        <v>3683</v>
      </c>
      <c r="AC266">
        <v>2254</v>
      </c>
      <c r="AD266" t="e" vm="258">
        <v>#VALUE!</v>
      </c>
    </row>
    <row r="267" spans="2:30" x14ac:dyDescent="0.25">
      <c r="B267">
        <v>2255</v>
      </c>
      <c r="C267" t="s">
        <v>3646</v>
      </c>
      <c r="D267" t="s">
        <v>3682</v>
      </c>
      <c r="E267" t="s">
        <v>3826</v>
      </c>
      <c r="F267" t="s">
        <v>81</v>
      </c>
      <c r="G267" t="s">
        <v>100</v>
      </c>
      <c r="H267" t="s">
        <v>3808</v>
      </c>
      <c r="I267" t="s">
        <v>3809</v>
      </c>
      <c r="J267" t="s">
        <v>3827</v>
      </c>
      <c r="K267" t="s">
        <v>1218</v>
      </c>
      <c r="L267" s="13">
        <v>43556</v>
      </c>
      <c r="M267">
        <v>4</v>
      </c>
      <c r="N267" t="s">
        <v>90</v>
      </c>
      <c r="O267" t="s">
        <v>3828</v>
      </c>
      <c r="P267" t="s">
        <v>76</v>
      </c>
      <c r="Q267" t="s">
        <v>76</v>
      </c>
      <c r="R267" t="s">
        <v>76</v>
      </c>
      <c r="S267" t="s">
        <v>76</v>
      </c>
      <c r="T267" t="s">
        <v>76</v>
      </c>
      <c r="U267">
        <v>1</v>
      </c>
      <c r="V267" s="13">
        <v>45175</v>
      </c>
      <c r="W267">
        <v>1</v>
      </c>
      <c r="X267">
        <v>1</v>
      </c>
      <c r="Y267" t="s">
        <v>3683</v>
      </c>
      <c r="AC267">
        <v>2255</v>
      </c>
      <c r="AD267" t="e" vm="259">
        <v>#VALUE!</v>
      </c>
    </row>
    <row r="268" spans="2:30" x14ac:dyDescent="0.25">
      <c r="B268">
        <v>2256</v>
      </c>
      <c r="C268" t="s">
        <v>3646</v>
      </c>
      <c r="D268" t="s">
        <v>3682</v>
      </c>
      <c r="E268" t="s">
        <v>3826</v>
      </c>
      <c r="F268" t="s">
        <v>81</v>
      </c>
      <c r="G268" t="s">
        <v>100</v>
      </c>
      <c r="H268" t="s">
        <v>3808</v>
      </c>
      <c r="I268" t="s">
        <v>3809</v>
      </c>
      <c r="J268" t="s">
        <v>3827</v>
      </c>
      <c r="K268" t="s">
        <v>1218</v>
      </c>
      <c r="L268" s="13">
        <v>43556</v>
      </c>
      <c r="M268">
        <v>4</v>
      </c>
      <c r="N268" t="s">
        <v>90</v>
      </c>
      <c r="O268" t="s">
        <v>3828</v>
      </c>
      <c r="P268" t="s">
        <v>76</v>
      </c>
      <c r="Q268" t="s">
        <v>76</v>
      </c>
      <c r="R268" t="s">
        <v>76</v>
      </c>
      <c r="S268" t="s">
        <v>76</v>
      </c>
      <c r="T268" t="s">
        <v>76</v>
      </c>
      <c r="U268">
        <v>1</v>
      </c>
      <c r="V268" s="13">
        <v>45175</v>
      </c>
      <c r="W268">
        <v>1</v>
      </c>
      <c r="X268">
        <v>1</v>
      </c>
      <c r="Y268" t="s">
        <v>3683</v>
      </c>
      <c r="AC268">
        <v>2256</v>
      </c>
      <c r="AD268" t="e" vm="260">
        <v>#VALUE!</v>
      </c>
    </row>
    <row r="269" spans="2:30" x14ac:dyDescent="0.25">
      <c r="B269">
        <v>2257</v>
      </c>
      <c r="C269" t="s">
        <v>3646</v>
      </c>
      <c r="D269" t="s">
        <v>3682</v>
      </c>
      <c r="E269" t="s">
        <v>3826</v>
      </c>
      <c r="F269" t="s">
        <v>81</v>
      </c>
      <c r="G269" t="s">
        <v>100</v>
      </c>
      <c r="H269" t="s">
        <v>3808</v>
      </c>
      <c r="I269" t="s">
        <v>3809</v>
      </c>
      <c r="J269" t="s">
        <v>3827</v>
      </c>
      <c r="K269" t="s">
        <v>1218</v>
      </c>
      <c r="L269" s="13">
        <v>43556</v>
      </c>
      <c r="M269">
        <v>4</v>
      </c>
      <c r="N269" t="s">
        <v>90</v>
      </c>
      <c r="O269" t="s">
        <v>3828</v>
      </c>
      <c r="P269" t="s">
        <v>76</v>
      </c>
      <c r="Q269" t="s">
        <v>76</v>
      </c>
      <c r="R269" t="s">
        <v>76</v>
      </c>
      <c r="S269" t="s">
        <v>76</v>
      </c>
      <c r="T269" t="s">
        <v>76</v>
      </c>
      <c r="U269">
        <v>1</v>
      </c>
      <c r="V269" s="13">
        <v>45175</v>
      </c>
      <c r="W269">
        <v>1</v>
      </c>
      <c r="X269">
        <v>1</v>
      </c>
      <c r="Y269" t="s">
        <v>3683</v>
      </c>
      <c r="AC269">
        <v>2257</v>
      </c>
      <c r="AD269" t="e" vm="261">
        <v>#VALUE!</v>
      </c>
    </row>
    <row r="270" spans="2:30" x14ac:dyDescent="0.25">
      <c r="B270">
        <v>2258</v>
      </c>
      <c r="C270" t="s">
        <v>3646</v>
      </c>
      <c r="D270" t="s">
        <v>3682</v>
      </c>
      <c r="E270" t="s">
        <v>3826</v>
      </c>
      <c r="F270" t="s">
        <v>81</v>
      </c>
      <c r="G270" t="s">
        <v>100</v>
      </c>
      <c r="H270" t="s">
        <v>3808</v>
      </c>
      <c r="I270" t="s">
        <v>3809</v>
      </c>
      <c r="J270" t="s">
        <v>3827</v>
      </c>
      <c r="K270" t="s">
        <v>1218</v>
      </c>
      <c r="L270" s="13">
        <v>43557</v>
      </c>
      <c r="M270">
        <v>4</v>
      </c>
      <c r="N270" t="s">
        <v>90</v>
      </c>
      <c r="O270" t="s">
        <v>3828</v>
      </c>
      <c r="P270" t="s">
        <v>76</v>
      </c>
      <c r="Q270" t="s">
        <v>76</v>
      </c>
      <c r="R270" t="s">
        <v>76</v>
      </c>
      <c r="S270" t="s">
        <v>76</v>
      </c>
      <c r="T270" t="s">
        <v>76</v>
      </c>
      <c r="U270">
        <v>1</v>
      </c>
      <c r="V270" s="13">
        <v>45175</v>
      </c>
      <c r="W270">
        <v>1</v>
      </c>
      <c r="X270">
        <v>1</v>
      </c>
      <c r="Y270" t="s">
        <v>3683</v>
      </c>
      <c r="AC270">
        <v>2258</v>
      </c>
      <c r="AD270" t="e" vm="262">
        <v>#VALUE!</v>
      </c>
    </row>
    <row r="271" spans="2:30" x14ac:dyDescent="0.25">
      <c r="B271">
        <v>2259</v>
      </c>
      <c r="C271" t="s">
        <v>3684</v>
      </c>
      <c r="D271" t="s">
        <v>3685</v>
      </c>
      <c r="E271" t="s">
        <v>3829</v>
      </c>
      <c r="F271" t="s">
        <v>105</v>
      </c>
      <c r="G271" t="s">
        <v>108</v>
      </c>
      <c r="H271" t="s">
        <v>3808</v>
      </c>
      <c r="I271" t="s">
        <v>3809</v>
      </c>
      <c r="J271" t="s">
        <v>3827</v>
      </c>
      <c r="K271" t="s">
        <v>1218</v>
      </c>
      <c r="L271" s="13">
        <v>43557</v>
      </c>
      <c r="M271">
        <v>4</v>
      </c>
      <c r="N271" t="s">
        <v>101</v>
      </c>
      <c r="O271" t="s">
        <v>3828</v>
      </c>
      <c r="P271" t="s">
        <v>76</v>
      </c>
      <c r="Q271" t="s">
        <v>76</v>
      </c>
      <c r="R271" t="s">
        <v>76</v>
      </c>
      <c r="S271" t="s">
        <v>76</v>
      </c>
      <c r="T271" t="s">
        <v>76</v>
      </c>
      <c r="U271">
        <v>1</v>
      </c>
      <c r="V271" s="13">
        <v>45175</v>
      </c>
      <c r="W271">
        <v>1</v>
      </c>
      <c r="X271">
        <v>1</v>
      </c>
      <c r="Y271" t="s">
        <v>3686</v>
      </c>
      <c r="AC271">
        <v>2259</v>
      </c>
      <c r="AD271" t="e" vm="263">
        <v>#VALUE!</v>
      </c>
    </row>
    <row r="272" spans="2:30" x14ac:dyDescent="0.25">
      <c r="B272">
        <v>2260</v>
      </c>
      <c r="C272" t="s">
        <v>3684</v>
      </c>
      <c r="D272" t="s">
        <v>3685</v>
      </c>
      <c r="E272" t="s">
        <v>3829</v>
      </c>
      <c r="F272" t="s">
        <v>105</v>
      </c>
      <c r="G272" t="s">
        <v>108</v>
      </c>
      <c r="H272" t="s">
        <v>3808</v>
      </c>
      <c r="I272" t="s">
        <v>3809</v>
      </c>
      <c r="J272" t="s">
        <v>3827</v>
      </c>
      <c r="K272" t="s">
        <v>1218</v>
      </c>
      <c r="L272" s="13">
        <v>43566</v>
      </c>
      <c r="M272">
        <v>4</v>
      </c>
      <c r="N272" t="s">
        <v>101</v>
      </c>
      <c r="O272" t="s">
        <v>3828</v>
      </c>
      <c r="P272" t="s">
        <v>76</v>
      </c>
      <c r="Q272" t="s">
        <v>76</v>
      </c>
      <c r="R272" t="s">
        <v>76</v>
      </c>
      <c r="S272" t="s">
        <v>76</v>
      </c>
      <c r="T272" t="s">
        <v>76</v>
      </c>
      <c r="U272">
        <v>1</v>
      </c>
      <c r="V272" s="13">
        <v>45175</v>
      </c>
      <c r="W272">
        <v>1</v>
      </c>
      <c r="X272">
        <v>1</v>
      </c>
      <c r="Y272" t="s">
        <v>3686</v>
      </c>
      <c r="AC272">
        <v>2260</v>
      </c>
      <c r="AD272" t="e" vm="264">
        <v>#VALUE!</v>
      </c>
    </row>
    <row r="273" spans="2:30" x14ac:dyDescent="0.25">
      <c r="B273">
        <v>2261</v>
      </c>
      <c r="C273" t="s">
        <v>3684</v>
      </c>
      <c r="D273" t="s">
        <v>3685</v>
      </c>
      <c r="E273" t="s">
        <v>3829</v>
      </c>
      <c r="F273" t="s">
        <v>105</v>
      </c>
      <c r="G273" t="s">
        <v>108</v>
      </c>
      <c r="H273" t="s">
        <v>3808</v>
      </c>
      <c r="I273" t="s">
        <v>3809</v>
      </c>
      <c r="J273" t="s">
        <v>3827</v>
      </c>
      <c r="K273" t="s">
        <v>1218</v>
      </c>
      <c r="L273" s="13">
        <v>43571</v>
      </c>
      <c r="M273">
        <v>4</v>
      </c>
      <c r="N273" t="s">
        <v>101</v>
      </c>
      <c r="O273" t="s">
        <v>3828</v>
      </c>
      <c r="P273" t="s">
        <v>76</v>
      </c>
      <c r="Q273" t="s">
        <v>76</v>
      </c>
      <c r="R273" t="s">
        <v>76</v>
      </c>
      <c r="S273" t="s">
        <v>76</v>
      </c>
      <c r="T273" t="s">
        <v>76</v>
      </c>
      <c r="U273">
        <v>1</v>
      </c>
      <c r="V273" s="13">
        <v>45175</v>
      </c>
      <c r="W273">
        <v>1</v>
      </c>
      <c r="X273">
        <v>1</v>
      </c>
      <c r="Y273" t="s">
        <v>3686</v>
      </c>
      <c r="AC273">
        <v>2261</v>
      </c>
      <c r="AD273" t="e" vm="265">
        <v>#VALUE!</v>
      </c>
    </row>
    <row r="274" spans="2:30" x14ac:dyDescent="0.25">
      <c r="B274">
        <v>2262</v>
      </c>
      <c r="C274" t="s">
        <v>3684</v>
      </c>
      <c r="D274" t="s">
        <v>3685</v>
      </c>
      <c r="E274" t="s">
        <v>3829</v>
      </c>
      <c r="F274" t="s">
        <v>105</v>
      </c>
      <c r="G274" t="s">
        <v>108</v>
      </c>
      <c r="H274" t="s">
        <v>3808</v>
      </c>
      <c r="I274" t="s">
        <v>3809</v>
      </c>
      <c r="J274" t="s">
        <v>3827</v>
      </c>
      <c r="K274" t="s">
        <v>1218</v>
      </c>
      <c r="L274" s="13">
        <v>43572</v>
      </c>
      <c r="M274">
        <v>4</v>
      </c>
      <c r="N274" t="s">
        <v>101</v>
      </c>
      <c r="O274" t="s">
        <v>3828</v>
      </c>
      <c r="P274" t="s">
        <v>76</v>
      </c>
      <c r="Q274" t="s">
        <v>76</v>
      </c>
      <c r="R274" t="s">
        <v>76</v>
      </c>
      <c r="S274" t="s">
        <v>76</v>
      </c>
      <c r="T274" t="s">
        <v>76</v>
      </c>
      <c r="U274">
        <v>1</v>
      </c>
      <c r="V274" s="13">
        <v>45175</v>
      </c>
      <c r="W274">
        <v>1</v>
      </c>
      <c r="X274">
        <v>1</v>
      </c>
      <c r="Y274" t="s">
        <v>3686</v>
      </c>
      <c r="AC274">
        <v>2262</v>
      </c>
      <c r="AD274" t="e" vm="266">
        <v>#VALUE!</v>
      </c>
    </row>
    <row r="275" spans="2:30" x14ac:dyDescent="0.25">
      <c r="B275">
        <v>2263</v>
      </c>
      <c r="C275" t="s">
        <v>3684</v>
      </c>
      <c r="D275" t="s">
        <v>3685</v>
      </c>
      <c r="E275" t="s">
        <v>3829</v>
      </c>
      <c r="F275" t="s">
        <v>105</v>
      </c>
      <c r="G275" t="s">
        <v>108</v>
      </c>
      <c r="H275" t="s">
        <v>3808</v>
      </c>
      <c r="I275" t="s">
        <v>3809</v>
      </c>
      <c r="J275" t="s">
        <v>3827</v>
      </c>
      <c r="K275" t="s">
        <v>1218</v>
      </c>
      <c r="L275" s="13">
        <v>43571</v>
      </c>
      <c r="M275">
        <v>4</v>
      </c>
      <c r="N275" t="s">
        <v>101</v>
      </c>
      <c r="O275" t="s">
        <v>3828</v>
      </c>
      <c r="P275" t="s">
        <v>76</v>
      </c>
      <c r="Q275" t="s">
        <v>76</v>
      </c>
      <c r="R275" t="s">
        <v>76</v>
      </c>
      <c r="S275" t="s">
        <v>76</v>
      </c>
      <c r="T275" t="s">
        <v>76</v>
      </c>
      <c r="U275">
        <v>1</v>
      </c>
      <c r="V275" s="13">
        <v>45175</v>
      </c>
      <c r="W275">
        <v>1</v>
      </c>
      <c r="X275">
        <v>1</v>
      </c>
      <c r="Y275" t="s">
        <v>3686</v>
      </c>
      <c r="AC275">
        <v>2263</v>
      </c>
      <c r="AD275" t="e" vm="267">
        <v>#VALUE!</v>
      </c>
    </row>
    <row r="276" spans="2:30" x14ac:dyDescent="0.25">
      <c r="B276">
        <v>2265</v>
      </c>
      <c r="C276" t="s">
        <v>3659</v>
      </c>
      <c r="D276" t="s">
        <v>3660</v>
      </c>
      <c r="E276" t="s">
        <v>3813</v>
      </c>
      <c r="F276" t="s">
        <v>83</v>
      </c>
      <c r="G276" t="s">
        <v>103</v>
      </c>
      <c r="H276" t="s">
        <v>3808</v>
      </c>
      <c r="I276" t="s">
        <v>3809</v>
      </c>
      <c r="J276" t="s">
        <v>3827</v>
      </c>
      <c r="K276" t="s">
        <v>1218</v>
      </c>
      <c r="L276" s="13">
        <v>43551</v>
      </c>
      <c r="M276">
        <v>4</v>
      </c>
      <c r="N276" t="s">
        <v>88</v>
      </c>
      <c r="O276" t="s">
        <v>3828</v>
      </c>
      <c r="P276" t="s">
        <v>76</v>
      </c>
      <c r="Q276" t="s">
        <v>76</v>
      </c>
      <c r="R276" t="s">
        <v>76</v>
      </c>
      <c r="S276" t="s">
        <v>76</v>
      </c>
      <c r="T276" t="s">
        <v>76</v>
      </c>
      <c r="U276">
        <v>1</v>
      </c>
      <c r="V276" s="13">
        <v>45175</v>
      </c>
      <c r="W276">
        <v>1</v>
      </c>
      <c r="X276">
        <v>1</v>
      </c>
      <c r="Y276" t="s">
        <v>3661</v>
      </c>
      <c r="AC276">
        <v>2265</v>
      </c>
      <c r="AD276" t="e" vm="268">
        <v>#VALUE!</v>
      </c>
    </row>
    <row r="277" spans="2:30" x14ac:dyDescent="0.25">
      <c r="B277">
        <v>2266</v>
      </c>
      <c r="C277" t="s">
        <v>3646</v>
      </c>
      <c r="D277" t="s">
        <v>3647</v>
      </c>
      <c r="E277" t="s">
        <v>3807</v>
      </c>
      <c r="F277" t="s">
        <v>105</v>
      </c>
      <c r="G277" t="s">
        <v>108</v>
      </c>
      <c r="H277" t="s">
        <v>3808</v>
      </c>
      <c r="I277" t="s">
        <v>3809</v>
      </c>
      <c r="J277" t="s">
        <v>3827</v>
      </c>
      <c r="K277" t="s">
        <v>1218</v>
      </c>
      <c r="L277" s="13">
        <v>43550</v>
      </c>
      <c r="M277">
        <v>4</v>
      </c>
      <c r="N277" t="s">
        <v>90</v>
      </c>
      <c r="O277" t="s">
        <v>3828</v>
      </c>
      <c r="P277" t="s">
        <v>76</v>
      </c>
      <c r="Q277" t="s">
        <v>76</v>
      </c>
      <c r="R277" t="s">
        <v>76</v>
      </c>
      <c r="S277" t="s">
        <v>76</v>
      </c>
      <c r="T277" t="s">
        <v>76</v>
      </c>
      <c r="U277">
        <v>1</v>
      </c>
      <c r="V277" s="13">
        <v>45175</v>
      </c>
      <c r="W277">
        <v>1</v>
      </c>
      <c r="X277">
        <v>1</v>
      </c>
      <c r="Y277" t="s">
        <v>3648</v>
      </c>
      <c r="AC277">
        <v>2266</v>
      </c>
      <c r="AD277" t="e" vm="269">
        <v>#VALUE!</v>
      </c>
    </row>
    <row r="278" spans="2:30" x14ac:dyDescent="0.25">
      <c r="B278">
        <v>2267</v>
      </c>
      <c r="C278" t="s">
        <v>3659</v>
      </c>
      <c r="D278" t="s">
        <v>3660</v>
      </c>
      <c r="E278" t="s">
        <v>3813</v>
      </c>
      <c r="F278" t="s">
        <v>83</v>
      </c>
      <c r="G278" t="s">
        <v>103</v>
      </c>
      <c r="H278" t="s">
        <v>3808</v>
      </c>
      <c r="I278" t="s">
        <v>3809</v>
      </c>
      <c r="J278" t="s">
        <v>3827</v>
      </c>
      <c r="K278" t="s">
        <v>1218</v>
      </c>
      <c r="L278" s="13">
        <v>43580</v>
      </c>
      <c r="M278">
        <v>4</v>
      </c>
      <c r="N278" t="s">
        <v>88</v>
      </c>
      <c r="O278" t="s">
        <v>3828</v>
      </c>
      <c r="P278" t="s">
        <v>76</v>
      </c>
      <c r="Q278" t="s">
        <v>76</v>
      </c>
      <c r="R278" t="s">
        <v>76</v>
      </c>
      <c r="S278" t="s">
        <v>76</v>
      </c>
      <c r="T278" t="s">
        <v>76</v>
      </c>
      <c r="U278">
        <v>1</v>
      </c>
      <c r="V278" s="13">
        <v>45175</v>
      </c>
      <c r="W278">
        <v>1</v>
      </c>
      <c r="X278">
        <v>1</v>
      </c>
      <c r="Y278" t="s">
        <v>3661</v>
      </c>
      <c r="AC278">
        <v>2267</v>
      </c>
      <c r="AD278" t="e" vm="270">
        <v>#VALUE!</v>
      </c>
    </row>
    <row r="279" spans="2:30" x14ac:dyDescent="0.25">
      <c r="B279">
        <v>2268</v>
      </c>
      <c r="C279" t="s">
        <v>3659</v>
      </c>
      <c r="D279" t="s">
        <v>3660</v>
      </c>
      <c r="E279" t="s">
        <v>3813</v>
      </c>
      <c r="F279" t="s">
        <v>83</v>
      </c>
      <c r="G279" t="s">
        <v>103</v>
      </c>
      <c r="H279" t="s">
        <v>3808</v>
      </c>
      <c r="I279" t="s">
        <v>3809</v>
      </c>
      <c r="J279" t="s">
        <v>3827</v>
      </c>
      <c r="K279" t="s">
        <v>1218</v>
      </c>
      <c r="L279" s="13">
        <v>43580</v>
      </c>
      <c r="M279">
        <v>4</v>
      </c>
      <c r="N279" t="s">
        <v>88</v>
      </c>
      <c r="O279" t="s">
        <v>3828</v>
      </c>
      <c r="P279" t="s">
        <v>76</v>
      </c>
      <c r="Q279" t="s">
        <v>76</v>
      </c>
      <c r="R279" t="s">
        <v>76</v>
      </c>
      <c r="S279" t="s">
        <v>76</v>
      </c>
      <c r="T279" t="s">
        <v>76</v>
      </c>
      <c r="U279">
        <v>1</v>
      </c>
      <c r="V279" s="13">
        <v>45175</v>
      </c>
      <c r="W279">
        <v>1</v>
      </c>
      <c r="X279">
        <v>1</v>
      </c>
      <c r="Y279" t="s">
        <v>3661</v>
      </c>
      <c r="AC279">
        <v>2268</v>
      </c>
      <c r="AD279" t="e" vm="271">
        <v>#VALUE!</v>
      </c>
    </row>
    <row r="280" spans="2:30" x14ac:dyDescent="0.25">
      <c r="B280">
        <v>2269</v>
      </c>
      <c r="C280" t="s">
        <v>3659</v>
      </c>
      <c r="D280" t="s">
        <v>3660</v>
      </c>
      <c r="E280" t="s">
        <v>3813</v>
      </c>
      <c r="F280" t="s">
        <v>83</v>
      </c>
      <c r="G280" t="s">
        <v>103</v>
      </c>
      <c r="H280" t="s">
        <v>3808</v>
      </c>
      <c r="I280" t="s">
        <v>3809</v>
      </c>
      <c r="J280" t="s">
        <v>3827</v>
      </c>
      <c r="K280" t="s">
        <v>1218</v>
      </c>
      <c r="L280" s="13">
        <v>43581</v>
      </c>
      <c r="M280">
        <v>4</v>
      </c>
      <c r="N280" t="s">
        <v>88</v>
      </c>
      <c r="O280" t="s">
        <v>3828</v>
      </c>
      <c r="P280" t="s">
        <v>76</v>
      </c>
      <c r="Q280" t="s">
        <v>76</v>
      </c>
      <c r="R280" t="s">
        <v>76</v>
      </c>
      <c r="S280" t="s">
        <v>76</v>
      </c>
      <c r="T280" t="s">
        <v>76</v>
      </c>
      <c r="U280">
        <v>1</v>
      </c>
      <c r="V280" s="13">
        <v>45175</v>
      </c>
      <c r="W280">
        <v>1</v>
      </c>
      <c r="X280">
        <v>1</v>
      </c>
      <c r="Y280" t="s">
        <v>3661</v>
      </c>
      <c r="AC280">
        <v>2269</v>
      </c>
      <c r="AD280" t="e" vm="272">
        <v>#VALUE!</v>
      </c>
    </row>
    <row r="281" spans="2:30" x14ac:dyDescent="0.25">
      <c r="B281">
        <v>2270</v>
      </c>
      <c r="C281" t="s">
        <v>3659</v>
      </c>
      <c r="D281" t="s">
        <v>3660</v>
      </c>
      <c r="E281" t="s">
        <v>3813</v>
      </c>
      <c r="F281" t="s">
        <v>83</v>
      </c>
      <c r="G281" t="s">
        <v>103</v>
      </c>
      <c r="H281" t="s">
        <v>3808</v>
      </c>
      <c r="I281" t="s">
        <v>3809</v>
      </c>
      <c r="J281" t="s">
        <v>3827</v>
      </c>
      <c r="K281" t="s">
        <v>1218</v>
      </c>
      <c r="L281" s="13">
        <v>43588</v>
      </c>
      <c r="M281">
        <v>4</v>
      </c>
      <c r="N281" t="s">
        <v>88</v>
      </c>
      <c r="O281" t="s">
        <v>3828</v>
      </c>
      <c r="P281" t="s">
        <v>76</v>
      </c>
      <c r="Q281" t="s">
        <v>76</v>
      </c>
      <c r="R281" t="s">
        <v>76</v>
      </c>
      <c r="S281" t="s">
        <v>76</v>
      </c>
      <c r="T281" t="s">
        <v>76</v>
      </c>
      <c r="U281">
        <v>1</v>
      </c>
      <c r="V281" s="13">
        <v>45175</v>
      </c>
      <c r="W281">
        <v>1</v>
      </c>
      <c r="X281">
        <v>1</v>
      </c>
      <c r="Y281" t="s">
        <v>3661</v>
      </c>
      <c r="AC281">
        <v>2270</v>
      </c>
      <c r="AD281" t="e" vm="273">
        <v>#VALUE!</v>
      </c>
    </row>
    <row r="282" spans="2:30" x14ac:dyDescent="0.25">
      <c r="B282">
        <v>2271</v>
      </c>
      <c r="C282" t="s">
        <v>3659</v>
      </c>
      <c r="D282" t="s">
        <v>3660</v>
      </c>
      <c r="E282" t="s">
        <v>3813</v>
      </c>
      <c r="F282" t="s">
        <v>83</v>
      </c>
      <c r="G282" t="s">
        <v>103</v>
      </c>
      <c r="H282" t="s">
        <v>3808</v>
      </c>
      <c r="I282" t="s">
        <v>3809</v>
      </c>
      <c r="J282" t="s">
        <v>3827</v>
      </c>
      <c r="K282" t="s">
        <v>1218</v>
      </c>
      <c r="L282" s="13">
        <v>43588</v>
      </c>
      <c r="M282">
        <v>4</v>
      </c>
      <c r="N282" t="s">
        <v>88</v>
      </c>
      <c r="O282" t="s">
        <v>3828</v>
      </c>
      <c r="P282" t="s">
        <v>76</v>
      </c>
      <c r="Q282" t="s">
        <v>76</v>
      </c>
      <c r="R282" t="s">
        <v>76</v>
      </c>
      <c r="S282" t="s">
        <v>76</v>
      </c>
      <c r="T282" t="s">
        <v>76</v>
      </c>
      <c r="U282">
        <v>1</v>
      </c>
      <c r="V282" s="13">
        <v>45175</v>
      </c>
      <c r="W282">
        <v>1</v>
      </c>
      <c r="X282">
        <v>1</v>
      </c>
      <c r="Y282" t="s">
        <v>3661</v>
      </c>
      <c r="AC282">
        <v>2271</v>
      </c>
      <c r="AD282" t="e" vm="274">
        <v>#VALUE!</v>
      </c>
    </row>
    <row r="283" spans="2:30" x14ac:dyDescent="0.25">
      <c r="B283">
        <v>2272</v>
      </c>
      <c r="C283" t="s">
        <v>3659</v>
      </c>
      <c r="D283" t="s">
        <v>3660</v>
      </c>
      <c r="E283" t="s">
        <v>3813</v>
      </c>
      <c r="F283" t="s">
        <v>83</v>
      </c>
      <c r="G283" t="s">
        <v>103</v>
      </c>
      <c r="H283" t="s">
        <v>3808</v>
      </c>
      <c r="I283" t="s">
        <v>3809</v>
      </c>
      <c r="J283" t="s">
        <v>3827</v>
      </c>
      <c r="K283" t="s">
        <v>1218</v>
      </c>
      <c r="L283" s="13">
        <v>43580</v>
      </c>
      <c r="M283">
        <v>4</v>
      </c>
      <c r="N283" t="s">
        <v>88</v>
      </c>
      <c r="O283" t="s">
        <v>3828</v>
      </c>
      <c r="P283" t="s">
        <v>76</v>
      </c>
      <c r="Q283" t="s">
        <v>76</v>
      </c>
      <c r="R283" t="s">
        <v>76</v>
      </c>
      <c r="S283" t="s">
        <v>76</v>
      </c>
      <c r="T283" t="s">
        <v>76</v>
      </c>
      <c r="U283">
        <v>1</v>
      </c>
      <c r="V283" s="13">
        <v>45175</v>
      </c>
      <c r="W283">
        <v>1</v>
      </c>
      <c r="X283">
        <v>1</v>
      </c>
      <c r="Y283" t="s">
        <v>3661</v>
      </c>
      <c r="AC283">
        <v>2272</v>
      </c>
      <c r="AD283" t="e" vm="275">
        <v>#VALUE!</v>
      </c>
    </row>
    <row r="284" spans="2:30" x14ac:dyDescent="0.25">
      <c r="B284">
        <v>2273</v>
      </c>
      <c r="C284" t="s">
        <v>3659</v>
      </c>
      <c r="D284" t="s">
        <v>3660</v>
      </c>
      <c r="E284" t="s">
        <v>3813</v>
      </c>
      <c r="F284" t="s">
        <v>83</v>
      </c>
      <c r="G284" t="s">
        <v>103</v>
      </c>
      <c r="H284" t="s">
        <v>3808</v>
      </c>
      <c r="I284" t="s">
        <v>3809</v>
      </c>
      <c r="J284" t="s">
        <v>3827</v>
      </c>
      <c r="K284" t="s">
        <v>1218</v>
      </c>
      <c r="L284" s="13">
        <v>43605</v>
      </c>
      <c r="M284">
        <v>4</v>
      </c>
      <c r="N284" t="s">
        <v>88</v>
      </c>
      <c r="O284" t="s">
        <v>3828</v>
      </c>
      <c r="P284" t="s">
        <v>76</v>
      </c>
      <c r="Q284" t="s">
        <v>76</v>
      </c>
      <c r="R284" t="s">
        <v>76</v>
      </c>
      <c r="S284" t="s">
        <v>76</v>
      </c>
      <c r="T284" t="s">
        <v>76</v>
      </c>
      <c r="U284">
        <v>1</v>
      </c>
      <c r="V284" s="13">
        <v>45175</v>
      </c>
      <c r="W284">
        <v>1</v>
      </c>
      <c r="X284">
        <v>1</v>
      </c>
      <c r="Y284" t="s">
        <v>3661</v>
      </c>
      <c r="AC284">
        <v>2273</v>
      </c>
      <c r="AD284" t="e" vm="276">
        <v>#VALUE!</v>
      </c>
    </row>
    <row r="285" spans="2:30" x14ac:dyDescent="0.25">
      <c r="B285">
        <v>2274</v>
      </c>
      <c r="C285" t="s">
        <v>3684</v>
      </c>
      <c r="D285" t="s">
        <v>3685</v>
      </c>
      <c r="E285" t="s">
        <v>3829</v>
      </c>
      <c r="F285" t="s">
        <v>105</v>
      </c>
      <c r="G285" t="s">
        <v>108</v>
      </c>
      <c r="H285" t="s">
        <v>3808</v>
      </c>
      <c r="I285" t="s">
        <v>3809</v>
      </c>
      <c r="J285" t="s">
        <v>3827</v>
      </c>
      <c r="K285" t="s">
        <v>1218</v>
      </c>
      <c r="L285" s="13">
        <v>43819</v>
      </c>
      <c r="M285">
        <v>4</v>
      </c>
      <c r="N285" t="s">
        <v>101</v>
      </c>
      <c r="O285" t="s">
        <v>3828</v>
      </c>
      <c r="P285" t="s">
        <v>76</v>
      </c>
      <c r="Q285" t="s">
        <v>76</v>
      </c>
      <c r="R285" t="s">
        <v>76</v>
      </c>
      <c r="S285" t="s">
        <v>76</v>
      </c>
      <c r="T285" t="s">
        <v>76</v>
      </c>
      <c r="U285">
        <v>1</v>
      </c>
      <c r="V285" s="13">
        <v>45175</v>
      </c>
      <c r="W285">
        <v>1</v>
      </c>
      <c r="X285">
        <v>1</v>
      </c>
      <c r="Y285" t="s">
        <v>3686</v>
      </c>
      <c r="AC285">
        <v>2274</v>
      </c>
      <c r="AD285" t="e" vm="277">
        <v>#VALUE!</v>
      </c>
    </row>
    <row r="286" spans="2:30" x14ac:dyDescent="0.25">
      <c r="B286">
        <v>2275</v>
      </c>
      <c r="C286" t="s">
        <v>3684</v>
      </c>
      <c r="D286" t="s">
        <v>3685</v>
      </c>
      <c r="E286" t="s">
        <v>3829</v>
      </c>
      <c r="F286" t="s">
        <v>105</v>
      </c>
      <c r="G286" t="s">
        <v>108</v>
      </c>
      <c r="H286" t="s">
        <v>3808</v>
      </c>
      <c r="I286" t="s">
        <v>3809</v>
      </c>
      <c r="J286" t="s">
        <v>3827</v>
      </c>
      <c r="K286" t="s">
        <v>1218</v>
      </c>
      <c r="L286" s="13">
        <v>43819</v>
      </c>
      <c r="M286">
        <v>4</v>
      </c>
      <c r="N286" t="s">
        <v>101</v>
      </c>
      <c r="O286" t="s">
        <v>3828</v>
      </c>
      <c r="P286" t="s">
        <v>76</v>
      </c>
      <c r="Q286" t="s">
        <v>76</v>
      </c>
      <c r="R286" t="s">
        <v>76</v>
      </c>
      <c r="S286" t="s">
        <v>76</v>
      </c>
      <c r="T286" t="s">
        <v>76</v>
      </c>
      <c r="U286">
        <v>1</v>
      </c>
      <c r="V286" s="13">
        <v>45175</v>
      </c>
      <c r="W286">
        <v>1</v>
      </c>
      <c r="X286">
        <v>1</v>
      </c>
      <c r="Y286" t="s">
        <v>3686</v>
      </c>
      <c r="AC286">
        <v>2275</v>
      </c>
      <c r="AD286" t="e" vm="278">
        <v>#VALUE!</v>
      </c>
    </row>
    <row r="287" spans="2:30" x14ac:dyDescent="0.25">
      <c r="B287">
        <v>2276</v>
      </c>
      <c r="C287" t="s">
        <v>3684</v>
      </c>
      <c r="D287" t="s">
        <v>3685</v>
      </c>
      <c r="E287" t="s">
        <v>3829</v>
      </c>
      <c r="F287" t="s">
        <v>105</v>
      </c>
      <c r="G287" t="s">
        <v>108</v>
      </c>
      <c r="H287" t="s">
        <v>3808</v>
      </c>
      <c r="I287" t="s">
        <v>3809</v>
      </c>
      <c r="J287" t="s">
        <v>3827</v>
      </c>
      <c r="K287" t="s">
        <v>1218</v>
      </c>
      <c r="L287" s="13">
        <v>43871</v>
      </c>
      <c r="M287">
        <v>4</v>
      </c>
      <c r="N287" t="s">
        <v>101</v>
      </c>
      <c r="O287" t="s">
        <v>3828</v>
      </c>
      <c r="P287" t="s">
        <v>76</v>
      </c>
      <c r="Q287" t="s">
        <v>76</v>
      </c>
      <c r="R287" t="s">
        <v>76</v>
      </c>
      <c r="S287" t="s">
        <v>76</v>
      </c>
      <c r="T287" t="s">
        <v>76</v>
      </c>
      <c r="U287">
        <v>1</v>
      </c>
      <c r="V287" s="13">
        <v>45175</v>
      </c>
      <c r="W287">
        <v>1</v>
      </c>
      <c r="X287">
        <v>1</v>
      </c>
      <c r="Y287" t="s">
        <v>3686</v>
      </c>
      <c r="AC287">
        <v>2276</v>
      </c>
      <c r="AD287" t="e" vm="279">
        <v>#VALUE!</v>
      </c>
    </row>
    <row r="288" spans="2:30" x14ac:dyDescent="0.25">
      <c r="B288">
        <v>2277</v>
      </c>
      <c r="C288" t="s">
        <v>3684</v>
      </c>
      <c r="D288" t="s">
        <v>3685</v>
      </c>
      <c r="E288" t="s">
        <v>3829</v>
      </c>
      <c r="F288" t="s">
        <v>105</v>
      </c>
      <c r="G288" t="s">
        <v>108</v>
      </c>
      <c r="H288" t="s">
        <v>3808</v>
      </c>
      <c r="I288" t="s">
        <v>3809</v>
      </c>
      <c r="J288" t="s">
        <v>3827</v>
      </c>
      <c r="K288" t="s">
        <v>1218</v>
      </c>
      <c r="L288" s="13">
        <v>43899</v>
      </c>
      <c r="M288">
        <v>4</v>
      </c>
      <c r="N288" t="s">
        <v>101</v>
      </c>
      <c r="O288" t="s">
        <v>3828</v>
      </c>
      <c r="P288" t="s">
        <v>76</v>
      </c>
      <c r="Q288" t="s">
        <v>76</v>
      </c>
      <c r="R288" t="s">
        <v>76</v>
      </c>
      <c r="S288" t="s">
        <v>76</v>
      </c>
      <c r="T288" t="s">
        <v>76</v>
      </c>
      <c r="U288">
        <v>1</v>
      </c>
      <c r="V288" s="13">
        <v>45175</v>
      </c>
      <c r="W288">
        <v>1</v>
      </c>
      <c r="X288">
        <v>1</v>
      </c>
      <c r="Y288" t="s">
        <v>3686</v>
      </c>
      <c r="AC288">
        <v>2277</v>
      </c>
      <c r="AD288" t="e" vm="280">
        <v>#VALUE!</v>
      </c>
    </row>
    <row r="289" spans="2:30" x14ac:dyDescent="0.25">
      <c r="B289">
        <v>2278</v>
      </c>
      <c r="C289" t="s">
        <v>3659</v>
      </c>
      <c r="D289" t="s">
        <v>3660</v>
      </c>
      <c r="E289" t="s">
        <v>3813</v>
      </c>
      <c r="F289" t="s">
        <v>83</v>
      </c>
      <c r="G289" t="s">
        <v>103</v>
      </c>
      <c r="H289" t="s">
        <v>3808</v>
      </c>
      <c r="I289" t="s">
        <v>3809</v>
      </c>
      <c r="J289" t="s">
        <v>3827</v>
      </c>
      <c r="K289" t="s">
        <v>1218</v>
      </c>
      <c r="L289" s="13">
        <v>43644</v>
      </c>
      <c r="M289">
        <v>4</v>
      </c>
      <c r="N289" t="s">
        <v>88</v>
      </c>
      <c r="O289" t="s">
        <v>3828</v>
      </c>
      <c r="P289" t="s">
        <v>76</v>
      </c>
      <c r="Q289" t="s">
        <v>76</v>
      </c>
      <c r="R289" t="s">
        <v>76</v>
      </c>
      <c r="S289" t="s">
        <v>76</v>
      </c>
      <c r="T289" t="s">
        <v>76</v>
      </c>
      <c r="U289">
        <v>1</v>
      </c>
      <c r="V289" s="13">
        <v>45175</v>
      </c>
      <c r="W289">
        <v>1</v>
      </c>
      <c r="X289">
        <v>1</v>
      </c>
      <c r="Y289" t="s">
        <v>3661</v>
      </c>
      <c r="AC289">
        <v>2278</v>
      </c>
      <c r="AD289" t="e" vm="281">
        <v>#VALUE!</v>
      </c>
    </row>
    <row r="290" spans="2:30" x14ac:dyDescent="0.25">
      <c r="B290">
        <v>2279</v>
      </c>
      <c r="C290" t="s">
        <v>3659</v>
      </c>
      <c r="D290" t="s">
        <v>3660</v>
      </c>
      <c r="E290" t="s">
        <v>3813</v>
      </c>
      <c r="F290" t="s">
        <v>83</v>
      </c>
      <c r="G290" t="s">
        <v>103</v>
      </c>
      <c r="H290" t="s">
        <v>3808</v>
      </c>
      <c r="I290" t="s">
        <v>3809</v>
      </c>
      <c r="J290" t="s">
        <v>3827</v>
      </c>
      <c r="K290" t="s">
        <v>1218</v>
      </c>
      <c r="L290" s="13">
        <v>43663</v>
      </c>
      <c r="M290">
        <v>4</v>
      </c>
      <c r="N290" t="s">
        <v>88</v>
      </c>
      <c r="O290" t="s">
        <v>3828</v>
      </c>
      <c r="P290" t="s">
        <v>76</v>
      </c>
      <c r="Q290" t="s">
        <v>76</v>
      </c>
      <c r="R290" t="s">
        <v>76</v>
      </c>
      <c r="S290" t="s">
        <v>76</v>
      </c>
      <c r="T290" t="s">
        <v>76</v>
      </c>
      <c r="U290">
        <v>1</v>
      </c>
      <c r="V290" s="13">
        <v>45175</v>
      </c>
      <c r="W290">
        <v>1</v>
      </c>
      <c r="X290">
        <v>1</v>
      </c>
      <c r="Y290" t="s">
        <v>3661</v>
      </c>
      <c r="AC290">
        <v>2279</v>
      </c>
      <c r="AD290" t="e" vm="282">
        <v>#VALUE!</v>
      </c>
    </row>
    <row r="291" spans="2:30" x14ac:dyDescent="0.25">
      <c r="B291">
        <v>2280</v>
      </c>
      <c r="C291" t="s">
        <v>3684</v>
      </c>
      <c r="D291" t="s">
        <v>3685</v>
      </c>
      <c r="E291" t="s">
        <v>3829</v>
      </c>
      <c r="F291" t="s">
        <v>105</v>
      </c>
      <c r="G291" t="s">
        <v>108</v>
      </c>
      <c r="H291" t="s">
        <v>3808</v>
      </c>
      <c r="I291" t="s">
        <v>3809</v>
      </c>
      <c r="J291" t="s">
        <v>3827</v>
      </c>
      <c r="K291" t="s">
        <v>1218</v>
      </c>
      <c r="L291" s="13">
        <v>43850</v>
      </c>
      <c r="M291">
        <v>4</v>
      </c>
      <c r="N291" t="s">
        <v>101</v>
      </c>
      <c r="O291" t="s">
        <v>3828</v>
      </c>
      <c r="P291" t="s">
        <v>76</v>
      </c>
      <c r="Q291" t="s">
        <v>76</v>
      </c>
      <c r="R291" t="s">
        <v>76</v>
      </c>
      <c r="S291" t="s">
        <v>76</v>
      </c>
      <c r="T291" t="s">
        <v>76</v>
      </c>
      <c r="U291">
        <v>1</v>
      </c>
      <c r="V291" s="13">
        <v>45175</v>
      </c>
      <c r="W291">
        <v>1</v>
      </c>
      <c r="X291">
        <v>1</v>
      </c>
      <c r="Y291" t="s">
        <v>3686</v>
      </c>
      <c r="AC291">
        <v>2280</v>
      </c>
      <c r="AD291" t="e" vm="283">
        <v>#VALUE!</v>
      </c>
    </row>
    <row r="292" spans="2:30" x14ac:dyDescent="0.25">
      <c r="B292">
        <v>2281</v>
      </c>
      <c r="C292" t="s">
        <v>3646</v>
      </c>
      <c r="D292" t="s">
        <v>3647</v>
      </c>
      <c r="E292" t="s">
        <v>3807</v>
      </c>
      <c r="F292" t="s">
        <v>105</v>
      </c>
      <c r="G292" t="s">
        <v>108</v>
      </c>
      <c r="H292" t="s">
        <v>3808</v>
      </c>
      <c r="I292" t="s">
        <v>3809</v>
      </c>
      <c r="J292" t="s">
        <v>3827</v>
      </c>
      <c r="K292" t="s">
        <v>1218</v>
      </c>
      <c r="L292" s="13">
        <v>43766</v>
      </c>
      <c r="M292">
        <v>4</v>
      </c>
      <c r="N292" t="s">
        <v>90</v>
      </c>
      <c r="O292" t="s">
        <v>3828</v>
      </c>
      <c r="P292" t="s">
        <v>76</v>
      </c>
      <c r="Q292" t="s">
        <v>76</v>
      </c>
      <c r="R292" t="s">
        <v>76</v>
      </c>
      <c r="S292" t="s">
        <v>76</v>
      </c>
      <c r="T292" t="s">
        <v>76</v>
      </c>
      <c r="U292">
        <v>1</v>
      </c>
      <c r="V292" s="13">
        <v>45175</v>
      </c>
      <c r="W292">
        <v>1</v>
      </c>
      <c r="X292">
        <v>1</v>
      </c>
      <c r="Y292" t="s">
        <v>3648</v>
      </c>
      <c r="AC292">
        <v>2281</v>
      </c>
      <c r="AD292" t="e" vm="284">
        <v>#VALUE!</v>
      </c>
    </row>
    <row r="293" spans="2:30" x14ac:dyDescent="0.25">
      <c r="B293">
        <v>2282</v>
      </c>
      <c r="C293" t="s">
        <v>3659</v>
      </c>
      <c r="D293" t="s">
        <v>3660</v>
      </c>
      <c r="E293" t="s">
        <v>3813</v>
      </c>
      <c r="F293" t="s">
        <v>83</v>
      </c>
      <c r="G293" t="s">
        <v>103</v>
      </c>
      <c r="H293" t="s">
        <v>3808</v>
      </c>
      <c r="I293" t="s">
        <v>3809</v>
      </c>
      <c r="J293" t="s">
        <v>3827</v>
      </c>
      <c r="K293" t="s">
        <v>1218</v>
      </c>
      <c r="L293" s="13">
        <v>43819</v>
      </c>
      <c r="M293">
        <v>4</v>
      </c>
      <c r="N293" t="s">
        <v>88</v>
      </c>
      <c r="O293" t="s">
        <v>3828</v>
      </c>
      <c r="P293" t="s">
        <v>76</v>
      </c>
      <c r="Q293" t="s">
        <v>76</v>
      </c>
      <c r="R293" t="s">
        <v>76</v>
      </c>
      <c r="S293" t="s">
        <v>76</v>
      </c>
      <c r="T293" t="s">
        <v>76</v>
      </c>
      <c r="U293">
        <v>1</v>
      </c>
      <c r="V293" s="13">
        <v>45175</v>
      </c>
      <c r="W293">
        <v>1</v>
      </c>
      <c r="X293">
        <v>1</v>
      </c>
      <c r="Y293" t="s">
        <v>3661</v>
      </c>
      <c r="AC293">
        <v>2282</v>
      </c>
      <c r="AD293" t="e" vm="285">
        <v>#VALUE!</v>
      </c>
    </row>
    <row r="294" spans="2:30" x14ac:dyDescent="0.25">
      <c r="B294">
        <v>2283</v>
      </c>
      <c r="C294" t="s">
        <v>3659</v>
      </c>
      <c r="D294" t="s">
        <v>3660</v>
      </c>
      <c r="E294" t="s">
        <v>3813</v>
      </c>
      <c r="F294" t="s">
        <v>83</v>
      </c>
      <c r="G294" t="s">
        <v>103</v>
      </c>
      <c r="H294" t="s">
        <v>3808</v>
      </c>
      <c r="I294" t="s">
        <v>3809</v>
      </c>
      <c r="J294" t="s">
        <v>3827</v>
      </c>
      <c r="K294" t="s">
        <v>1218</v>
      </c>
      <c r="L294" s="13">
        <v>43605</v>
      </c>
      <c r="M294">
        <v>4</v>
      </c>
      <c r="N294" t="s">
        <v>88</v>
      </c>
      <c r="O294" t="s">
        <v>3828</v>
      </c>
      <c r="P294" t="s">
        <v>76</v>
      </c>
      <c r="Q294" t="s">
        <v>76</v>
      </c>
      <c r="R294" t="s">
        <v>76</v>
      </c>
      <c r="S294" t="s">
        <v>76</v>
      </c>
      <c r="T294" t="s">
        <v>76</v>
      </c>
      <c r="U294">
        <v>1</v>
      </c>
      <c r="V294" s="13">
        <v>45175</v>
      </c>
      <c r="W294">
        <v>1</v>
      </c>
      <c r="X294">
        <v>1</v>
      </c>
      <c r="Y294" t="s">
        <v>3661</v>
      </c>
      <c r="AC294">
        <v>2283</v>
      </c>
      <c r="AD294" t="e" vm="286">
        <v>#VALUE!</v>
      </c>
    </row>
    <row r="295" spans="2:30" x14ac:dyDescent="0.25">
      <c r="B295">
        <v>2284</v>
      </c>
      <c r="C295" t="s">
        <v>3646</v>
      </c>
      <c r="D295" t="s">
        <v>73</v>
      </c>
      <c r="E295" t="s">
        <v>73</v>
      </c>
      <c r="F295" t="s">
        <v>3816</v>
      </c>
      <c r="G295" t="s">
        <v>3816</v>
      </c>
      <c r="H295" t="s">
        <v>3808</v>
      </c>
      <c r="I295" t="s">
        <v>3809</v>
      </c>
      <c r="J295" t="s">
        <v>3827</v>
      </c>
      <c r="K295" t="s">
        <v>1218</v>
      </c>
      <c r="L295" s="13">
        <v>43431</v>
      </c>
      <c r="M295">
        <v>5</v>
      </c>
      <c r="N295" t="s">
        <v>90</v>
      </c>
      <c r="O295" t="s">
        <v>3828</v>
      </c>
      <c r="P295" t="s">
        <v>76</v>
      </c>
      <c r="Q295" t="s">
        <v>76</v>
      </c>
      <c r="R295" t="s">
        <v>76</v>
      </c>
      <c r="S295" t="s">
        <v>76</v>
      </c>
      <c r="T295" t="s">
        <v>76</v>
      </c>
      <c r="U295">
        <v>1</v>
      </c>
      <c r="V295" s="13">
        <v>45175</v>
      </c>
      <c r="W295">
        <v>1</v>
      </c>
      <c r="X295">
        <v>1</v>
      </c>
      <c r="Y295" t="s">
        <v>3667</v>
      </c>
      <c r="AC295">
        <v>2284</v>
      </c>
      <c r="AD295" t="e" vm="287">
        <v>#VALUE!</v>
      </c>
    </row>
    <row r="296" spans="2:30" x14ac:dyDescent="0.25">
      <c r="B296">
        <v>2285</v>
      </c>
      <c r="C296" t="s">
        <v>3646</v>
      </c>
      <c r="D296" t="s">
        <v>73</v>
      </c>
      <c r="E296" t="s">
        <v>73</v>
      </c>
      <c r="F296" t="s">
        <v>3816</v>
      </c>
      <c r="G296" t="s">
        <v>3816</v>
      </c>
      <c r="H296" t="s">
        <v>3808</v>
      </c>
      <c r="I296" t="s">
        <v>3809</v>
      </c>
      <c r="J296" t="s">
        <v>3827</v>
      </c>
      <c r="K296" t="s">
        <v>1218</v>
      </c>
      <c r="L296" s="13">
        <v>43434</v>
      </c>
      <c r="M296">
        <v>5</v>
      </c>
      <c r="N296" t="s">
        <v>90</v>
      </c>
      <c r="O296" t="s">
        <v>3828</v>
      </c>
      <c r="P296" t="s">
        <v>76</v>
      </c>
      <c r="Q296" t="s">
        <v>76</v>
      </c>
      <c r="R296" t="s">
        <v>76</v>
      </c>
      <c r="S296" t="s">
        <v>76</v>
      </c>
      <c r="T296" t="s">
        <v>76</v>
      </c>
      <c r="U296">
        <v>1</v>
      </c>
      <c r="V296" s="13">
        <v>45175</v>
      </c>
      <c r="W296">
        <v>1</v>
      </c>
      <c r="X296">
        <v>1</v>
      </c>
      <c r="Y296" t="s">
        <v>3667</v>
      </c>
      <c r="AC296">
        <v>2285</v>
      </c>
      <c r="AD296" t="e" vm="288">
        <v>#VALUE!</v>
      </c>
    </row>
    <row r="297" spans="2:30" x14ac:dyDescent="0.25">
      <c r="B297">
        <v>2286</v>
      </c>
      <c r="C297" t="s">
        <v>3646</v>
      </c>
      <c r="D297" t="s">
        <v>73</v>
      </c>
      <c r="E297" t="s">
        <v>73</v>
      </c>
      <c r="F297" t="s">
        <v>3816</v>
      </c>
      <c r="G297" t="s">
        <v>3816</v>
      </c>
      <c r="H297" t="s">
        <v>3808</v>
      </c>
      <c r="I297" t="s">
        <v>3809</v>
      </c>
      <c r="J297" t="s">
        <v>3827</v>
      </c>
      <c r="K297" t="s">
        <v>1218</v>
      </c>
      <c r="L297" s="13">
        <v>43434</v>
      </c>
      <c r="M297">
        <v>5</v>
      </c>
      <c r="N297" t="s">
        <v>90</v>
      </c>
      <c r="O297" t="s">
        <v>3828</v>
      </c>
      <c r="P297" t="s">
        <v>76</v>
      </c>
      <c r="Q297" t="s">
        <v>76</v>
      </c>
      <c r="R297" t="s">
        <v>76</v>
      </c>
      <c r="S297" t="s">
        <v>76</v>
      </c>
      <c r="T297" t="s">
        <v>76</v>
      </c>
      <c r="U297">
        <v>1</v>
      </c>
      <c r="V297" s="13">
        <v>45175</v>
      </c>
      <c r="W297">
        <v>1</v>
      </c>
      <c r="X297">
        <v>1</v>
      </c>
      <c r="Y297" t="s">
        <v>3667</v>
      </c>
      <c r="AC297">
        <v>2286</v>
      </c>
      <c r="AD297" t="e" vm="289">
        <v>#VALUE!</v>
      </c>
    </row>
    <row r="298" spans="2:30" x14ac:dyDescent="0.25">
      <c r="B298">
        <v>2287</v>
      </c>
      <c r="C298" t="s">
        <v>3684</v>
      </c>
      <c r="D298" t="s">
        <v>3687</v>
      </c>
      <c r="E298" t="s">
        <v>3830</v>
      </c>
      <c r="F298" t="s">
        <v>116</v>
      </c>
      <c r="G298" t="s">
        <v>113</v>
      </c>
      <c r="H298" t="s">
        <v>3808</v>
      </c>
      <c r="I298" t="s">
        <v>3809</v>
      </c>
      <c r="J298" t="s">
        <v>3827</v>
      </c>
      <c r="K298" t="s">
        <v>1218</v>
      </c>
      <c r="L298" s="13">
        <v>43431</v>
      </c>
      <c r="M298">
        <v>5</v>
      </c>
      <c r="N298" t="s">
        <v>101</v>
      </c>
      <c r="O298" t="s">
        <v>3828</v>
      </c>
      <c r="P298" t="s">
        <v>76</v>
      </c>
      <c r="Q298" t="s">
        <v>76</v>
      </c>
      <c r="R298" t="s">
        <v>76</v>
      </c>
      <c r="S298" t="s">
        <v>76</v>
      </c>
      <c r="T298" t="s">
        <v>76</v>
      </c>
      <c r="U298">
        <v>1</v>
      </c>
      <c r="V298" s="13">
        <v>45175</v>
      </c>
      <c r="W298">
        <v>1</v>
      </c>
      <c r="X298">
        <v>1</v>
      </c>
      <c r="Y298" t="s">
        <v>3688</v>
      </c>
      <c r="AC298">
        <v>2287</v>
      </c>
      <c r="AD298" t="e" vm="290">
        <v>#VALUE!</v>
      </c>
    </row>
    <row r="299" spans="2:30" x14ac:dyDescent="0.25">
      <c r="B299">
        <v>2288</v>
      </c>
      <c r="C299" t="s">
        <v>3684</v>
      </c>
      <c r="D299" t="s">
        <v>3687</v>
      </c>
      <c r="E299" t="s">
        <v>3830</v>
      </c>
      <c r="F299" t="s">
        <v>116</v>
      </c>
      <c r="G299" t="s">
        <v>113</v>
      </c>
      <c r="H299" t="s">
        <v>3808</v>
      </c>
      <c r="I299" t="s">
        <v>3809</v>
      </c>
      <c r="J299" t="s">
        <v>3827</v>
      </c>
      <c r="K299" t="s">
        <v>1218</v>
      </c>
      <c r="L299" s="13">
        <v>43431</v>
      </c>
      <c r="M299">
        <v>5</v>
      </c>
      <c r="N299" t="s">
        <v>101</v>
      </c>
      <c r="O299" t="s">
        <v>3828</v>
      </c>
      <c r="P299" t="s">
        <v>76</v>
      </c>
      <c r="Q299" t="s">
        <v>76</v>
      </c>
      <c r="R299" t="s">
        <v>76</v>
      </c>
      <c r="S299" t="s">
        <v>76</v>
      </c>
      <c r="T299" t="s">
        <v>76</v>
      </c>
      <c r="U299">
        <v>1</v>
      </c>
      <c r="V299" s="13">
        <v>45175</v>
      </c>
      <c r="W299">
        <v>1</v>
      </c>
      <c r="X299">
        <v>1</v>
      </c>
      <c r="Y299" t="s">
        <v>3688</v>
      </c>
      <c r="AC299">
        <v>2288</v>
      </c>
      <c r="AD299" t="e" vm="291">
        <v>#VALUE!</v>
      </c>
    </row>
    <row r="300" spans="2:30" x14ac:dyDescent="0.25">
      <c r="B300">
        <v>2289</v>
      </c>
      <c r="C300" t="s">
        <v>3646</v>
      </c>
      <c r="D300" t="s">
        <v>73</v>
      </c>
      <c r="E300" t="s">
        <v>73</v>
      </c>
      <c r="F300" t="s">
        <v>3816</v>
      </c>
      <c r="G300" t="s">
        <v>3816</v>
      </c>
      <c r="H300" t="s">
        <v>3808</v>
      </c>
      <c r="I300" t="s">
        <v>3809</v>
      </c>
      <c r="J300" t="s">
        <v>3827</v>
      </c>
      <c r="K300" t="s">
        <v>1218</v>
      </c>
      <c r="L300" s="13">
        <v>43434</v>
      </c>
      <c r="M300">
        <v>5</v>
      </c>
      <c r="N300" t="s">
        <v>90</v>
      </c>
      <c r="O300" t="s">
        <v>3828</v>
      </c>
      <c r="P300" t="s">
        <v>76</v>
      </c>
      <c r="Q300" t="s">
        <v>76</v>
      </c>
      <c r="R300" t="s">
        <v>76</v>
      </c>
      <c r="S300" t="s">
        <v>76</v>
      </c>
      <c r="T300" t="s">
        <v>76</v>
      </c>
      <c r="U300">
        <v>1</v>
      </c>
      <c r="V300" s="13">
        <v>45175</v>
      </c>
      <c r="W300">
        <v>1</v>
      </c>
      <c r="X300">
        <v>1</v>
      </c>
      <c r="Y300" t="s">
        <v>3667</v>
      </c>
      <c r="AC300">
        <v>2289</v>
      </c>
      <c r="AD300" t="e" vm="292">
        <v>#VALUE!</v>
      </c>
    </row>
    <row r="301" spans="2:30" x14ac:dyDescent="0.25">
      <c r="B301">
        <v>2290</v>
      </c>
      <c r="C301" t="s">
        <v>3684</v>
      </c>
      <c r="D301" t="s">
        <v>3687</v>
      </c>
      <c r="E301" t="s">
        <v>3830</v>
      </c>
      <c r="F301" t="s">
        <v>116</v>
      </c>
      <c r="G301" t="s">
        <v>113</v>
      </c>
      <c r="H301" t="s">
        <v>3808</v>
      </c>
      <c r="I301" t="s">
        <v>3809</v>
      </c>
      <c r="J301" t="s">
        <v>3827</v>
      </c>
      <c r="K301" t="s">
        <v>1218</v>
      </c>
      <c r="L301" s="13">
        <v>43434</v>
      </c>
      <c r="M301">
        <v>5</v>
      </c>
      <c r="N301" t="s">
        <v>101</v>
      </c>
      <c r="O301" t="s">
        <v>3828</v>
      </c>
      <c r="P301" t="s">
        <v>76</v>
      </c>
      <c r="Q301" t="s">
        <v>76</v>
      </c>
      <c r="R301" t="s">
        <v>76</v>
      </c>
      <c r="S301" t="s">
        <v>76</v>
      </c>
      <c r="T301" t="s">
        <v>76</v>
      </c>
      <c r="U301">
        <v>1</v>
      </c>
      <c r="V301" s="13">
        <v>45175</v>
      </c>
      <c r="W301">
        <v>1</v>
      </c>
      <c r="X301">
        <v>1</v>
      </c>
      <c r="Y301" t="s">
        <v>3688</v>
      </c>
      <c r="AC301">
        <v>2290</v>
      </c>
      <c r="AD301" t="e" vm="293">
        <v>#VALUE!</v>
      </c>
    </row>
    <row r="302" spans="2:30" x14ac:dyDescent="0.25">
      <c r="B302">
        <v>2291</v>
      </c>
      <c r="C302" t="s">
        <v>3684</v>
      </c>
      <c r="D302" t="s">
        <v>3687</v>
      </c>
      <c r="E302" t="s">
        <v>3830</v>
      </c>
      <c r="F302" t="s">
        <v>116</v>
      </c>
      <c r="G302" t="s">
        <v>113</v>
      </c>
      <c r="H302" t="s">
        <v>3808</v>
      </c>
      <c r="I302" t="s">
        <v>3809</v>
      </c>
      <c r="J302" t="s">
        <v>3827</v>
      </c>
      <c r="K302" t="s">
        <v>1218</v>
      </c>
      <c r="L302" s="13">
        <v>43431</v>
      </c>
      <c r="M302">
        <v>5</v>
      </c>
      <c r="N302" t="s">
        <v>101</v>
      </c>
      <c r="O302" t="s">
        <v>3828</v>
      </c>
      <c r="P302" t="s">
        <v>76</v>
      </c>
      <c r="Q302" t="s">
        <v>76</v>
      </c>
      <c r="R302" t="s">
        <v>76</v>
      </c>
      <c r="S302" t="s">
        <v>76</v>
      </c>
      <c r="T302" t="s">
        <v>76</v>
      </c>
      <c r="U302">
        <v>1</v>
      </c>
      <c r="V302" s="13">
        <v>45175</v>
      </c>
      <c r="W302">
        <v>1</v>
      </c>
      <c r="X302">
        <v>1</v>
      </c>
      <c r="Y302" t="s">
        <v>3688</v>
      </c>
      <c r="AC302">
        <v>2291</v>
      </c>
      <c r="AD302" t="e" vm="294">
        <v>#VALUE!</v>
      </c>
    </row>
    <row r="303" spans="2:30" x14ac:dyDescent="0.25">
      <c r="B303">
        <v>2292</v>
      </c>
      <c r="C303" t="s">
        <v>3684</v>
      </c>
      <c r="D303" t="s">
        <v>3687</v>
      </c>
      <c r="E303" t="s">
        <v>3830</v>
      </c>
      <c r="F303" t="s">
        <v>116</v>
      </c>
      <c r="G303" t="s">
        <v>113</v>
      </c>
      <c r="H303" t="s">
        <v>3808</v>
      </c>
      <c r="I303" t="s">
        <v>3809</v>
      </c>
      <c r="J303" t="s">
        <v>3827</v>
      </c>
      <c r="K303" t="s">
        <v>1218</v>
      </c>
      <c r="L303" s="13">
        <v>43431</v>
      </c>
      <c r="M303">
        <v>5</v>
      </c>
      <c r="N303" t="s">
        <v>101</v>
      </c>
      <c r="O303" t="s">
        <v>3828</v>
      </c>
      <c r="P303" t="s">
        <v>76</v>
      </c>
      <c r="Q303" t="s">
        <v>76</v>
      </c>
      <c r="R303" t="s">
        <v>76</v>
      </c>
      <c r="S303" t="s">
        <v>76</v>
      </c>
      <c r="T303" t="s">
        <v>76</v>
      </c>
      <c r="U303">
        <v>1</v>
      </c>
      <c r="V303" s="13">
        <v>45175</v>
      </c>
      <c r="W303">
        <v>1</v>
      </c>
      <c r="X303">
        <v>1</v>
      </c>
      <c r="Y303" t="s">
        <v>3688</v>
      </c>
      <c r="AC303">
        <v>2292</v>
      </c>
      <c r="AD303" t="e" vm="295">
        <v>#VALUE!</v>
      </c>
    </row>
    <row r="304" spans="2:30" x14ac:dyDescent="0.25">
      <c r="B304">
        <v>2293</v>
      </c>
      <c r="C304" t="s">
        <v>3684</v>
      </c>
      <c r="D304" t="s">
        <v>3687</v>
      </c>
      <c r="E304" t="s">
        <v>3830</v>
      </c>
      <c r="F304" t="s">
        <v>116</v>
      </c>
      <c r="G304" t="s">
        <v>113</v>
      </c>
      <c r="H304" t="s">
        <v>3808</v>
      </c>
      <c r="I304" t="s">
        <v>3809</v>
      </c>
      <c r="J304" t="s">
        <v>3827</v>
      </c>
      <c r="K304" t="s">
        <v>1218</v>
      </c>
      <c r="L304" s="13">
        <v>43434</v>
      </c>
      <c r="M304">
        <v>5</v>
      </c>
      <c r="N304" t="s">
        <v>101</v>
      </c>
      <c r="O304" t="s">
        <v>3828</v>
      </c>
      <c r="P304" t="s">
        <v>76</v>
      </c>
      <c r="Q304" t="s">
        <v>76</v>
      </c>
      <c r="R304" t="s">
        <v>76</v>
      </c>
      <c r="S304" t="s">
        <v>76</v>
      </c>
      <c r="T304" t="s">
        <v>76</v>
      </c>
      <c r="U304">
        <v>1</v>
      </c>
      <c r="V304" s="13">
        <v>45175</v>
      </c>
      <c r="W304">
        <v>1</v>
      </c>
      <c r="X304">
        <v>1</v>
      </c>
      <c r="Y304" t="s">
        <v>3688</v>
      </c>
      <c r="AC304">
        <v>2293</v>
      </c>
      <c r="AD304" t="e" vm="296">
        <v>#VALUE!</v>
      </c>
    </row>
    <row r="305" spans="2:30" x14ac:dyDescent="0.25">
      <c r="B305">
        <v>2294</v>
      </c>
      <c r="C305" t="s">
        <v>3684</v>
      </c>
      <c r="D305" t="s">
        <v>3689</v>
      </c>
      <c r="E305" t="s">
        <v>3831</v>
      </c>
      <c r="F305" t="s">
        <v>115</v>
      </c>
      <c r="G305" t="s">
        <v>103</v>
      </c>
      <c r="H305" t="s">
        <v>3808</v>
      </c>
      <c r="I305" t="s">
        <v>3809</v>
      </c>
      <c r="J305" t="s">
        <v>3810</v>
      </c>
      <c r="K305" t="s">
        <v>1218</v>
      </c>
      <c r="L305" s="13">
        <v>43242</v>
      </c>
      <c r="M305">
        <v>5</v>
      </c>
      <c r="N305" t="s">
        <v>101</v>
      </c>
      <c r="O305" t="s">
        <v>3832</v>
      </c>
      <c r="P305" t="s">
        <v>76</v>
      </c>
      <c r="Q305" t="s">
        <v>76</v>
      </c>
      <c r="R305" t="s">
        <v>76</v>
      </c>
      <c r="S305" t="s">
        <v>76</v>
      </c>
      <c r="T305" t="s">
        <v>76</v>
      </c>
      <c r="U305">
        <v>1</v>
      </c>
      <c r="V305" s="13">
        <v>45175</v>
      </c>
      <c r="W305">
        <v>1</v>
      </c>
      <c r="X305">
        <v>1</v>
      </c>
      <c r="Y305" t="s">
        <v>3690</v>
      </c>
      <c r="AC305">
        <v>2294</v>
      </c>
      <c r="AD305" t="e" vm="297">
        <v>#VALUE!</v>
      </c>
    </row>
    <row r="306" spans="2:30" x14ac:dyDescent="0.25">
      <c r="B306">
        <v>2295</v>
      </c>
      <c r="C306" t="s">
        <v>3684</v>
      </c>
      <c r="D306" t="s">
        <v>3689</v>
      </c>
      <c r="E306" t="s">
        <v>3831</v>
      </c>
      <c r="F306" t="s">
        <v>115</v>
      </c>
      <c r="G306" t="s">
        <v>103</v>
      </c>
      <c r="H306" t="s">
        <v>3808</v>
      </c>
      <c r="I306" t="s">
        <v>3809</v>
      </c>
      <c r="J306" t="s">
        <v>3810</v>
      </c>
      <c r="K306" t="s">
        <v>1218</v>
      </c>
      <c r="L306" s="13">
        <v>43242</v>
      </c>
      <c r="M306">
        <v>5</v>
      </c>
      <c r="N306" t="s">
        <v>101</v>
      </c>
      <c r="O306" t="s">
        <v>3832</v>
      </c>
      <c r="P306" t="s">
        <v>76</v>
      </c>
      <c r="Q306" t="s">
        <v>76</v>
      </c>
      <c r="R306" t="s">
        <v>76</v>
      </c>
      <c r="S306" t="s">
        <v>76</v>
      </c>
      <c r="T306" t="s">
        <v>76</v>
      </c>
      <c r="U306">
        <v>1</v>
      </c>
      <c r="V306" s="13">
        <v>45175</v>
      </c>
      <c r="W306">
        <v>1</v>
      </c>
      <c r="X306">
        <v>1</v>
      </c>
      <c r="Y306" t="s">
        <v>3690</v>
      </c>
      <c r="AC306">
        <v>2295</v>
      </c>
      <c r="AD306" t="e" vm="298">
        <v>#VALUE!</v>
      </c>
    </row>
    <row r="307" spans="2:30" x14ac:dyDescent="0.25">
      <c r="B307">
        <v>2296</v>
      </c>
      <c r="C307" t="s">
        <v>3684</v>
      </c>
      <c r="D307" t="s">
        <v>3689</v>
      </c>
      <c r="E307" t="s">
        <v>3831</v>
      </c>
      <c r="F307" t="s">
        <v>115</v>
      </c>
      <c r="G307" t="s">
        <v>103</v>
      </c>
      <c r="H307" t="s">
        <v>3808</v>
      </c>
      <c r="I307" t="s">
        <v>3809</v>
      </c>
      <c r="J307" t="s">
        <v>3810</v>
      </c>
      <c r="K307" t="s">
        <v>1218</v>
      </c>
      <c r="L307" s="13">
        <v>43242</v>
      </c>
      <c r="M307">
        <v>5</v>
      </c>
      <c r="N307" t="s">
        <v>101</v>
      </c>
      <c r="O307" t="s">
        <v>3832</v>
      </c>
      <c r="P307" t="s">
        <v>76</v>
      </c>
      <c r="Q307" t="s">
        <v>76</v>
      </c>
      <c r="R307" t="s">
        <v>76</v>
      </c>
      <c r="S307" t="s">
        <v>76</v>
      </c>
      <c r="T307" t="s">
        <v>76</v>
      </c>
      <c r="U307">
        <v>1</v>
      </c>
      <c r="V307" s="13">
        <v>45175</v>
      </c>
      <c r="W307">
        <v>1</v>
      </c>
      <c r="X307">
        <v>1</v>
      </c>
      <c r="Y307" t="s">
        <v>3690</v>
      </c>
      <c r="AC307">
        <v>2296</v>
      </c>
      <c r="AD307" t="e" vm="299">
        <v>#VALUE!</v>
      </c>
    </row>
    <row r="308" spans="2:30" x14ac:dyDescent="0.25">
      <c r="B308">
        <v>2297</v>
      </c>
      <c r="C308" t="s">
        <v>3684</v>
      </c>
      <c r="D308" t="s">
        <v>3689</v>
      </c>
      <c r="E308" t="s">
        <v>3831</v>
      </c>
      <c r="F308" t="s">
        <v>115</v>
      </c>
      <c r="G308" t="s">
        <v>103</v>
      </c>
      <c r="H308" t="s">
        <v>3808</v>
      </c>
      <c r="I308" t="s">
        <v>3809</v>
      </c>
      <c r="J308" t="s">
        <v>3810</v>
      </c>
      <c r="K308" t="s">
        <v>1218</v>
      </c>
      <c r="L308" s="13">
        <v>43242</v>
      </c>
      <c r="M308">
        <v>5</v>
      </c>
      <c r="N308" t="s">
        <v>101</v>
      </c>
      <c r="O308" t="s">
        <v>3832</v>
      </c>
      <c r="P308" t="s">
        <v>76</v>
      </c>
      <c r="Q308" t="s">
        <v>76</v>
      </c>
      <c r="R308" t="s">
        <v>76</v>
      </c>
      <c r="S308" t="s">
        <v>76</v>
      </c>
      <c r="T308" t="s">
        <v>76</v>
      </c>
      <c r="U308">
        <v>1</v>
      </c>
      <c r="V308" s="13">
        <v>45175</v>
      </c>
      <c r="W308">
        <v>1</v>
      </c>
      <c r="X308">
        <v>1</v>
      </c>
      <c r="Y308" t="s">
        <v>3690</v>
      </c>
      <c r="AC308">
        <v>2297</v>
      </c>
      <c r="AD308" t="e" vm="300">
        <v>#VALUE!</v>
      </c>
    </row>
    <row r="309" spans="2:30" x14ac:dyDescent="0.25">
      <c r="B309">
        <v>2298</v>
      </c>
      <c r="C309" t="s">
        <v>3684</v>
      </c>
      <c r="D309" t="s">
        <v>3689</v>
      </c>
      <c r="E309" t="s">
        <v>3831</v>
      </c>
      <c r="F309" t="s">
        <v>115</v>
      </c>
      <c r="G309" t="s">
        <v>103</v>
      </c>
      <c r="H309" t="s">
        <v>3808</v>
      </c>
      <c r="I309" t="s">
        <v>3809</v>
      </c>
      <c r="J309" t="s">
        <v>3810</v>
      </c>
      <c r="K309" t="s">
        <v>1218</v>
      </c>
      <c r="L309" s="13">
        <v>43250</v>
      </c>
      <c r="M309">
        <v>5</v>
      </c>
      <c r="N309" t="s">
        <v>101</v>
      </c>
      <c r="O309" t="s">
        <v>3832</v>
      </c>
      <c r="P309" t="s">
        <v>76</v>
      </c>
      <c r="Q309" t="s">
        <v>76</v>
      </c>
      <c r="R309" t="s">
        <v>76</v>
      </c>
      <c r="S309" t="s">
        <v>76</v>
      </c>
      <c r="T309" t="s">
        <v>76</v>
      </c>
      <c r="U309">
        <v>1</v>
      </c>
      <c r="V309" s="13">
        <v>45175</v>
      </c>
      <c r="W309">
        <v>1</v>
      </c>
      <c r="X309">
        <v>1</v>
      </c>
      <c r="Y309" t="s">
        <v>3690</v>
      </c>
      <c r="AC309">
        <v>2298</v>
      </c>
      <c r="AD309" t="e" vm="301">
        <v>#VALUE!</v>
      </c>
    </row>
    <row r="310" spans="2:30" x14ac:dyDescent="0.25">
      <c r="B310">
        <v>2299</v>
      </c>
      <c r="C310" t="s">
        <v>3684</v>
      </c>
      <c r="D310" t="s">
        <v>3689</v>
      </c>
      <c r="E310" t="s">
        <v>3831</v>
      </c>
      <c r="F310" t="s">
        <v>115</v>
      </c>
      <c r="G310" t="s">
        <v>103</v>
      </c>
      <c r="H310" t="s">
        <v>3808</v>
      </c>
      <c r="I310" t="s">
        <v>3809</v>
      </c>
      <c r="J310" t="s">
        <v>3810</v>
      </c>
      <c r="K310" t="s">
        <v>1218</v>
      </c>
      <c r="L310" s="13">
        <v>43250</v>
      </c>
      <c r="M310">
        <v>5</v>
      </c>
      <c r="N310" t="s">
        <v>101</v>
      </c>
      <c r="O310" t="s">
        <v>3832</v>
      </c>
      <c r="P310" t="s">
        <v>76</v>
      </c>
      <c r="Q310" t="s">
        <v>76</v>
      </c>
      <c r="R310" t="s">
        <v>76</v>
      </c>
      <c r="S310" t="s">
        <v>76</v>
      </c>
      <c r="T310" t="s">
        <v>76</v>
      </c>
      <c r="U310">
        <v>1</v>
      </c>
      <c r="V310" s="13">
        <v>45175</v>
      </c>
      <c r="W310">
        <v>1</v>
      </c>
      <c r="X310">
        <v>1</v>
      </c>
      <c r="Y310" t="s">
        <v>3690</v>
      </c>
      <c r="AC310">
        <v>2299</v>
      </c>
      <c r="AD310" t="e" vm="302">
        <v>#VALUE!</v>
      </c>
    </row>
    <row r="311" spans="2:30" x14ac:dyDescent="0.25">
      <c r="B311">
        <v>2300</v>
      </c>
      <c r="C311" t="s">
        <v>3684</v>
      </c>
      <c r="D311" t="s">
        <v>3689</v>
      </c>
      <c r="E311" t="s">
        <v>3831</v>
      </c>
      <c r="F311" t="s">
        <v>115</v>
      </c>
      <c r="G311" t="s">
        <v>103</v>
      </c>
      <c r="H311" t="s">
        <v>3808</v>
      </c>
      <c r="I311" t="s">
        <v>3809</v>
      </c>
      <c r="J311" t="s">
        <v>3810</v>
      </c>
      <c r="K311" t="s">
        <v>1218</v>
      </c>
      <c r="L311" s="13">
        <v>43250</v>
      </c>
      <c r="M311">
        <v>5</v>
      </c>
      <c r="N311" t="s">
        <v>101</v>
      </c>
      <c r="O311" t="s">
        <v>3832</v>
      </c>
      <c r="P311" t="s">
        <v>76</v>
      </c>
      <c r="Q311" t="s">
        <v>76</v>
      </c>
      <c r="R311" t="s">
        <v>76</v>
      </c>
      <c r="S311" t="s">
        <v>76</v>
      </c>
      <c r="T311" t="s">
        <v>76</v>
      </c>
      <c r="U311">
        <v>1</v>
      </c>
      <c r="V311" s="13">
        <v>45175</v>
      </c>
      <c r="W311">
        <v>1</v>
      </c>
      <c r="X311">
        <v>1</v>
      </c>
      <c r="Y311" t="s">
        <v>3690</v>
      </c>
      <c r="AC311">
        <v>2300</v>
      </c>
      <c r="AD311" t="e" vm="303">
        <v>#VALUE!</v>
      </c>
    </row>
    <row r="312" spans="2:30" x14ac:dyDescent="0.25">
      <c r="B312">
        <v>2301</v>
      </c>
      <c r="C312" t="s">
        <v>3684</v>
      </c>
      <c r="D312" t="s">
        <v>3689</v>
      </c>
      <c r="E312" t="s">
        <v>3831</v>
      </c>
      <c r="F312" t="s">
        <v>115</v>
      </c>
      <c r="G312" t="s">
        <v>103</v>
      </c>
      <c r="H312" t="s">
        <v>3808</v>
      </c>
      <c r="I312" t="s">
        <v>3809</v>
      </c>
      <c r="J312" t="s">
        <v>3810</v>
      </c>
      <c r="K312" t="s">
        <v>1218</v>
      </c>
      <c r="L312" s="13">
        <v>43250</v>
      </c>
      <c r="M312">
        <v>5</v>
      </c>
      <c r="N312" t="s">
        <v>101</v>
      </c>
      <c r="O312" t="s">
        <v>3832</v>
      </c>
      <c r="P312" t="s">
        <v>76</v>
      </c>
      <c r="Q312" t="s">
        <v>76</v>
      </c>
      <c r="R312" t="s">
        <v>76</v>
      </c>
      <c r="S312" t="s">
        <v>76</v>
      </c>
      <c r="T312" t="s">
        <v>76</v>
      </c>
      <c r="U312">
        <v>1</v>
      </c>
      <c r="V312" s="13">
        <v>45175</v>
      </c>
      <c r="W312">
        <v>1</v>
      </c>
      <c r="X312">
        <v>1</v>
      </c>
      <c r="Y312" t="s">
        <v>3690</v>
      </c>
      <c r="AC312">
        <v>2301</v>
      </c>
      <c r="AD312" t="e" vm="304">
        <v>#VALUE!</v>
      </c>
    </row>
    <row r="313" spans="2:30" x14ac:dyDescent="0.25">
      <c r="B313">
        <v>2302</v>
      </c>
      <c r="C313" t="s">
        <v>3684</v>
      </c>
      <c r="D313" t="s">
        <v>3689</v>
      </c>
      <c r="E313" t="s">
        <v>3831</v>
      </c>
      <c r="F313" t="s">
        <v>115</v>
      </c>
      <c r="G313" t="s">
        <v>103</v>
      </c>
      <c r="H313" t="s">
        <v>3808</v>
      </c>
      <c r="I313" t="s">
        <v>3809</v>
      </c>
      <c r="J313" t="s">
        <v>3810</v>
      </c>
      <c r="K313" t="s">
        <v>1218</v>
      </c>
      <c r="L313" s="13">
        <v>43251</v>
      </c>
      <c r="M313">
        <v>5</v>
      </c>
      <c r="N313" t="s">
        <v>101</v>
      </c>
      <c r="O313" t="s">
        <v>3832</v>
      </c>
      <c r="P313" t="s">
        <v>76</v>
      </c>
      <c r="Q313" t="s">
        <v>76</v>
      </c>
      <c r="R313" t="s">
        <v>76</v>
      </c>
      <c r="S313" t="s">
        <v>76</v>
      </c>
      <c r="T313" t="s">
        <v>76</v>
      </c>
      <c r="U313">
        <v>1</v>
      </c>
      <c r="V313" s="13">
        <v>45175</v>
      </c>
      <c r="W313">
        <v>1</v>
      </c>
      <c r="X313">
        <v>1</v>
      </c>
      <c r="Y313" t="s">
        <v>3690</v>
      </c>
      <c r="AC313">
        <v>2302</v>
      </c>
      <c r="AD313" t="e" vm="305">
        <v>#VALUE!</v>
      </c>
    </row>
    <row r="314" spans="2:30" x14ac:dyDescent="0.25">
      <c r="B314">
        <v>2303</v>
      </c>
      <c r="C314" t="s">
        <v>3684</v>
      </c>
      <c r="D314" t="s">
        <v>3689</v>
      </c>
      <c r="E314" t="s">
        <v>3831</v>
      </c>
      <c r="F314" t="s">
        <v>115</v>
      </c>
      <c r="G314" t="s">
        <v>103</v>
      </c>
      <c r="H314" t="s">
        <v>3808</v>
      </c>
      <c r="I314" t="s">
        <v>3809</v>
      </c>
      <c r="J314" t="s">
        <v>3810</v>
      </c>
      <c r="K314" t="s">
        <v>1218</v>
      </c>
      <c r="L314" s="13">
        <v>43257</v>
      </c>
      <c r="M314">
        <v>5</v>
      </c>
      <c r="N314" t="s">
        <v>101</v>
      </c>
      <c r="O314" t="s">
        <v>3832</v>
      </c>
      <c r="P314" t="s">
        <v>76</v>
      </c>
      <c r="Q314" t="s">
        <v>76</v>
      </c>
      <c r="R314" t="s">
        <v>76</v>
      </c>
      <c r="S314" t="s">
        <v>76</v>
      </c>
      <c r="T314" t="s">
        <v>76</v>
      </c>
      <c r="U314">
        <v>1</v>
      </c>
      <c r="V314" s="13">
        <v>45175</v>
      </c>
      <c r="W314">
        <v>1</v>
      </c>
      <c r="X314">
        <v>1</v>
      </c>
      <c r="Y314" t="s">
        <v>3690</v>
      </c>
      <c r="AC314">
        <v>2303</v>
      </c>
      <c r="AD314" t="e" vm="306">
        <v>#VALUE!</v>
      </c>
    </row>
    <row r="315" spans="2:30" x14ac:dyDescent="0.25">
      <c r="B315">
        <v>2304</v>
      </c>
      <c r="C315" t="s">
        <v>3684</v>
      </c>
      <c r="D315" t="s">
        <v>3689</v>
      </c>
      <c r="E315" t="s">
        <v>3831</v>
      </c>
      <c r="F315" t="s">
        <v>115</v>
      </c>
      <c r="G315" t="s">
        <v>103</v>
      </c>
      <c r="H315" t="s">
        <v>3808</v>
      </c>
      <c r="I315" t="s">
        <v>3809</v>
      </c>
      <c r="J315" t="s">
        <v>3810</v>
      </c>
      <c r="K315" t="s">
        <v>1218</v>
      </c>
      <c r="L315" s="13">
        <v>43257</v>
      </c>
      <c r="M315">
        <v>5</v>
      </c>
      <c r="N315" t="s">
        <v>101</v>
      </c>
      <c r="O315" t="s">
        <v>3832</v>
      </c>
      <c r="P315" t="s">
        <v>76</v>
      </c>
      <c r="Q315" t="s">
        <v>76</v>
      </c>
      <c r="R315" t="s">
        <v>76</v>
      </c>
      <c r="S315" t="s">
        <v>76</v>
      </c>
      <c r="T315" t="s">
        <v>76</v>
      </c>
      <c r="U315">
        <v>1</v>
      </c>
      <c r="V315" s="13">
        <v>45175</v>
      </c>
      <c r="W315">
        <v>1</v>
      </c>
      <c r="X315">
        <v>1</v>
      </c>
      <c r="Y315" t="s">
        <v>3690</v>
      </c>
      <c r="AC315">
        <v>2304</v>
      </c>
      <c r="AD315" t="e" vm="307">
        <v>#VALUE!</v>
      </c>
    </row>
    <row r="316" spans="2:30" x14ac:dyDescent="0.25">
      <c r="B316">
        <v>2305</v>
      </c>
      <c r="C316" t="s">
        <v>3684</v>
      </c>
      <c r="D316" t="s">
        <v>3689</v>
      </c>
      <c r="E316" t="s">
        <v>3831</v>
      </c>
      <c r="F316" t="s">
        <v>115</v>
      </c>
      <c r="G316" t="s">
        <v>103</v>
      </c>
      <c r="H316" t="s">
        <v>3808</v>
      </c>
      <c r="I316" t="s">
        <v>3809</v>
      </c>
      <c r="J316" t="s">
        <v>3810</v>
      </c>
      <c r="K316" t="s">
        <v>1218</v>
      </c>
      <c r="L316" s="13">
        <v>43258</v>
      </c>
      <c r="M316">
        <v>5</v>
      </c>
      <c r="N316" t="s">
        <v>101</v>
      </c>
      <c r="O316" t="s">
        <v>3832</v>
      </c>
      <c r="P316" t="s">
        <v>76</v>
      </c>
      <c r="Q316" t="s">
        <v>76</v>
      </c>
      <c r="R316" t="s">
        <v>76</v>
      </c>
      <c r="S316" t="s">
        <v>76</v>
      </c>
      <c r="T316" t="s">
        <v>76</v>
      </c>
      <c r="U316">
        <v>1</v>
      </c>
      <c r="V316" s="13">
        <v>45175</v>
      </c>
      <c r="W316">
        <v>1</v>
      </c>
      <c r="X316">
        <v>1</v>
      </c>
      <c r="Y316" t="s">
        <v>3690</v>
      </c>
      <c r="AC316">
        <v>2305</v>
      </c>
      <c r="AD316" t="e" vm="308">
        <v>#VALUE!</v>
      </c>
    </row>
    <row r="317" spans="2:30" x14ac:dyDescent="0.25">
      <c r="B317">
        <v>2306</v>
      </c>
      <c r="C317" t="s">
        <v>3684</v>
      </c>
      <c r="D317" t="s">
        <v>3689</v>
      </c>
      <c r="E317" t="s">
        <v>3831</v>
      </c>
      <c r="F317" t="s">
        <v>115</v>
      </c>
      <c r="G317" t="s">
        <v>103</v>
      </c>
      <c r="H317" t="s">
        <v>3808</v>
      </c>
      <c r="I317" t="s">
        <v>3809</v>
      </c>
      <c r="J317" t="s">
        <v>3810</v>
      </c>
      <c r="K317" t="s">
        <v>1218</v>
      </c>
      <c r="L317" s="13">
        <v>43258</v>
      </c>
      <c r="M317">
        <v>5</v>
      </c>
      <c r="N317" t="s">
        <v>101</v>
      </c>
      <c r="O317" t="s">
        <v>3832</v>
      </c>
      <c r="P317" t="s">
        <v>76</v>
      </c>
      <c r="Q317" t="s">
        <v>76</v>
      </c>
      <c r="R317" t="s">
        <v>76</v>
      </c>
      <c r="S317" t="s">
        <v>76</v>
      </c>
      <c r="T317" t="s">
        <v>76</v>
      </c>
      <c r="U317">
        <v>1</v>
      </c>
      <c r="V317" s="13">
        <v>45175</v>
      </c>
      <c r="W317">
        <v>1</v>
      </c>
      <c r="X317">
        <v>1</v>
      </c>
      <c r="Y317" t="s">
        <v>3690</v>
      </c>
      <c r="AC317">
        <v>2306</v>
      </c>
      <c r="AD317" t="e" vm="309">
        <v>#VALUE!</v>
      </c>
    </row>
    <row r="318" spans="2:30" x14ac:dyDescent="0.25">
      <c r="B318">
        <v>2307</v>
      </c>
      <c r="C318" t="s">
        <v>3684</v>
      </c>
      <c r="D318" t="s">
        <v>3689</v>
      </c>
      <c r="E318" t="s">
        <v>3831</v>
      </c>
      <c r="F318" t="s">
        <v>115</v>
      </c>
      <c r="G318" t="s">
        <v>103</v>
      </c>
      <c r="H318" t="s">
        <v>3808</v>
      </c>
      <c r="I318" t="s">
        <v>3809</v>
      </c>
      <c r="J318" t="s">
        <v>3810</v>
      </c>
      <c r="K318" t="s">
        <v>1218</v>
      </c>
      <c r="L318" s="13">
        <v>43271</v>
      </c>
      <c r="M318">
        <v>5</v>
      </c>
      <c r="N318" t="s">
        <v>101</v>
      </c>
      <c r="O318" t="s">
        <v>3832</v>
      </c>
      <c r="P318" t="s">
        <v>76</v>
      </c>
      <c r="Q318" t="s">
        <v>76</v>
      </c>
      <c r="R318" t="s">
        <v>76</v>
      </c>
      <c r="S318" t="s">
        <v>76</v>
      </c>
      <c r="T318" t="s">
        <v>76</v>
      </c>
      <c r="U318">
        <v>1</v>
      </c>
      <c r="V318" s="13">
        <v>45175</v>
      </c>
      <c r="W318">
        <v>1</v>
      </c>
      <c r="X318">
        <v>1</v>
      </c>
      <c r="Y318" t="s">
        <v>3690</v>
      </c>
      <c r="AC318">
        <v>2307</v>
      </c>
      <c r="AD318" t="e" vm="310">
        <v>#VALUE!</v>
      </c>
    </row>
    <row r="319" spans="2:30" x14ac:dyDescent="0.25">
      <c r="B319">
        <v>2308</v>
      </c>
      <c r="C319" t="s">
        <v>3684</v>
      </c>
      <c r="D319" t="s">
        <v>3689</v>
      </c>
      <c r="E319" t="s">
        <v>3831</v>
      </c>
      <c r="F319" t="s">
        <v>115</v>
      </c>
      <c r="G319" t="s">
        <v>103</v>
      </c>
      <c r="H319" t="s">
        <v>3808</v>
      </c>
      <c r="I319" t="s">
        <v>3809</v>
      </c>
      <c r="J319" t="s">
        <v>3810</v>
      </c>
      <c r="K319" t="s">
        <v>1218</v>
      </c>
      <c r="L319" s="13">
        <v>43264</v>
      </c>
      <c r="M319">
        <v>5</v>
      </c>
      <c r="N319" t="s">
        <v>101</v>
      </c>
      <c r="O319" t="s">
        <v>3832</v>
      </c>
      <c r="P319" t="s">
        <v>76</v>
      </c>
      <c r="Q319" t="s">
        <v>76</v>
      </c>
      <c r="R319" t="s">
        <v>76</v>
      </c>
      <c r="S319" t="s">
        <v>76</v>
      </c>
      <c r="T319" t="s">
        <v>76</v>
      </c>
      <c r="U319">
        <v>1</v>
      </c>
      <c r="V319" s="13">
        <v>45175</v>
      </c>
      <c r="W319">
        <v>1</v>
      </c>
      <c r="X319">
        <v>1</v>
      </c>
      <c r="Y319" t="s">
        <v>3690</v>
      </c>
      <c r="AC319">
        <v>2308</v>
      </c>
      <c r="AD319" t="e" vm="311">
        <v>#VALUE!</v>
      </c>
    </row>
    <row r="320" spans="2:30" x14ac:dyDescent="0.25">
      <c r="B320">
        <v>2309</v>
      </c>
      <c r="C320" t="s">
        <v>3684</v>
      </c>
      <c r="D320" t="s">
        <v>3689</v>
      </c>
      <c r="E320" t="s">
        <v>3831</v>
      </c>
      <c r="F320" t="s">
        <v>115</v>
      </c>
      <c r="G320" t="s">
        <v>103</v>
      </c>
      <c r="H320" t="s">
        <v>3808</v>
      </c>
      <c r="I320" t="s">
        <v>3809</v>
      </c>
      <c r="J320" t="s">
        <v>3810</v>
      </c>
      <c r="K320" t="s">
        <v>1218</v>
      </c>
      <c r="L320" s="13">
        <v>43271</v>
      </c>
      <c r="M320">
        <v>5</v>
      </c>
      <c r="N320" t="s">
        <v>101</v>
      </c>
      <c r="O320" t="s">
        <v>3832</v>
      </c>
      <c r="P320" t="s">
        <v>76</v>
      </c>
      <c r="Q320" t="s">
        <v>76</v>
      </c>
      <c r="R320" t="s">
        <v>76</v>
      </c>
      <c r="S320" t="s">
        <v>76</v>
      </c>
      <c r="T320" t="s">
        <v>76</v>
      </c>
      <c r="U320">
        <v>1</v>
      </c>
      <c r="V320" s="13">
        <v>45175</v>
      </c>
      <c r="W320">
        <v>1</v>
      </c>
      <c r="X320">
        <v>1</v>
      </c>
      <c r="Y320" t="s">
        <v>3690</v>
      </c>
      <c r="AC320">
        <v>2309</v>
      </c>
      <c r="AD320" t="e" vm="312">
        <v>#VALUE!</v>
      </c>
    </row>
    <row r="321" spans="2:30" x14ac:dyDescent="0.25">
      <c r="B321">
        <v>2310</v>
      </c>
      <c r="C321" t="s">
        <v>3684</v>
      </c>
      <c r="D321" t="s">
        <v>3689</v>
      </c>
      <c r="E321" t="s">
        <v>3831</v>
      </c>
      <c r="F321" t="s">
        <v>115</v>
      </c>
      <c r="G321" t="s">
        <v>103</v>
      </c>
      <c r="H321" t="s">
        <v>3808</v>
      </c>
      <c r="I321" t="s">
        <v>3809</v>
      </c>
      <c r="J321" t="s">
        <v>3810</v>
      </c>
      <c r="K321" t="s">
        <v>1218</v>
      </c>
      <c r="L321" s="13">
        <v>43271</v>
      </c>
      <c r="M321">
        <v>5</v>
      </c>
      <c r="N321" t="s">
        <v>101</v>
      </c>
      <c r="O321" t="s">
        <v>3832</v>
      </c>
      <c r="P321" t="s">
        <v>76</v>
      </c>
      <c r="Q321" t="s">
        <v>76</v>
      </c>
      <c r="R321" t="s">
        <v>76</v>
      </c>
      <c r="S321" t="s">
        <v>76</v>
      </c>
      <c r="T321" t="s">
        <v>76</v>
      </c>
      <c r="U321">
        <v>1</v>
      </c>
      <c r="V321" s="13">
        <v>45175</v>
      </c>
      <c r="W321">
        <v>1</v>
      </c>
      <c r="X321">
        <v>1</v>
      </c>
      <c r="Y321" t="s">
        <v>3690</v>
      </c>
      <c r="AC321">
        <v>2310</v>
      </c>
      <c r="AD321" t="e" vm="313">
        <v>#VALUE!</v>
      </c>
    </row>
    <row r="322" spans="2:30" x14ac:dyDescent="0.25">
      <c r="B322">
        <v>2311</v>
      </c>
      <c r="C322" t="s">
        <v>3684</v>
      </c>
      <c r="D322" t="s">
        <v>3689</v>
      </c>
      <c r="E322" t="s">
        <v>3831</v>
      </c>
      <c r="F322" t="s">
        <v>115</v>
      </c>
      <c r="G322" t="s">
        <v>103</v>
      </c>
      <c r="H322" t="s">
        <v>3808</v>
      </c>
      <c r="I322" t="s">
        <v>3809</v>
      </c>
      <c r="J322" t="s">
        <v>3810</v>
      </c>
      <c r="K322" t="s">
        <v>1218</v>
      </c>
      <c r="L322" s="13">
        <v>43272</v>
      </c>
      <c r="M322">
        <v>5</v>
      </c>
      <c r="N322" t="s">
        <v>101</v>
      </c>
      <c r="O322" t="s">
        <v>3832</v>
      </c>
      <c r="P322" t="s">
        <v>76</v>
      </c>
      <c r="Q322" t="s">
        <v>76</v>
      </c>
      <c r="R322" t="s">
        <v>76</v>
      </c>
      <c r="S322" t="s">
        <v>76</v>
      </c>
      <c r="T322" t="s">
        <v>76</v>
      </c>
      <c r="U322">
        <v>1</v>
      </c>
      <c r="V322" s="13">
        <v>45175</v>
      </c>
      <c r="W322">
        <v>1</v>
      </c>
      <c r="X322">
        <v>1</v>
      </c>
      <c r="Y322" t="s">
        <v>3690</v>
      </c>
      <c r="AC322">
        <v>2311</v>
      </c>
      <c r="AD322" t="e" vm="314">
        <v>#VALUE!</v>
      </c>
    </row>
    <row r="323" spans="2:30" x14ac:dyDescent="0.25">
      <c r="B323">
        <v>2312</v>
      </c>
      <c r="C323" t="s">
        <v>3684</v>
      </c>
      <c r="D323" t="s">
        <v>3689</v>
      </c>
      <c r="E323" t="s">
        <v>3831</v>
      </c>
      <c r="F323" t="s">
        <v>115</v>
      </c>
      <c r="G323" t="s">
        <v>103</v>
      </c>
      <c r="H323" t="s">
        <v>3808</v>
      </c>
      <c r="I323" t="s">
        <v>3809</v>
      </c>
      <c r="J323" t="s">
        <v>3810</v>
      </c>
      <c r="K323" t="s">
        <v>1218</v>
      </c>
      <c r="L323" s="13">
        <v>43272</v>
      </c>
      <c r="M323">
        <v>5</v>
      </c>
      <c r="N323" t="s">
        <v>101</v>
      </c>
      <c r="O323" t="s">
        <v>3832</v>
      </c>
      <c r="P323" t="s">
        <v>76</v>
      </c>
      <c r="Q323" t="s">
        <v>76</v>
      </c>
      <c r="R323" t="s">
        <v>76</v>
      </c>
      <c r="S323" t="s">
        <v>76</v>
      </c>
      <c r="T323" t="s">
        <v>76</v>
      </c>
      <c r="U323">
        <v>1</v>
      </c>
      <c r="V323" s="13">
        <v>45175</v>
      </c>
      <c r="W323">
        <v>1</v>
      </c>
      <c r="X323">
        <v>1</v>
      </c>
      <c r="Y323" t="s">
        <v>3690</v>
      </c>
      <c r="AC323">
        <v>2312</v>
      </c>
      <c r="AD323" t="e" vm="315">
        <v>#VALUE!</v>
      </c>
    </row>
    <row r="324" spans="2:30" x14ac:dyDescent="0.25">
      <c r="B324">
        <v>2313</v>
      </c>
      <c r="C324" t="s">
        <v>3684</v>
      </c>
      <c r="D324" t="s">
        <v>3689</v>
      </c>
      <c r="E324" t="s">
        <v>3831</v>
      </c>
      <c r="F324" t="s">
        <v>115</v>
      </c>
      <c r="G324" t="s">
        <v>103</v>
      </c>
      <c r="H324" t="s">
        <v>3808</v>
      </c>
      <c r="I324" t="s">
        <v>3809</v>
      </c>
      <c r="J324" t="s">
        <v>3810</v>
      </c>
      <c r="K324" t="s">
        <v>1218</v>
      </c>
      <c r="L324" s="13">
        <v>43272</v>
      </c>
      <c r="M324">
        <v>5</v>
      </c>
      <c r="N324" t="s">
        <v>101</v>
      </c>
      <c r="O324" t="s">
        <v>3832</v>
      </c>
      <c r="P324" t="s">
        <v>76</v>
      </c>
      <c r="Q324" t="s">
        <v>76</v>
      </c>
      <c r="R324" t="s">
        <v>76</v>
      </c>
      <c r="S324" t="s">
        <v>76</v>
      </c>
      <c r="T324" t="s">
        <v>76</v>
      </c>
      <c r="U324">
        <v>1</v>
      </c>
      <c r="V324" s="13">
        <v>45175</v>
      </c>
      <c r="W324">
        <v>1</v>
      </c>
      <c r="X324">
        <v>1</v>
      </c>
      <c r="Y324" t="s">
        <v>3690</v>
      </c>
      <c r="AC324">
        <v>2313</v>
      </c>
      <c r="AD324" t="e" vm="316">
        <v>#VALUE!</v>
      </c>
    </row>
    <row r="325" spans="2:30" x14ac:dyDescent="0.25">
      <c r="B325">
        <v>2314</v>
      </c>
      <c r="C325" t="s">
        <v>3684</v>
      </c>
      <c r="D325" t="s">
        <v>3689</v>
      </c>
      <c r="E325" t="s">
        <v>3831</v>
      </c>
      <c r="F325" t="s">
        <v>115</v>
      </c>
      <c r="G325" t="s">
        <v>103</v>
      </c>
      <c r="H325" t="s">
        <v>3808</v>
      </c>
      <c r="I325" t="s">
        <v>3809</v>
      </c>
      <c r="J325" t="s">
        <v>3810</v>
      </c>
      <c r="K325" t="s">
        <v>1218</v>
      </c>
      <c r="L325" s="13">
        <v>43278</v>
      </c>
      <c r="M325">
        <v>5</v>
      </c>
      <c r="N325" t="s">
        <v>101</v>
      </c>
      <c r="O325" t="s">
        <v>3832</v>
      </c>
      <c r="P325" t="s">
        <v>76</v>
      </c>
      <c r="Q325" t="s">
        <v>76</v>
      </c>
      <c r="R325" t="s">
        <v>76</v>
      </c>
      <c r="S325" t="s">
        <v>76</v>
      </c>
      <c r="T325" t="s">
        <v>76</v>
      </c>
      <c r="U325">
        <v>1</v>
      </c>
      <c r="V325" s="13">
        <v>45175</v>
      </c>
      <c r="W325">
        <v>1</v>
      </c>
      <c r="X325">
        <v>1</v>
      </c>
      <c r="Y325" t="s">
        <v>3690</v>
      </c>
      <c r="AC325">
        <v>2314</v>
      </c>
      <c r="AD325" t="e" vm="317">
        <v>#VALUE!</v>
      </c>
    </row>
    <row r="326" spans="2:30" x14ac:dyDescent="0.25">
      <c r="B326">
        <v>2315</v>
      </c>
      <c r="C326" t="s">
        <v>3684</v>
      </c>
      <c r="D326" t="s">
        <v>3689</v>
      </c>
      <c r="E326" t="s">
        <v>3831</v>
      </c>
      <c r="F326" t="s">
        <v>115</v>
      </c>
      <c r="G326" t="s">
        <v>103</v>
      </c>
      <c r="H326" t="s">
        <v>3808</v>
      </c>
      <c r="I326" t="s">
        <v>3809</v>
      </c>
      <c r="J326" t="s">
        <v>3810</v>
      </c>
      <c r="K326" t="s">
        <v>1218</v>
      </c>
      <c r="L326" s="13">
        <v>43278</v>
      </c>
      <c r="M326">
        <v>5</v>
      </c>
      <c r="N326" t="s">
        <v>101</v>
      </c>
      <c r="O326" t="s">
        <v>3832</v>
      </c>
      <c r="P326" t="s">
        <v>76</v>
      </c>
      <c r="Q326" t="s">
        <v>76</v>
      </c>
      <c r="R326" t="s">
        <v>76</v>
      </c>
      <c r="S326" t="s">
        <v>76</v>
      </c>
      <c r="T326" t="s">
        <v>76</v>
      </c>
      <c r="U326">
        <v>1</v>
      </c>
      <c r="V326" s="13">
        <v>45175</v>
      </c>
      <c r="W326">
        <v>1</v>
      </c>
      <c r="X326">
        <v>1</v>
      </c>
      <c r="Y326" t="s">
        <v>3690</v>
      </c>
      <c r="AC326">
        <v>2315</v>
      </c>
      <c r="AD326" t="e" vm="318">
        <v>#VALUE!</v>
      </c>
    </row>
    <row r="327" spans="2:30" x14ac:dyDescent="0.25">
      <c r="B327">
        <v>2316</v>
      </c>
      <c r="C327" t="s">
        <v>3684</v>
      </c>
      <c r="D327" t="s">
        <v>3689</v>
      </c>
      <c r="E327" t="s">
        <v>3831</v>
      </c>
      <c r="F327" t="s">
        <v>115</v>
      </c>
      <c r="G327" t="s">
        <v>103</v>
      </c>
      <c r="H327" t="s">
        <v>3808</v>
      </c>
      <c r="I327" t="s">
        <v>3809</v>
      </c>
      <c r="J327" t="s">
        <v>3810</v>
      </c>
      <c r="K327" t="s">
        <v>1218</v>
      </c>
      <c r="L327" s="13">
        <v>43279</v>
      </c>
      <c r="M327">
        <v>5</v>
      </c>
      <c r="N327" t="s">
        <v>101</v>
      </c>
      <c r="O327" t="s">
        <v>3832</v>
      </c>
      <c r="P327" t="s">
        <v>76</v>
      </c>
      <c r="Q327" t="s">
        <v>76</v>
      </c>
      <c r="R327" t="s">
        <v>76</v>
      </c>
      <c r="S327" t="s">
        <v>76</v>
      </c>
      <c r="T327" t="s">
        <v>76</v>
      </c>
      <c r="U327">
        <v>1</v>
      </c>
      <c r="V327" s="13">
        <v>45175</v>
      </c>
      <c r="W327">
        <v>1</v>
      </c>
      <c r="X327">
        <v>1</v>
      </c>
      <c r="Y327" t="s">
        <v>3690</v>
      </c>
      <c r="AC327">
        <v>2316</v>
      </c>
      <c r="AD327" t="e" vm="319">
        <v>#VALUE!</v>
      </c>
    </row>
    <row r="328" spans="2:30" x14ac:dyDescent="0.25">
      <c r="B328">
        <v>2317</v>
      </c>
      <c r="C328" t="s">
        <v>3684</v>
      </c>
      <c r="D328" t="s">
        <v>3689</v>
      </c>
      <c r="E328" t="s">
        <v>3831</v>
      </c>
      <c r="F328" t="s">
        <v>115</v>
      </c>
      <c r="G328" t="s">
        <v>103</v>
      </c>
      <c r="H328" t="s">
        <v>3808</v>
      </c>
      <c r="I328" t="s">
        <v>3809</v>
      </c>
      <c r="J328" t="s">
        <v>3810</v>
      </c>
      <c r="K328" t="s">
        <v>1218</v>
      </c>
      <c r="L328" s="13">
        <v>43286</v>
      </c>
      <c r="M328">
        <v>5</v>
      </c>
      <c r="N328" t="s">
        <v>101</v>
      </c>
      <c r="O328" t="s">
        <v>3832</v>
      </c>
      <c r="P328" t="s">
        <v>76</v>
      </c>
      <c r="Q328" t="s">
        <v>76</v>
      </c>
      <c r="R328" t="s">
        <v>76</v>
      </c>
      <c r="S328" t="s">
        <v>76</v>
      </c>
      <c r="T328" t="s">
        <v>76</v>
      </c>
      <c r="U328">
        <v>1</v>
      </c>
      <c r="V328" s="13">
        <v>45175</v>
      </c>
      <c r="W328">
        <v>1</v>
      </c>
      <c r="X328">
        <v>1</v>
      </c>
      <c r="Y328" t="s">
        <v>3690</v>
      </c>
      <c r="AC328">
        <v>2317</v>
      </c>
      <c r="AD328" t="e" vm="320">
        <v>#VALUE!</v>
      </c>
    </row>
    <row r="329" spans="2:30" x14ac:dyDescent="0.25">
      <c r="B329">
        <v>2318</v>
      </c>
      <c r="C329" t="s">
        <v>3684</v>
      </c>
      <c r="D329" t="s">
        <v>3689</v>
      </c>
      <c r="E329" t="s">
        <v>3831</v>
      </c>
      <c r="F329" t="s">
        <v>115</v>
      </c>
      <c r="G329" t="s">
        <v>103</v>
      </c>
      <c r="H329" t="s">
        <v>3808</v>
      </c>
      <c r="I329" t="s">
        <v>3809</v>
      </c>
      <c r="J329" t="s">
        <v>3810</v>
      </c>
      <c r="K329" t="s">
        <v>1218</v>
      </c>
      <c r="L329" s="13">
        <v>43279</v>
      </c>
      <c r="M329">
        <v>5</v>
      </c>
      <c r="N329" t="s">
        <v>101</v>
      </c>
      <c r="O329" t="s">
        <v>3832</v>
      </c>
      <c r="P329" t="s">
        <v>76</v>
      </c>
      <c r="Q329" t="s">
        <v>76</v>
      </c>
      <c r="R329" t="s">
        <v>76</v>
      </c>
      <c r="S329" t="s">
        <v>76</v>
      </c>
      <c r="T329" t="s">
        <v>76</v>
      </c>
      <c r="U329">
        <v>1</v>
      </c>
      <c r="V329" s="13">
        <v>45175</v>
      </c>
      <c r="W329">
        <v>1</v>
      </c>
      <c r="X329">
        <v>1</v>
      </c>
      <c r="Y329" t="s">
        <v>3690</v>
      </c>
      <c r="AC329">
        <v>2318</v>
      </c>
      <c r="AD329" t="e" vm="321">
        <v>#VALUE!</v>
      </c>
    </row>
    <row r="330" spans="2:30" x14ac:dyDescent="0.25">
      <c r="B330">
        <v>2319</v>
      </c>
      <c r="C330" t="s">
        <v>3684</v>
      </c>
      <c r="D330" t="s">
        <v>3689</v>
      </c>
      <c r="E330" t="s">
        <v>3831</v>
      </c>
      <c r="F330" t="s">
        <v>115</v>
      </c>
      <c r="G330" t="s">
        <v>103</v>
      </c>
      <c r="H330" t="s">
        <v>3808</v>
      </c>
      <c r="I330" t="s">
        <v>3809</v>
      </c>
      <c r="J330" t="s">
        <v>3810</v>
      </c>
      <c r="K330" t="s">
        <v>1218</v>
      </c>
      <c r="L330" s="13">
        <v>43286</v>
      </c>
      <c r="M330">
        <v>5</v>
      </c>
      <c r="N330" t="s">
        <v>101</v>
      </c>
      <c r="O330" t="s">
        <v>3832</v>
      </c>
      <c r="P330" t="s">
        <v>76</v>
      </c>
      <c r="Q330" t="s">
        <v>76</v>
      </c>
      <c r="R330" t="s">
        <v>76</v>
      </c>
      <c r="S330" t="s">
        <v>76</v>
      </c>
      <c r="T330" t="s">
        <v>76</v>
      </c>
      <c r="U330">
        <v>1</v>
      </c>
      <c r="V330" s="13">
        <v>45175</v>
      </c>
      <c r="W330">
        <v>1</v>
      </c>
      <c r="X330">
        <v>1</v>
      </c>
      <c r="Y330" t="s">
        <v>3690</v>
      </c>
      <c r="AC330">
        <v>2319</v>
      </c>
      <c r="AD330" t="e" vm="322">
        <v>#VALUE!</v>
      </c>
    </row>
    <row r="331" spans="2:30" x14ac:dyDescent="0.25">
      <c r="B331">
        <v>2320</v>
      </c>
      <c r="C331" t="s">
        <v>3684</v>
      </c>
      <c r="D331" t="s">
        <v>3689</v>
      </c>
      <c r="E331" t="s">
        <v>3831</v>
      </c>
      <c r="F331" t="s">
        <v>115</v>
      </c>
      <c r="G331" t="s">
        <v>103</v>
      </c>
      <c r="H331" t="s">
        <v>3808</v>
      </c>
      <c r="I331" t="s">
        <v>3809</v>
      </c>
      <c r="J331" t="s">
        <v>3810</v>
      </c>
      <c r="K331" t="s">
        <v>1218</v>
      </c>
      <c r="L331" s="13">
        <v>43286</v>
      </c>
      <c r="M331">
        <v>5</v>
      </c>
      <c r="N331" t="s">
        <v>101</v>
      </c>
      <c r="O331" t="s">
        <v>3832</v>
      </c>
      <c r="P331" t="s">
        <v>76</v>
      </c>
      <c r="Q331" t="s">
        <v>76</v>
      </c>
      <c r="R331" t="s">
        <v>76</v>
      </c>
      <c r="S331" t="s">
        <v>76</v>
      </c>
      <c r="T331" t="s">
        <v>76</v>
      </c>
      <c r="U331">
        <v>1</v>
      </c>
      <c r="V331" s="13">
        <v>45175</v>
      </c>
      <c r="W331">
        <v>1</v>
      </c>
      <c r="X331">
        <v>1</v>
      </c>
      <c r="Y331" t="s">
        <v>3690</v>
      </c>
      <c r="AC331">
        <v>2320</v>
      </c>
      <c r="AD331" t="e" vm="323">
        <v>#VALUE!</v>
      </c>
    </row>
    <row r="332" spans="2:30" x14ac:dyDescent="0.25">
      <c r="B332">
        <v>2321</v>
      </c>
      <c r="C332" t="s">
        <v>3684</v>
      </c>
      <c r="D332" t="s">
        <v>3689</v>
      </c>
      <c r="E332" t="s">
        <v>3831</v>
      </c>
      <c r="F332" t="s">
        <v>115</v>
      </c>
      <c r="G332" t="s">
        <v>103</v>
      </c>
      <c r="H332" t="s">
        <v>3808</v>
      </c>
      <c r="I332" t="s">
        <v>3809</v>
      </c>
      <c r="J332" t="s">
        <v>3810</v>
      </c>
      <c r="K332" t="s">
        <v>1218</v>
      </c>
      <c r="L332" s="13">
        <v>43293</v>
      </c>
      <c r="M332">
        <v>5</v>
      </c>
      <c r="N332" t="s">
        <v>101</v>
      </c>
      <c r="O332" t="s">
        <v>3832</v>
      </c>
      <c r="P332" t="s">
        <v>76</v>
      </c>
      <c r="Q332" t="s">
        <v>76</v>
      </c>
      <c r="R332" t="s">
        <v>76</v>
      </c>
      <c r="S332" t="s">
        <v>76</v>
      </c>
      <c r="T332" t="s">
        <v>76</v>
      </c>
      <c r="U332">
        <v>1</v>
      </c>
      <c r="V332" s="13">
        <v>45175</v>
      </c>
      <c r="W332">
        <v>1</v>
      </c>
      <c r="X332">
        <v>1</v>
      </c>
      <c r="Y332" t="s">
        <v>3690</v>
      </c>
      <c r="AC332">
        <v>2321</v>
      </c>
      <c r="AD332" t="e" vm="324">
        <v>#VALUE!</v>
      </c>
    </row>
    <row r="333" spans="2:30" x14ac:dyDescent="0.25">
      <c r="B333">
        <v>2322</v>
      </c>
      <c r="C333" t="s">
        <v>3684</v>
      </c>
      <c r="D333" t="s">
        <v>3689</v>
      </c>
      <c r="E333" t="s">
        <v>3831</v>
      </c>
      <c r="F333" t="s">
        <v>115</v>
      </c>
      <c r="G333" t="s">
        <v>103</v>
      </c>
      <c r="H333" t="s">
        <v>3808</v>
      </c>
      <c r="I333" t="s">
        <v>3809</v>
      </c>
      <c r="J333" t="s">
        <v>3810</v>
      </c>
      <c r="K333" t="s">
        <v>1218</v>
      </c>
      <c r="L333" s="13">
        <v>43293</v>
      </c>
      <c r="M333">
        <v>5</v>
      </c>
      <c r="N333" t="s">
        <v>101</v>
      </c>
      <c r="O333" t="s">
        <v>3832</v>
      </c>
      <c r="P333" t="s">
        <v>76</v>
      </c>
      <c r="Q333" t="s">
        <v>76</v>
      </c>
      <c r="R333" t="s">
        <v>76</v>
      </c>
      <c r="S333" t="s">
        <v>76</v>
      </c>
      <c r="T333" t="s">
        <v>76</v>
      </c>
      <c r="U333">
        <v>1</v>
      </c>
      <c r="V333" s="13">
        <v>45175</v>
      </c>
      <c r="W333">
        <v>1</v>
      </c>
      <c r="X333">
        <v>1</v>
      </c>
      <c r="Y333" t="s">
        <v>3690</v>
      </c>
      <c r="AC333">
        <v>2322</v>
      </c>
      <c r="AD333" t="e" vm="325">
        <v>#VALUE!</v>
      </c>
    </row>
    <row r="334" spans="2:30" x14ac:dyDescent="0.25">
      <c r="B334">
        <v>2323</v>
      </c>
      <c r="C334" t="s">
        <v>3684</v>
      </c>
      <c r="D334" t="s">
        <v>3689</v>
      </c>
      <c r="E334" t="s">
        <v>3831</v>
      </c>
      <c r="F334" t="s">
        <v>115</v>
      </c>
      <c r="G334" t="s">
        <v>103</v>
      </c>
      <c r="H334" t="s">
        <v>3808</v>
      </c>
      <c r="I334" t="s">
        <v>3809</v>
      </c>
      <c r="J334" t="s">
        <v>3810</v>
      </c>
      <c r="K334" t="s">
        <v>1218</v>
      </c>
      <c r="L334" s="13">
        <v>43293</v>
      </c>
      <c r="M334">
        <v>5</v>
      </c>
      <c r="N334" t="s">
        <v>101</v>
      </c>
      <c r="O334" t="s">
        <v>3832</v>
      </c>
      <c r="P334" t="s">
        <v>76</v>
      </c>
      <c r="Q334" t="s">
        <v>76</v>
      </c>
      <c r="R334" t="s">
        <v>76</v>
      </c>
      <c r="S334" t="s">
        <v>76</v>
      </c>
      <c r="T334" t="s">
        <v>76</v>
      </c>
      <c r="U334">
        <v>1</v>
      </c>
      <c r="V334" s="13">
        <v>45175</v>
      </c>
      <c r="W334">
        <v>1</v>
      </c>
      <c r="X334">
        <v>1</v>
      </c>
      <c r="Y334" t="s">
        <v>3690</v>
      </c>
      <c r="AC334">
        <v>2323</v>
      </c>
      <c r="AD334" t="e" vm="326">
        <v>#VALUE!</v>
      </c>
    </row>
    <row r="335" spans="2:30" x14ac:dyDescent="0.25">
      <c r="B335">
        <v>2324</v>
      </c>
      <c r="C335" t="s">
        <v>3684</v>
      </c>
      <c r="D335" t="s">
        <v>3689</v>
      </c>
      <c r="E335" t="s">
        <v>3831</v>
      </c>
      <c r="F335" t="s">
        <v>115</v>
      </c>
      <c r="G335" t="s">
        <v>103</v>
      </c>
      <c r="H335" t="s">
        <v>3808</v>
      </c>
      <c r="I335" t="s">
        <v>3809</v>
      </c>
      <c r="J335" t="s">
        <v>3810</v>
      </c>
      <c r="K335" t="s">
        <v>1218</v>
      </c>
      <c r="L335" s="13">
        <v>43326</v>
      </c>
      <c r="M335">
        <v>5</v>
      </c>
      <c r="N335" t="s">
        <v>101</v>
      </c>
      <c r="O335" t="s">
        <v>3832</v>
      </c>
      <c r="P335" t="s">
        <v>76</v>
      </c>
      <c r="Q335" t="s">
        <v>76</v>
      </c>
      <c r="R335" t="s">
        <v>76</v>
      </c>
      <c r="S335" t="s">
        <v>76</v>
      </c>
      <c r="T335" t="s">
        <v>76</v>
      </c>
      <c r="U335">
        <v>1</v>
      </c>
      <c r="V335" s="13">
        <v>45175</v>
      </c>
      <c r="W335">
        <v>1</v>
      </c>
      <c r="X335">
        <v>1</v>
      </c>
      <c r="Y335" t="s">
        <v>3690</v>
      </c>
      <c r="AC335">
        <v>2324</v>
      </c>
      <c r="AD335" t="e" vm="327">
        <v>#VALUE!</v>
      </c>
    </row>
    <row r="336" spans="2:30" x14ac:dyDescent="0.25">
      <c r="B336">
        <v>2325</v>
      </c>
      <c r="C336" t="s">
        <v>3684</v>
      </c>
      <c r="D336" t="s">
        <v>3689</v>
      </c>
      <c r="E336" t="s">
        <v>3831</v>
      </c>
      <c r="F336" t="s">
        <v>115</v>
      </c>
      <c r="G336" t="s">
        <v>103</v>
      </c>
      <c r="H336" t="s">
        <v>3808</v>
      </c>
      <c r="I336" t="s">
        <v>3809</v>
      </c>
      <c r="J336" t="s">
        <v>3810</v>
      </c>
      <c r="K336" t="s">
        <v>1218</v>
      </c>
      <c r="L336" s="13">
        <v>43326</v>
      </c>
      <c r="M336">
        <v>5</v>
      </c>
      <c r="N336" t="s">
        <v>101</v>
      </c>
      <c r="O336" t="s">
        <v>3832</v>
      </c>
      <c r="P336" t="s">
        <v>76</v>
      </c>
      <c r="Q336" t="s">
        <v>76</v>
      </c>
      <c r="R336" t="s">
        <v>76</v>
      </c>
      <c r="S336" t="s">
        <v>76</v>
      </c>
      <c r="T336" t="s">
        <v>76</v>
      </c>
      <c r="U336">
        <v>1</v>
      </c>
      <c r="V336" s="13">
        <v>45175</v>
      </c>
      <c r="W336">
        <v>1</v>
      </c>
      <c r="X336">
        <v>1</v>
      </c>
      <c r="Y336" t="s">
        <v>3690</v>
      </c>
      <c r="AC336">
        <v>2325</v>
      </c>
      <c r="AD336" t="e" vm="328">
        <v>#VALUE!</v>
      </c>
    </row>
    <row r="337" spans="2:30" x14ac:dyDescent="0.25">
      <c r="B337">
        <v>2326</v>
      </c>
      <c r="C337" t="s">
        <v>3684</v>
      </c>
      <c r="D337" t="s">
        <v>3689</v>
      </c>
      <c r="E337" t="s">
        <v>3831</v>
      </c>
      <c r="F337" t="s">
        <v>115</v>
      </c>
      <c r="G337" t="s">
        <v>103</v>
      </c>
      <c r="H337" t="s">
        <v>3808</v>
      </c>
      <c r="I337" t="s">
        <v>3809</v>
      </c>
      <c r="J337" t="s">
        <v>3810</v>
      </c>
      <c r="K337" t="s">
        <v>1218</v>
      </c>
      <c r="L337" s="13">
        <v>43326</v>
      </c>
      <c r="M337">
        <v>5</v>
      </c>
      <c r="N337" t="s">
        <v>101</v>
      </c>
      <c r="O337" t="s">
        <v>3832</v>
      </c>
      <c r="P337" t="s">
        <v>76</v>
      </c>
      <c r="Q337" t="s">
        <v>76</v>
      </c>
      <c r="R337" t="s">
        <v>76</v>
      </c>
      <c r="S337" t="s">
        <v>76</v>
      </c>
      <c r="T337" t="s">
        <v>76</v>
      </c>
      <c r="U337">
        <v>1</v>
      </c>
      <c r="V337" s="13">
        <v>45175</v>
      </c>
      <c r="W337">
        <v>1</v>
      </c>
      <c r="X337">
        <v>1</v>
      </c>
      <c r="Y337" t="s">
        <v>3690</v>
      </c>
      <c r="AC337">
        <v>2326</v>
      </c>
      <c r="AD337" t="e" vm="329">
        <v>#VALUE!</v>
      </c>
    </row>
    <row r="338" spans="2:30" x14ac:dyDescent="0.25">
      <c r="B338">
        <v>2327</v>
      </c>
      <c r="C338" t="s">
        <v>3684</v>
      </c>
      <c r="D338" t="s">
        <v>3689</v>
      </c>
      <c r="E338" t="s">
        <v>3831</v>
      </c>
      <c r="F338" t="s">
        <v>115</v>
      </c>
      <c r="G338" t="s">
        <v>103</v>
      </c>
      <c r="H338" t="s">
        <v>3808</v>
      </c>
      <c r="I338" t="s">
        <v>3809</v>
      </c>
      <c r="J338" t="s">
        <v>3810</v>
      </c>
      <c r="K338" t="s">
        <v>1218</v>
      </c>
      <c r="L338" s="13">
        <v>43326</v>
      </c>
      <c r="M338">
        <v>5</v>
      </c>
      <c r="N338" t="s">
        <v>101</v>
      </c>
      <c r="O338" t="s">
        <v>3832</v>
      </c>
      <c r="P338" t="s">
        <v>76</v>
      </c>
      <c r="Q338" t="s">
        <v>76</v>
      </c>
      <c r="R338" t="s">
        <v>76</v>
      </c>
      <c r="S338" t="s">
        <v>76</v>
      </c>
      <c r="T338" t="s">
        <v>76</v>
      </c>
      <c r="U338">
        <v>1</v>
      </c>
      <c r="V338" s="13">
        <v>45175</v>
      </c>
      <c r="W338">
        <v>1</v>
      </c>
      <c r="X338">
        <v>1</v>
      </c>
      <c r="Y338" t="s">
        <v>3690</v>
      </c>
      <c r="AC338">
        <v>2327</v>
      </c>
      <c r="AD338" t="e" vm="330">
        <v>#VALUE!</v>
      </c>
    </row>
    <row r="339" spans="2:30" x14ac:dyDescent="0.25">
      <c r="B339">
        <v>2328</v>
      </c>
      <c r="C339" t="s">
        <v>3684</v>
      </c>
      <c r="D339" t="s">
        <v>3689</v>
      </c>
      <c r="E339" t="s">
        <v>3831</v>
      </c>
      <c r="F339" t="s">
        <v>115</v>
      </c>
      <c r="G339" t="s">
        <v>103</v>
      </c>
      <c r="H339" t="s">
        <v>3808</v>
      </c>
      <c r="I339" t="s">
        <v>3809</v>
      </c>
      <c r="J339" t="s">
        <v>3810</v>
      </c>
      <c r="K339" t="s">
        <v>1218</v>
      </c>
      <c r="L339" s="13">
        <v>43328</v>
      </c>
      <c r="M339">
        <v>5</v>
      </c>
      <c r="N339" t="s">
        <v>101</v>
      </c>
      <c r="O339" t="s">
        <v>3832</v>
      </c>
      <c r="P339" t="s">
        <v>76</v>
      </c>
      <c r="Q339" t="s">
        <v>76</v>
      </c>
      <c r="R339" t="s">
        <v>76</v>
      </c>
      <c r="S339" t="s">
        <v>76</v>
      </c>
      <c r="T339" t="s">
        <v>76</v>
      </c>
      <c r="U339">
        <v>1</v>
      </c>
      <c r="V339" s="13">
        <v>45175</v>
      </c>
      <c r="W339">
        <v>1</v>
      </c>
      <c r="X339">
        <v>1</v>
      </c>
      <c r="Y339" t="s">
        <v>3690</v>
      </c>
      <c r="AC339">
        <v>2328</v>
      </c>
      <c r="AD339" t="e" vm="331">
        <v>#VALUE!</v>
      </c>
    </row>
    <row r="340" spans="2:30" x14ac:dyDescent="0.25">
      <c r="B340">
        <v>2329</v>
      </c>
      <c r="C340" t="s">
        <v>3684</v>
      </c>
      <c r="D340" t="s">
        <v>3687</v>
      </c>
      <c r="E340" t="s">
        <v>3830</v>
      </c>
      <c r="F340" t="s">
        <v>116</v>
      </c>
      <c r="G340" t="s">
        <v>113</v>
      </c>
      <c r="H340" t="s">
        <v>3808</v>
      </c>
      <c r="I340" t="s">
        <v>3809</v>
      </c>
      <c r="J340" t="s">
        <v>3810</v>
      </c>
      <c r="K340" t="s">
        <v>1218</v>
      </c>
      <c r="L340" s="13">
        <v>43328</v>
      </c>
      <c r="M340">
        <v>5</v>
      </c>
      <c r="N340" t="s">
        <v>101</v>
      </c>
      <c r="O340" t="s">
        <v>3832</v>
      </c>
      <c r="P340" t="s">
        <v>76</v>
      </c>
      <c r="Q340" t="s">
        <v>76</v>
      </c>
      <c r="R340" t="s">
        <v>76</v>
      </c>
      <c r="S340" t="s">
        <v>76</v>
      </c>
      <c r="T340" t="s">
        <v>76</v>
      </c>
      <c r="U340">
        <v>1</v>
      </c>
      <c r="V340" s="13">
        <v>45175</v>
      </c>
      <c r="W340">
        <v>1</v>
      </c>
      <c r="X340">
        <v>1</v>
      </c>
      <c r="Y340" t="s">
        <v>3688</v>
      </c>
      <c r="AC340">
        <v>2329</v>
      </c>
      <c r="AD340" t="e" vm="332">
        <v>#VALUE!</v>
      </c>
    </row>
    <row r="341" spans="2:30" x14ac:dyDescent="0.25">
      <c r="B341">
        <v>2330</v>
      </c>
      <c r="C341" t="s">
        <v>3684</v>
      </c>
      <c r="D341" t="s">
        <v>3687</v>
      </c>
      <c r="E341" t="s">
        <v>3830</v>
      </c>
      <c r="F341" t="s">
        <v>116</v>
      </c>
      <c r="G341" t="s">
        <v>113</v>
      </c>
      <c r="H341" t="s">
        <v>3808</v>
      </c>
      <c r="I341" t="s">
        <v>3809</v>
      </c>
      <c r="J341" t="s">
        <v>3810</v>
      </c>
      <c r="K341" t="s">
        <v>1218</v>
      </c>
      <c r="L341" s="13">
        <v>43328</v>
      </c>
      <c r="M341">
        <v>5</v>
      </c>
      <c r="N341" t="s">
        <v>101</v>
      </c>
      <c r="O341" t="s">
        <v>3832</v>
      </c>
      <c r="P341" t="s">
        <v>76</v>
      </c>
      <c r="Q341" t="s">
        <v>76</v>
      </c>
      <c r="R341" t="s">
        <v>76</v>
      </c>
      <c r="S341" t="s">
        <v>76</v>
      </c>
      <c r="T341" t="s">
        <v>76</v>
      </c>
      <c r="U341">
        <v>1</v>
      </c>
      <c r="V341" s="13">
        <v>45175</v>
      </c>
      <c r="W341">
        <v>1</v>
      </c>
      <c r="X341">
        <v>1</v>
      </c>
      <c r="Y341" t="s">
        <v>3688</v>
      </c>
      <c r="AC341">
        <v>2330</v>
      </c>
      <c r="AD341" t="e" vm="333">
        <v>#VALUE!</v>
      </c>
    </row>
    <row r="342" spans="2:30" x14ac:dyDescent="0.25">
      <c r="B342">
        <v>2331</v>
      </c>
      <c r="C342" t="s">
        <v>3684</v>
      </c>
      <c r="D342" t="s">
        <v>3687</v>
      </c>
      <c r="E342" t="s">
        <v>3830</v>
      </c>
      <c r="F342" t="s">
        <v>116</v>
      </c>
      <c r="G342" t="s">
        <v>113</v>
      </c>
      <c r="H342" t="s">
        <v>3808</v>
      </c>
      <c r="I342" t="s">
        <v>3809</v>
      </c>
      <c r="J342" t="s">
        <v>3810</v>
      </c>
      <c r="K342" t="s">
        <v>1218</v>
      </c>
      <c r="L342" s="13">
        <v>43328</v>
      </c>
      <c r="M342">
        <v>5</v>
      </c>
      <c r="N342" t="s">
        <v>101</v>
      </c>
      <c r="O342" t="s">
        <v>3832</v>
      </c>
      <c r="P342" t="s">
        <v>76</v>
      </c>
      <c r="Q342" t="s">
        <v>76</v>
      </c>
      <c r="R342" t="s">
        <v>76</v>
      </c>
      <c r="S342" t="s">
        <v>76</v>
      </c>
      <c r="T342" t="s">
        <v>76</v>
      </c>
      <c r="U342">
        <v>1</v>
      </c>
      <c r="V342" s="13">
        <v>45175</v>
      </c>
      <c r="W342">
        <v>1</v>
      </c>
      <c r="X342">
        <v>1</v>
      </c>
      <c r="Y342" t="s">
        <v>3688</v>
      </c>
      <c r="AC342">
        <v>2331</v>
      </c>
      <c r="AD342" t="e" vm="334">
        <v>#VALUE!</v>
      </c>
    </row>
    <row r="343" spans="2:30" x14ac:dyDescent="0.25">
      <c r="B343">
        <v>2332</v>
      </c>
      <c r="C343" t="s">
        <v>3684</v>
      </c>
      <c r="D343" t="s">
        <v>3687</v>
      </c>
      <c r="E343" t="s">
        <v>3830</v>
      </c>
      <c r="F343" t="s">
        <v>116</v>
      </c>
      <c r="G343" t="s">
        <v>113</v>
      </c>
      <c r="H343" t="s">
        <v>3808</v>
      </c>
      <c r="I343" t="s">
        <v>3809</v>
      </c>
      <c r="J343" t="s">
        <v>3810</v>
      </c>
      <c r="K343" t="s">
        <v>1218</v>
      </c>
      <c r="L343" s="13">
        <v>43340</v>
      </c>
      <c r="M343">
        <v>5</v>
      </c>
      <c r="N343" t="s">
        <v>101</v>
      </c>
      <c r="O343" t="s">
        <v>3832</v>
      </c>
      <c r="P343" t="s">
        <v>76</v>
      </c>
      <c r="Q343" t="s">
        <v>76</v>
      </c>
      <c r="R343" t="s">
        <v>76</v>
      </c>
      <c r="S343" t="s">
        <v>76</v>
      </c>
      <c r="T343" t="s">
        <v>76</v>
      </c>
      <c r="U343">
        <v>1</v>
      </c>
      <c r="V343" s="13">
        <v>45175</v>
      </c>
      <c r="W343">
        <v>1</v>
      </c>
      <c r="X343">
        <v>1</v>
      </c>
      <c r="Y343" t="s">
        <v>3688</v>
      </c>
      <c r="AC343">
        <v>2332</v>
      </c>
      <c r="AD343" t="e" vm="335">
        <v>#VALUE!</v>
      </c>
    </row>
    <row r="344" spans="2:30" x14ac:dyDescent="0.25">
      <c r="B344">
        <v>2333</v>
      </c>
      <c r="C344" t="s">
        <v>3684</v>
      </c>
      <c r="D344" t="s">
        <v>3687</v>
      </c>
      <c r="E344" t="s">
        <v>3830</v>
      </c>
      <c r="F344" t="s">
        <v>116</v>
      </c>
      <c r="G344" t="s">
        <v>113</v>
      </c>
      <c r="H344" t="s">
        <v>3808</v>
      </c>
      <c r="I344" t="s">
        <v>3809</v>
      </c>
      <c r="J344" t="s">
        <v>3810</v>
      </c>
      <c r="K344" t="s">
        <v>1218</v>
      </c>
      <c r="L344" s="13">
        <v>43356</v>
      </c>
      <c r="M344">
        <v>5</v>
      </c>
      <c r="N344" t="s">
        <v>101</v>
      </c>
      <c r="O344" t="s">
        <v>3832</v>
      </c>
      <c r="P344" t="s">
        <v>76</v>
      </c>
      <c r="Q344" t="s">
        <v>76</v>
      </c>
      <c r="R344" t="s">
        <v>76</v>
      </c>
      <c r="S344" t="s">
        <v>76</v>
      </c>
      <c r="T344" t="s">
        <v>76</v>
      </c>
      <c r="U344">
        <v>1</v>
      </c>
      <c r="V344" s="13">
        <v>45175</v>
      </c>
      <c r="W344">
        <v>1</v>
      </c>
      <c r="X344">
        <v>1</v>
      </c>
      <c r="Y344" t="s">
        <v>3688</v>
      </c>
      <c r="AC344">
        <v>2333</v>
      </c>
      <c r="AD344" t="e" vm="336">
        <v>#VALUE!</v>
      </c>
    </row>
    <row r="345" spans="2:30" x14ac:dyDescent="0.25">
      <c r="B345">
        <v>2334</v>
      </c>
      <c r="C345" t="s">
        <v>3684</v>
      </c>
      <c r="D345" t="s">
        <v>3687</v>
      </c>
      <c r="E345" t="s">
        <v>3830</v>
      </c>
      <c r="F345" t="s">
        <v>116</v>
      </c>
      <c r="G345" t="s">
        <v>113</v>
      </c>
      <c r="H345" t="s">
        <v>3808</v>
      </c>
      <c r="I345" t="s">
        <v>3809</v>
      </c>
      <c r="J345" t="s">
        <v>3810</v>
      </c>
      <c r="K345" t="s">
        <v>1218</v>
      </c>
      <c r="L345" s="13">
        <v>43340</v>
      </c>
      <c r="M345">
        <v>5</v>
      </c>
      <c r="N345" t="s">
        <v>101</v>
      </c>
      <c r="O345" t="s">
        <v>3832</v>
      </c>
      <c r="P345" t="s">
        <v>76</v>
      </c>
      <c r="Q345" t="s">
        <v>76</v>
      </c>
      <c r="R345" t="s">
        <v>76</v>
      </c>
      <c r="S345" t="s">
        <v>76</v>
      </c>
      <c r="T345" t="s">
        <v>76</v>
      </c>
      <c r="U345">
        <v>1</v>
      </c>
      <c r="V345" s="13">
        <v>45175</v>
      </c>
      <c r="W345">
        <v>1</v>
      </c>
      <c r="X345">
        <v>1</v>
      </c>
      <c r="Y345" t="s">
        <v>3688</v>
      </c>
      <c r="AC345">
        <v>2334</v>
      </c>
      <c r="AD345" t="e" vm="337">
        <v>#VALUE!</v>
      </c>
    </row>
    <row r="346" spans="2:30" x14ac:dyDescent="0.25">
      <c r="B346">
        <v>2335</v>
      </c>
      <c r="C346" t="s">
        <v>3684</v>
      </c>
      <c r="D346" t="s">
        <v>3687</v>
      </c>
      <c r="E346" t="s">
        <v>3830</v>
      </c>
      <c r="F346" t="s">
        <v>116</v>
      </c>
      <c r="G346" t="s">
        <v>113</v>
      </c>
      <c r="H346" t="s">
        <v>3808</v>
      </c>
      <c r="I346" t="s">
        <v>3809</v>
      </c>
      <c r="J346" t="s">
        <v>3810</v>
      </c>
      <c r="K346" t="s">
        <v>1218</v>
      </c>
      <c r="L346" s="13">
        <v>43348</v>
      </c>
      <c r="M346">
        <v>5</v>
      </c>
      <c r="N346" t="s">
        <v>101</v>
      </c>
      <c r="O346" t="s">
        <v>3832</v>
      </c>
      <c r="P346" t="s">
        <v>76</v>
      </c>
      <c r="Q346" t="s">
        <v>76</v>
      </c>
      <c r="R346" t="s">
        <v>76</v>
      </c>
      <c r="S346" t="s">
        <v>76</v>
      </c>
      <c r="T346" t="s">
        <v>76</v>
      </c>
      <c r="U346">
        <v>1</v>
      </c>
      <c r="V346" s="13">
        <v>45175</v>
      </c>
      <c r="W346">
        <v>1</v>
      </c>
      <c r="X346">
        <v>1</v>
      </c>
      <c r="Y346" t="s">
        <v>3688</v>
      </c>
      <c r="AC346">
        <v>2335</v>
      </c>
      <c r="AD346" t="e" vm="338">
        <v>#VALUE!</v>
      </c>
    </row>
    <row r="347" spans="2:30" x14ac:dyDescent="0.25">
      <c r="B347">
        <v>2336</v>
      </c>
      <c r="C347" t="s">
        <v>3684</v>
      </c>
      <c r="D347" t="s">
        <v>3687</v>
      </c>
      <c r="E347" t="s">
        <v>3830</v>
      </c>
      <c r="F347" t="s">
        <v>116</v>
      </c>
      <c r="G347" t="s">
        <v>113</v>
      </c>
      <c r="H347" t="s">
        <v>3808</v>
      </c>
      <c r="I347" t="s">
        <v>3809</v>
      </c>
      <c r="J347" t="s">
        <v>3810</v>
      </c>
      <c r="K347" t="s">
        <v>1218</v>
      </c>
      <c r="L347" s="13">
        <v>43341</v>
      </c>
      <c r="M347">
        <v>5</v>
      </c>
      <c r="N347" t="s">
        <v>101</v>
      </c>
      <c r="O347" t="s">
        <v>3832</v>
      </c>
      <c r="P347" t="s">
        <v>76</v>
      </c>
      <c r="Q347" t="s">
        <v>76</v>
      </c>
      <c r="R347" t="s">
        <v>76</v>
      </c>
      <c r="S347" t="s">
        <v>76</v>
      </c>
      <c r="T347" t="s">
        <v>76</v>
      </c>
      <c r="U347">
        <v>1</v>
      </c>
      <c r="V347" s="13">
        <v>45175</v>
      </c>
      <c r="W347">
        <v>1</v>
      </c>
      <c r="X347">
        <v>1</v>
      </c>
      <c r="Y347" t="s">
        <v>3688</v>
      </c>
      <c r="AC347">
        <v>2336</v>
      </c>
      <c r="AD347" t="e" vm="339">
        <v>#VALUE!</v>
      </c>
    </row>
    <row r="348" spans="2:30" x14ac:dyDescent="0.25">
      <c r="B348">
        <v>2337</v>
      </c>
      <c r="C348" t="s">
        <v>3684</v>
      </c>
      <c r="D348" t="s">
        <v>3687</v>
      </c>
      <c r="E348" t="s">
        <v>3830</v>
      </c>
      <c r="F348" t="s">
        <v>116</v>
      </c>
      <c r="G348" t="s">
        <v>113</v>
      </c>
      <c r="H348" t="s">
        <v>3808</v>
      </c>
      <c r="I348" t="s">
        <v>3809</v>
      </c>
      <c r="J348" t="s">
        <v>3810</v>
      </c>
      <c r="K348" t="s">
        <v>1218</v>
      </c>
      <c r="L348" s="13">
        <v>43341</v>
      </c>
      <c r="M348">
        <v>5</v>
      </c>
      <c r="N348" t="s">
        <v>101</v>
      </c>
      <c r="O348" t="s">
        <v>3832</v>
      </c>
      <c r="P348" t="s">
        <v>76</v>
      </c>
      <c r="Q348" t="s">
        <v>76</v>
      </c>
      <c r="R348" t="s">
        <v>76</v>
      </c>
      <c r="S348" t="s">
        <v>76</v>
      </c>
      <c r="T348" t="s">
        <v>76</v>
      </c>
      <c r="U348">
        <v>1</v>
      </c>
      <c r="V348" s="13">
        <v>45175</v>
      </c>
      <c r="W348">
        <v>1</v>
      </c>
      <c r="X348">
        <v>1</v>
      </c>
      <c r="Y348" t="s">
        <v>3688</v>
      </c>
      <c r="AC348">
        <v>2337</v>
      </c>
      <c r="AD348" t="e" vm="340">
        <v>#VALUE!</v>
      </c>
    </row>
    <row r="349" spans="2:30" x14ac:dyDescent="0.25">
      <c r="B349">
        <v>2338</v>
      </c>
      <c r="C349" t="s">
        <v>3684</v>
      </c>
      <c r="D349" t="s">
        <v>3687</v>
      </c>
      <c r="E349" t="s">
        <v>3830</v>
      </c>
      <c r="F349" t="s">
        <v>116</v>
      </c>
      <c r="G349" t="s">
        <v>113</v>
      </c>
      <c r="H349" t="s">
        <v>3808</v>
      </c>
      <c r="I349" t="s">
        <v>3809</v>
      </c>
      <c r="J349" t="s">
        <v>3810</v>
      </c>
      <c r="K349" t="s">
        <v>1218</v>
      </c>
      <c r="L349" s="13">
        <v>43341</v>
      </c>
      <c r="M349">
        <v>5</v>
      </c>
      <c r="N349" t="s">
        <v>101</v>
      </c>
      <c r="O349" t="s">
        <v>3832</v>
      </c>
      <c r="P349" t="s">
        <v>76</v>
      </c>
      <c r="Q349" t="s">
        <v>76</v>
      </c>
      <c r="R349" t="s">
        <v>76</v>
      </c>
      <c r="S349" t="s">
        <v>76</v>
      </c>
      <c r="T349" t="s">
        <v>76</v>
      </c>
      <c r="U349">
        <v>1</v>
      </c>
      <c r="V349" s="13">
        <v>45175</v>
      </c>
      <c r="W349">
        <v>1</v>
      </c>
      <c r="X349">
        <v>1</v>
      </c>
      <c r="Y349" t="s">
        <v>3688</v>
      </c>
      <c r="AC349">
        <v>2338</v>
      </c>
      <c r="AD349" t="e" vm="341">
        <v>#VALUE!</v>
      </c>
    </row>
    <row r="350" spans="2:30" x14ac:dyDescent="0.25">
      <c r="B350">
        <v>2339</v>
      </c>
      <c r="C350" t="s">
        <v>3684</v>
      </c>
      <c r="D350" t="s">
        <v>3687</v>
      </c>
      <c r="E350" t="s">
        <v>3830</v>
      </c>
      <c r="F350" t="s">
        <v>116</v>
      </c>
      <c r="G350" t="s">
        <v>113</v>
      </c>
      <c r="H350" t="s">
        <v>3808</v>
      </c>
      <c r="I350" t="s">
        <v>3809</v>
      </c>
      <c r="J350" t="s">
        <v>3810</v>
      </c>
      <c r="K350" t="s">
        <v>1218</v>
      </c>
      <c r="L350" s="13">
        <v>43362</v>
      </c>
      <c r="M350">
        <v>5</v>
      </c>
      <c r="N350" t="s">
        <v>101</v>
      </c>
      <c r="O350" t="s">
        <v>3832</v>
      </c>
      <c r="P350" t="s">
        <v>76</v>
      </c>
      <c r="Q350" t="s">
        <v>76</v>
      </c>
      <c r="R350" t="s">
        <v>76</v>
      </c>
      <c r="S350" t="s">
        <v>76</v>
      </c>
      <c r="T350" t="s">
        <v>76</v>
      </c>
      <c r="U350">
        <v>1</v>
      </c>
      <c r="V350" s="13">
        <v>45175</v>
      </c>
      <c r="W350">
        <v>1</v>
      </c>
      <c r="X350">
        <v>1</v>
      </c>
      <c r="Y350" t="s">
        <v>3688</v>
      </c>
      <c r="AC350">
        <v>2339</v>
      </c>
      <c r="AD350" t="e" vm="342">
        <v>#VALUE!</v>
      </c>
    </row>
    <row r="351" spans="2:30" x14ac:dyDescent="0.25">
      <c r="B351">
        <v>2340</v>
      </c>
      <c r="C351" t="s">
        <v>3684</v>
      </c>
      <c r="D351" t="s">
        <v>3687</v>
      </c>
      <c r="E351" t="s">
        <v>3830</v>
      </c>
      <c r="F351" t="s">
        <v>116</v>
      </c>
      <c r="G351" t="s">
        <v>113</v>
      </c>
      <c r="H351" t="s">
        <v>3808</v>
      </c>
      <c r="I351" t="s">
        <v>3809</v>
      </c>
      <c r="J351" t="s">
        <v>3810</v>
      </c>
      <c r="K351" t="s">
        <v>1218</v>
      </c>
      <c r="L351" s="13">
        <v>43341</v>
      </c>
      <c r="M351">
        <v>5</v>
      </c>
      <c r="N351" t="s">
        <v>101</v>
      </c>
      <c r="O351" t="s">
        <v>3832</v>
      </c>
      <c r="P351" t="s">
        <v>76</v>
      </c>
      <c r="Q351" t="s">
        <v>76</v>
      </c>
      <c r="R351" t="s">
        <v>76</v>
      </c>
      <c r="S351" t="s">
        <v>76</v>
      </c>
      <c r="T351" t="s">
        <v>76</v>
      </c>
      <c r="U351">
        <v>1</v>
      </c>
      <c r="V351" s="13">
        <v>45175</v>
      </c>
      <c r="W351">
        <v>1</v>
      </c>
      <c r="X351">
        <v>1</v>
      </c>
      <c r="Y351" t="s">
        <v>3688</v>
      </c>
      <c r="AC351">
        <v>2340</v>
      </c>
      <c r="AD351" t="e" vm="343">
        <v>#VALUE!</v>
      </c>
    </row>
    <row r="352" spans="2:30" x14ac:dyDescent="0.25">
      <c r="B352">
        <v>2341</v>
      </c>
      <c r="C352" t="s">
        <v>3684</v>
      </c>
      <c r="D352" t="s">
        <v>3687</v>
      </c>
      <c r="E352" t="s">
        <v>3830</v>
      </c>
      <c r="F352" t="s">
        <v>116</v>
      </c>
      <c r="G352" t="s">
        <v>113</v>
      </c>
      <c r="H352" t="s">
        <v>3808</v>
      </c>
      <c r="I352" t="s">
        <v>3809</v>
      </c>
      <c r="J352" t="s">
        <v>3810</v>
      </c>
      <c r="K352" t="s">
        <v>1218</v>
      </c>
      <c r="L352" s="13">
        <v>43364</v>
      </c>
      <c r="M352">
        <v>5</v>
      </c>
      <c r="N352" t="s">
        <v>101</v>
      </c>
      <c r="O352" t="s">
        <v>3832</v>
      </c>
      <c r="P352" t="s">
        <v>76</v>
      </c>
      <c r="Q352" t="s">
        <v>76</v>
      </c>
      <c r="R352" t="s">
        <v>76</v>
      </c>
      <c r="S352" t="s">
        <v>76</v>
      </c>
      <c r="T352" t="s">
        <v>76</v>
      </c>
      <c r="U352">
        <v>1</v>
      </c>
      <c r="V352" s="13">
        <v>45175</v>
      </c>
      <c r="W352">
        <v>1</v>
      </c>
      <c r="X352">
        <v>1</v>
      </c>
      <c r="Y352" t="s">
        <v>3688</v>
      </c>
      <c r="AC352">
        <v>2341</v>
      </c>
      <c r="AD352" t="e" vm="344">
        <v>#VALUE!</v>
      </c>
    </row>
    <row r="353" spans="2:30" x14ac:dyDescent="0.25">
      <c r="B353">
        <v>2342</v>
      </c>
      <c r="C353" t="s">
        <v>3684</v>
      </c>
      <c r="D353" t="s">
        <v>3687</v>
      </c>
      <c r="E353" t="s">
        <v>3830</v>
      </c>
      <c r="F353" t="s">
        <v>116</v>
      </c>
      <c r="G353" t="s">
        <v>113</v>
      </c>
      <c r="H353" t="s">
        <v>3808</v>
      </c>
      <c r="I353" t="s">
        <v>3809</v>
      </c>
      <c r="J353" t="s">
        <v>3810</v>
      </c>
      <c r="K353" t="s">
        <v>1218</v>
      </c>
      <c r="L353" s="13">
        <v>43348</v>
      </c>
      <c r="M353">
        <v>5</v>
      </c>
      <c r="N353" t="s">
        <v>101</v>
      </c>
      <c r="O353" t="s">
        <v>3832</v>
      </c>
      <c r="P353" t="s">
        <v>76</v>
      </c>
      <c r="Q353" t="s">
        <v>76</v>
      </c>
      <c r="R353" t="s">
        <v>76</v>
      </c>
      <c r="S353" t="s">
        <v>76</v>
      </c>
      <c r="T353" t="s">
        <v>76</v>
      </c>
      <c r="U353">
        <v>1</v>
      </c>
      <c r="V353" s="13">
        <v>45175</v>
      </c>
      <c r="W353">
        <v>1</v>
      </c>
      <c r="X353">
        <v>1</v>
      </c>
      <c r="Y353" t="s">
        <v>3688</v>
      </c>
      <c r="AC353">
        <v>2342</v>
      </c>
      <c r="AD353" t="e" vm="345">
        <v>#VALUE!</v>
      </c>
    </row>
    <row r="354" spans="2:30" x14ac:dyDescent="0.25">
      <c r="B354">
        <v>2343</v>
      </c>
      <c r="C354" t="s">
        <v>3684</v>
      </c>
      <c r="D354" t="s">
        <v>3687</v>
      </c>
      <c r="E354" t="s">
        <v>3830</v>
      </c>
      <c r="F354" t="s">
        <v>116</v>
      </c>
      <c r="G354" t="s">
        <v>113</v>
      </c>
      <c r="H354" t="s">
        <v>3808</v>
      </c>
      <c r="I354" t="s">
        <v>3809</v>
      </c>
      <c r="J354" t="s">
        <v>3810</v>
      </c>
      <c r="K354" t="s">
        <v>1218</v>
      </c>
      <c r="L354" s="13">
        <v>43348</v>
      </c>
      <c r="M354">
        <v>5</v>
      </c>
      <c r="N354" t="s">
        <v>101</v>
      </c>
      <c r="O354" t="s">
        <v>3832</v>
      </c>
      <c r="P354" t="s">
        <v>76</v>
      </c>
      <c r="Q354" t="s">
        <v>76</v>
      </c>
      <c r="R354" t="s">
        <v>76</v>
      </c>
      <c r="S354" t="s">
        <v>76</v>
      </c>
      <c r="T354" t="s">
        <v>76</v>
      </c>
      <c r="U354">
        <v>1</v>
      </c>
      <c r="V354" s="13">
        <v>45175</v>
      </c>
      <c r="W354">
        <v>1</v>
      </c>
      <c r="X354">
        <v>1</v>
      </c>
      <c r="Y354" t="s">
        <v>3688</v>
      </c>
      <c r="AC354">
        <v>2343</v>
      </c>
      <c r="AD354" t="e" vm="346">
        <v>#VALUE!</v>
      </c>
    </row>
    <row r="355" spans="2:30" x14ac:dyDescent="0.25">
      <c r="B355">
        <v>2344</v>
      </c>
      <c r="C355" t="s">
        <v>3684</v>
      </c>
      <c r="D355" t="s">
        <v>3687</v>
      </c>
      <c r="E355" t="s">
        <v>3830</v>
      </c>
      <c r="F355" t="s">
        <v>116</v>
      </c>
      <c r="G355" t="s">
        <v>113</v>
      </c>
      <c r="H355" t="s">
        <v>3808</v>
      </c>
      <c r="I355" t="s">
        <v>3809</v>
      </c>
      <c r="J355" t="s">
        <v>3810</v>
      </c>
      <c r="K355" t="s">
        <v>1218</v>
      </c>
      <c r="L355" s="13">
        <v>43349</v>
      </c>
      <c r="M355">
        <v>5</v>
      </c>
      <c r="N355" t="s">
        <v>101</v>
      </c>
      <c r="O355" t="s">
        <v>3832</v>
      </c>
      <c r="P355" t="s">
        <v>76</v>
      </c>
      <c r="Q355" t="s">
        <v>76</v>
      </c>
      <c r="R355" t="s">
        <v>76</v>
      </c>
      <c r="S355" t="s">
        <v>76</v>
      </c>
      <c r="T355" t="s">
        <v>76</v>
      </c>
      <c r="U355">
        <v>1</v>
      </c>
      <c r="V355" s="13">
        <v>45175</v>
      </c>
      <c r="W355">
        <v>1</v>
      </c>
      <c r="X355">
        <v>1</v>
      </c>
      <c r="Y355" t="s">
        <v>3688</v>
      </c>
      <c r="AC355">
        <v>2344</v>
      </c>
      <c r="AD355" t="e" vm="347">
        <v>#VALUE!</v>
      </c>
    </row>
    <row r="356" spans="2:30" x14ac:dyDescent="0.25">
      <c r="B356">
        <v>2345</v>
      </c>
      <c r="C356" t="s">
        <v>3684</v>
      </c>
      <c r="D356" t="s">
        <v>3687</v>
      </c>
      <c r="E356" t="s">
        <v>3830</v>
      </c>
      <c r="F356" t="s">
        <v>116</v>
      </c>
      <c r="G356" t="s">
        <v>113</v>
      </c>
      <c r="H356" t="s">
        <v>3808</v>
      </c>
      <c r="I356" t="s">
        <v>3809</v>
      </c>
      <c r="J356" t="s">
        <v>3810</v>
      </c>
      <c r="K356" t="s">
        <v>1218</v>
      </c>
      <c r="L356" s="13">
        <v>43349</v>
      </c>
      <c r="M356">
        <v>5</v>
      </c>
      <c r="N356" t="s">
        <v>101</v>
      </c>
      <c r="O356" t="s">
        <v>3832</v>
      </c>
      <c r="P356" t="s">
        <v>76</v>
      </c>
      <c r="Q356" t="s">
        <v>76</v>
      </c>
      <c r="R356" t="s">
        <v>76</v>
      </c>
      <c r="S356" t="s">
        <v>76</v>
      </c>
      <c r="T356" t="s">
        <v>76</v>
      </c>
      <c r="U356">
        <v>1</v>
      </c>
      <c r="V356" s="13">
        <v>45175</v>
      </c>
      <c r="W356">
        <v>1</v>
      </c>
      <c r="X356">
        <v>1</v>
      </c>
      <c r="Y356" t="s">
        <v>3688</v>
      </c>
      <c r="AC356">
        <v>2345</v>
      </c>
      <c r="AD356" t="e" vm="348">
        <v>#VALUE!</v>
      </c>
    </row>
    <row r="357" spans="2:30" x14ac:dyDescent="0.25">
      <c r="B357">
        <v>2346</v>
      </c>
      <c r="C357" t="s">
        <v>3684</v>
      </c>
      <c r="D357" t="s">
        <v>3687</v>
      </c>
      <c r="E357" t="s">
        <v>3830</v>
      </c>
      <c r="F357" t="s">
        <v>116</v>
      </c>
      <c r="G357" t="s">
        <v>113</v>
      </c>
      <c r="H357" t="s">
        <v>3808</v>
      </c>
      <c r="I357" t="s">
        <v>3809</v>
      </c>
      <c r="J357" t="s">
        <v>3810</v>
      </c>
      <c r="K357" t="s">
        <v>1218</v>
      </c>
      <c r="L357" s="13">
        <v>43348</v>
      </c>
      <c r="M357">
        <v>5</v>
      </c>
      <c r="N357" t="s">
        <v>101</v>
      </c>
      <c r="O357" t="s">
        <v>3832</v>
      </c>
      <c r="P357" t="s">
        <v>76</v>
      </c>
      <c r="Q357" t="s">
        <v>76</v>
      </c>
      <c r="R357" t="s">
        <v>76</v>
      </c>
      <c r="S357" t="s">
        <v>76</v>
      </c>
      <c r="T357" t="s">
        <v>76</v>
      </c>
      <c r="U357">
        <v>1</v>
      </c>
      <c r="V357" s="13">
        <v>45175</v>
      </c>
      <c r="W357">
        <v>1</v>
      </c>
      <c r="X357">
        <v>1</v>
      </c>
      <c r="Y357" t="s">
        <v>3688</v>
      </c>
      <c r="AC357">
        <v>2346</v>
      </c>
      <c r="AD357" t="e" vm="349">
        <v>#VALUE!</v>
      </c>
    </row>
    <row r="358" spans="2:30" x14ac:dyDescent="0.25">
      <c r="B358">
        <v>2347</v>
      </c>
      <c r="C358" t="s">
        <v>3684</v>
      </c>
      <c r="D358" t="s">
        <v>3687</v>
      </c>
      <c r="E358" t="s">
        <v>3830</v>
      </c>
      <c r="F358" t="s">
        <v>116</v>
      </c>
      <c r="G358" t="s">
        <v>113</v>
      </c>
      <c r="H358" t="s">
        <v>3808</v>
      </c>
      <c r="I358" t="s">
        <v>3809</v>
      </c>
      <c r="J358" t="s">
        <v>3810</v>
      </c>
      <c r="K358" t="s">
        <v>1218</v>
      </c>
      <c r="L358" s="13">
        <v>43348</v>
      </c>
      <c r="M358">
        <v>5</v>
      </c>
      <c r="N358" t="s">
        <v>101</v>
      </c>
      <c r="O358" t="s">
        <v>3832</v>
      </c>
      <c r="P358" t="s">
        <v>76</v>
      </c>
      <c r="Q358" t="s">
        <v>76</v>
      </c>
      <c r="R358" t="s">
        <v>76</v>
      </c>
      <c r="S358" t="s">
        <v>76</v>
      </c>
      <c r="T358" t="s">
        <v>76</v>
      </c>
      <c r="U358">
        <v>1</v>
      </c>
      <c r="V358" s="13">
        <v>45175</v>
      </c>
      <c r="W358">
        <v>1</v>
      </c>
      <c r="X358">
        <v>1</v>
      </c>
      <c r="Y358" t="s">
        <v>3688</v>
      </c>
      <c r="AC358">
        <v>2347</v>
      </c>
      <c r="AD358" t="e" vm="350">
        <v>#VALUE!</v>
      </c>
    </row>
    <row r="359" spans="2:30" x14ac:dyDescent="0.25">
      <c r="B359">
        <v>2348</v>
      </c>
      <c r="C359" t="s">
        <v>3684</v>
      </c>
      <c r="D359" t="s">
        <v>3687</v>
      </c>
      <c r="E359" t="s">
        <v>3830</v>
      </c>
      <c r="F359" t="s">
        <v>116</v>
      </c>
      <c r="G359" t="s">
        <v>113</v>
      </c>
      <c r="H359" t="s">
        <v>3808</v>
      </c>
      <c r="I359" t="s">
        <v>3809</v>
      </c>
      <c r="J359" t="s">
        <v>3810</v>
      </c>
      <c r="K359" t="s">
        <v>1218</v>
      </c>
      <c r="L359" s="13">
        <v>43362</v>
      </c>
      <c r="M359">
        <v>5</v>
      </c>
      <c r="N359" t="s">
        <v>101</v>
      </c>
      <c r="O359" t="s">
        <v>3832</v>
      </c>
      <c r="P359" t="s">
        <v>76</v>
      </c>
      <c r="Q359" t="s">
        <v>76</v>
      </c>
      <c r="R359" t="s">
        <v>76</v>
      </c>
      <c r="S359" t="s">
        <v>76</v>
      </c>
      <c r="T359" t="s">
        <v>76</v>
      </c>
      <c r="U359">
        <v>1</v>
      </c>
      <c r="V359" s="13">
        <v>45175</v>
      </c>
      <c r="W359">
        <v>1</v>
      </c>
      <c r="X359">
        <v>1</v>
      </c>
      <c r="Y359" t="s">
        <v>3688</v>
      </c>
      <c r="AC359">
        <v>2348</v>
      </c>
      <c r="AD359" t="e" vm="351">
        <v>#VALUE!</v>
      </c>
    </row>
    <row r="360" spans="2:30" x14ac:dyDescent="0.25">
      <c r="B360">
        <v>2349</v>
      </c>
      <c r="C360" t="s">
        <v>3684</v>
      </c>
      <c r="D360" t="s">
        <v>3691</v>
      </c>
      <c r="E360" t="s">
        <v>3833</v>
      </c>
      <c r="F360" t="s">
        <v>93</v>
      </c>
      <c r="G360" t="s">
        <v>91</v>
      </c>
      <c r="H360" t="s">
        <v>3808</v>
      </c>
      <c r="I360" t="s">
        <v>3834</v>
      </c>
      <c r="J360" t="s">
        <v>3835</v>
      </c>
      <c r="K360" t="s">
        <v>1218</v>
      </c>
      <c r="L360" s="13">
        <v>43993</v>
      </c>
      <c r="M360">
        <v>3</v>
      </c>
      <c r="N360" t="s">
        <v>101</v>
      </c>
      <c r="O360" t="s">
        <v>3836</v>
      </c>
      <c r="P360" t="s">
        <v>76</v>
      </c>
      <c r="Q360" t="s">
        <v>76</v>
      </c>
      <c r="R360" t="s">
        <v>76</v>
      </c>
      <c r="S360" t="s">
        <v>76</v>
      </c>
      <c r="T360" t="s">
        <v>76</v>
      </c>
      <c r="U360">
        <v>1</v>
      </c>
      <c r="V360" s="13">
        <v>45175</v>
      </c>
      <c r="W360">
        <v>1</v>
      </c>
      <c r="X360">
        <v>1</v>
      </c>
      <c r="Y360" t="s">
        <v>3692</v>
      </c>
      <c r="AC360">
        <v>2349</v>
      </c>
      <c r="AD360" t="e" vm="352">
        <v>#VALUE!</v>
      </c>
    </row>
    <row r="361" spans="2:30" x14ac:dyDescent="0.25">
      <c r="B361">
        <v>2350</v>
      </c>
      <c r="C361" t="s">
        <v>3684</v>
      </c>
      <c r="D361" t="s">
        <v>3691</v>
      </c>
      <c r="E361" t="s">
        <v>3833</v>
      </c>
      <c r="F361" t="s">
        <v>93</v>
      </c>
      <c r="G361" t="s">
        <v>91</v>
      </c>
      <c r="H361" t="s">
        <v>3808</v>
      </c>
      <c r="I361" t="s">
        <v>3834</v>
      </c>
      <c r="J361" t="s">
        <v>3835</v>
      </c>
      <c r="K361" t="s">
        <v>1218</v>
      </c>
      <c r="L361" s="13">
        <v>44014</v>
      </c>
      <c r="M361">
        <v>3</v>
      </c>
      <c r="N361" t="s">
        <v>101</v>
      </c>
      <c r="O361" t="s">
        <v>3836</v>
      </c>
      <c r="P361" t="s">
        <v>76</v>
      </c>
      <c r="Q361" t="s">
        <v>76</v>
      </c>
      <c r="R361" t="s">
        <v>76</v>
      </c>
      <c r="S361" t="s">
        <v>76</v>
      </c>
      <c r="T361" t="s">
        <v>76</v>
      </c>
      <c r="U361">
        <v>1</v>
      </c>
      <c r="V361" s="13">
        <v>45175</v>
      </c>
      <c r="W361">
        <v>1</v>
      </c>
      <c r="X361">
        <v>1</v>
      </c>
      <c r="Y361" t="s">
        <v>3692</v>
      </c>
      <c r="AC361">
        <v>2350</v>
      </c>
      <c r="AD361" t="e" vm="353">
        <v>#VALUE!</v>
      </c>
    </row>
    <row r="362" spans="2:30" x14ac:dyDescent="0.25">
      <c r="B362">
        <v>2351</v>
      </c>
      <c r="C362" t="s">
        <v>3684</v>
      </c>
      <c r="D362" t="s">
        <v>3691</v>
      </c>
      <c r="E362" t="s">
        <v>3833</v>
      </c>
      <c r="F362" t="s">
        <v>93</v>
      </c>
      <c r="G362" t="s">
        <v>91</v>
      </c>
      <c r="H362" t="s">
        <v>3808</v>
      </c>
      <c r="I362" t="s">
        <v>3834</v>
      </c>
      <c r="J362" t="s">
        <v>3835</v>
      </c>
      <c r="K362" t="s">
        <v>1218</v>
      </c>
      <c r="L362" s="13">
        <v>43721</v>
      </c>
      <c r="M362">
        <v>4</v>
      </c>
      <c r="N362" t="s">
        <v>101</v>
      </c>
      <c r="O362" t="s">
        <v>3836</v>
      </c>
      <c r="P362" t="s">
        <v>76</v>
      </c>
      <c r="Q362" t="s">
        <v>76</v>
      </c>
      <c r="R362" t="s">
        <v>76</v>
      </c>
      <c r="S362" t="s">
        <v>76</v>
      </c>
      <c r="T362" t="s">
        <v>76</v>
      </c>
      <c r="U362">
        <v>1</v>
      </c>
      <c r="V362" s="13">
        <v>45175</v>
      </c>
      <c r="W362">
        <v>1</v>
      </c>
      <c r="X362">
        <v>1</v>
      </c>
      <c r="Y362" t="s">
        <v>3692</v>
      </c>
      <c r="AC362">
        <v>2351</v>
      </c>
      <c r="AD362" t="e" vm="354">
        <v>#VALUE!</v>
      </c>
    </row>
    <row r="363" spans="2:30" x14ac:dyDescent="0.25">
      <c r="B363">
        <v>2352</v>
      </c>
      <c r="C363" t="s">
        <v>3684</v>
      </c>
      <c r="D363" t="s">
        <v>3691</v>
      </c>
      <c r="E363" t="s">
        <v>3833</v>
      </c>
      <c r="F363" t="s">
        <v>93</v>
      </c>
      <c r="G363" t="s">
        <v>91</v>
      </c>
      <c r="H363" t="s">
        <v>3808</v>
      </c>
      <c r="I363" t="s">
        <v>3834</v>
      </c>
      <c r="J363" t="s">
        <v>3835</v>
      </c>
      <c r="K363" t="s">
        <v>1218</v>
      </c>
      <c r="L363" s="13">
        <v>43578</v>
      </c>
      <c r="M363">
        <v>4</v>
      </c>
      <c r="N363" t="s">
        <v>101</v>
      </c>
      <c r="O363" t="s">
        <v>3836</v>
      </c>
      <c r="P363" t="s">
        <v>76</v>
      </c>
      <c r="Q363" t="s">
        <v>76</v>
      </c>
      <c r="R363" t="s">
        <v>76</v>
      </c>
      <c r="S363" t="s">
        <v>76</v>
      </c>
      <c r="T363" t="s">
        <v>76</v>
      </c>
      <c r="U363">
        <v>1</v>
      </c>
      <c r="V363" s="13">
        <v>45175</v>
      </c>
      <c r="W363">
        <v>1</v>
      </c>
      <c r="X363">
        <v>1</v>
      </c>
      <c r="Y363" t="s">
        <v>3692</v>
      </c>
      <c r="AC363">
        <v>2352</v>
      </c>
      <c r="AD363" t="e" vm="355">
        <v>#VALUE!</v>
      </c>
    </row>
    <row r="364" spans="2:30" x14ac:dyDescent="0.25">
      <c r="B364">
        <v>2353</v>
      </c>
      <c r="C364" t="s">
        <v>3684</v>
      </c>
      <c r="D364" t="s">
        <v>3691</v>
      </c>
      <c r="E364" t="s">
        <v>3833</v>
      </c>
      <c r="F364" t="s">
        <v>93</v>
      </c>
      <c r="G364" t="s">
        <v>91</v>
      </c>
      <c r="H364" t="s">
        <v>3808</v>
      </c>
      <c r="I364" t="s">
        <v>3834</v>
      </c>
      <c r="J364" t="s">
        <v>3835</v>
      </c>
      <c r="K364" t="s">
        <v>1218</v>
      </c>
      <c r="L364" s="13">
        <v>43578</v>
      </c>
      <c r="M364">
        <v>4</v>
      </c>
      <c r="N364" t="s">
        <v>101</v>
      </c>
      <c r="O364" t="s">
        <v>3836</v>
      </c>
      <c r="P364" t="s">
        <v>76</v>
      </c>
      <c r="Q364" t="s">
        <v>76</v>
      </c>
      <c r="R364" t="s">
        <v>76</v>
      </c>
      <c r="S364" t="s">
        <v>76</v>
      </c>
      <c r="T364" t="s">
        <v>76</v>
      </c>
      <c r="U364">
        <v>1</v>
      </c>
      <c r="V364" s="13">
        <v>45175</v>
      </c>
      <c r="W364">
        <v>1</v>
      </c>
      <c r="X364">
        <v>1</v>
      </c>
      <c r="Y364" t="s">
        <v>3692</v>
      </c>
      <c r="AC364">
        <v>2353</v>
      </c>
      <c r="AD364" t="e" vm="356">
        <v>#VALUE!</v>
      </c>
    </row>
    <row r="365" spans="2:30" x14ac:dyDescent="0.25">
      <c r="B365">
        <v>2354</v>
      </c>
      <c r="C365" t="s">
        <v>3684</v>
      </c>
      <c r="D365" t="s">
        <v>3691</v>
      </c>
      <c r="E365" t="s">
        <v>3833</v>
      </c>
      <c r="F365" t="s">
        <v>93</v>
      </c>
      <c r="G365" t="s">
        <v>91</v>
      </c>
      <c r="H365" t="s">
        <v>3808</v>
      </c>
      <c r="I365" t="s">
        <v>3834</v>
      </c>
      <c r="J365" t="s">
        <v>3835</v>
      </c>
      <c r="K365" t="s">
        <v>1218</v>
      </c>
      <c r="L365" s="13">
        <v>43672</v>
      </c>
      <c r="M365">
        <v>4</v>
      </c>
      <c r="N365" t="s">
        <v>101</v>
      </c>
      <c r="O365" t="s">
        <v>3836</v>
      </c>
      <c r="P365" t="s">
        <v>76</v>
      </c>
      <c r="Q365" t="s">
        <v>76</v>
      </c>
      <c r="R365" t="s">
        <v>76</v>
      </c>
      <c r="S365" t="s">
        <v>76</v>
      </c>
      <c r="T365" t="s">
        <v>76</v>
      </c>
      <c r="U365">
        <v>1</v>
      </c>
      <c r="V365" s="13">
        <v>45175</v>
      </c>
      <c r="W365">
        <v>1</v>
      </c>
      <c r="X365">
        <v>1</v>
      </c>
      <c r="Y365" t="s">
        <v>3692</v>
      </c>
      <c r="AC365">
        <v>2354</v>
      </c>
      <c r="AD365" t="e" vm="357">
        <v>#VALUE!</v>
      </c>
    </row>
    <row r="366" spans="2:30" x14ac:dyDescent="0.25">
      <c r="B366">
        <v>2355</v>
      </c>
      <c r="C366" t="s">
        <v>3684</v>
      </c>
      <c r="D366" t="s">
        <v>3691</v>
      </c>
      <c r="E366" t="s">
        <v>3833</v>
      </c>
      <c r="F366" t="s">
        <v>93</v>
      </c>
      <c r="G366" t="s">
        <v>91</v>
      </c>
      <c r="H366" t="s">
        <v>3808</v>
      </c>
      <c r="I366" t="s">
        <v>3834</v>
      </c>
      <c r="J366" t="s">
        <v>3835</v>
      </c>
      <c r="K366" t="s">
        <v>1218</v>
      </c>
      <c r="L366" s="13">
        <v>43642</v>
      </c>
      <c r="M366">
        <v>4</v>
      </c>
      <c r="N366" t="s">
        <v>101</v>
      </c>
      <c r="O366" t="s">
        <v>3836</v>
      </c>
      <c r="P366" t="s">
        <v>76</v>
      </c>
      <c r="Q366" t="s">
        <v>76</v>
      </c>
      <c r="R366" t="s">
        <v>76</v>
      </c>
      <c r="S366" t="s">
        <v>76</v>
      </c>
      <c r="T366" t="s">
        <v>76</v>
      </c>
      <c r="U366">
        <v>1</v>
      </c>
      <c r="V366" s="13">
        <v>45175</v>
      </c>
      <c r="W366">
        <v>1</v>
      </c>
      <c r="X366">
        <v>1</v>
      </c>
      <c r="Y366" t="s">
        <v>3692</v>
      </c>
      <c r="AC366">
        <v>2355</v>
      </c>
      <c r="AD366" t="e" vm="358">
        <v>#VALUE!</v>
      </c>
    </row>
    <row r="367" spans="2:30" x14ac:dyDescent="0.25">
      <c r="B367">
        <v>2356</v>
      </c>
      <c r="C367" t="s">
        <v>3684</v>
      </c>
      <c r="D367" t="s">
        <v>3691</v>
      </c>
      <c r="E367" t="s">
        <v>3833</v>
      </c>
      <c r="F367" t="s">
        <v>93</v>
      </c>
      <c r="G367" t="s">
        <v>91</v>
      </c>
      <c r="H367" t="s">
        <v>3808</v>
      </c>
      <c r="I367" t="s">
        <v>3834</v>
      </c>
      <c r="J367" t="s">
        <v>3835</v>
      </c>
      <c r="K367" t="s">
        <v>1218</v>
      </c>
      <c r="L367" s="13">
        <v>43633</v>
      </c>
      <c r="M367">
        <v>4</v>
      </c>
      <c r="N367" t="s">
        <v>101</v>
      </c>
      <c r="O367" t="s">
        <v>3836</v>
      </c>
      <c r="P367" t="s">
        <v>76</v>
      </c>
      <c r="Q367" t="s">
        <v>76</v>
      </c>
      <c r="R367" t="s">
        <v>76</v>
      </c>
      <c r="S367" t="s">
        <v>76</v>
      </c>
      <c r="T367" t="s">
        <v>76</v>
      </c>
      <c r="U367">
        <v>1</v>
      </c>
      <c r="V367" s="13">
        <v>45175</v>
      </c>
      <c r="W367">
        <v>1</v>
      </c>
      <c r="X367">
        <v>1</v>
      </c>
      <c r="Y367" t="s">
        <v>3692</v>
      </c>
      <c r="AC367">
        <v>2356</v>
      </c>
      <c r="AD367" t="e" vm="359">
        <v>#VALUE!</v>
      </c>
    </row>
    <row r="368" spans="2:30" x14ac:dyDescent="0.25">
      <c r="B368">
        <v>2357</v>
      </c>
      <c r="C368" t="s">
        <v>3684</v>
      </c>
      <c r="D368" t="s">
        <v>3691</v>
      </c>
      <c r="E368" t="s">
        <v>3833</v>
      </c>
      <c r="F368" t="s">
        <v>93</v>
      </c>
      <c r="G368" t="s">
        <v>91</v>
      </c>
      <c r="H368" t="s">
        <v>3808</v>
      </c>
      <c r="I368" t="s">
        <v>3834</v>
      </c>
      <c r="J368" t="s">
        <v>3835</v>
      </c>
      <c r="K368" t="s">
        <v>1218</v>
      </c>
      <c r="L368" s="13">
        <v>43665</v>
      </c>
      <c r="M368">
        <v>4</v>
      </c>
      <c r="N368" t="s">
        <v>101</v>
      </c>
      <c r="O368" t="s">
        <v>3836</v>
      </c>
      <c r="P368" t="s">
        <v>76</v>
      </c>
      <c r="Q368" t="s">
        <v>76</v>
      </c>
      <c r="R368" t="s">
        <v>76</v>
      </c>
      <c r="S368" t="s">
        <v>76</v>
      </c>
      <c r="T368" t="s">
        <v>76</v>
      </c>
      <c r="U368">
        <v>1</v>
      </c>
      <c r="V368" s="13">
        <v>45175</v>
      </c>
      <c r="W368">
        <v>1</v>
      </c>
      <c r="X368">
        <v>1</v>
      </c>
      <c r="Y368" t="s">
        <v>3692</v>
      </c>
      <c r="AC368">
        <v>2357</v>
      </c>
      <c r="AD368" t="e" vm="360">
        <v>#VALUE!</v>
      </c>
    </row>
    <row r="369" spans="2:30" x14ac:dyDescent="0.25">
      <c r="B369">
        <v>2358</v>
      </c>
      <c r="C369" t="s">
        <v>3684</v>
      </c>
      <c r="D369" t="s">
        <v>3691</v>
      </c>
      <c r="E369" t="s">
        <v>3833</v>
      </c>
      <c r="F369" t="s">
        <v>93</v>
      </c>
      <c r="G369" t="s">
        <v>91</v>
      </c>
      <c r="H369" t="s">
        <v>3808</v>
      </c>
      <c r="I369" t="s">
        <v>3834</v>
      </c>
      <c r="J369" t="s">
        <v>3835</v>
      </c>
      <c r="K369" t="s">
        <v>1218</v>
      </c>
      <c r="L369" s="13">
        <v>43665</v>
      </c>
      <c r="M369">
        <v>4</v>
      </c>
      <c r="N369" t="s">
        <v>101</v>
      </c>
      <c r="O369" t="s">
        <v>3836</v>
      </c>
      <c r="P369" t="s">
        <v>76</v>
      </c>
      <c r="Q369" t="s">
        <v>76</v>
      </c>
      <c r="R369" t="s">
        <v>76</v>
      </c>
      <c r="S369" t="s">
        <v>76</v>
      </c>
      <c r="T369" t="s">
        <v>76</v>
      </c>
      <c r="U369">
        <v>1</v>
      </c>
      <c r="V369" s="13">
        <v>45175</v>
      </c>
      <c r="W369">
        <v>1</v>
      </c>
      <c r="X369">
        <v>1</v>
      </c>
      <c r="Y369" t="s">
        <v>3692</v>
      </c>
      <c r="AC369">
        <v>2358</v>
      </c>
      <c r="AD369" t="e" vm="361">
        <v>#VALUE!</v>
      </c>
    </row>
    <row r="370" spans="2:30" x14ac:dyDescent="0.25">
      <c r="B370">
        <v>2359</v>
      </c>
      <c r="C370" t="s">
        <v>3684</v>
      </c>
      <c r="D370" t="s">
        <v>3691</v>
      </c>
      <c r="E370" t="s">
        <v>3833</v>
      </c>
      <c r="F370" t="s">
        <v>93</v>
      </c>
      <c r="G370" t="s">
        <v>91</v>
      </c>
      <c r="H370" t="s">
        <v>3808</v>
      </c>
      <c r="I370" t="s">
        <v>3834</v>
      </c>
      <c r="J370" t="s">
        <v>3835</v>
      </c>
      <c r="K370" t="s">
        <v>1218</v>
      </c>
      <c r="L370" s="13">
        <v>43673</v>
      </c>
      <c r="M370">
        <v>4</v>
      </c>
      <c r="N370" t="s">
        <v>101</v>
      </c>
      <c r="O370" t="s">
        <v>3836</v>
      </c>
      <c r="P370" t="s">
        <v>76</v>
      </c>
      <c r="Q370" t="s">
        <v>76</v>
      </c>
      <c r="R370" t="s">
        <v>76</v>
      </c>
      <c r="S370" t="s">
        <v>76</v>
      </c>
      <c r="T370" t="s">
        <v>76</v>
      </c>
      <c r="U370">
        <v>1</v>
      </c>
      <c r="V370" s="13">
        <v>45175</v>
      </c>
      <c r="W370">
        <v>1</v>
      </c>
      <c r="X370">
        <v>1</v>
      </c>
      <c r="Y370" t="s">
        <v>3692</v>
      </c>
      <c r="AC370">
        <v>2359</v>
      </c>
      <c r="AD370" t="e" vm="362">
        <v>#VALUE!</v>
      </c>
    </row>
    <row r="371" spans="2:30" x14ac:dyDescent="0.25">
      <c r="B371">
        <v>2360</v>
      </c>
      <c r="C371" t="s">
        <v>3684</v>
      </c>
      <c r="D371" t="s">
        <v>3691</v>
      </c>
      <c r="E371" t="s">
        <v>3833</v>
      </c>
      <c r="F371" t="s">
        <v>93</v>
      </c>
      <c r="G371" t="s">
        <v>91</v>
      </c>
      <c r="H371" t="s">
        <v>3808</v>
      </c>
      <c r="I371" t="s">
        <v>3834</v>
      </c>
      <c r="J371" t="s">
        <v>3835</v>
      </c>
      <c r="K371" t="s">
        <v>1218</v>
      </c>
      <c r="L371" s="13">
        <v>43672</v>
      </c>
      <c r="M371">
        <v>4</v>
      </c>
      <c r="N371" t="s">
        <v>101</v>
      </c>
      <c r="O371" t="s">
        <v>3836</v>
      </c>
      <c r="P371" t="s">
        <v>76</v>
      </c>
      <c r="Q371" t="s">
        <v>76</v>
      </c>
      <c r="R371" t="s">
        <v>76</v>
      </c>
      <c r="S371" t="s">
        <v>76</v>
      </c>
      <c r="T371" t="s">
        <v>76</v>
      </c>
      <c r="U371">
        <v>1</v>
      </c>
      <c r="V371" s="13">
        <v>45175</v>
      </c>
      <c r="W371">
        <v>1</v>
      </c>
      <c r="X371">
        <v>1</v>
      </c>
      <c r="Y371" t="s">
        <v>3692</v>
      </c>
      <c r="AC371">
        <v>2360</v>
      </c>
      <c r="AD371" t="e" vm="363">
        <v>#VALUE!</v>
      </c>
    </row>
    <row r="372" spans="2:30" x14ac:dyDescent="0.25">
      <c r="B372">
        <v>2361</v>
      </c>
      <c r="C372" t="s">
        <v>3684</v>
      </c>
      <c r="D372" t="s">
        <v>3691</v>
      </c>
      <c r="E372" t="s">
        <v>3833</v>
      </c>
      <c r="F372" t="s">
        <v>93</v>
      </c>
      <c r="G372" t="s">
        <v>91</v>
      </c>
      <c r="H372" t="s">
        <v>3808</v>
      </c>
      <c r="I372" t="s">
        <v>3834</v>
      </c>
      <c r="J372" t="s">
        <v>3835</v>
      </c>
      <c r="K372" t="s">
        <v>1218</v>
      </c>
      <c r="L372" s="13">
        <v>43672</v>
      </c>
      <c r="M372">
        <v>4</v>
      </c>
      <c r="N372" t="s">
        <v>101</v>
      </c>
      <c r="O372" t="s">
        <v>3836</v>
      </c>
      <c r="P372" t="s">
        <v>76</v>
      </c>
      <c r="Q372" t="s">
        <v>76</v>
      </c>
      <c r="R372" t="s">
        <v>76</v>
      </c>
      <c r="S372" t="s">
        <v>76</v>
      </c>
      <c r="T372" t="s">
        <v>76</v>
      </c>
      <c r="U372">
        <v>1</v>
      </c>
      <c r="V372" s="13">
        <v>45175</v>
      </c>
      <c r="W372">
        <v>1</v>
      </c>
      <c r="X372">
        <v>1</v>
      </c>
      <c r="Y372" t="s">
        <v>3692</v>
      </c>
      <c r="AC372">
        <v>2361</v>
      </c>
      <c r="AD372" t="e" vm="364">
        <v>#VALUE!</v>
      </c>
    </row>
    <row r="373" spans="2:30" x14ac:dyDescent="0.25">
      <c r="B373">
        <v>2362</v>
      </c>
      <c r="C373" t="s">
        <v>3684</v>
      </c>
      <c r="D373" t="s">
        <v>3691</v>
      </c>
      <c r="E373" t="s">
        <v>3833</v>
      </c>
      <c r="F373" t="s">
        <v>93</v>
      </c>
      <c r="G373" t="s">
        <v>91</v>
      </c>
      <c r="H373" t="s">
        <v>3808</v>
      </c>
      <c r="I373" t="s">
        <v>3834</v>
      </c>
      <c r="J373" t="s">
        <v>3835</v>
      </c>
      <c r="K373" t="s">
        <v>1218</v>
      </c>
      <c r="L373" s="13">
        <v>43721</v>
      </c>
      <c r="M373">
        <v>4</v>
      </c>
      <c r="N373" t="s">
        <v>101</v>
      </c>
      <c r="O373" t="s">
        <v>3836</v>
      </c>
      <c r="P373" t="s">
        <v>76</v>
      </c>
      <c r="Q373" t="s">
        <v>76</v>
      </c>
      <c r="R373" t="s">
        <v>76</v>
      </c>
      <c r="S373" t="s">
        <v>76</v>
      </c>
      <c r="T373" t="s">
        <v>76</v>
      </c>
      <c r="U373">
        <v>1</v>
      </c>
      <c r="V373" s="13">
        <v>45175</v>
      </c>
      <c r="W373">
        <v>1</v>
      </c>
      <c r="X373">
        <v>1</v>
      </c>
      <c r="Y373" t="s">
        <v>3692</v>
      </c>
      <c r="AC373">
        <v>2362</v>
      </c>
      <c r="AD373" t="e" vm="365">
        <v>#VALUE!</v>
      </c>
    </row>
    <row r="374" spans="2:30" x14ac:dyDescent="0.25">
      <c r="B374">
        <v>2363</v>
      </c>
      <c r="C374" t="s">
        <v>3646</v>
      </c>
      <c r="D374" t="s">
        <v>3647</v>
      </c>
      <c r="E374" t="s">
        <v>3807</v>
      </c>
      <c r="F374" t="s">
        <v>105</v>
      </c>
      <c r="G374" t="s">
        <v>108</v>
      </c>
      <c r="H374" t="s">
        <v>3808</v>
      </c>
      <c r="I374" t="s">
        <v>3809</v>
      </c>
      <c r="J374" t="s">
        <v>3827</v>
      </c>
      <c r="K374" t="s">
        <v>1218</v>
      </c>
      <c r="L374" s="13">
        <v>43644</v>
      </c>
      <c r="M374">
        <v>4</v>
      </c>
      <c r="N374" t="s">
        <v>90</v>
      </c>
      <c r="O374" t="s">
        <v>3837</v>
      </c>
      <c r="P374" t="s">
        <v>76</v>
      </c>
      <c r="Q374" t="s">
        <v>76</v>
      </c>
      <c r="R374" t="s">
        <v>76</v>
      </c>
      <c r="S374" t="s">
        <v>76</v>
      </c>
      <c r="T374" t="s">
        <v>76</v>
      </c>
      <c r="U374">
        <v>1</v>
      </c>
      <c r="V374" s="13">
        <v>45175</v>
      </c>
      <c r="W374">
        <v>1</v>
      </c>
      <c r="X374">
        <v>1</v>
      </c>
      <c r="Y374" t="s">
        <v>3648</v>
      </c>
      <c r="AC374">
        <v>2363</v>
      </c>
      <c r="AD374" t="e" vm="366">
        <v>#VALUE!</v>
      </c>
    </row>
    <row r="375" spans="2:30" x14ac:dyDescent="0.25">
      <c r="B375">
        <v>2364</v>
      </c>
      <c r="C375" t="s">
        <v>3646</v>
      </c>
      <c r="D375" t="s">
        <v>3647</v>
      </c>
      <c r="E375" t="s">
        <v>3807</v>
      </c>
      <c r="F375" t="s">
        <v>105</v>
      </c>
      <c r="G375" t="s">
        <v>108</v>
      </c>
      <c r="H375" t="s">
        <v>3808</v>
      </c>
      <c r="I375" t="s">
        <v>3809</v>
      </c>
      <c r="J375" t="s">
        <v>3827</v>
      </c>
      <c r="K375" t="s">
        <v>1218</v>
      </c>
      <c r="L375" s="13">
        <v>43851</v>
      </c>
      <c r="M375">
        <v>4</v>
      </c>
      <c r="N375" t="s">
        <v>90</v>
      </c>
      <c r="O375" t="s">
        <v>3837</v>
      </c>
      <c r="P375" t="s">
        <v>76</v>
      </c>
      <c r="Q375" t="s">
        <v>76</v>
      </c>
      <c r="R375" t="s">
        <v>76</v>
      </c>
      <c r="S375" t="s">
        <v>76</v>
      </c>
      <c r="T375" t="s">
        <v>76</v>
      </c>
      <c r="U375">
        <v>1</v>
      </c>
      <c r="V375" s="13">
        <v>45175</v>
      </c>
      <c r="W375">
        <v>1</v>
      </c>
      <c r="X375">
        <v>1</v>
      </c>
      <c r="Y375" t="s">
        <v>3648</v>
      </c>
      <c r="AC375">
        <v>2364</v>
      </c>
      <c r="AD375" t="e" vm="367">
        <v>#VALUE!</v>
      </c>
    </row>
    <row r="376" spans="2:30" x14ac:dyDescent="0.25">
      <c r="B376">
        <v>2365</v>
      </c>
      <c r="C376" t="s">
        <v>3646</v>
      </c>
      <c r="D376" t="s">
        <v>3647</v>
      </c>
      <c r="E376" t="s">
        <v>3807</v>
      </c>
      <c r="F376" t="s">
        <v>105</v>
      </c>
      <c r="G376" t="s">
        <v>108</v>
      </c>
      <c r="H376" t="s">
        <v>3808</v>
      </c>
      <c r="I376" t="s">
        <v>3809</v>
      </c>
      <c r="J376" t="s">
        <v>3827</v>
      </c>
      <c r="K376" t="s">
        <v>1218</v>
      </c>
      <c r="L376" s="13">
        <v>43854</v>
      </c>
      <c r="M376">
        <v>4</v>
      </c>
      <c r="N376" t="s">
        <v>90</v>
      </c>
      <c r="O376" t="s">
        <v>3837</v>
      </c>
      <c r="P376" t="s">
        <v>76</v>
      </c>
      <c r="Q376" t="s">
        <v>76</v>
      </c>
      <c r="R376" t="s">
        <v>76</v>
      </c>
      <c r="S376" t="s">
        <v>76</v>
      </c>
      <c r="T376" t="s">
        <v>76</v>
      </c>
      <c r="U376">
        <v>1</v>
      </c>
      <c r="V376" s="13">
        <v>45175</v>
      </c>
      <c r="W376">
        <v>1</v>
      </c>
      <c r="X376">
        <v>1</v>
      </c>
      <c r="Y376" t="s">
        <v>3648</v>
      </c>
      <c r="AC376">
        <v>2365</v>
      </c>
      <c r="AD376" t="e" vm="368">
        <v>#VALUE!</v>
      </c>
    </row>
    <row r="377" spans="2:30" x14ac:dyDescent="0.25">
      <c r="B377">
        <v>2366</v>
      </c>
      <c r="C377" t="s">
        <v>3646</v>
      </c>
      <c r="D377" t="s">
        <v>3647</v>
      </c>
      <c r="E377" t="s">
        <v>3807</v>
      </c>
      <c r="F377" t="s">
        <v>105</v>
      </c>
      <c r="G377" t="s">
        <v>108</v>
      </c>
      <c r="H377" t="s">
        <v>3808</v>
      </c>
      <c r="I377" t="s">
        <v>3809</v>
      </c>
      <c r="J377" t="s">
        <v>3827</v>
      </c>
      <c r="K377" t="s">
        <v>1218</v>
      </c>
      <c r="L377" s="13">
        <v>43899</v>
      </c>
      <c r="M377">
        <v>4</v>
      </c>
      <c r="N377" t="s">
        <v>90</v>
      </c>
      <c r="O377" t="s">
        <v>3837</v>
      </c>
      <c r="P377" t="s">
        <v>76</v>
      </c>
      <c r="Q377" t="s">
        <v>76</v>
      </c>
      <c r="R377" t="s">
        <v>76</v>
      </c>
      <c r="S377" t="s">
        <v>76</v>
      </c>
      <c r="T377" t="s">
        <v>76</v>
      </c>
      <c r="U377">
        <v>1</v>
      </c>
      <c r="V377" s="13">
        <v>45175</v>
      </c>
      <c r="W377">
        <v>1</v>
      </c>
      <c r="X377">
        <v>1</v>
      </c>
      <c r="Y377" t="s">
        <v>3648</v>
      </c>
      <c r="AC377">
        <v>2366</v>
      </c>
      <c r="AD377" t="e" vm="369">
        <v>#VALUE!</v>
      </c>
    </row>
    <row r="378" spans="2:30" x14ac:dyDescent="0.25">
      <c r="B378">
        <v>2367</v>
      </c>
      <c r="C378" t="s">
        <v>3646</v>
      </c>
      <c r="D378" t="s">
        <v>3647</v>
      </c>
      <c r="E378" t="s">
        <v>3807</v>
      </c>
      <c r="F378" t="s">
        <v>105</v>
      </c>
      <c r="G378" t="s">
        <v>108</v>
      </c>
      <c r="H378" t="s">
        <v>3808</v>
      </c>
      <c r="I378" t="s">
        <v>3809</v>
      </c>
      <c r="J378" t="s">
        <v>3827</v>
      </c>
      <c r="K378" t="s">
        <v>1218</v>
      </c>
      <c r="L378" s="13">
        <v>43802</v>
      </c>
      <c r="M378">
        <v>4</v>
      </c>
      <c r="N378" t="s">
        <v>90</v>
      </c>
      <c r="O378" t="s">
        <v>3837</v>
      </c>
      <c r="P378" t="s">
        <v>76</v>
      </c>
      <c r="Q378" t="s">
        <v>76</v>
      </c>
      <c r="R378" t="s">
        <v>76</v>
      </c>
      <c r="S378" t="s">
        <v>76</v>
      </c>
      <c r="T378" t="s">
        <v>76</v>
      </c>
      <c r="U378">
        <v>1</v>
      </c>
      <c r="V378" s="13">
        <v>45175</v>
      </c>
      <c r="W378">
        <v>1</v>
      </c>
      <c r="X378">
        <v>1</v>
      </c>
      <c r="Y378" t="s">
        <v>3648</v>
      </c>
      <c r="AC378">
        <v>2367</v>
      </c>
      <c r="AD378" t="e" vm="370">
        <v>#VALUE!</v>
      </c>
    </row>
    <row r="379" spans="2:30" x14ac:dyDescent="0.25">
      <c r="B379">
        <v>2368</v>
      </c>
      <c r="C379" t="s">
        <v>3646</v>
      </c>
      <c r="D379" t="s">
        <v>3647</v>
      </c>
      <c r="E379" t="s">
        <v>3807</v>
      </c>
      <c r="F379" t="s">
        <v>105</v>
      </c>
      <c r="G379" t="s">
        <v>108</v>
      </c>
      <c r="H379" t="s">
        <v>3808</v>
      </c>
      <c r="I379" t="s">
        <v>3809</v>
      </c>
      <c r="J379" t="s">
        <v>3827</v>
      </c>
      <c r="K379" t="s">
        <v>1218</v>
      </c>
      <c r="L379" s="13">
        <v>43819</v>
      </c>
      <c r="M379">
        <v>4</v>
      </c>
      <c r="N379" t="s">
        <v>90</v>
      </c>
      <c r="O379" t="s">
        <v>3837</v>
      </c>
      <c r="P379" t="s">
        <v>76</v>
      </c>
      <c r="Q379" t="s">
        <v>76</v>
      </c>
      <c r="R379" t="s">
        <v>76</v>
      </c>
      <c r="S379" t="s">
        <v>76</v>
      </c>
      <c r="T379" t="s">
        <v>76</v>
      </c>
      <c r="U379">
        <v>1</v>
      </c>
      <c r="V379" s="13">
        <v>45175</v>
      </c>
      <c r="W379">
        <v>1</v>
      </c>
      <c r="X379">
        <v>1</v>
      </c>
      <c r="Y379" t="s">
        <v>3648</v>
      </c>
      <c r="AC379">
        <v>2368</v>
      </c>
      <c r="AD379" t="e" vm="371">
        <v>#VALUE!</v>
      </c>
    </row>
    <row r="380" spans="2:30" x14ac:dyDescent="0.25">
      <c r="B380">
        <v>2369</v>
      </c>
      <c r="C380" t="s">
        <v>3646</v>
      </c>
      <c r="D380" t="s">
        <v>3647</v>
      </c>
      <c r="E380" t="s">
        <v>3807</v>
      </c>
      <c r="F380" t="s">
        <v>105</v>
      </c>
      <c r="G380" t="s">
        <v>108</v>
      </c>
      <c r="H380" t="s">
        <v>3808</v>
      </c>
      <c r="I380" t="s">
        <v>3809</v>
      </c>
      <c r="J380" t="s">
        <v>3827</v>
      </c>
      <c r="K380" t="s">
        <v>1218</v>
      </c>
      <c r="L380" s="13">
        <v>43690</v>
      </c>
      <c r="M380">
        <v>4</v>
      </c>
      <c r="N380" t="s">
        <v>90</v>
      </c>
      <c r="O380" t="s">
        <v>3837</v>
      </c>
      <c r="P380" t="s">
        <v>76</v>
      </c>
      <c r="Q380" t="s">
        <v>76</v>
      </c>
      <c r="R380" t="s">
        <v>76</v>
      </c>
      <c r="S380" t="s">
        <v>76</v>
      </c>
      <c r="T380" t="s">
        <v>76</v>
      </c>
      <c r="U380">
        <v>1</v>
      </c>
      <c r="V380" s="13">
        <v>45175</v>
      </c>
      <c r="W380">
        <v>1</v>
      </c>
      <c r="X380">
        <v>1</v>
      </c>
      <c r="Y380" t="s">
        <v>3648</v>
      </c>
      <c r="AC380">
        <v>2369</v>
      </c>
      <c r="AD380" t="e" vm="372">
        <v>#VALUE!</v>
      </c>
    </row>
    <row r="381" spans="2:30" x14ac:dyDescent="0.25">
      <c r="B381">
        <v>2370</v>
      </c>
      <c r="C381" t="s">
        <v>3646</v>
      </c>
      <c r="D381" t="s">
        <v>3647</v>
      </c>
      <c r="E381" t="s">
        <v>3807</v>
      </c>
      <c r="F381" t="s">
        <v>105</v>
      </c>
      <c r="G381" t="s">
        <v>108</v>
      </c>
      <c r="H381" t="s">
        <v>3808</v>
      </c>
      <c r="I381" t="s">
        <v>3809</v>
      </c>
      <c r="J381" t="s">
        <v>3827</v>
      </c>
      <c r="K381" t="s">
        <v>1218</v>
      </c>
      <c r="L381" s="13">
        <v>43899</v>
      </c>
      <c r="M381">
        <v>4</v>
      </c>
      <c r="N381" t="s">
        <v>90</v>
      </c>
      <c r="O381" t="s">
        <v>3837</v>
      </c>
      <c r="P381" t="s">
        <v>76</v>
      </c>
      <c r="Q381" t="s">
        <v>76</v>
      </c>
      <c r="R381" t="s">
        <v>76</v>
      </c>
      <c r="S381" t="s">
        <v>76</v>
      </c>
      <c r="T381" t="s">
        <v>76</v>
      </c>
      <c r="U381">
        <v>1</v>
      </c>
      <c r="V381" s="13">
        <v>45175</v>
      </c>
      <c r="W381">
        <v>1</v>
      </c>
      <c r="X381">
        <v>1</v>
      </c>
      <c r="Y381" t="s">
        <v>3648</v>
      </c>
      <c r="AC381">
        <v>2370</v>
      </c>
      <c r="AD381" t="e" vm="373">
        <v>#VALUE!</v>
      </c>
    </row>
    <row r="382" spans="2:30" x14ac:dyDescent="0.25">
      <c r="B382">
        <v>2371</v>
      </c>
      <c r="C382" t="s">
        <v>3646</v>
      </c>
      <c r="D382" t="s">
        <v>3647</v>
      </c>
      <c r="E382" t="s">
        <v>3807</v>
      </c>
      <c r="F382" t="s">
        <v>105</v>
      </c>
      <c r="G382" t="s">
        <v>108</v>
      </c>
      <c r="H382" t="s">
        <v>3808</v>
      </c>
      <c r="I382" t="s">
        <v>3809</v>
      </c>
      <c r="J382" t="s">
        <v>3827</v>
      </c>
      <c r="K382" t="s">
        <v>1218</v>
      </c>
      <c r="L382" s="13">
        <v>43671</v>
      </c>
      <c r="M382">
        <v>4</v>
      </c>
      <c r="N382" t="s">
        <v>90</v>
      </c>
      <c r="O382" t="s">
        <v>3837</v>
      </c>
      <c r="P382" t="s">
        <v>76</v>
      </c>
      <c r="Q382" t="s">
        <v>76</v>
      </c>
      <c r="R382" t="s">
        <v>76</v>
      </c>
      <c r="S382" t="s">
        <v>76</v>
      </c>
      <c r="T382" t="s">
        <v>76</v>
      </c>
      <c r="U382">
        <v>1</v>
      </c>
      <c r="V382" s="13">
        <v>45175</v>
      </c>
      <c r="W382">
        <v>1</v>
      </c>
      <c r="X382">
        <v>1</v>
      </c>
      <c r="Y382" t="s">
        <v>3648</v>
      </c>
      <c r="AC382">
        <v>2371</v>
      </c>
      <c r="AD382" t="e" vm="374">
        <v>#VALUE!</v>
      </c>
    </row>
    <row r="383" spans="2:30" x14ac:dyDescent="0.25">
      <c r="B383">
        <v>2372</v>
      </c>
      <c r="C383" t="s">
        <v>3646</v>
      </c>
      <c r="D383" t="s">
        <v>3647</v>
      </c>
      <c r="E383" t="s">
        <v>3807</v>
      </c>
      <c r="F383" t="s">
        <v>105</v>
      </c>
      <c r="G383" t="s">
        <v>108</v>
      </c>
      <c r="H383" t="s">
        <v>3808</v>
      </c>
      <c r="I383" t="s">
        <v>3809</v>
      </c>
      <c r="J383" t="s">
        <v>3827</v>
      </c>
      <c r="K383" t="s">
        <v>1218</v>
      </c>
      <c r="L383" s="13">
        <v>43671</v>
      </c>
      <c r="M383">
        <v>4</v>
      </c>
      <c r="N383" t="s">
        <v>90</v>
      </c>
      <c r="O383" t="s">
        <v>3837</v>
      </c>
      <c r="P383" t="s">
        <v>76</v>
      </c>
      <c r="Q383" t="s">
        <v>76</v>
      </c>
      <c r="R383" t="s">
        <v>76</v>
      </c>
      <c r="S383" t="s">
        <v>76</v>
      </c>
      <c r="T383" t="s">
        <v>76</v>
      </c>
      <c r="U383">
        <v>1</v>
      </c>
      <c r="V383" s="13">
        <v>45175</v>
      </c>
      <c r="W383">
        <v>1</v>
      </c>
      <c r="X383">
        <v>1</v>
      </c>
      <c r="Y383" t="s">
        <v>3648</v>
      </c>
      <c r="AC383">
        <v>2372</v>
      </c>
      <c r="AD383" t="e" vm="375">
        <v>#VALUE!</v>
      </c>
    </row>
    <row r="384" spans="2:30" x14ac:dyDescent="0.25">
      <c r="B384">
        <v>2373</v>
      </c>
      <c r="C384" t="s">
        <v>3646</v>
      </c>
      <c r="D384" t="s">
        <v>3647</v>
      </c>
      <c r="E384" t="s">
        <v>3807</v>
      </c>
      <c r="F384" t="s">
        <v>105</v>
      </c>
      <c r="G384" t="s">
        <v>108</v>
      </c>
      <c r="H384" t="s">
        <v>3808</v>
      </c>
      <c r="I384" t="s">
        <v>3809</v>
      </c>
      <c r="J384" t="s">
        <v>3827</v>
      </c>
      <c r="K384" t="s">
        <v>1218</v>
      </c>
      <c r="L384" s="13">
        <v>43710</v>
      </c>
      <c r="M384">
        <v>4</v>
      </c>
      <c r="N384" t="s">
        <v>90</v>
      </c>
      <c r="O384" t="s">
        <v>3837</v>
      </c>
      <c r="P384" t="s">
        <v>76</v>
      </c>
      <c r="Q384" t="s">
        <v>76</v>
      </c>
      <c r="R384" t="s">
        <v>76</v>
      </c>
      <c r="S384" t="s">
        <v>76</v>
      </c>
      <c r="T384" t="s">
        <v>76</v>
      </c>
      <c r="U384">
        <v>1</v>
      </c>
      <c r="V384" s="13">
        <v>45175</v>
      </c>
      <c r="W384">
        <v>1</v>
      </c>
      <c r="X384">
        <v>1</v>
      </c>
      <c r="Y384" t="s">
        <v>3648</v>
      </c>
      <c r="AC384">
        <v>2373</v>
      </c>
      <c r="AD384" t="e" vm="376">
        <v>#VALUE!</v>
      </c>
    </row>
    <row r="385" spans="2:30" x14ac:dyDescent="0.25">
      <c r="B385">
        <v>2374</v>
      </c>
      <c r="C385" t="s">
        <v>3646</v>
      </c>
      <c r="D385" t="s">
        <v>3647</v>
      </c>
      <c r="E385" t="s">
        <v>3807</v>
      </c>
      <c r="F385" t="s">
        <v>105</v>
      </c>
      <c r="G385" t="s">
        <v>108</v>
      </c>
      <c r="H385" t="s">
        <v>3808</v>
      </c>
      <c r="I385" t="s">
        <v>3809</v>
      </c>
      <c r="J385" t="s">
        <v>3827</v>
      </c>
      <c r="K385" t="s">
        <v>1218</v>
      </c>
      <c r="L385" s="13">
        <v>43777</v>
      </c>
      <c r="M385">
        <v>4</v>
      </c>
      <c r="N385" t="s">
        <v>90</v>
      </c>
      <c r="O385" t="s">
        <v>3837</v>
      </c>
      <c r="P385" t="s">
        <v>76</v>
      </c>
      <c r="Q385" t="s">
        <v>76</v>
      </c>
      <c r="R385" t="s">
        <v>76</v>
      </c>
      <c r="S385" t="s">
        <v>76</v>
      </c>
      <c r="T385" t="s">
        <v>76</v>
      </c>
      <c r="U385">
        <v>1</v>
      </c>
      <c r="V385" s="13">
        <v>45175</v>
      </c>
      <c r="W385">
        <v>1</v>
      </c>
      <c r="X385">
        <v>1</v>
      </c>
      <c r="Y385" t="s">
        <v>3648</v>
      </c>
      <c r="AC385">
        <v>2374</v>
      </c>
      <c r="AD385" t="e" vm="377">
        <v>#VALUE!</v>
      </c>
    </row>
    <row r="386" spans="2:30" x14ac:dyDescent="0.25">
      <c r="B386">
        <v>2375</v>
      </c>
      <c r="C386" t="s">
        <v>3646</v>
      </c>
      <c r="D386" t="s">
        <v>3647</v>
      </c>
      <c r="E386" t="s">
        <v>3807</v>
      </c>
      <c r="F386" t="s">
        <v>105</v>
      </c>
      <c r="G386" t="s">
        <v>108</v>
      </c>
      <c r="H386" t="s">
        <v>3808</v>
      </c>
      <c r="I386" t="s">
        <v>3809</v>
      </c>
      <c r="J386" t="s">
        <v>3827</v>
      </c>
      <c r="K386" t="s">
        <v>1218</v>
      </c>
      <c r="L386" s="13">
        <v>43735</v>
      </c>
      <c r="M386">
        <v>4</v>
      </c>
      <c r="N386" t="s">
        <v>90</v>
      </c>
      <c r="O386" t="s">
        <v>3837</v>
      </c>
      <c r="P386" t="s">
        <v>76</v>
      </c>
      <c r="Q386" t="s">
        <v>76</v>
      </c>
      <c r="R386" t="s">
        <v>76</v>
      </c>
      <c r="S386" t="s">
        <v>76</v>
      </c>
      <c r="T386" t="s">
        <v>76</v>
      </c>
      <c r="U386">
        <v>1</v>
      </c>
      <c r="V386" s="13">
        <v>45175</v>
      </c>
      <c r="W386">
        <v>1</v>
      </c>
      <c r="X386">
        <v>1</v>
      </c>
      <c r="Y386" t="s">
        <v>3648</v>
      </c>
      <c r="AC386">
        <v>2375</v>
      </c>
      <c r="AD386" t="e" vm="378">
        <v>#VALUE!</v>
      </c>
    </row>
    <row r="387" spans="2:30" x14ac:dyDescent="0.25">
      <c r="B387">
        <v>2376</v>
      </c>
      <c r="C387" t="s">
        <v>3646</v>
      </c>
      <c r="D387" t="s">
        <v>3647</v>
      </c>
      <c r="E387" t="s">
        <v>3807</v>
      </c>
      <c r="F387" t="s">
        <v>105</v>
      </c>
      <c r="G387" t="s">
        <v>108</v>
      </c>
      <c r="H387" t="s">
        <v>3808</v>
      </c>
      <c r="I387" t="s">
        <v>3809</v>
      </c>
      <c r="J387" t="s">
        <v>3827</v>
      </c>
      <c r="K387" t="s">
        <v>1218</v>
      </c>
      <c r="L387" s="13">
        <v>43735</v>
      </c>
      <c r="M387">
        <v>4</v>
      </c>
      <c r="N387" t="s">
        <v>90</v>
      </c>
      <c r="O387" t="s">
        <v>3837</v>
      </c>
      <c r="P387" t="s">
        <v>76</v>
      </c>
      <c r="Q387" t="s">
        <v>76</v>
      </c>
      <c r="R387" t="s">
        <v>76</v>
      </c>
      <c r="S387" t="s">
        <v>76</v>
      </c>
      <c r="T387" t="s">
        <v>76</v>
      </c>
      <c r="U387">
        <v>1</v>
      </c>
      <c r="V387" s="13">
        <v>45175</v>
      </c>
      <c r="W387">
        <v>1</v>
      </c>
      <c r="X387">
        <v>1</v>
      </c>
      <c r="Y387" t="s">
        <v>3648</v>
      </c>
      <c r="AC387">
        <v>2376</v>
      </c>
      <c r="AD387" t="e" vm="379">
        <v>#VALUE!</v>
      </c>
    </row>
    <row r="388" spans="2:30" x14ac:dyDescent="0.25">
      <c r="B388">
        <v>2377</v>
      </c>
      <c r="C388" t="s">
        <v>3646</v>
      </c>
      <c r="D388" t="s">
        <v>3647</v>
      </c>
      <c r="E388" t="s">
        <v>3807</v>
      </c>
      <c r="F388" t="s">
        <v>105</v>
      </c>
      <c r="G388" t="s">
        <v>108</v>
      </c>
      <c r="H388" t="s">
        <v>3808</v>
      </c>
      <c r="I388" t="s">
        <v>3809</v>
      </c>
      <c r="J388" t="s">
        <v>3827</v>
      </c>
      <c r="K388" t="s">
        <v>1218</v>
      </c>
      <c r="L388" s="13">
        <v>43739</v>
      </c>
      <c r="M388">
        <v>4</v>
      </c>
      <c r="N388" t="s">
        <v>90</v>
      </c>
      <c r="O388" t="s">
        <v>3837</v>
      </c>
      <c r="P388" t="s">
        <v>76</v>
      </c>
      <c r="Q388" t="s">
        <v>76</v>
      </c>
      <c r="R388" t="s">
        <v>76</v>
      </c>
      <c r="S388" t="s">
        <v>76</v>
      </c>
      <c r="T388" t="s">
        <v>76</v>
      </c>
      <c r="U388">
        <v>1</v>
      </c>
      <c r="V388" s="13">
        <v>45175</v>
      </c>
      <c r="W388">
        <v>1</v>
      </c>
      <c r="X388">
        <v>1</v>
      </c>
      <c r="Y388" t="s">
        <v>3648</v>
      </c>
      <c r="AC388">
        <v>2377</v>
      </c>
      <c r="AD388" t="e" vm="380">
        <v>#VALUE!</v>
      </c>
    </row>
    <row r="389" spans="2:30" x14ac:dyDescent="0.25">
      <c r="B389">
        <v>2378</v>
      </c>
      <c r="C389" t="s">
        <v>3646</v>
      </c>
      <c r="D389" t="s">
        <v>3647</v>
      </c>
      <c r="E389" t="s">
        <v>3807</v>
      </c>
      <c r="F389" t="s">
        <v>105</v>
      </c>
      <c r="G389" t="s">
        <v>108</v>
      </c>
      <c r="H389" t="s">
        <v>3808</v>
      </c>
      <c r="I389" t="s">
        <v>3809</v>
      </c>
      <c r="J389" t="s">
        <v>3827</v>
      </c>
      <c r="K389" t="s">
        <v>1218</v>
      </c>
      <c r="L389" s="13">
        <v>43739</v>
      </c>
      <c r="M389">
        <v>4</v>
      </c>
      <c r="N389" t="s">
        <v>90</v>
      </c>
      <c r="O389" t="s">
        <v>3837</v>
      </c>
      <c r="P389" t="s">
        <v>76</v>
      </c>
      <c r="Q389" t="s">
        <v>76</v>
      </c>
      <c r="R389" t="s">
        <v>76</v>
      </c>
      <c r="S389" t="s">
        <v>76</v>
      </c>
      <c r="T389" t="s">
        <v>76</v>
      </c>
      <c r="U389">
        <v>1</v>
      </c>
      <c r="V389" s="13">
        <v>45175</v>
      </c>
      <c r="W389">
        <v>1</v>
      </c>
      <c r="X389">
        <v>1</v>
      </c>
      <c r="Y389" t="s">
        <v>3648</v>
      </c>
      <c r="AC389">
        <v>2378</v>
      </c>
      <c r="AD389" t="e" vm="381">
        <v>#VALUE!</v>
      </c>
    </row>
    <row r="390" spans="2:30" x14ac:dyDescent="0.25">
      <c r="B390">
        <v>2379</v>
      </c>
      <c r="C390" t="s">
        <v>3646</v>
      </c>
      <c r="D390" t="s">
        <v>3647</v>
      </c>
      <c r="E390" t="s">
        <v>3807</v>
      </c>
      <c r="F390" t="s">
        <v>105</v>
      </c>
      <c r="G390" t="s">
        <v>108</v>
      </c>
      <c r="H390" t="s">
        <v>3808</v>
      </c>
      <c r="I390" t="s">
        <v>3809</v>
      </c>
      <c r="J390" t="s">
        <v>3827</v>
      </c>
      <c r="K390" t="s">
        <v>1218</v>
      </c>
      <c r="L390" s="13">
        <v>43739</v>
      </c>
      <c r="M390">
        <v>4</v>
      </c>
      <c r="N390" t="s">
        <v>90</v>
      </c>
      <c r="O390" t="s">
        <v>3837</v>
      </c>
      <c r="P390" t="s">
        <v>76</v>
      </c>
      <c r="Q390" t="s">
        <v>76</v>
      </c>
      <c r="R390" t="s">
        <v>76</v>
      </c>
      <c r="S390" t="s">
        <v>76</v>
      </c>
      <c r="T390" t="s">
        <v>76</v>
      </c>
      <c r="U390">
        <v>1</v>
      </c>
      <c r="V390" s="13">
        <v>45175</v>
      </c>
      <c r="W390">
        <v>1</v>
      </c>
      <c r="X390">
        <v>1</v>
      </c>
      <c r="Y390" t="s">
        <v>3648</v>
      </c>
      <c r="AC390">
        <v>2379</v>
      </c>
      <c r="AD390" t="e" vm="382">
        <v>#VALUE!</v>
      </c>
    </row>
    <row r="391" spans="2:30" x14ac:dyDescent="0.25">
      <c r="B391">
        <v>2380</v>
      </c>
      <c r="C391" t="s">
        <v>3646</v>
      </c>
      <c r="D391" t="s">
        <v>3693</v>
      </c>
      <c r="E391" t="s">
        <v>3807</v>
      </c>
      <c r="F391" t="s">
        <v>105</v>
      </c>
      <c r="G391" t="s">
        <v>118</v>
      </c>
      <c r="H391" t="s">
        <v>3808</v>
      </c>
      <c r="I391" t="s">
        <v>3809</v>
      </c>
      <c r="J391" t="s">
        <v>3827</v>
      </c>
      <c r="K391" t="s">
        <v>1218</v>
      </c>
      <c r="L391" s="13">
        <v>43746</v>
      </c>
      <c r="M391">
        <v>4</v>
      </c>
      <c r="N391" t="s">
        <v>90</v>
      </c>
      <c r="O391" t="s">
        <v>3837</v>
      </c>
      <c r="P391" t="s">
        <v>76</v>
      </c>
      <c r="Q391" t="s">
        <v>76</v>
      </c>
      <c r="R391" t="s">
        <v>76</v>
      </c>
      <c r="S391" t="s">
        <v>76</v>
      </c>
      <c r="T391" t="s">
        <v>76</v>
      </c>
      <c r="U391">
        <v>1</v>
      </c>
      <c r="V391" s="13">
        <v>45175</v>
      </c>
      <c r="W391">
        <v>1</v>
      </c>
      <c r="X391">
        <v>1</v>
      </c>
      <c r="Y391" t="s">
        <v>3694</v>
      </c>
      <c r="AC391">
        <v>2380</v>
      </c>
      <c r="AD391" t="e" vm="383">
        <v>#VALUE!</v>
      </c>
    </row>
    <row r="392" spans="2:30" x14ac:dyDescent="0.25">
      <c r="B392">
        <v>2381</v>
      </c>
      <c r="C392" t="s">
        <v>3646</v>
      </c>
      <c r="D392" t="s">
        <v>3647</v>
      </c>
      <c r="E392" t="s">
        <v>3807</v>
      </c>
      <c r="F392" t="s">
        <v>105</v>
      </c>
      <c r="G392" t="s">
        <v>108</v>
      </c>
      <c r="H392" t="s">
        <v>3808</v>
      </c>
      <c r="I392" t="s">
        <v>3809</v>
      </c>
      <c r="J392" t="s">
        <v>3827</v>
      </c>
      <c r="K392" t="s">
        <v>1218</v>
      </c>
      <c r="L392" s="13">
        <v>43769</v>
      </c>
      <c r="M392">
        <v>4</v>
      </c>
      <c r="N392" t="s">
        <v>90</v>
      </c>
      <c r="O392" t="s">
        <v>3837</v>
      </c>
      <c r="P392" t="s">
        <v>76</v>
      </c>
      <c r="Q392" t="s">
        <v>76</v>
      </c>
      <c r="R392" t="s">
        <v>76</v>
      </c>
      <c r="S392" t="s">
        <v>76</v>
      </c>
      <c r="T392" t="s">
        <v>76</v>
      </c>
      <c r="U392">
        <v>1</v>
      </c>
      <c r="V392" s="13">
        <v>45175</v>
      </c>
      <c r="W392">
        <v>1</v>
      </c>
      <c r="X392">
        <v>1</v>
      </c>
      <c r="Y392" t="s">
        <v>3648</v>
      </c>
      <c r="AC392">
        <v>2381</v>
      </c>
      <c r="AD392" t="e" vm="384">
        <v>#VALUE!</v>
      </c>
    </row>
    <row r="393" spans="2:30" x14ac:dyDescent="0.25">
      <c r="B393">
        <v>2382</v>
      </c>
      <c r="C393" t="s">
        <v>3646</v>
      </c>
      <c r="D393" t="s">
        <v>3693</v>
      </c>
      <c r="E393" t="s">
        <v>3807</v>
      </c>
      <c r="F393" t="s">
        <v>105</v>
      </c>
      <c r="G393" t="s">
        <v>118</v>
      </c>
      <c r="H393" t="s">
        <v>3808</v>
      </c>
      <c r="I393" t="s">
        <v>3809</v>
      </c>
      <c r="J393" t="s">
        <v>3827</v>
      </c>
      <c r="K393" t="s">
        <v>1218</v>
      </c>
      <c r="L393" s="13">
        <v>43769</v>
      </c>
      <c r="M393">
        <v>4</v>
      </c>
      <c r="N393" t="s">
        <v>90</v>
      </c>
      <c r="O393" t="s">
        <v>3837</v>
      </c>
      <c r="P393" t="s">
        <v>76</v>
      </c>
      <c r="Q393" t="s">
        <v>76</v>
      </c>
      <c r="R393" t="s">
        <v>76</v>
      </c>
      <c r="S393" t="s">
        <v>76</v>
      </c>
      <c r="T393" t="s">
        <v>76</v>
      </c>
      <c r="U393">
        <v>1</v>
      </c>
      <c r="V393" s="13">
        <v>45175</v>
      </c>
      <c r="W393">
        <v>1</v>
      </c>
      <c r="X393">
        <v>1</v>
      </c>
      <c r="Y393" t="s">
        <v>3694</v>
      </c>
      <c r="AC393">
        <v>2382</v>
      </c>
      <c r="AD393" t="e" vm="385">
        <v>#VALUE!</v>
      </c>
    </row>
    <row r="394" spans="2:30" x14ac:dyDescent="0.25">
      <c r="B394">
        <v>2383</v>
      </c>
      <c r="C394" t="s">
        <v>3646</v>
      </c>
      <c r="D394" t="s">
        <v>3647</v>
      </c>
      <c r="E394" t="s">
        <v>3807</v>
      </c>
      <c r="F394" t="s">
        <v>105</v>
      </c>
      <c r="G394" t="s">
        <v>108</v>
      </c>
      <c r="H394" t="s">
        <v>3808</v>
      </c>
      <c r="I394" t="s">
        <v>3809</v>
      </c>
      <c r="J394" t="s">
        <v>3827</v>
      </c>
      <c r="K394" t="s">
        <v>1218</v>
      </c>
      <c r="L394" s="13">
        <v>43769</v>
      </c>
      <c r="M394">
        <v>4</v>
      </c>
      <c r="N394" t="s">
        <v>90</v>
      </c>
      <c r="O394" t="s">
        <v>3837</v>
      </c>
      <c r="P394" t="s">
        <v>76</v>
      </c>
      <c r="Q394" t="s">
        <v>76</v>
      </c>
      <c r="R394" t="s">
        <v>76</v>
      </c>
      <c r="S394" t="s">
        <v>76</v>
      </c>
      <c r="T394" t="s">
        <v>76</v>
      </c>
      <c r="U394">
        <v>1</v>
      </c>
      <c r="V394" s="13">
        <v>45175</v>
      </c>
      <c r="W394">
        <v>1</v>
      </c>
      <c r="X394">
        <v>1</v>
      </c>
      <c r="Y394" t="s">
        <v>3648</v>
      </c>
      <c r="AC394">
        <v>2383</v>
      </c>
      <c r="AD394" t="e" vm="386">
        <v>#VALUE!</v>
      </c>
    </row>
    <row r="395" spans="2:30" x14ac:dyDescent="0.25">
      <c r="B395">
        <v>2384</v>
      </c>
      <c r="C395" t="s">
        <v>3646</v>
      </c>
      <c r="D395" t="s">
        <v>3647</v>
      </c>
      <c r="E395" t="s">
        <v>3807</v>
      </c>
      <c r="F395" t="s">
        <v>105</v>
      </c>
      <c r="G395" t="s">
        <v>108</v>
      </c>
      <c r="H395" t="s">
        <v>3808</v>
      </c>
      <c r="I395" t="s">
        <v>3809</v>
      </c>
      <c r="J395" t="s">
        <v>3827</v>
      </c>
      <c r="K395" t="s">
        <v>1218</v>
      </c>
      <c r="L395" s="13">
        <v>43773</v>
      </c>
      <c r="M395">
        <v>4</v>
      </c>
      <c r="N395" t="s">
        <v>90</v>
      </c>
      <c r="O395" t="s">
        <v>3837</v>
      </c>
      <c r="P395" t="s">
        <v>76</v>
      </c>
      <c r="Q395" t="s">
        <v>76</v>
      </c>
      <c r="R395" t="s">
        <v>76</v>
      </c>
      <c r="S395" t="s">
        <v>76</v>
      </c>
      <c r="T395" t="s">
        <v>76</v>
      </c>
      <c r="U395">
        <v>1</v>
      </c>
      <c r="V395" s="13">
        <v>45175</v>
      </c>
      <c r="W395">
        <v>1</v>
      </c>
      <c r="X395">
        <v>1</v>
      </c>
      <c r="Y395" t="s">
        <v>3648</v>
      </c>
      <c r="AC395">
        <v>2384</v>
      </c>
      <c r="AD395" t="e" vm="387">
        <v>#VALUE!</v>
      </c>
    </row>
    <row r="396" spans="2:30" x14ac:dyDescent="0.25">
      <c r="B396">
        <v>2385</v>
      </c>
      <c r="C396" t="s">
        <v>3646</v>
      </c>
      <c r="D396" t="s">
        <v>3647</v>
      </c>
      <c r="E396" t="s">
        <v>3807</v>
      </c>
      <c r="F396" t="s">
        <v>105</v>
      </c>
      <c r="G396" t="s">
        <v>108</v>
      </c>
      <c r="H396" t="s">
        <v>3808</v>
      </c>
      <c r="I396" t="s">
        <v>3809</v>
      </c>
      <c r="J396" t="s">
        <v>3827</v>
      </c>
      <c r="K396" t="s">
        <v>1218</v>
      </c>
      <c r="L396" s="13">
        <v>43777</v>
      </c>
      <c r="M396">
        <v>4</v>
      </c>
      <c r="N396" t="s">
        <v>90</v>
      </c>
      <c r="O396" t="s">
        <v>3837</v>
      </c>
      <c r="P396" t="s">
        <v>76</v>
      </c>
      <c r="Q396" t="s">
        <v>76</v>
      </c>
      <c r="R396" t="s">
        <v>76</v>
      </c>
      <c r="S396" t="s">
        <v>76</v>
      </c>
      <c r="T396" t="s">
        <v>76</v>
      </c>
      <c r="U396">
        <v>1</v>
      </c>
      <c r="V396" s="13">
        <v>45175</v>
      </c>
      <c r="W396">
        <v>1</v>
      </c>
      <c r="X396">
        <v>1</v>
      </c>
      <c r="Y396" t="s">
        <v>3648</v>
      </c>
      <c r="AC396">
        <v>2385</v>
      </c>
      <c r="AD396" t="e" vm="388">
        <v>#VALUE!</v>
      </c>
    </row>
    <row r="397" spans="2:30" x14ac:dyDescent="0.25">
      <c r="B397">
        <v>2386</v>
      </c>
      <c r="C397" t="s">
        <v>3646</v>
      </c>
      <c r="D397" t="s">
        <v>3693</v>
      </c>
      <c r="E397" t="s">
        <v>3807</v>
      </c>
      <c r="F397" t="s">
        <v>105</v>
      </c>
      <c r="G397" t="s">
        <v>118</v>
      </c>
      <c r="H397" t="s">
        <v>3808</v>
      </c>
      <c r="I397" t="s">
        <v>3809</v>
      </c>
      <c r="J397" t="s">
        <v>3827</v>
      </c>
      <c r="K397" t="s">
        <v>1218</v>
      </c>
      <c r="L397" s="13">
        <v>43777</v>
      </c>
      <c r="M397">
        <v>4</v>
      </c>
      <c r="N397" t="s">
        <v>90</v>
      </c>
      <c r="O397" t="s">
        <v>3837</v>
      </c>
      <c r="P397" t="s">
        <v>76</v>
      </c>
      <c r="Q397" t="s">
        <v>76</v>
      </c>
      <c r="R397" t="s">
        <v>76</v>
      </c>
      <c r="S397" t="s">
        <v>76</v>
      </c>
      <c r="T397" t="s">
        <v>76</v>
      </c>
      <c r="U397">
        <v>1</v>
      </c>
      <c r="V397" s="13">
        <v>45175</v>
      </c>
      <c r="W397">
        <v>1</v>
      </c>
      <c r="X397">
        <v>1</v>
      </c>
      <c r="Y397" t="s">
        <v>3694</v>
      </c>
      <c r="AC397">
        <v>2386</v>
      </c>
      <c r="AD397" t="e" vm="389">
        <v>#VALUE!</v>
      </c>
    </row>
    <row r="398" spans="2:30" x14ac:dyDescent="0.25">
      <c r="B398">
        <v>2387</v>
      </c>
      <c r="C398" t="s">
        <v>3684</v>
      </c>
      <c r="D398" t="s">
        <v>3685</v>
      </c>
      <c r="E398" t="s">
        <v>3829</v>
      </c>
      <c r="F398" t="s">
        <v>105</v>
      </c>
      <c r="G398" t="s">
        <v>108</v>
      </c>
      <c r="H398" t="s">
        <v>3808</v>
      </c>
      <c r="I398" t="s">
        <v>3809</v>
      </c>
      <c r="J398" t="s">
        <v>3827</v>
      </c>
      <c r="K398" t="s">
        <v>1218</v>
      </c>
      <c r="L398" s="13">
        <v>43854</v>
      </c>
      <c r="M398">
        <v>4</v>
      </c>
      <c r="N398" t="s">
        <v>101</v>
      </c>
      <c r="O398" t="s">
        <v>3837</v>
      </c>
      <c r="P398" t="s">
        <v>76</v>
      </c>
      <c r="Q398" t="s">
        <v>76</v>
      </c>
      <c r="R398" t="s">
        <v>76</v>
      </c>
      <c r="S398" t="s">
        <v>76</v>
      </c>
      <c r="T398" t="s">
        <v>76</v>
      </c>
      <c r="U398">
        <v>1</v>
      </c>
      <c r="V398" s="13">
        <v>45175</v>
      </c>
      <c r="W398">
        <v>1</v>
      </c>
      <c r="X398">
        <v>1</v>
      </c>
      <c r="Y398" t="s">
        <v>3686</v>
      </c>
      <c r="AC398">
        <v>2387</v>
      </c>
      <c r="AD398" t="e" vm="390">
        <v>#VALUE!</v>
      </c>
    </row>
    <row r="399" spans="2:30" x14ac:dyDescent="0.25">
      <c r="B399">
        <v>2388</v>
      </c>
      <c r="C399" t="s">
        <v>3684</v>
      </c>
      <c r="D399" t="s">
        <v>3685</v>
      </c>
      <c r="E399" t="s">
        <v>3829</v>
      </c>
      <c r="F399" t="s">
        <v>105</v>
      </c>
      <c r="G399" t="s">
        <v>108</v>
      </c>
      <c r="H399" t="s">
        <v>3808</v>
      </c>
      <c r="I399" t="s">
        <v>3809</v>
      </c>
      <c r="J399" t="s">
        <v>3827</v>
      </c>
      <c r="K399" t="s">
        <v>1218</v>
      </c>
      <c r="L399" s="13">
        <v>43899</v>
      </c>
      <c r="M399">
        <v>4</v>
      </c>
      <c r="N399" t="s">
        <v>101</v>
      </c>
      <c r="O399" t="s">
        <v>3837</v>
      </c>
      <c r="P399" t="s">
        <v>76</v>
      </c>
      <c r="Q399" t="s">
        <v>76</v>
      </c>
      <c r="R399" t="s">
        <v>76</v>
      </c>
      <c r="S399" t="s">
        <v>76</v>
      </c>
      <c r="T399" t="s">
        <v>76</v>
      </c>
      <c r="U399">
        <v>1</v>
      </c>
      <c r="V399" s="13">
        <v>45175</v>
      </c>
      <c r="W399">
        <v>1</v>
      </c>
      <c r="X399">
        <v>1</v>
      </c>
      <c r="Y399" t="s">
        <v>3686</v>
      </c>
      <c r="AC399">
        <v>2388</v>
      </c>
      <c r="AD399" t="e" vm="391">
        <v>#VALUE!</v>
      </c>
    </row>
    <row r="400" spans="2:30" x14ac:dyDescent="0.25">
      <c r="B400">
        <v>2389</v>
      </c>
      <c r="C400" t="s">
        <v>3659</v>
      </c>
      <c r="D400" t="s">
        <v>3660</v>
      </c>
      <c r="E400" t="s">
        <v>3813</v>
      </c>
      <c r="F400" t="s">
        <v>83</v>
      </c>
      <c r="G400" t="s">
        <v>103</v>
      </c>
      <c r="H400" t="s">
        <v>3808</v>
      </c>
      <c r="I400" t="s">
        <v>3809</v>
      </c>
      <c r="J400" t="s">
        <v>3827</v>
      </c>
      <c r="K400" t="s">
        <v>1218</v>
      </c>
      <c r="L400" s="13">
        <v>43663</v>
      </c>
      <c r="M400">
        <v>4</v>
      </c>
      <c r="N400" t="s">
        <v>88</v>
      </c>
      <c r="O400" t="s">
        <v>3837</v>
      </c>
      <c r="P400" t="s">
        <v>76</v>
      </c>
      <c r="Q400" t="s">
        <v>76</v>
      </c>
      <c r="R400" t="s">
        <v>76</v>
      </c>
      <c r="S400" t="s">
        <v>76</v>
      </c>
      <c r="T400" t="s">
        <v>76</v>
      </c>
      <c r="U400">
        <v>1</v>
      </c>
      <c r="V400" s="13">
        <v>45175</v>
      </c>
      <c r="W400">
        <v>1</v>
      </c>
      <c r="X400">
        <v>1</v>
      </c>
      <c r="Y400" t="s">
        <v>3661</v>
      </c>
      <c r="AC400">
        <v>2389</v>
      </c>
      <c r="AD400" t="e" vm="392">
        <v>#VALUE!</v>
      </c>
    </row>
    <row r="401" spans="2:30" x14ac:dyDescent="0.25">
      <c r="B401">
        <v>2390</v>
      </c>
      <c r="C401" t="s">
        <v>3659</v>
      </c>
      <c r="D401" t="s">
        <v>3660</v>
      </c>
      <c r="E401" t="s">
        <v>3813</v>
      </c>
      <c r="F401" t="s">
        <v>83</v>
      </c>
      <c r="G401" t="s">
        <v>103</v>
      </c>
      <c r="H401" t="s">
        <v>3808</v>
      </c>
      <c r="I401" t="s">
        <v>3809</v>
      </c>
      <c r="J401" t="s">
        <v>3827</v>
      </c>
      <c r="K401" t="s">
        <v>1218</v>
      </c>
      <c r="L401" s="13">
        <v>43663</v>
      </c>
      <c r="M401">
        <v>4</v>
      </c>
      <c r="N401" t="s">
        <v>88</v>
      </c>
      <c r="O401" t="s">
        <v>3837</v>
      </c>
      <c r="P401" t="s">
        <v>76</v>
      </c>
      <c r="Q401" t="s">
        <v>76</v>
      </c>
      <c r="R401" t="s">
        <v>76</v>
      </c>
      <c r="S401" t="s">
        <v>76</v>
      </c>
      <c r="T401" t="s">
        <v>76</v>
      </c>
      <c r="U401">
        <v>1</v>
      </c>
      <c r="V401" s="13">
        <v>45175</v>
      </c>
      <c r="W401">
        <v>1</v>
      </c>
      <c r="X401">
        <v>1</v>
      </c>
      <c r="Y401" t="s">
        <v>3661</v>
      </c>
      <c r="AC401">
        <v>2390</v>
      </c>
      <c r="AD401" t="e" vm="393">
        <v>#VALUE!</v>
      </c>
    </row>
    <row r="402" spans="2:30" x14ac:dyDescent="0.25">
      <c r="B402">
        <v>2391</v>
      </c>
      <c r="C402" t="s">
        <v>3659</v>
      </c>
      <c r="D402" t="s">
        <v>3660</v>
      </c>
      <c r="E402" t="s">
        <v>3813</v>
      </c>
      <c r="F402" t="s">
        <v>83</v>
      </c>
      <c r="G402" t="s">
        <v>103</v>
      </c>
      <c r="H402" t="s">
        <v>3808</v>
      </c>
      <c r="I402" t="s">
        <v>3809</v>
      </c>
      <c r="J402" t="s">
        <v>3827</v>
      </c>
      <c r="K402" t="s">
        <v>1218</v>
      </c>
      <c r="L402" s="13">
        <v>43655</v>
      </c>
      <c r="M402">
        <v>4</v>
      </c>
      <c r="N402" t="s">
        <v>88</v>
      </c>
      <c r="O402" t="s">
        <v>3837</v>
      </c>
      <c r="P402" t="s">
        <v>76</v>
      </c>
      <c r="Q402" t="s">
        <v>76</v>
      </c>
      <c r="R402" t="s">
        <v>76</v>
      </c>
      <c r="S402" t="s">
        <v>76</v>
      </c>
      <c r="T402" t="s">
        <v>76</v>
      </c>
      <c r="U402">
        <v>1</v>
      </c>
      <c r="V402" s="13">
        <v>45175</v>
      </c>
      <c r="W402">
        <v>1</v>
      </c>
      <c r="X402">
        <v>1</v>
      </c>
      <c r="Y402" t="s">
        <v>3661</v>
      </c>
      <c r="AC402">
        <v>2391</v>
      </c>
      <c r="AD402" t="e" vm="394">
        <v>#VALUE!</v>
      </c>
    </row>
    <row r="403" spans="2:30" x14ac:dyDescent="0.25">
      <c r="B403">
        <v>2392</v>
      </c>
      <c r="C403" t="s">
        <v>3646</v>
      </c>
      <c r="D403" t="s">
        <v>3647</v>
      </c>
      <c r="E403" t="s">
        <v>3807</v>
      </c>
      <c r="F403" t="s">
        <v>105</v>
      </c>
      <c r="G403" t="s">
        <v>108</v>
      </c>
      <c r="H403" t="s">
        <v>3808</v>
      </c>
      <c r="I403" t="s">
        <v>3809</v>
      </c>
      <c r="J403" t="s">
        <v>3827</v>
      </c>
      <c r="K403" t="s">
        <v>1218</v>
      </c>
      <c r="L403" s="13">
        <v>43670</v>
      </c>
      <c r="M403">
        <v>4</v>
      </c>
      <c r="N403" t="s">
        <v>90</v>
      </c>
      <c r="O403" t="s">
        <v>3837</v>
      </c>
      <c r="P403" t="s">
        <v>76</v>
      </c>
      <c r="Q403" t="s">
        <v>76</v>
      </c>
      <c r="R403" t="s">
        <v>76</v>
      </c>
      <c r="S403" t="s">
        <v>76</v>
      </c>
      <c r="T403" t="s">
        <v>76</v>
      </c>
      <c r="U403">
        <v>1</v>
      </c>
      <c r="V403" s="13">
        <v>45175</v>
      </c>
      <c r="W403">
        <v>1</v>
      </c>
      <c r="X403">
        <v>1</v>
      </c>
      <c r="Y403" t="s">
        <v>3648</v>
      </c>
      <c r="AC403">
        <v>2392</v>
      </c>
      <c r="AD403" t="e" vm="395">
        <v>#VALUE!</v>
      </c>
    </row>
    <row r="404" spans="2:30" x14ac:dyDescent="0.25">
      <c r="B404">
        <v>2393</v>
      </c>
      <c r="C404" t="s">
        <v>3659</v>
      </c>
      <c r="D404" t="s">
        <v>3660</v>
      </c>
      <c r="E404" t="s">
        <v>3813</v>
      </c>
      <c r="F404" t="s">
        <v>83</v>
      </c>
      <c r="G404" t="s">
        <v>103</v>
      </c>
      <c r="H404" t="s">
        <v>3808</v>
      </c>
      <c r="I404" t="s">
        <v>3809</v>
      </c>
      <c r="J404" t="s">
        <v>3827</v>
      </c>
      <c r="K404" t="s">
        <v>1218</v>
      </c>
      <c r="L404" s="13">
        <v>43670</v>
      </c>
      <c r="M404">
        <v>4</v>
      </c>
      <c r="N404" t="s">
        <v>88</v>
      </c>
      <c r="O404" t="s">
        <v>3837</v>
      </c>
      <c r="P404" t="s">
        <v>76</v>
      </c>
      <c r="Q404" t="s">
        <v>76</v>
      </c>
      <c r="R404" t="s">
        <v>76</v>
      </c>
      <c r="S404" t="s">
        <v>76</v>
      </c>
      <c r="T404" t="s">
        <v>76</v>
      </c>
      <c r="U404">
        <v>1</v>
      </c>
      <c r="V404" s="13">
        <v>45175</v>
      </c>
      <c r="W404">
        <v>1</v>
      </c>
      <c r="X404">
        <v>1</v>
      </c>
      <c r="Y404" t="s">
        <v>3661</v>
      </c>
      <c r="AC404">
        <v>2393</v>
      </c>
      <c r="AD404" t="e" vm="396">
        <v>#VALUE!</v>
      </c>
    </row>
    <row r="405" spans="2:30" x14ac:dyDescent="0.25">
      <c r="B405">
        <v>2394</v>
      </c>
      <c r="C405" t="s">
        <v>3659</v>
      </c>
      <c r="D405" t="s">
        <v>3660</v>
      </c>
      <c r="E405" t="s">
        <v>3813</v>
      </c>
      <c r="F405" t="s">
        <v>83</v>
      </c>
      <c r="G405" t="s">
        <v>103</v>
      </c>
      <c r="H405" t="s">
        <v>3808</v>
      </c>
      <c r="I405" t="s">
        <v>3809</v>
      </c>
      <c r="J405" t="s">
        <v>3827</v>
      </c>
      <c r="K405" t="s">
        <v>1218</v>
      </c>
      <c r="L405" s="13">
        <v>43707</v>
      </c>
      <c r="M405">
        <v>4</v>
      </c>
      <c r="N405" t="s">
        <v>88</v>
      </c>
      <c r="O405" t="s">
        <v>3837</v>
      </c>
      <c r="P405" t="s">
        <v>76</v>
      </c>
      <c r="Q405" t="s">
        <v>76</v>
      </c>
      <c r="R405" t="s">
        <v>76</v>
      </c>
      <c r="S405" t="s">
        <v>76</v>
      </c>
      <c r="T405" t="s">
        <v>76</v>
      </c>
      <c r="U405">
        <v>1</v>
      </c>
      <c r="V405" s="13">
        <v>45175</v>
      </c>
      <c r="W405">
        <v>1</v>
      </c>
      <c r="X405">
        <v>1</v>
      </c>
      <c r="Y405" t="s">
        <v>3661</v>
      </c>
      <c r="AC405">
        <v>2394</v>
      </c>
      <c r="AD405" t="e" vm="397">
        <v>#VALUE!</v>
      </c>
    </row>
    <row r="406" spans="2:30" x14ac:dyDescent="0.25">
      <c r="B406">
        <v>2395</v>
      </c>
      <c r="C406" t="s">
        <v>3659</v>
      </c>
      <c r="D406" t="s">
        <v>3660</v>
      </c>
      <c r="E406" t="s">
        <v>3813</v>
      </c>
      <c r="F406" t="s">
        <v>83</v>
      </c>
      <c r="G406" t="s">
        <v>103</v>
      </c>
      <c r="H406" t="s">
        <v>3808</v>
      </c>
      <c r="I406" t="s">
        <v>3809</v>
      </c>
      <c r="J406" t="s">
        <v>3827</v>
      </c>
      <c r="K406" t="s">
        <v>1218</v>
      </c>
      <c r="L406" s="13">
        <v>43707</v>
      </c>
      <c r="M406">
        <v>4</v>
      </c>
      <c r="N406" t="s">
        <v>88</v>
      </c>
      <c r="O406" t="s">
        <v>3837</v>
      </c>
      <c r="P406" t="s">
        <v>76</v>
      </c>
      <c r="Q406" t="s">
        <v>76</v>
      </c>
      <c r="R406" t="s">
        <v>76</v>
      </c>
      <c r="S406" t="s">
        <v>76</v>
      </c>
      <c r="T406" t="s">
        <v>76</v>
      </c>
      <c r="U406">
        <v>1</v>
      </c>
      <c r="V406" s="13">
        <v>45175</v>
      </c>
      <c r="W406">
        <v>1</v>
      </c>
      <c r="X406">
        <v>1</v>
      </c>
      <c r="Y406" t="s">
        <v>3661</v>
      </c>
      <c r="AC406">
        <v>2395</v>
      </c>
      <c r="AD406" t="e" vm="398">
        <v>#VALUE!</v>
      </c>
    </row>
    <row r="407" spans="2:30" x14ac:dyDescent="0.25">
      <c r="B407">
        <v>2396</v>
      </c>
      <c r="C407" t="s">
        <v>3646</v>
      </c>
      <c r="D407" t="s">
        <v>73</v>
      </c>
      <c r="E407" t="s">
        <v>73</v>
      </c>
      <c r="F407" t="s">
        <v>3816</v>
      </c>
      <c r="G407" t="s">
        <v>3816</v>
      </c>
      <c r="H407" t="s">
        <v>3808</v>
      </c>
      <c r="I407" t="s">
        <v>3809</v>
      </c>
      <c r="J407" t="s">
        <v>3827</v>
      </c>
      <c r="K407" t="s">
        <v>1218</v>
      </c>
      <c r="L407" s="13">
        <v>43725</v>
      </c>
      <c r="M407">
        <v>4</v>
      </c>
      <c r="N407" t="s">
        <v>90</v>
      </c>
      <c r="O407" t="s">
        <v>3837</v>
      </c>
      <c r="P407" t="s">
        <v>76</v>
      </c>
      <c r="Q407" t="s">
        <v>76</v>
      </c>
      <c r="R407" t="s">
        <v>76</v>
      </c>
      <c r="S407" t="s">
        <v>76</v>
      </c>
      <c r="T407" t="s">
        <v>76</v>
      </c>
      <c r="U407">
        <v>1</v>
      </c>
      <c r="V407" s="13">
        <v>45175</v>
      </c>
      <c r="W407">
        <v>1</v>
      </c>
      <c r="X407">
        <v>1</v>
      </c>
      <c r="Y407" t="s">
        <v>3667</v>
      </c>
      <c r="AC407">
        <v>2396</v>
      </c>
      <c r="AD407" t="e" vm="399">
        <v>#VALUE!</v>
      </c>
    </row>
    <row r="408" spans="2:30" x14ac:dyDescent="0.25">
      <c r="B408">
        <v>2397</v>
      </c>
      <c r="C408" t="s">
        <v>3646</v>
      </c>
      <c r="D408" t="s">
        <v>73</v>
      </c>
      <c r="E408" t="s">
        <v>73</v>
      </c>
      <c r="F408" t="s">
        <v>3816</v>
      </c>
      <c r="G408" t="s">
        <v>3816</v>
      </c>
      <c r="H408" t="s">
        <v>3808</v>
      </c>
      <c r="I408" t="s">
        <v>3809</v>
      </c>
      <c r="J408" t="s">
        <v>3827</v>
      </c>
      <c r="K408" t="s">
        <v>1218</v>
      </c>
      <c r="L408" s="13">
        <v>43748</v>
      </c>
      <c r="M408">
        <v>4</v>
      </c>
      <c r="N408" t="s">
        <v>90</v>
      </c>
      <c r="O408" t="s">
        <v>3837</v>
      </c>
      <c r="P408" t="s">
        <v>76</v>
      </c>
      <c r="Q408" t="s">
        <v>76</v>
      </c>
      <c r="R408" t="s">
        <v>76</v>
      </c>
      <c r="S408" t="s">
        <v>76</v>
      </c>
      <c r="T408" t="s">
        <v>76</v>
      </c>
      <c r="U408">
        <v>1</v>
      </c>
      <c r="V408" s="13">
        <v>45175</v>
      </c>
      <c r="W408">
        <v>1</v>
      </c>
      <c r="X408">
        <v>1</v>
      </c>
      <c r="Y408" t="s">
        <v>3667</v>
      </c>
      <c r="AC408">
        <v>2397</v>
      </c>
      <c r="AD408" t="e" vm="400">
        <v>#VALUE!</v>
      </c>
    </row>
    <row r="409" spans="2:30" x14ac:dyDescent="0.25">
      <c r="B409">
        <v>2398</v>
      </c>
      <c r="C409" t="s">
        <v>3659</v>
      </c>
      <c r="D409" t="s">
        <v>3660</v>
      </c>
      <c r="E409" t="s">
        <v>3813</v>
      </c>
      <c r="F409" t="s">
        <v>83</v>
      </c>
      <c r="G409" t="s">
        <v>103</v>
      </c>
      <c r="H409" t="s">
        <v>3808</v>
      </c>
      <c r="I409" t="s">
        <v>3809</v>
      </c>
      <c r="J409" t="s">
        <v>3827</v>
      </c>
      <c r="K409" t="s">
        <v>1218</v>
      </c>
      <c r="L409" s="13">
        <v>43748</v>
      </c>
      <c r="M409">
        <v>4</v>
      </c>
      <c r="N409" t="s">
        <v>88</v>
      </c>
      <c r="O409" t="s">
        <v>3837</v>
      </c>
      <c r="P409" t="s">
        <v>76</v>
      </c>
      <c r="Q409" t="s">
        <v>76</v>
      </c>
      <c r="R409" t="s">
        <v>76</v>
      </c>
      <c r="S409" t="s">
        <v>76</v>
      </c>
      <c r="T409" t="s">
        <v>76</v>
      </c>
      <c r="U409">
        <v>1</v>
      </c>
      <c r="V409" s="13">
        <v>45175</v>
      </c>
      <c r="W409">
        <v>1</v>
      </c>
      <c r="X409">
        <v>1</v>
      </c>
      <c r="Y409" t="s">
        <v>3661</v>
      </c>
      <c r="AC409">
        <v>2398</v>
      </c>
      <c r="AD409" t="e" vm="401">
        <v>#VALUE!</v>
      </c>
    </row>
    <row r="410" spans="2:30" x14ac:dyDescent="0.25">
      <c r="B410">
        <v>2399</v>
      </c>
      <c r="C410" t="s">
        <v>3659</v>
      </c>
      <c r="D410" t="s">
        <v>3660</v>
      </c>
      <c r="E410" t="s">
        <v>3813</v>
      </c>
      <c r="F410" t="s">
        <v>83</v>
      </c>
      <c r="G410" t="s">
        <v>103</v>
      </c>
      <c r="H410" t="s">
        <v>3808</v>
      </c>
      <c r="I410" t="s">
        <v>3809</v>
      </c>
      <c r="J410" t="s">
        <v>3827</v>
      </c>
      <c r="K410" t="s">
        <v>1218</v>
      </c>
      <c r="L410" s="13">
        <v>43748</v>
      </c>
      <c r="M410">
        <v>4</v>
      </c>
      <c r="N410" t="s">
        <v>88</v>
      </c>
      <c r="O410" t="s">
        <v>3837</v>
      </c>
      <c r="P410" t="s">
        <v>76</v>
      </c>
      <c r="Q410" t="s">
        <v>76</v>
      </c>
      <c r="R410" t="s">
        <v>76</v>
      </c>
      <c r="S410" t="s">
        <v>76</v>
      </c>
      <c r="T410" t="s">
        <v>76</v>
      </c>
      <c r="U410">
        <v>1</v>
      </c>
      <c r="V410" s="13">
        <v>45175</v>
      </c>
      <c r="W410">
        <v>1</v>
      </c>
      <c r="X410">
        <v>1</v>
      </c>
      <c r="Y410" t="s">
        <v>3661</v>
      </c>
      <c r="AC410">
        <v>2399</v>
      </c>
      <c r="AD410" t="e" vm="402">
        <v>#VALUE!</v>
      </c>
    </row>
    <row r="411" spans="2:30" x14ac:dyDescent="0.25">
      <c r="B411">
        <v>2400</v>
      </c>
      <c r="C411" t="s">
        <v>3646</v>
      </c>
      <c r="D411" t="s">
        <v>73</v>
      </c>
      <c r="E411" t="s">
        <v>73</v>
      </c>
      <c r="F411" t="s">
        <v>3816</v>
      </c>
      <c r="G411" t="s">
        <v>3816</v>
      </c>
      <c r="H411" t="s">
        <v>3808</v>
      </c>
      <c r="I411" t="s">
        <v>3809</v>
      </c>
      <c r="J411" t="s">
        <v>3827</v>
      </c>
      <c r="K411" t="s">
        <v>1218</v>
      </c>
      <c r="L411" s="13">
        <v>43748</v>
      </c>
      <c r="M411">
        <v>4</v>
      </c>
      <c r="N411" t="s">
        <v>90</v>
      </c>
      <c r="O411" t="s">
        <v>3837</v>
      </c>
      <c r="P411" t="s">
        <v>76</v>
      </c>
      <c r="Q411" t="s">
        <v>76</v>
      </c>
      <c r="R411" t="s">
        <v>76</v>
      </c>
      <c r="S411" t="s">
        <v>76</v>
      </c>
      <c r="T411" t="s">
        <v>76</v>
      </c>
      <c r="U411">
        <v>1</v>
      </c>
      <c r="V411" s="13">
        <v>45175</v>
      </c>
      <c r="W411">
        <v>1</v>
      </c>
      <c r="X411">
        <v>1</v>
      </c>
      <c r="Y411" t="s">
        <v>3667</v>
      </c>
      <c r="AC411">
        <v>2400</v>
      </c>
      <c r="AD411" t="e" vm="403">
        <v>#VALUE!</v>
      </c>
    </row>
    <row r="412" spans="2:30" x14ac:dyDescent="0.25">
      <c r="B412">
        <v>2401</v>
      </c>
      <c r="C412" t="s">
        <v>3684</v>
      </c>
      <c r="D412" t="s">
        <v>3685</v>
      </c>
      <c r="E412" t="s">
        <v>3829</v>
      </c>
      <c r="F412" t="s">
        <v>105</v>
      </c>
      <c r="G412" t="s">
        <v>108</v>
      </c>
      <c r="H412" t="s">
        <v>3808</v>
      </c>
      <c r="I412" t="s">
        <v>3809</v>
      </c>
      <c r="J412" t="s">
        <v>3827</v>
      </c>
      <c r="K412" t="s">
        <v>1218</v>
      </c>
      <c r="L412" s="13">
        <v>43748</v>
      </c>
      <c r="M412">
        <v>4</v>
      </c>
      <c r="N412" t="s">
        <v>101</v>
      </c>
      <c r="O412" t="s">
        <v>3837</v>
      </c>
      <c r="P412" t="s">
        <v>76</v>
      </c>
      <c r="Q412" t="s">
        <v>76</v>
      </c>
      <c r="R412" t="s">
        <v>76</v>
      </c>
      <c r="S412" t="s">
        <v>76</v>
      </c>
      <c r="T412" t="s">
        <v>76</v>
      </c>
      <c r="U412">
        <v>1</v>
      </c>
      <c r="V412" s="13">
        <v>45175</v>
      </c>
      <c r="W412">
        <v>1</v>
      </c>
      <c r="X412">
        <v>1</v>
      </c>
      <c r="Y412" t="s">
        <v>3686</v>
      </c>
      <c r="AC412">
        <v>2401</v>
      </c>
      <c r="AD412" t="e" vm="404">
        <v>#VALUE!</v>
      </c>
    </row>
    <row r="413" spans="2:30" x14ac:dyDescent="0.25">
      <c r="B413">
        <v>2402</v>
      </c>
      <c r="C413" t="s">
        <v>3684</v>
      </c>
      <c r="D413" t="s">
        <v>3685</v>
      </c>
      <c r="E413" t="s">
        <v>3829</v>
      </c>
      <c r="F413" t="s">
        <v>105</v>
      </c>
      <c r="G413" t="s">
        <v>108</v>
      </c>
      <c r="H413" t="s">
        <v>3808</v>
      </c>
      <c r="I413" t="s">
        <v>3809</v>
      </c>
      <c r="J413" t="s">
        <v>3827</v>
      </c>
      <c r="K413" t="s">
        <v>1218</v>
      </c>
      <c r="L413" s="13">
        <v>43773</v>
      </c>
      <c r="M413">
        <v>4</v>
      </c>
      <c r="N413" t="s">
        <v>101</v>
      </c>
      <c r="O413" t="s">
        <v>3837</v>
      </c>
      <c r="P413" t="s">
        <v>76</v>
      </c>
      <c r="Q413" t="s">
        <v>76</v>
      </c>
      <c r="R413" t="s">
        <v>76</v>
      </c>
      <c r="S413" t="s">
        <v>76</v>
      </c>
      <c r="T413" t="s">
        <v>76</v>
      </c>
      <c r="U413">
        <v>1</v>
      </c>
      <c r="V413" s="13">
        <v>45175</v>
      </c>
      <c r="W413">
        <v>1</v>
      </c>
      <c r="X413">
        <v>1</v>
      </c>
      <c r="Y413" t="s">
        <v>3686</v>
      </c>
      <c r="AC413">
        <v>2402</v>
      </c>
      <c r="AD413" t="e" vm="405">
        <v>#VALUE!</v>
      </c>
    </row>
    <row r="414" spans="2:30" x14ac:dyDescent="0.25">
      <c r="B414">
        <v>2403</v>
      </c>
      <c r="C414" t="s">
        <v>3684</v>
      </c>
      <c r="D414" t="s">
        <v>3685</v>
      </c>
      <c r="E414" t="s">
        <v>3829</v>
      </c>
      <c r="F414" t="s">
        <v>105</v>
      </c>
      <c r="G414" t="s">
        <v>108</v>
      </c>
      <c r="H414" t="s">
        <v>3808</v>
      </c>
      <c r="I414" t="s">
        <v>3809</v>
      </c>
      <c r="J414" t="s">
        <v>3827</v>
      </c>
      <c r="K414" t="s">
        <v>1218</v>
      </c>
      <c r="L414" s="13">
        <v>43784</v>
      </c>
      <c r="M414">
        <v>4</v>
      </c>
      <c r="N414" t="s">
        <v>101</v>
      </c>
      <c r="O414" t="s">
        <v>3837</v>
      </c>
      <c r="P414" t="s">
        <v>76</v>
      </c>
      <c r="Q414" t="s">
        <v>76</v>
      </c>
      <c r="R414" t="s">
        <v>76</v>
      </c>
      <c r="S414" t="s">
        <v>76</v>
      </c>
      <c r="T414" t="s">
        <v>76</v>
      </c>
      <c r="U414">
        <v>1</v>
      </c>
      <c r="V414" s="13">
        <v>45175</v>
      </c>
      <c r="W414">
        <v>1</v>
      </c>
      <c r="X414">
        <v>1</v>
      </c>
      <c r="Y414" t="s">
        <v>3686</v>
      </c>
      <c r="AC414">
        <v>2403</v>
      </c>
      <c r="AD414" t="e" vm="406">
        <v>#VALUE!</v>
      </c>
    </row>
    <row r="415" spans="2:30" x14ac:dyDescent="0.25">
      <c r="B415">
        <v>2404</v>
      </c>
      <c r="C415" t="s">
        <v>3684</v>
      </c>
      <c r="D415" t="s">
        <v>3685</v>
      </c>
      <c r="E415" t="s">
        <v>3829</v>
      </c>
      <c r="F415" t="s">
        <v>105</v>
      </c>
      <c r="G415" t="s">
        <v>108</v>
      </c>
      <c r="H415" t="s">
        <v>3808</v>
      </c>
      <c r="I415" t="s">
        <v>3809</v>
      </c>
      <c r="J415" t="s">
        <v>3827</v>
      </c>
      <c r="K415" t="s">
        <v>1218</v>
      </c>
      <c r="L415" s="13">
        <v>43784</v>
      </c>
      <c r="M415">
        <v>4</v>
      </c>
      <c r="N415" t="s">
        <v>101</v>
      </c>
      <c r="O415" t="s">
        <v>3837</v>
      </c>
      <c r="P415" t="s">
        <v>76</v>
      </c>
      <c r="Q415" t="s">
        <v>76</v>
      </c>
      <c r="R415" t="s">
        <v>76</v>
      </c>
      <c r="S415" t="s">
        <v>76</v>
      </c>
      <c r="T415" t="s">
        <v>76</v>
      </c>
      <c r="U415">
        <v>1</v>
      </c>
      <c r="V415" s="13">
        <v>45175</v>
      </c>
      <c r="W415">
        <v>1</v>
      </c>
      <c r="X415">
        <v>1</v>
      </c>
      <c r="Y415" t="s">
        <v>3686</v>
      </c>
      <c r="AC415">
        <v>2404</v>
      </c>
      <c r="AD415" t="e" vm="407">
        <v>#VALUE!</v>
      </c>
    </row>
    <row r="416" spans="2:30" x14ac:dyDescent="0.25">
      <c r="B416">
        <v>2405</v>
      </c>
      <c r="C416" t="s">
        <v>3684</v>
      </c>
      <c r="D416" t="s">
        <v>3685</v>
      </c>
      <c r="E416" t="s">
        <v>3829</v>
      </c>
      <c r="F416" t="s">
        <v>105</v>
      </c>
      <c r="G416" t="s">
        <v>108</v>
      </c>
      <c r="H416" t="s">
        <v>3808</v>
      </c>
      <c r="I416" t="s">
        <v>3809</v>
      </c>
      <c r="J416" t="s">
        <v>3827</v>
      </c>
      <c r="K416" t="s">
        <v>1218</v>
      </c>
      <c r="L416" s="13">
        <v>43784</v>
      </c>
      <c r="M416">
        <v>4</v>
      </c>
      <c r="N416" t="s">
        <v>101</v>
      </c>
      <c r="O416" t="s">
        <v>3837</v>
      </c>
      <c r="P416" t="s">
        <v>76</v>
      </c>
      <c r="Q416" t="s">
        <v>76</v>
      </c>
      <c r="R416" t="s">
        <v>76</v>
      </c>
      <c r="S416" t="s">
        <v>76</v>
      </c>
      <c r="T416" t="s">
        <v>76</v>
      </c>
      <c r="U416">
        <v>1</v>
      </c>
      <c r="V416" s="13">
        <v>45175</v>
      </c>
      <c r="W416">
        <v>1</v>
      </c>
      <c r="X416">
        <v>1</v>
      </c>
      <c r="Y416" t="s">
        <v>3686</v>
      </c>
      <c r="AC416">
        <v>2405</v>
      </c>
      <c r="AD416" t="e" vm="408">
        <v>#VALUE!</v>
      </c>
    </row>
    <row r="417" spans="2:30" x14ac:dyDescent="0.25">
      <c r="B417">
        <v>2406</v>
      </c>
      <c r="C417" t="s">
        <v>3684</v>
      </c>
      <c r="D417" t="s">
        <v>3685</v>
      </c>
      <c r="E417" t="s">
        <v>3829</v>
      </c>
      <c r="F417" t="s">
        <v>105</v>
      </c>
      <c r="G417" t="s">
        <v>108</v>
      </c>
      <c r="H417" t="s">
        <v>3808</v>
      </c>
      <c r="I417" t="s">
        <v>3809</v>
      </c>
      <c r="J417" t="s">
        <v>3827</v>
      </c>
      <c r="K417" t="s">
        <v>1218</v>
      </c>
      <c r="L417" s="13">
        <v>43784</v>
      </c>
      <c r="M417">
        <v>4</v>
      </c>
      <c r="N417" t="s">
        <v>101</v>
      </c>
      <c r="O417" t="s">
        <v>3837</v>
      </c>
      <c r="P417" t="s">
        <v>76</v>
      </c>
      <c r="Q417" t="s">
        <v>76</v>
      </c>
      <c r="R417" t="s">
        <v>76</v>
      </c>
      <c r="S417" t="s">
        <v>76</v>
      </c>
      <c r="T417" t="s">
        <v>76</v>
      </c>
      <c r="U417">
        <v>1</v>
      </c>
      <c r="V417" s="13">
        <v>45175</v>
      </c>
      <c r="W417">
        <v>1</v>
      </c>
      <c r="X417">
        <v>1</v>
      </c>
      <c r="Y417" t="s">
        <v>3686</v>
      </c>
      <c r="AC417">
        <v>2406</v>
      </c>
      <c r="AD417" t="e" vm="409">
        <v>#VALUE!</v>
      </c>
    </row>
    <row r="418" spans="2:30" x14ac:dyDescent="0.25">
      <c r="B418">
        <v>2409</v>
      </c>
      <c r="C418" t="s">
        <v>3646</v>
      </c>
      <c r="D418" t="s">
        <v>3647</v>
      </c>
      <c r="E418" t="s">
        <v>3807</v>
      </c>
      <c r="F418" t="s">
        <v>105</v>
      </c>
      <c r="G418" t="s">
        <v>108</v>
      </c>
      <c r="H418" t="s">
        <v>3808</v>
      </c>
      <c r="I418" t="s">
        <v>3809</v>
      </c>
      <c r="J418" t="s">
        <v>3827</v>
      </c>
      <c r="K418" t="s">
        <v>1218</v>
      </c>
      <c r="L418" s="13">
        <v>43644</v>
      </c>
      <c r="M418">
        <v>4</v>
      </c>
      <c r="N418" t="s">
        <v>90</v>
      </c>
      <c r="O418" t="s">
        <v>3837</v>
      </c>
      <c r="P418" t="s">
        <v>76</v>
      </c>
      <c r="Q418" t="s">
        <v>76</v>
      </c>
      <c r="R418" t="s">
        <v>76</v>
      </c>
      <c r="S418" t="s">
        <v>76</v>
      </c>
      <c r="T418" t="s">
        <v>76</v>
      </c>
      <c r="U418">
        <v>1</v>
      </c>
      <c r="V418" s="13">
        <v>45175</v>
      </c>
      <c r="W418">
        <v>1</v>
      </c>
      <c r="X418">
        <v>1</v>
      </c>
      <c r="Y418" t="s">
        <v>3648</v>
      </c>
      <c r="AC418">
        <v>2409</v>
      </c>
      <c r="AD418" t="e" vm="410">
        <v>#VALUE!</v>
      </c>
    </row>
    <row r="419" spans="2:30" x14ac:dyDescent="0.25">
      <c r="B419">
        <v>2410</v>
      </c>
      <c r="C419" t="s">
        <v>3684</v>
      </c>
      <c r="D419" t="s">
        <v>3691</v>
      </c>
      <c r="E419" t="s">
        <v>3833</v>
      </c>
      <c r="F419" t="s">
        <v>93</v>
      </c>
      <c r="G419" t="s">
        <v>91</v>
      </c>
      <c r="H419" t="s">
        <v>3808</v>
      </c>
      <c r="I419" t="s">
        <v>3809</v>
      </c>
      <c r="J419" t="s">
        <v>3827</v>
      </c>
      <c r="K419" t="s">
        <v>1218</v>
      </c>
      <c r="L419" s="13">
        <v>43735</v>
      </c>
      <c r="M419">
        <v>4</v>
      </c>
      <c r="N419" t="s">
        <v>101</v>
      </c>
      <c r="O419" t="s">
        <v>3837</v>
      </c>
      <c r="P419" t="s">
        <v>76</v>
      </c>
      <c r="Q419" t="s">
        <v>76</v>
      </c>
      <c r="R419" t="s">
        <v>76</v>
      </c>
      <c r="S419" t="s">
        <v>76</v>
      </c>
      <c r="T419" t="s">
        <v>76</v>
      </c>
      <c r="U419">
        <v>1</v>
      </c>
      <c r="V419" s="13">
        <v>45175</v>
      </c>
      <c r="W419">
        <v>1</v>
      </c>
      <c r="X419">
        <v>1</v>
      </c>
      <c r="Y419" t="s">
        <v>3692</v>
      </c>
      <c r="AC419">
        <v>2410</v>
      </c>
      <c r="AD419" t="e" vm="411">
        <v>#VALUE!</v>
      </c>
    </row>
    <row r="420" spans="2:30" x14ac:dyDescent="0.25">
      <c r="B420">
        <v>2411</v>
      </c>
      <c r="C420" t="s">
        <v>3684</v>
      </c>
      <c r="D420" t="s">
        <v>3691</v>
      </c>
      <c r="E420" t="s">
        <v>3833</v>
      </c>
      <c r="F420" t="s">
        <v>93</v>
      </c>
      <c r="G420" t="s">
        <v>91</v>
      </c>
      <c r="H420" t="s">
        <v>3808</v>
      </c>
      <c r="I420" t="s">
        <v>3809</v>
      </c>
      <c r="J420" t="s">
        <v>3827</v>
      </c>
      <c r="K420" t="s">
        <v>1218</v>
      </c>
      <c r="L420" s="13">
        <v>43670</v>
      </c>
      <c r="M420">
        <v>4</v>
      </c>
      <c r="N420" t="s">
        <v>101</v>
      </c>
      <c r="O420" t="s">
        <v>3837</v>
      </c>
      <c r="P420" t="s">
        <v>76</v>
      </c>
      <c r="Q420" t="s">
        <v>76</v>
      </c>
      <c r="R420" t="s">
        <v>76</v>
      </c>
      <c r="S420" t="s">
        <v>76</v>
      </c>
      <c r="T420" t="s">
        <v>76</v>
      </c>
      <c r="U420">
        <v>1</v>
      </c>
      <c r="V420" s="13">
        <v>45175</v>
      </c>
      <c r="W420">
        <v>1</v>
      </c>
      <c r="X420">
        <v>1</v>
      </c>
      <c r="Y420" t="s">
        <v>3692</v>
      </c>
      <c r="AC420">
        <v>2411</v>
      </c>
      <c r="AD420" t="e" vm="412">
        <v>#VALUE!</v>
      </c>
    </row>
    <row r="421" spans="2:30" x14ac:dyDescent="0.25">
      <c r="B421">
        <v>2412</v>
      </c>
      <c r="C421" t="s">
        <v>3684</v>
      </c>
      <c r="D421" t="s">
        <v>3691</v>
      </c>
      <c r="E421" t="s">
        <v>3833</v>
      </c>
      <c r="F421" t="s">
        <v>93</v>
      </c>
      <c r="G421" t="s">
        <v>91</v>
      </c>
      <c r="H421" t="s">
        <v>3808</v>
      </c>
      <c r="I421" t="s">
        <v>3809</v>
      </c>
      <c r="J421" t="s">
        <v>3827</v>
      </c>
      <c r="K421" t="s">
        <v>1218</v>
      </c>
      <c r="L421" s="13">
        <v>43811</v>
      </c>
      <c r="M421">
        <v>4</v>
      </c>
      <c r="N421" t="s">
        <v>101</v>
      </c>
      <c r="O421" t="s">
        <v>3837</v>
      </c>
      <c r="P421" t="s">
        <v>76</v>
      </c>
      <c r="Q421" t="s">
        <v>76</v>
      </c>
      <c r="R421" t="s">
        <v>76</v>
      </c>
      <c r="S421" t="s">
        <v>76</v>
      </c>
      <c r="T421" t="s">
        <v>76</v>
      </c>
      <c r="U421">
        <v>1</v>
      </c>
      <c r="V421" s="13">
        <v>45175</v>
      </c>
      <c r="W421">
        <v>1</v>
      </c>
      <c r="X421">
        <v>1</v>
      </c>
      <c r="Y421" t="s">
        <v>3692</v>
      </c>
      <c r="AC421">
        <v>2412</v>
      </c>
      <c r="AD421" t="e" vm="413">
        <v>#VALUE!</v>
      </c>
    </row>
    <row r="422" spans="2:30" x14ac:dyDescent="0.25">
      <c r="B422">
        <v>2413</v>
      </c>
      <c r="C422" t="s">
        <v>3684</v>
      </c>
      <c r="D422" t="s">
        <v>3691</v>
      </c>
      <c r="E422" t="s">
        <v>3833</v>
      </c>
      <c r="F422" t="s">
        <v>93</v>
      </c>
      <c r="G422" t="s">
        <v>91</v>
      </c>
      <c r="H422" t="s">
        <v>3808</v>
      </c>
      <c r="I422" t="s">
        <v>3809</v>
      </c>
      <c r="J422" t="s">
        <v>3827</v>
      </c>
      <c r="K422" t="s">
        <v>1218</v>
      </c>
      <c r="L422" s="13">
        <v>43725</v>
      </c>
      <c r="M422">
        <v>4</v>
      </c>
      <c r="N422" t="s">
        <v>101</v>
      </c>
      <c r="O422" t="s">
        <v>3837</v>
      </c>
      <c r="P422" t="s">
        <v>76</v>
      </c>
      <c r="Q422" t="s">
        <v>76</v>
      </c>
      <c r="R422" t="s">
        <v>76</v>
      </c>
      <c r="S422" t="s">
        <v>76</v>
      </c>
      <c r="T422" t="s">
        <v>76</v>
      </c>
      <c r="U422">
        <v>1</v>
      </c>
      <c r="V422" s="13">
        <v>45175</v>
      </c>
      <c r="W422">
        <v>1</v>
      </c>
      <c r="X422">
        <v>1</v>
      </c>
      <c r="Y422" t="s">
        <v>3692</v>
      </c>
      <c r="AC422">
        <v>2413</v>
      </c>
      <c r="AD422" t="e" vm="414">
        <v>#VALUE!</v>
      </c>
    </row>
    <row r="423" spans="2:30" x14ac:dyDescent="0.25">
      <c r="B423">
        <v>2414</v>
      </c>
      <c r="C423" t="s">
        <v>3684</v>
      </c>
      <c r="D423" t="s">
        <v>3691</v>
      </c>
      <c r="E423" t="s">
        <v>3833</v>
      </c>
      <c r="F423" t="s">
        <v>93</v>
      </c>
      <c r="G423" t="s">
        <v>91</v>
      </c>
      <c r="H423" t="s">
        <v>3808</v>
      </c>
      <c r="I423" t="s">
        <v>3809</v>
      </c>
      <c r="J423" t="s">
        <v>3827</v>
      </c>
      <c r="K423" t="s">
        <v>1218</v>
      </c>
      <c r="L423" s="13">
        <v>43657</v>
      </c>
      <c r="M423">
        <v>4</v>
      </c>
      <c r="N423" t="s">
        <v>101</v>
      </c>
      <c r="O423" t="s">
        <v>3837</v>
      </c>
      <c r="P423" t="s">
        <v>76</v>
      </c>
      <c r="Q423" t="s">
        <v>76</v>
      </c>
      <c r="R423" t="s">
        <v>76</v>
      </c>
      <c r="S423" t="s">
        <v>76</v>
      </c>
      <c r="T423" t="s">
        <v>76</v>
      </c>
      <c r="U423">
        <v>1</v>
      </c>
      <c r="V423" s="13">
        <v>45175</v>
      </c>
      <c r="W423">
        <v>1</v>
      </c>
      <c r="X423">
        <v>1</v>
      </c>
      <c r="Y423" t="s">
        <v>3692</v>
      </c>
      <c r="AC423">
        <v>2414</v>
      </c>
      <c r="AD423" t="e" vm="415">
        <v>#VALUE!</v>
      </c>
    </row>
    <row r="424" spans="2:30" x14ac:dyDescent="0.25">
      <c r="B424">
        <v>2415</v>
      </c>
      <c r="C424" t="s">
        <v>3684</v>
      </c>
      <c r="D424" t="s">
        <v>3691</v>
      </c>
      <c r="E424" t="s">
        <v>3833</v>
      </c>
      <c r="F424" t="s">
        <v>93</v>
      </c>
      <c r="G424" t="s">
        <v>91</v>
      </c>
      <c r="H424" t="s">
        <v>3808</v>
      </c>
      <c r="I424" t="s">
        <v>3809</v>
      </c>
      <c r="J424" t="s">
        <v>3827</v>
      </c>
      <c r="K424" t="s">
        <v>1218</v>
      </c>
      <c r="L424" s="13">
        <v>43657</v>
      </c>
      <c r="M424">
        <v>4</v>
      </c>
      <c r="N424" t="s">
        <v>101</v>
      </c>
      <c r="O424" t="s">
        <v>3837</v>
      </c>
      <c r="P424" t="s">
        <v>76</v>
      </c>
      <c r="Q424" t="s">
        <v>76</v>
      </c>
      <c r="R424" t="s">
        <v>76</v>
      </c>
      <c r="S424" t="s">
        <v>76</v>
      </c>
      <c r="T424" t="s">
        <v>76</v>
      </c>
      <c r="U424">
        <v>1</v>
      </c>
      <c r="V424" s="13">
        <v>45175</v>
      </c>
      <c r="W424">
        <v>1</v>
      </c>
      <c r="X424">
        <v>1</v>
      </c>
      <c r="Y424" t="s">
        <v>3692</v>
      </c>
      <c r="AC424">
        <v>2415</v>
      </c>
      <c r="AD424" t="e" vm="416">
        <v>#VALUE!</v>
      </c>
    </row>
    <row r="425" spans="2:30" x14ac:dyDescent="0.25">
      <c r="B425">
        <v>2416</v>
      </c>
      <c r="C425" t="s">
        <v>3684</v>
      </c>
      <c r="D425" t="s">
        <v>3691</v>
      </c>
      <c r="E425" t="s">
        <v>3833</v>
      </c>
      <c r="F425" t="s">
        <v>93</v>
      </c>
      <c r="G425" t="s">
        <v>91</v>
      </c>
      <c r="H425" t="s">
        <v>3808</v>
      </c>
      <c r="I425" t="s">
        <v>3809</v>
      </c>
      <c r="J425" t="s">
        <v>3827</v>
      </c>
      <c r="K425" t="s">
        <v>1218</v>
      </c>
      <c r="L425" s="13">
        <v>43663</v>
      </c>
      <c r="M425">
        <v>4</v>
      </c>
      <c r="N425" t="s">
        <v>101</v>
      </c>
      <c r="O425" t="s">
        <v>3837</v>
      </c>
      <c r="P425" t="s">
        <v>76</v>
      </c>
      <c r="Q425" t="s">
        <v>76</v>
      </c>
      <c r="R425" t="s">
        <v>76</v>
      </c>
      <c r="S425" t="s">
        <v>76</v>
      </c>
      <c r="T425" t="s">
        <v>76</v>
      </c>
      <c r="U425">
        <v>1</v>
      </c>
      <c r="V425" s="13">
        <v>45175</v>
      </c>
      <c r="W425">
        <v>1</v>
      </c>
      <c r="X425">
        <v>1</v>
      </c>
      <c r="Y425" t="s">
        <v>3692</v>
      </c>
      <c r="AC425">
        <v>2416</v>
      </c>
      <c r="AD425" t="e" vm="417">
        <v>#VALUE!</v>
      </c>
    </row>
    <row r="426" spans="2:30" x14ac:dyDescent="0.25">
      <c r="B426">
        <v>2417</v>
      </c>
      <c r="C426" t="s">
        <v>3684</v>
      </c>
      <c r="D426" t="s">
        <v>3691</v>
      </c>
      <c r="E426" t="s">
        <v>3833</v>
      </c>
      <c r="F426" t="s">
        <v>93</v>
      </c>
      <c r="G426" t="s">
        <v>91</v>
      </c>
      <c r="H426" t="s">
        <v>3808</v>
      </c>
      <c r="I426" t="s">
        <v>3809</v>
      </c>
      <c r="J426" t="s">
        <v>3827</v>
      </c>
      <c r="K426" t="s">
        <v>1218</v>
      </c>
      <c r="L426" s="13">
        <v>43707</v>
      </c>
      <c r="M426">
        <v>4</v>
      </c>
      <c r="N426" t="s">
        <v>101</v>
      </c>
      <c r="O426" t="s">
        <v>3837</v>
      </c>
      <c r="P426" t="s">
        <v>76</v>
      </c>
      <c r="Q426" t="s">
        <v>76</v>
      </c>
      <c r="R426" t="s">
        <v>76</v>
      </c>
      <c r="S426" t="s">
        <v>76</v>
      </c>
      <c r="T426" t="s">
        <v>76</v>
      </c>
      <c r="U426">
        <v>1</v>
      </c>
      <c r="V426" s="13">
        <v>45175</v>
      </c>
      <c r="W426">
        <v>1</v>
      </c>
      <c r="X426">
        <v>1</v>
      </c>
      <c r="Y426" t="s">
        <v>3692</v>
      </c>
      <c r="AC426">
        <v>2417</v>
      </c>
      <c r="AD426" t="e" vm="418">
        <v>#VALUE!</v>
      </c>
    </row>
    <row r="427" spans="2:30" x14ac:dyDescent="0.25">
      <c r="B427">
        <v>2418</v>
      </c>
      <c r="C427" t="s">
        <v>3684</v>
      </c>
      <c r="D427" t="s">
        <v>3691</v>
      </c>
      <c r="E427" t="s">
        <v>3833</v>
      </c>
      <c r="F427" t="s">
        <v>93</v>
      </c>
      <c r="G427" t="s">
        <v>91</v>
      </c>
      <c r="H427" t="s">
        <v>3808</v>
      </c>
      <c r="I427" t="s">
        <v>3809</v>
      </c>
      <c r="J427" t="s">
        <v>3827</v>
      </c>
      <c r="K427" t="s">
        <v>1218</v>
      </c>
      <c r="L427" s="13">
        <v>43670</v>
      </c>
      <c r="M427">
        <v>4</v>
      </c>
      <c r="N427" t="s">
        <v>101</v>
      </c>
      <c r="O427" t="s">
        <v>3837</v>
      </c>
      <c r="P427" t="s">
        <v>76</v>
      </c>
      <c r="Q427" t="s">
        <v>76</v>
      </c>
      <c r="R427" t="s">
        <v>76</v>
      </c>
      <c r="S427" t="s">
        <v>76</v>
      </c>
      <c r="T427" t="s">
        <v>76</v>
      </c>
      <c r="U427">
        <v>1</v>
      </c>
      <c r="V427" s="13">
        <v>45175</v>
      </c>
      <c r="W427">
        <v>1</v>
      </c>
      <c r="X427">
        <v>1</v>
      </c>
      <c r="Y427" t="s">
        <v>3692</v>
      </c>
      <c r="AC427">
        <v>2418</v>
      </c>
      <c r="AD427" t="e" vm="419">
        <v>#VALUE!</v>
      </c>
    </row>
    <row r="428" spans="2:30" x14ac:dyDescent="0.25">
      <c r="B428">
        <v>2419</v>
      </c>
      <c r="C428" t="s">
        <v>3684</v>
      </c>
      <c r="D428" t="s">
        <v>3691</v>
      </c>
      <c r="E428" t="s">
        <v>3833</v>
      </c>
      <c r="F428" t="s">
        <v>93</v>
      </c>
      <c r="G428" t="s">
        <v>91</v>
      </c>
      <c r="H428" t="s">
        <v>3808</v>
      </c>
      <c r="I428" t="s">
        <v>3809</v>
      </c>
      <c r="J428" t="s">
        <v>3827</v>
      </c>
      <c r="K428" t="s">
        <v>1218</v>
      </c>
      <c r="L428" s="13">
        <v>43725</v>
      </c>
      <c r="M428">
        <v>4</v>
      </c>
      <c r="N428" t="s">
        <v>101</v>
      </c>
      <c r="O428" t="s">
        <v>3837</v>
      </c>
      <c r="P428" t="s">
        <v>76</v>
      </c>
      <c r="Q428" t="s">
        <v>76</v>
      </c>
      <c r="R428" t="s">
        <v>76</v>
      </c>
      <c r="S428" t="s">
        <v>76</v>
      </c>
      <c r="T428" t="s">
        <v>76</v>
      </c>
      <c r="U428">
        <v>1</v>
      </c>
      <c r="V428" s="13">
        <v>45175</v>
      </c>
      <c r="W428">
        <v>1</v>
      </c>
      <c r="X428">
        <v>1</v>
      </c>
      <c r="Y428" t="s">
        <v>3692</v>
      </c>
      <c r="AC428">
        <v>2419</v>
      </c>
      <c r="AD428" t="e" vm="420">
        <v>#VALUE!</v>
      </c>
    </row>
    <row r="429" spans="2:30" x14ac:dyDescent="0.25">
      <c r="B429">
        <v>2420</v>
      </c>
      <c r="C429" t="s">
        <v>3684</v>
      </c>
      <c r="D429" t="s">
        <v>3691</v>
      </c>
      <c r="E429" t="s">
        <v>3833</v>
      </c>
      <c r="F429" t="s">
        <v>93</v>
      </c>
      <c r="G429" t="s">
        <v>91</v>
      </c>
      <c r="H429" t="s">
        <v>3808</v>
      </c>
      <c r="I429" t="s">
        <v>3809</v>
      </c>
      <c r="J429" t="s">
        <v>3827</v>
      </c>
      <c r="K429" t="s">
        <v>1218</v>
      </c>
      <c r="L429" s="13">
        <v>43725</v>
      </c>
      <c r="M429">
        <v>4</v>
      </c>
      <c r="N429" t="s">
        <v>101</v>
      </c>
      <c r="O429" t="s">
        <v>3837</v>
      </c>
      <c r="P429" t="s">
        <v>76</v>
      </c>
      <c r="Q429" t="s">
        <v>76</v>
      </c>
      <c r="R429" t="s">
        <v>76</v>
      </c>
      <c r="S429" t="s">
        <v>76</v>
      </c>
      <c r="T429" t="s">
        <v>76</v>
      </c>
      <c r="U429">
        <v>1</v>
      </c>
      <c r="V429" s="13">
        <v>45175</v>
      </c>
      <c r="W429">
        <v>1</v>
      </c>
      <c r="X429">
        <v>1</v>
      </c>
      <c r="Y429" t="s">
        <v>3692</v>
      </c>
      <c r="AC429">
        <v>2420</v>
      </c>
      <c r="AD429" t="e" vm="421">
        <v>#VALUE!</v>
      </c>
    </row>
    <row r="430" spans="2:30" x14ac:dyDescent="0.25">
      <c r="B430">
        <v>2421</v>
      </c>
      <c r="C430" t="s">
        <v>3684</v>
      </c>
      <c r="D430" t="s">
        <v>3691</v>
      </c>
      <c r="E430" t="s">
        <v>3833</v>
      </c>
      <c r="F430" t="s">
        <v>93</v>
      </c>
      <c r="G430" t="s">
        <v>91</v>
      </c>
      <c r="H430" t="s">
        <v>3808</v>
      </c>
      <c r="I430" t="s">
        <v>3809</v>
      </c>
      <c r="J430" t="s">
        <v>3827</v>
      </c>
      <c r="K430" t="s">
        <v>1218</v>
      </c>
      <c r="L430" s="13">
        <v>43725</v>
      </c>
      <c r="M430">
        <v>4</v>
      </c>
      <c r="N430" t="s">
        <v>101</v>
      </c>
      <c r="O430" t="s">
        <v>3837</v>
      </c>
      <c r="P430" t="s">
        <v>76</v>
      </c>
      <c r="Q430" t="s">
        <v>76</v>
      </c>
      <c r="R430" t="s">
        <v>76</v>
      </c>
      <c r="S430" t="s">
        <v>76</v>
      </c>
      <c r="T430" t="s">
        <v>76</v>
      </c>
      <c r="U430">
        <v>1</v>
      </c>
      <c r="V430" s="13">
        <v>45175</v>
      </c>
      <c r="W430">
        <v>1</v>
      </c>
      <c r="X430">
        <v>1</v>
      </c>
      <c r="Y430" t="s">
        <v>3692</v>
      </c>
      <c r="AC430">
        <v>2421</v>
      </c>
      <c r="AD430" t="e" vm="422">
        <v>#VALUE!</v>
      </c>
    </row>
    <row r="431" spans="2:30" x14ac:dyDescent="0.25">
      <c r="B431">
        <v>2422</v>
      </c>
      <c r="C431" t="s">
        <v>3684</v>
      </c>
      <c r="D431" t="s">
        <v>3691</v>
      </c>
      <c r="E431" t="s">
        <v>3833</v>
      </c>
      <c r="F431" t="s">
        <v>93</v>
      </c>
      <c r="G431" t="s">
        <v>91</v>
      </c>
      <c r="H431" t="s">
        <v>3808</v>
      </c>
      <c r="I431" t="s">
        <v>3809</v>
      </c>
      <c r="J431" t="s">
        <v>3827</v>
      </c>
      <c r="K431" t="s">
        <v>1218</v>
      </c>
      <c r="L431" s="13">
        <v>43725</v>
      </c>
      <c r="M431">
        <v>4</v>
      </c>
      <c r="N431" t="s">
        <v>101</v>
      </c>
      <c r="O431" t="s">
        <v>3837</v>
      </c>
      <c r="P431" t="s">
        <v>76</v>
      </c>
      <c r="Q431" t="s">
        <v>76</v>
      </c>
      <c r="R431" t="s">
        <v>76</v>
      </c>
      <c r="S431" t="s">
        <v>76</v>
      </c>
      <c r="T431" t="s">
        <v>76</v>
      </c>
      <c r="U431">
        <v>1</v>
      </c>
      <c r="V431" s="13">
        <v>45175</v>
      </c>
      <c r="W431">
        <v>1</v>
      </c>
      <c r="X431">
        <v>1</v>
      </c>
      <c r="Y431" t="s">
        <v>3692</v>
      </c>
      <c r="AC431">
        <v>2422</v>
      </c>
      <c r="AD431" t="e" vm="423">
        <v>#VALUE!</v>
      </c>
    </row>
    <row r="432" spans="2:30" x14ac:dyDescent="0.25">
      <c r="B432">
        <v>2423</v>
      </c>
      <c r="C432" t="s">
        <v>3684</v>
      </c>
      <c r="D432" t="s">
        <v>3691</v>
      </c>
      <c r="E432" t="s">
        <v>3833</v>
      </c>
      <c r="F432" t="s">
        <v>93</v>
      </c>
      <c r="G432" t="s">
        <v>91</v>
      </c>
      <c r="H432" t="s">
        <v>3808</v>
      </c>
      <c r="I432" t="s">
        <v>3809</v>
      </c>
      <c r="J432" t="s">
        <v>3827</v>
      </c>
      <c r="K432" t="s">
        <v>1218</v>
      </c>
      <c r="L432" s="13">
        <v>43735</v>
      </c>
      <c r="M432">
        <v>4</v>
      </c>
      <c r="N432" t="s">
        <v>101</v>
      </c>
      <c r="O432" t="s">
        <v>3837</v>
      </c>
      <c r="P432" t="s">
        <v>76</v>
      </c>
      <c r="Q432" t="s">
        <v>76</v>
      </c>
      <c r="R432" t="s">
        <v>76</v>
      </c>
      <c r="S432" t="s">
        <v>76</v>
      </c>
      <c r="T432" t="s">
        <v>76</v>
      </c>
      <c r="U432">
        <v>1</v>
      </c>
      <c r="V432" s="13">
        <v>45175</v>
      </c>
      <c r="W432">
        <v>1</v>
      </c>
      <c r="X432">
        <v>1</v>
      </c>
      <c r="Y432" t="s">
        <v>3692</v>
      </c>
      <c r="AC432">
        <v>2423</v>
      </c>
      <c r="AD432" t="e" vm="424">
        <v>#VALUE!</v>
      </c>
    </row>
    <row r="433" spans="2:30" x14ac:dyDescent="0.25">
      <c r="B433">
        <v>2424</v>
      </c>
      <c r="C433" t="s">
        <v>3684</v>
      </c>
      <c r="D433" t="s">
        <v>3691</v>
      </c>
      <c r="E433" t="s">
        <v>3833</v>
      </c>
      <c r="F433" t="s">
        <v>93</v>
      </c>
      <c r="G433" t="s">
        <v>91</v>
      </c>
      <c r="H433" t="s">
        <v>3808</v>
      </c>
      <c r="I433" t="s">
        <v>3809</v>
      </c>
      <c r="J433" t="s">
        <v>3827</v>
      </c>
      <c r="K433" t="s">
        <v>1218</v>
      </c>
      <c r="L433" s="13">
        <v>43735</v>
      </c>
      <c r="M433">
        <v>4</v>
      </c>
      <c r="N433" t="s">
        <v>101</v>
      </c>
      <c r="O433" t="s">
        <v>3837</v>
      </c>
      <c r="P433" t="s">
        <v>76</v>
      </c>
      <c r="Q433" t="s">
        <v>76</v>
      </c>
      <c r="R433" t="s">
        <v>76</v>
      </c>
      <c r="S433" t="s">
        <v>76</v>
      </c>
      <c r="T433" t="s">
        <v>76</v>
      </c>
      <c r="U433">
        <v>1</v>
      </c>
      <c r="V433" s="13">
        <v>45175</v>
      </c>
      <c r="W433">
        <v>1</v>
      </c>
      <c r="X433">
        <v>1</v>
      </c>
      <c r="Y433" t="s">
        <v>3692</v>
      </c>
      <c r="AC433">
        <v>2424</v>
      </c>
      <c r="AD433" t="e" vm="425">
        <v>#VALUE!</v>
      </c>
    </row>
    <row r="434" spans="2:30" x14ac:dyDescent="0.25">
      <c r="B434">
        <v>2425</v>
      </c>
      <c r="C434" t="s">
        <v>3684</v>
      </c>
      <c r="D434" t="s">
        <v>3691</v>
      </c>
      <c r="E434" t="s">
        <v>3833</v>
      </c>
      <c r="F434" t="s">
        <v>93</v>
      </c>
      <c r="G434" t="s">
        <v>91</v>
      </c>
      <c r="H434" t="s">
        <v>3808</v>
      </c>
      <c r="I434" t="s">
        <v>3809</v>
      </c>
      <c r="J434" t="s">
        <v>3827</v>
      </c>
      <c r="K434" t="s">
        <v>1218</v>
      </c>
      <c r="L434" s="13">
        <v>43735</v>
      </c>
      <c r="M434">
        <v>4</v>
      </c>
      <c r="N434" t="s">
        <v>101</v>
      </c>
      <c r="O434" t="s">
        <v>3837</v>
      </c>
      <c r="P434" t="s">
        <v>76</v>
      </c>
      <c r="Q434" t="s">
        <v>76</v>
      </c>
      <c r="R434" t="s">
        <v>76</v>
      </c>
      <c r="S434" t="s">
        <v>76</v>
      </c>
      <c r="T434" t="s">
        <v>76</v>
      </c>
      <c r="U434">
        <v>1</v>
      </c>
      <c r="V434" s="13">
        <v>45175</v>
      </c>
      <c r="W434">
        <v>1</v>
      </c>
      <c r="X434">
        <v>1</v>
      </c>
      <c r="Y434" t="s">
        <v>3692</v>
      </c>
      <c r="AC434">
        <v>2425</v>
      </c>
      <c r="AD434" t="e" vm="426">
        <v>#VALUE!</v>
      </c>
    </row>
    <row r="435" spans="2:30" x14ac:dyDescent="0.25">
      <c r="B435">
        <v>2426</v>
      </c>
      <c r="C435" t="s">
        <v>3646</v>
      </c>
      <c r="D435" t="s">
        <v>73</v>
      </c>
      <c r="E435" t="s">
        <v>73</v>
      </c>
      <c r="F435" t="s">
        <v>3816</v>
      </c>
      <c r="G435" t="s">
        <v>3816</v>
      </c>
      <c r="H435" t="s">
        <v>3808</v>
      </c>
      <c r="I435" t="s">
        <v>3809</v>
      </c>
      <c r="J435" t="s">
        <v>3827</v>
      </c>
      <c r="K435" t="s">
        <v>1218</v>
      </c>
      <c r="L435" s="13">
        <v>43735</v>
      </c>
      <c r="M435">
        <v>4</v>
      </c>
      <c r="N435" t="s">
        <v>90</v>
      </c>
      <c r="O435" t="s">
        <v>3837</v>
      </c>
      <c r="P435" t="s">
        <v>76</v>
      </c>
      <c r="Q435" t="s">
        <v>76</v>
      </c>
      <c r="R435" t="s">
        <v>76</v>
      </c>
      <c r="S435" t="s">
        <v>76</v>
      </c>
      <c r="T435" t="s">
        <v>76</v>
      </c>
      <c r="U435">
        <v>1</v>
      </c>
      <c r="V435" s="13">
        <v>45175</v>
      </c>
      <c r="W435">
        <v>1</v>
      </c>
      <c r="X435">
        <v>1</v>
      </c>
      <c r="Y435" t="s">
        <v>3667</v>
      </c>
      <c r="AC435">
        <v>2426</v>
      </c>
      <c r="AD435" t="e" vm="427">
        <v>#VALUE!</v>
      </c>
    </row>
    <row r="436" spans="2:30" x14ac:dyDescent="0.25">
      <c r="B436">
        <v>2427</v>
      </c>
      <c r="C436" t="s">
        <v>3684</v>
      </c>
      <c r="D436" t="s">
        <v>3695</v>
      </c>
      <c r="E436" t="s">
        <v>3838</v>
      </c>
      <c r="F436" t="s">
        <v>97</v>
      </c>
      <c r="G436" t="s">
        <v>102</v>
      </c>
      <c r="H436" t="s">
        <v>3808</v>
      </c>
      <c r="I436" t="s">
        <v>3809</v>
      </c>
      <c r="J436" t="s">
        <v>3827</v>
      </c>
      <c r="K436" t="s">
        <v>1218</v>
      </c>
      <c r="L436" s="13">
        <v>43749</v>
      </c>
      <c r="M436">
        <v>4</v>
      </c>
      <c r="N436" t="s">
        <v>101</v>
      </c>
      <c r="O436" t="s">
        <v>3837</v>
      </c>
      <c r="P436" t="s">
        <v>76</v>
      </c>
      <c r="Q436" t="s">
        <v>76</v>
      </c>
      <c r="R436" t="s">
        <v>76</v>
      </c>
      <c r="S436" t="s">
        <v>76</v>
      </c>
      <c r="T436" t="s">
        <v>76</v>
      </c>
      <c r="U436">
        <v>1</v>
      </c>
      <c r="V436" s="13">
        <v>45175</v>
      </c>
      <c r="W436">
        <v>1</v>
      </c>
      <c r="X436">
        <v>1</v>
      </c>
      <c r="Y436" t="s">
        <v>3696</v>
      </c>
      <c r="AC436">
        <v>2427</v>
      </c>
      <c r="AD436" t="e" vm="428">
        <v>#VALUE!</v>
      </c>
    </row>
    <row r="437" spans="2:30" x14ac:dyDescent="0.25">
      <c r="B437">
        <v>2428</v>
      </c>
      <c r="C437" t="s">
        <v>3684</v>
      </c>
      <c r="D437" t="s">
        <v>3695</v>
      </c>
      <c r="E437" t="s">
        <v>3838</v>
      </c>
      <c r="F437" t="s">
        <v>97</v>
      </c>
      <c r="G437" t="s">
        <v>102</v>
      </c>
      <c r="H437" t="s">
        <v>3808</v>
      </c>
      <c r="I437" t="s">
        <v>3809</v>
      </c>
      <c r="J437" t="s">
        <v>3827</v>
      </c>
      <c r="K437" t="s">
        <v>1218</v>
      </c>
      <c r="L437" s="13">
        <v>43749</v>
      </c>
      <c r="M437">
        <v>4</v>
      </c>
      <c r="N437" t="s">
        <v>101</v>
      </c>
      <c r="O437" t="s">
        <v>3837</v>
      </c>
      <c r="P437" t="s">
        <v>76</v>
      </c>
      <c r="Q437" t="s">
        <v>76</v>
      </c>
      <c r="R437" t="s">
        <v>76</v>
      </c>
      <c r="S437" t="s">
        <v>76</v>
      </c>
      <c r="T437" t="s">
        <v>76</v>
      </c>
      <c r="U437">
        <v>1</v>
      </c>
      <c r="V437" s="13">
        <v>45175</v>
      </c>
      <c r="W437">
        <v>1</v>
      </c>
      <c r="X437">
        <v>1</v>
      </c>
      <c r="Y437" t="s">
        <v>3696</v>
      </c>
      <c r="AC437">
        <v>2428</v>
      </c>
      <c r="AD437" t="e" vm="429">
        <v>#VALUE!</v>
      </c>
    </row>
    <row r="438" spans="2:30" x14ac:dyDescent="0.25">
      <c r="B438">
        <v>2429</v>
      </c>
      <c r="C438" t="s">
        <v>3684</v>
      </c>
      <c r="D438" t="s">
        <v>3695</v>
      </c>
      <c r="E438" t="s">
        <v>3838</v>
      </c>
      <c r="F438" t="s">
        <v>97</v>
      </c>
      <c r="G438" t="s">
        <v>102</v>
      </c>
      <c r="H438" t="s">
        <v>3808</v>
      </c>
      <c r="I438" t="s">
        <v>3809</v>
      </c>
      <c r="J438" t="s">
        <v>3827</v>
      </c>
      <c r="K438" t="s">
        <v>1218</v>
      </c>
      <c r="L438" s="13">
        <v>43749</v>
      </c>
      <c r="M438">
        <v>4</v>
      </c>
      <c r="N438" t="s">
        <v>101</v>
      </c>
      <c r="O438" t="s">
        <v>3837</v>
      </c>
      <c r="P438" t="s">
        <v>76</v>
      </c>
      <c r="Q438" t="s">
        <v>76</v>
      </c>
      <c r="R438" t="s">
        <v>76</v>
      </c>
      <c r="S438" t="s">
        <v>76</v>
      </c>
      <c r="T438" t="s">
        <v>76</v>
      </c>
      <c r="U438">
        <v>1</v>
      </c>
      <c r="V438" s="13">
        <v>45175</v>
      </c>
      <c r="W438">
        <v>1</v>
      </c>
      <c r="X438">
        <v>1</v>
      </c>
      <c r="Y438" t="s">
        <v>3696</v>
      </c>
      <c r="AC438">
        <v>2429</v>
      </c>
      <c r="AD438" t="e" vm="430">
        <v>#VALUE!</v>
      </c>
    </row>
    <row r="439" spans="2:30" x14ac:dyDescent="0.25">
      <c r="B439">
        <v>2430</v>
      </c>
      <c r="C439" t="s">
        <v>3684</v>
      </c>
      <c r="D439" t="s">
        <v>3695</v>
      </c>
      <c r="E439" t="s">
        <v>3838</v>
      </c>
      <c r="F439" t="s">
        <v>97</v>
      </c>
      <c r="G439" t="s">
        <v>102</v>
      </c>
      <c r="H439" t="s">
        <v>3808</v>
      </c>
      <c r="I439" t="s">
        <v>3809</v>
      </c>
      <c r="J439" t="s">
        <v>3827</v>
      </c>
      <c r="K439" t="s">
        <v>1218</v>
      </c>
      <c r="L439" s="13">
        <v>43756</v>
      </c>
      <c r="M439">
        <v>4</v>
      </c>
      <c r="N439" t="s">
        <v>101</v>
      </c>
      <c r="O439" t="s">
        <v>3837</v>
      </c>
      <c r="P439" t="s">
        <v>76</v>
      </c>
      <c r="Q439" t="s">
        <v>76</v>
      </c>
      <c r="R439" t="s">
        <v>76</v>
      </c>
      <c r="S439" t="s">
        <v>76</v>
      </c>
      <c r="T439" t="s">
        <v>76</v>
      </c>
      <c r="U439">
        <v>1</v>
      </c>
      <c r="V439" s="13">
        <v>45175</v>
      </c>
      <c r="W439">
        <v>1</v>
      </c>
      <c r="X439">
        <v>1</v>
      </c>
      <c r="Y439" t="s">
        <v>3696</v>
      </c>
      <c r="AC439">
        <v>2430</v>
      </c>
      <c r="AD439" t="e" vm="431">
        <v>#VALUE!</v>
      </c>
    </row>
    <row r="440" spans="2:30" x14ac:dyDescent="0.25">
      <c r="B440">
        <v>2431</v>
      </c>
      <c r="C440" t="s">
        <v>3684</v>
      </c>
      <c r="D440" t="s">
        <v>3695</v>
      </c>
      <c r="E440" t="s">
        <v>3838</v>
      </c>
      <c r="F440" t="s">
        <v>97</v>
      </c>
      <c r="G440" t="s">
        <v>102</v>
      </c>
      <c r="H440" t="s">
        <v>3808</v>
      </c>
      <c r="I440" t="s">
        <v>3809</v>
      </c>
      <c r="J440" t="s">
        <v>3827</v>
      </c>
      <c r="K440" t="s">
        <v>1218</v>
      </c>
      <c r="L440" s="13">
        <v>43756</v>
      </c>
      <c r="M440">
        <v>4</v>
      </c>
      <c r="N440" t="s">
        <v>101</v>
      </c>
      <c r="O440" t="s">
        <v>3837</v>
      </c>
      <c r="P440" t="s">
        <v>76</v>
      </c>
      <c r="Q440" t="s">
        <v>76</v>
      </c>
      <c r="R440" t="s">
        <v>76</v>
      </c>
      <c r="S440" t="s">
        <v>76</v>
      </c>
      <c r="T440" t="s">
        <v>76</v>
      </c>
      <c r="U440">
        <v>1</v>
      </c>
      <c r="V440" s="13">
        <v>45175</v>
      </c>
      <c r="W440">
        <v>1</v>
      </c>
      <c r="X440">
        <v>1</v>
      </c>
      <c r="Y440" t="s">
        <v>3696</v>
      </c>
      <c r="AC440">
        <v>2431</v>
      </c>
      <c r="AD440" t="e" vm="432">
        <v>#VALUE!</v>
      </c>
    </row>
    <row r="441" spans="2:30" x14ac:dyDescent="0.25">
      <c r="B441">
        <v>2432</v>
      </c>
      <c r="C441" t="s">
        <v>3684</v>
      </c>
      <c r="D441" t="s">
        <v>3685</v>
      </c>
      <c r="E441" t="s">
        <v>3829</v>
      </c>
      <c r="F441" t="s">
        <v>105</v>
      </c>
      <c r="G441" t="s">
        <v>108</v>
      </c>
      <c r="H441" t="s">
        <v>3808</v>
      </c>
      <c r="I441" t="s">
        <v>3809</v>
      </c>
      <c r="J441" t="s">
        <v>3827</v>
      </c>
      <c r="K441" t="s">
        <v>1218</v>
      </c>
      <c r="L441" s="13">
        <v>43787</v>
      </c>
      <c r="M441">
        <v>4</v>
      </c>
      <c r="N441" t="s">
        <v>101</v>
      </c>
      <c r="O441" t="s">
        <v>3837</v>
      </c>
      <c r="P441" t="s">
        <v>76</v>
      </c>
      <c r="Q441" t="s">
        <v>76</v>
      </c>
      <c r="R441" t="s">
        <v>76</v>
      </c>
      <c r="S441" t="s">
        <v>76</v>
      </c>
      <c r="T441" t="s">
        <v>76</v>
      </c>
      <c r="U441">
        <v>1</v>
      </c>
      <c r="V441" s="13">
        <v>45175</v>
      </c>
      <c r="W441">
        <v>1</v>
      </c>
      <c r="X441">
        <v>1</v>
      </c>
      <c r="Y441" t="s">
        <v>3686</v>
      </c>
      <c r="AC441">
        <v>2432</v>
      </c>
      <c r="AD441" t="e" vm="433">
        <v>#VALUE!</v>
      </c>
    </row>
    <row r="442" spans="2:30" x14ac:dyDescent="0.25">
      <c r="B442">
        <v>2433</v>
      </c>
      <c r="C442" t="s">
        <v>3684</v>
      </c>
      <c r="D442" t="s">
        <v>3685</v>
      </c>
      <c r="E442" t="s">
        <v>3829</v>
      </c>
      <c r="F442" t="s">
        <v>105</v>
      </c>
      <c r="G442" t="s">
        <v>108</v>
      </c>
      <c r="H442" t="s">
        <v>3808</v>
      </c>
      <c r="I442" t="s">
        <v>3809</v>
      </c>
      <c r="J442" t="s">
        <v>3827</v>
      </c>
      <c r="K442" t="s">
        <v>1218</v>
      </c>
      <c r="L442" s="13">
        <v>43756</v>
      </c>
      <c r="M442">
        <v>4</v>
      </c>
      <c r="N442" t="s">
        <v>101</v>
      </c>
      <c r="O442" t="s">
        <v>3837</v>
      </c>
      <c r="P442" t="s">
        <v>76</v>
      </c>
      <c r="Q442" t="s">
        <v>76</v>
      </c>
      <c r="R442" t="s">
        <v>76</v>
      </c>
      <c r="S442" t="s">
        <v>76</v>
      </c>
      <c r="T442" t="s">
        <v>76</v>
      </c>
      <c r="U442">
        <v>1</v>
      </c>
      <c r="V442" s="13">
        <v>45175</v>
      </c>
      <c r="W442">
        <v>1</v>
      </c>
      <c r="X442">
        <v>1</v>
      </c>
      <c r="Y442" t="s">
        <v>3686</v>
      </c>
      <c r="AC442">
        <v>2433</v>
      </c>
      <c r="AD442" t="e" vm="434">
        <v>#VALUE!</v>
      </c>
    </row>
    <row r="443" spans="2:30" x14ac:dyDescent="0.25">
      <c r="B443">
        <v>2434</v>
      </c>
      <c r="C443" t="s">
        <v>3684</v>
      </c>
      <c r="D443" t="s">
        <v>3685</v>
      </c>
      <c r="E443" t="s">
        <v>3829</v>
      </c>
      <c r="F443" t="s">
        <v>105</v>
      </c>
      <c r="G443" t="s">
        <v>108</v>
      </c>
      <c r="H443" t="s">
        <v>3808</v>
      </c>
      <c r="I443" t="s">
        <v>3809</v>
      </c>
      <c r="J443" t="s">
        <v>3827</v>
      </c>
      <c r="K443" t="s">
        <v>1218</v>
      </c>
      <c r="L443" s="13">
        <v>43756</v>
      </c>
      <c r="M443">
        <v>4</v>
      </c>
      <c r="N443" t="s">
        <v>101</v>
      </c>
      <c r="O443" t="s">
        <v>3837</v>
      </c>
      <c r="P443" t="s">
        <v>76</v>
      </c>
      <c r="Q443" t="s">
        <v>76</v>
      </c>
      <c r="R443" t="s">
        <v>76</v>
      </c>
      <c r="S443" t="s">
        <v>76</v>
      </c>
      <c r="T443" t="s">
        <v>76</v>
      </c>
      <c r="U443">
        <v>1</v>
      </c>
      <c r="V443" s="13">
        <v>45175</v>
      </c>
      <c r="W443">
        <v>1</v>
      </c>
      <c r="X443">
        <v>1</v>
      </c>
      <c r="Y443" t="s">
        <v>3686</v>
      </c>
      <c r="AC443">
        <v>2434</v>
      </c>
      <c r="AD443" t="e" vm="435">
        <v>#VALUE!</v>
      </c>
    </row>
    <row r="444" spans="2:30" x14ac:dyDescent="0.25">
      <c r="B444">
        <v>2435</v>
      </c>
      <c r="C444" t="s">
        <v>3684</v>
      </c>
      <c r="D444" t="s">
        <v>3685</v>
      </c>
      <c r="E444" t="s">
        <v>3829</v>
      </c>
      <c r="F444" t="s">
        <v>105</v>
      </c>
      <c r="G444" t="s">
        <v>108</v>
      </c>
      <c r="H444" t="s">
        <v>3808</v>
      </c>
      <c r="I444" t="s">
        <v>3809</v>
      </c>
      <c r="J444" t="s">
        <v>3827</v>
      </c>
      <c r="K444" t="s">
        <v>1218</v>
      </c>
      <c r="L444" s="13">
        <v>43756</v>
      </c>
      <c r="M444">
        <v>4</v>
      </c>
      <c r="N444" t="s">
        <v>101</v>
      </c>
      <c r="O444" t="s">
        <v>3837</v>
      </c>
      <c r="P444" t="s">
        <v>76</v>
      </c>
      <c r="Q444" t="s">
        <v>76</v>
      </c>
      <c r="R444" t="s">
        <v>76</v>
      </c>
      <c r="S444" t="s">
        <v>76</v>
      </c>
      <c r="T444" t="s">
        <v>76</v>
      </c>
      <c r="U444">
        <v>1</v>
      </c>
      <c r="V444" s="13">
        <v>45175</v>
      </c>
      <c r="W444">
        <v>1</v>
      </c>
      <c r="X444">
        <v>1</v>
      </c>
      <c r="Y444" t="s">
        <v>3686</v>
      </c>
      <c r="AC444">
        <v>2435</v>
      </c>
      <c r="AD444" t="e" vm="436">
        <v>#VALUE!</v>
      </c>
    </row>
    <row r="445" spans="2:30" x14ac:dyDescent="0.25">
      <c r="B445">
        <v>2436</v>
      </c>
      <c r="C445" t="s">
        <v>3684</v>
      </c>
      <c r="D445" t="s">
        <v>3685</v>
      </c>
      <c r="E445" t="s">
        <v>3829</v>
      </c>
      <c r="F445" t="s">
        <v>105</v>
      </c>
      <c r="G445" t="s">
        <v>108</v>
      </c>
      <c r="H445" t="s">
        <v>3808</v>
      </c>
      <c r="I445" t="s">
        <v>3809</v>
      </c>
      <c r="J445" t="s">
        <v>3827</v>
      </c>
      <c r="K445" t="s">
        <v>1218</v>
      </c>
      <c r="L445" s="13">
        <v>43756</v>
      </c>
      <c r="M445">
        <v>4</v>
      </c>
      <c r="N445" t="s">
        <v>101</v>
      </c>
      <c r="O445" t="s">
        <v>3837</v>
      </c>
      <c r="P445" t="s">
        <v>76</v>
      </c>
      <c r="Q445" t="s">
        <v>76</v>
      </c>
      <c r="R445" t="s">
        <v>76</v>
      </c>
      <c r="S445" t="s">
        <v>76</v>
      </c>
      <c r="T445" t="s">
        <v>76</v>
      </c>
      <c r="U445">
        <v>1</v>
      </c>
      <c r="V445" s="13">
        <v>45175</v>
      </c>
      <c r="W445">
        <v>1</v>
      </c>
      <c r="X445">
        <v>1</v>
      </c>
      <c r="Y445" t="s">
        <v>3686</v>
      </c>
      <c r="AC445">
        <v>2436</v>
      </c>
      <c r="AD445" t="e" vm="437">
        <v>#VALUE!</v>
      </c>
    </row>
    <row r="446" spans="2:30" x14ac:dyDescent="0.25">
      <c r="B446">
        <v>2437</v>
      </c>
      <c r="C446" t="s">
        <v>3684</v>
      </c>
      <c r="D446" t="s">
        <v>3695</v>
      </c>
      <c r="E446" t="s">
        <v>3838</v>
      </c>
      <c r="F446" t="s">
        <v>97</v>
      </c>
      <c r="G446" t="s">
        <v>102</v>
      </c>
      <c r="H446" t="s">
        <v>3808</v>
      </c>
      <c r="I446" t="s">
        <v>3809</v>
      </c>
      <c r="J446" t="s">
        <v>3827</v>
      </c>
      <c r="K446" t="s">
        <v>1218</v>
      </c>
      <c r="L446" s="13">
        <v>44005</v>
      </c>
      <c r="M446">
        <v>3</v>
      </c>
      <c r="N446" t="s">
        <v>101</v>
      </c>
      <c r="O446" t="s">
        <v>3837</v>
      </c>
      <c r="P446" t="s">
        <v>76</v>
      </c>
      <c r="Q446" t="s">
        <v>76</v>
      </c>
      <c r="R446" t="s">
        <v>76</v>
      </c>
      <c r="S446" t="s">
        <v>76</v>
      </c>
      <c r="T446" t="s">
        <v>76</v>
      </c>
      <c r="U446">
        <v>1</v>
      </c>
      <c r="V446" s="13">
        <v>45175</v>
      </c>
      <c r="W446">
        <v>1</v>
      </c>
      <c r="X446">
        <v>1</v>
      </c>
      <c r="Y446" t="s">
        <v>3696</v>
      </c>
      <c r="AC446">
        <v>2437</v>
      </c>
      <c r="AD446" t="e" vm="438">
        <v>#VALUE!</v>
      </c>
    </row>
    <row r="447" spans="2:30" x14ac:dyDescent="0.25">
      <c r="B447">
        <v>2438</v>
      </c>
      <c r="C447" t="s">
        <v>3684</v>
      </c>
      <c r="D447" t="s">
        <v>3695</v>
      </c>
      <c r="E447" t="s">
        <v>3838</v>
      </c>
      <c r="F447" t="s">
        <v>97</v>
      </c>
      <c r="G447" t="s">
        <v>102</v>
      </c>
      <c r="H447" t="s">
        <v>3808</v>
      </c>
      <c r="I447" t="s">
        <v>3809</v>
      </c>
      <c r="J447" t="s">
        <v>3827</v>
      </c>
      <c r="K447" t="s">
        <v>1218</v>
      </c>
      <c r="L447" s="13">
        <v>44025</v>
      </c>
      <c r="M447">
        <v>3</v>
      </c>
      <c r="N447" t="s">
        <v>101</v>
      </c>
      <c r="O447" t="s">
        <v>3837</v>
      </c>
      <c r="P447" t="s">
        <v>76</v>
      </c>
      <c r="Q447" t="s">
        <v>76</v>
      </c>
      <c r="R447" t="s">
        <v>76</v>
      </c>
      <c r="S447" t="s">
        <v>76</v>
      </c>
      <c r="T447" t="s">
        <v>76</v>
      </c>
      <c r="U447">
        <v>1</v>
      </c>
      <c r="V447" s="13">
        <v>45175</v>
      </c>
      <c r="W447">
        <v>1</v>
      </c>
      <c r="X447">
        <v>1</v>
      </c>
      <c r="Y447" t="s">
        <v>3696</v>
      </c>
      <c r="AC447">
        <v>2438</v>
      </c>
      <c r="AD447" t="e" vm="439">
        <v>#VALUE!</v>
      </c>
    </row>
    <row r="448" spans="2:30" x14ac:dyDescent="0.25">
      <c r="B448">
        <v>2439</v>
      </c>
      <c r="C448" t="s">
        <v>3684</v>
      </c>
      <c r="D448" t="s">
        <v>3695</v>
      </c>
      <c r="E448" t="s">
        <v>3838</v>
      </c>
      <c r="F448" t="s">
        <v>97</v>
      </c>
      <c r="G448" t="s">
        <v>102</v>
      </c>
      <c r="H448" t="s">
        <v>3808</v>
      </c>
      <c r="I448" t="s">
        <v>3809</v>
      </c>
      <c r="J448" t="s">
        <v>3827</v>
      </c>
      <c r="K448" t="s">
        <v>1218</v>
      </c>
      <c r="L448" s="13">
        <v>44021</v>
      </c>
      <c r="M448">
        <v>3</v>
      </c>
      <c r="N448" t="s">
        <v>101</v>
      </c>
      <c r="O448" t="s">
        <v>3837</v>
      </c>
      <c r="P448" t="s">
        <v>76</v>
      </c>
      <c r="Q448" t="s">
        <v>76</v>
      </c>
      <c r="R448" t="s">
        <v>76</v>
      </c>
      <c r="S448" t="s">
        <v>76</v>
      </c>
      <c r="T448" t="s">
        <v>76</v>
      </c>
      <c r="U448">
        <v>1</v>
      </c>
      <c r="V448" s="13">
        <v>45175</v>
      </c>
      <c r="W448">
        <v>1</v>
      </c>
      <c r="X448">
        <v>1</v>
      </c>
      <c r="Y448" t="s">
        <v>3696</v>
      </c>
      <c r="AC448">
        <v>2439</v>
      </c>
      <c r="AD448" t="e" vm="440">
        <v>#VALUE!</v>
      </c>
    </row>
    <row r="449" spans="2:30" x14ac:dyDescent="0.25">
      <c r="B449">
        <v>2440</v>
      </c>
      <c r="C449" t="s">
        <v>3684</v>
      </c>
      <c r="D449" t="s">
        <v>3695</v>
      </c>
      <c r="E449" t="s">
        <v>3838</v>
      </c>
      <c r="F449" t="s">
        <v>97</v>
      </c>
      <c r="G449" t="s">
        <v>102</v>
      </c>
      <c r="H449" t="s">
        <v>3808</v>
      </c>
      <c r="I449" t="s">
        <v>3809</v>
      </c>
      <c r="J449" t="s">
        <v>3827</v>
      </c>
      <c r="K449" t="s">
        <v>1218</v>
      </c>
      <c r="L449" s="13">
        <v>44021</v>
      </c>
      <c r="M449">
        <v>3</v>
      </c>
      <c r="N449" t="s">
        <v>101</v>
      </c>
      <c r="O449" t="s">
        <v>3837</v>
      </c>
      <c r="P449" t="s">
        <v>76</v>
      </c>
      <c r="Q449" t="s">
        <v>76</v>
      </c>
      <c r="R449" t="s">
        <v>76</v>
      </c>
      <c r="S449" t="s">
        <v>76</v>
      </c>
      <c r="T449" t="s">
        <v>76</v>
      </c>
      <c r="U449">
        <v>1</v>
      </c>
      <c r="V449" s="13">
        <v>45175</v>
      </c>
      <c r="W449">
        <v>1</v>
      </c>
      <c r="X449">
        <v>1</v>
      </c>
      <c r="Y449" t="s">
        <v>3696</v>
      </c>
      <c r="AC449">
        <v>2440</v>
      </c>
      <c r="AD449" t="e" vm="441">
        <v>#VALUE!</v>
      </c>
    </row>
    <row r="450" spans="2:30" x14ac:dyDescent="0.25">
      <c r="B450">
        <v>2441</v>
      </c>
      <c r="C450" t="s">
        <v>3684</v>
      </c>
      <c r="D450" t="s">
        <v>73</v>
      </c>
      <c r="E450" t="s">
        <v>73</v>
      </c>
      <c r="F450" t="s">
        <v>3816</v>
      </c>
      <c r="G450" t="s">
        <v>3816</v>
      </c>
      <c r="H450" t="s">
        <v>3808</v>
      </c>
      <c r="I450" t="s">
        <v>3809</v>
      </c>
      <c r="J450" t="s">
        <v>3827</v>
      </c>
      <c r="K450" t="s">
        <v>1218</v>
      </c>
      <c r="L450" s="13">
        <v>44054</v>
      </c>
      <c r="M450">
        <v>3</v>
      </c>
      <c r="N450" t="s">
        <v>101</v>
      </c>
      <c r="O450" t="s">
        <v>3837</v>
      </c>
      <c r="P450" t="s">
        <v>76</v>
      </c>
      <c r="Q450" t="s">
        <v>76</v>
      </c>
      <c r="R450" t="s">
        <v>76</v>
      </c>
      <c r="S450" t="s">
        <v>76</v>
      </c>
      <c r="T450" t="s">
        <v>76</v>
      </c>
      <c r="U450">
        <v>1</v>
      </c>
      <c r="V450" s="13">
        <v>45175</v>
      </c>
      <c r="W450">
        <v>1</v>
      </c>
      <c r="X450">
        <v>1</v>
      </c>
      <c r="Y450" t="s">
        <v>3697</v>
      </c>
      <c r="AC450">
        <v>2441</v>
      </c>
      <c r="AD450" t="e" vm="442">
        <v>#VALUE!</v>
      </c>
    </row>
    <row r="451" spans="2:30" x14ac:dyDescent="0.25">
      <c r="B451">
        <v>2442</v>
      </c>
      <c r="C451" t="s">
        <v>3646</v>
      </c>
      <c r="D451" t="s">
        <v>3682</v>
      </c>
      <c r="E451" t="s">
        <v>3826</v>
      </c>
      <c r="F451" t="s">
        <v>81</v>
      </c>
      <c r="G451" t="s">
        <v>100</v>
      </c>
      <c r="H451" t="s">
        <v>3808</v>
      </c>
      <c r="I451" t="s">
        <v>3809</v>
      </c>
      <c r="J451" t="s">
        <v>3827</v>
      </c>
      <c r="K451" t="s">
        <v>1218</v>
      </c>
      <c r="L451" s="13">
        <v>44025</v>
      </c>
      <c r="M451">
        <v>3</v>
      </c>
      <c r="N451" t="s">
        <v>90</v>
      </c>
      <c r="O451" t="s">
        <v>3837</v>
      </c>
      <c r="P451" t="s">
        <v>76</v>
      </c>
      <c r="Q451" t="s">
        <v>76</v>
      </c>
      <c r="R451" t="s">
        <v>76</v>
      </c>
      <c r="S451" t="s">
        <v>76</v>
      </c>
      <c r="T451" t="s">
        <v>76</v>
      </c>
      <c r="U451">
        <v>1</v>
      </c>
      <c r="V451" s="13">
        <v>45175</v>
      </c>
      <c r="W451">
        <v>1</v>
      </c>
      <c r="X451">
        <v>1</v>
      </c>
      <c r="Y451" t="s">
        <v>3683</v>
      </c>
      <c r="AC451">
        <v>2442</v>
      </c>
      <c r="AD451" t="e" vm="443">
        <v>#VALUE!</v>
      </c>
    </row>
    <row r="452" spans="2:30" x14ac:dyDescent="0.25">
      <c r="B452">
        <v>2443</v>
      </c>
      <c r="C452" t="s">
        <v>3646</v>
      </c>
      <c r="D452" t="s">
        <v>3682</v>
      </c>
      <c r="E452" t="s">
        <v>3826</v>
      </c>
      <c r="F452" t="s">
        <v>81</v>
      </c>
      <c r="G452" t="s">
        <v>100</v>
      </c>
      <c r="H452" t="s">
        <v>3808</v>
      </c>
      <c r="I452" t="s">
        <v>3809</v>
      </c>
      <c r="J452" t="s">
        <v>3827</v>
      </c>
      <c r="K452" t="s">
        <v>1218</v>
      </c>
      <c r="L452" s="13">
        <v>44054</v>
      </c>
      <c r="M452">
        <v>3</v>
      </c>
      <c r="N452" t="s">
        <v>90</v>
      </c>
      <c r="O452" t="s">
        <v>3837</v>
      </c>
      <c r="P452" t="s">
        <v>76</v>
      </c>
      <c r="Q452" t="s">
        <v>76</v>
      </c>
      <c r="R452" t="s">
        <v>76</v>
      </c>
      <c r="S452" t="s">
        <v>76</v>
      </c>
      <c r="T452" t="s">
        <v>76</v>
      </c>
      <c r="U452">
        <v>1</v>
      </c>
      <c r="V452" s="13">
        <v>45175</v>
      </c>
      <c r="W452">
        <v>1</v>
      </c>
      <c r="X452">
        <v>1</v>
      </c>
      <c r="Y452" t="s">
        <v>3683</v>
      </c>
      <c r="AC452">
        <v>2443</v>
      </c>
      <c r="AD452" t="e" vm="444">
        <v>#VALUE!</v>
      </c>
    </row>
    <row r="453" spans="2:30" x14ac:dyDescent="0.25">
      <c r="B453">
        <v>2444</v>
      </c>
      <c r="C453" t="s">
        <v>3646</v>
      </c>
      <c r="D453" t="s">
        <v>3682</v>
      </c>
      <c r="E453" t="s">
        <v>3826</v>
      </c>
      <c r="F453" t="s">
        <v>81</v>
      </c>
      <c r="G453" t="s">
        <v>100</v>
      </c>
      <c r="H453" t="s">
        <v>3808</v>
      </c>
      <c r="I453" t="s">
        <v>3809</v>
      </c>
      <c r="J453" t="s">
        <v>3827</v>
      </c>
      <c r="K453" t="s">
        <v>1218</v>
      </c>
      <c r="L453" s="13">
        <v>44096</v>
      </c>
      <c r="M453">
        <v>3</v>
      </c>
      <c r="N453" t="s">
        <v>90</v>
      </c>
      <c r="O453" t="s">
        <v>3837</v>
      </c>
      <c r="P453" t="s">
        <v>76</v>
      </c>
      <c r="Q453" t="s">
        <v>76</v>
      </c>
      <c r="R453" t="s">
        <v>76</v>
      </c>
      <c r="S453" t="s">
        <v>76</v>
      </c>
      <c r="T453" t="s">
        <v>76</v>
      </c>
      <c r="U453">
        <v>1</v>
      </c>
      <c r="V453" s="13">
        <v>45175</v>
      </c>
      <c r="W453">
        <v>1</v>
      </c>
      <c r="X453">
        <v>1</v>
      </c>
      <c r="Y453" t="s">
        <v>3683</v>
      </c>
      <c r="AC453">
        <v>2444</v>
      </c>
      <c r="AD453" t="e" vm="445">
        <v>#VALUE!</v>
      </c>
    </row>
    <row r="454" spans="2:30" x14ac:dyDescent="0.25">
      <c r="B454">
        <v>2445</v>
      </c>
      <c r="C454" t="s">
        <v>3646</v>
      </c>
      <c r="D454" t="s">
        <v>73</v>
      </c>
      <c r="E454" t="s">
        <v>73</v>
      </c>
      <c r="F454" t="s">
        <v>3816</v>
      </c>
      <c r="G454" t="s">
        <v>3816</v>
      </c>
      <c r="H454" t="s">
        <v>3808</v>
      </c>
      <c r="I454" t="s">
        <v>3809</v>
      </c>
      <c r="J454" t="s">
        <v>3827</v>
      </c>
      <c r="K454" t="s">
        <v>1218</v>
      </c>
      <c r="L454" s="13">
        <v>44026</v>
      </c>
      <c r="M454">
        <v>3</v>
      </c>
      <c r="N454" t="s">
        <v>90</v>
      </c>
      <c r="O454" t="s">
        <v>3837</v>
      </c>
      <c r="P454" t="s">
        <v>76</v>
      </c>
      <c r="Q454" t="s">
        <v>76</v>
      </c>
      <c r="R454" t="s">
        <v>76</v>
      </c>
      <c r="S454" t="s">
        <v>76</v>
      </c>
      <c r="T454" t="s">
        <v>76</v>
      </c>
      <c r="U454">
        <v>1</v>
      </c>
      <c r="V454" s="13">
        <v>45175</v>
      </c>
      <c r="W454">
        <v>1</v>
      </c>
      <c r="X454">
        <v>1</v>
      </c>
      <c r="Y454" t="s">
        <v>3667</v>
      </c>
      <c r="AC454">
        <v>2445</v>
      </c>
      <c r="AD454" t="e" vm="446">
        <v>#VALUE!</v>
      </c>
    </row>
    <row r="455" spans="2:30" x14ac:dyDescent="0.25">
      <c r="B455">
        <v>2446</v>
      </c>
      <c r="C455" t="s">
        <v>3646</v>
      </c>
      <c r="D455" t="s">
        <v>73</v>
      </c>
      <c r="E455" t="s">
        <v>73</v>
      </c>
      <c r="F455" t="s">
        <v>3816</v>
      </c>
      <c r="G455" t="s">
        <v>3816</v>
      </c>
      <c r="H455" t="s">
        <v>3808</v>
      </c>
      <c r="I455" t="s">
        <v>3809</v>
      </c>
      <c r="J455" t="s">
        <v>3827</v>
      </c>
      <c r="K455" t="s">
        <v>1218</v>
      </c>
      <c r="L455" s="13">
        <v>44054</v>
      </c>
      <c r="M455">
        <v>3</v>
      </c>
      <c r="N455" t="s">
        <v>90</v>
      </c>
      <c r="O455" t="s">
        <v>3837</v>
      </c>
      <c r="P455" t="s">
        <v>76</v>
      </c>
      <c r="Q455" t="s">
        <v>76</v>
      </c>
      <c r="R455" t="s">
        <v>76</v>
      </c>
      <c r="S455" t="s">
        <v>76</v>
      </c>
      <c r="T455" t="s">
        <v>76</v>
      </c>
      <c r="U455">
        <v>1</v>
      </c>
      <c r="V455" s="13">
        <v>45175</v>
      </c>
      <c r="W455">
        <v>1</v>
      </c>
      <c r="X455">
        <v>1</v>
      </c>
      <c r="Y455" t="s">
        <v>3667</v>
      </c>
      <c r="AC455">
        <v>2446</v>
      </c>
      <c r="AD455" t="e" vm="447">
        <v>#VALUE!</v>
      </c>
    </row>
    <row r="456" spans="2:30" x14ac:dyDescent="0.25">
      <c r="B456">
        <v>2447</v>
      </c>
      <c r="C456" t="s">
        <v>3668</v>
      </c>
      <c r="D456" t="s">
        <v>3671</v>
      </c>
      <c r="E456" t="s">
        <v>3818</v>
      </c>
      <c r="F456" t="s">
        <v>83</v>
      </c>
      <c r="G456" t="s">
        <v>77</v>
      </c>
      <c r="H456" t="s">
        <v>3808</v>
      </c>
      <c r="I456" t="s">
        <v>3839</v>
      </c>
      <c r="J456" t="s">
        <v>3840</v>
      </c>
      <c r="K456" t="s">
        <v>1218</v>
      </c>
      <c r="L456" s="13">
        <v>44085</v>
      </c>
      <c r="M456">
        <v>3</v>
      </c>
      <c r="N456" t="s">
        <v>82</v>
      </c>
      <c r="O456" t="s">
        <v>3841</v>
      </c>
      <c r="P456" t="s">
        <v>76</v>
      </c>
      <c r="Q456" t="s">
        <v>76</v>
      </c>
      <c r="R456" t="s">
        <v>76</v>
      </c>
      <c r="S456" t="s">
        <v>76</v>
      </c>
      <c r="T456" t="s">
        <v>76</v>
      </c>
      <c r="U456">
        <v>1</v>
      </c>
      <c r="V456" s="13">
        <v>45175</v>
      </c>
      <c r="W456">
        <v>1</v>
      </c>
      <c r="X456">
        <v>1</v>
      </c>
      <c r="Y456" t="s">
        <v>3672</v>
      </c>
      <c r="AC456">
        <v>2447</v>
      </c>
      <c r="AD456" t="e" vm="448">
        <v>#VALUE!</v>
      </c>
    </row>
    <row r="457" spans="2:30" x14ac:dyDescent="0.25">
      <c r="B457">
        <v>2448</v>
      </c>
      <c r="C457" t="s">
        <v>3668</v>
      </c>
      <c r="D457" t="s">
        <v>3671</v>
      </c>
      <c r="E457" t="s">
        <v>3818</v>
      </c>
      <c r="F457" t="s">
        <v>83</v>
      </c>
      <c r="G457" t="s">
        <v>77</v>
      </c>
      <c r="H457" t="s">
        <v>3808</v>
      </c>
      <c r="I457" t="s">
        <v>3839</v>
      </c>
      <c r="J457" t="s">
        <v>3840</v>
      </c>
      <c r="K457" t="s">
        <v>1218</v>
      </c>
      <c r="L457" s="13">
        <v>44030</v>
      </c>
      <c r="M457">
        <v>3</v>
      </c>
      <c r="N457" t="s">
        <v>82</v>
      </c>
      <c r="O457" t="s">
        <v>3841</v>
      </c>
      <c r="P457" t="s">
        <v>76</v>
      </c>
      <c r="Q457" t="s">
        <v>76</v>
      </c>
      <c r="R457" t="s">
        <v>76</v>
      </c>
      <c r="S457" t="s">
        <v>76</v>
      </c>
      <c r="T457" t="s">
        <v>76</v>
      </c>
      <c r="U457">
        <v>1</v>
      </c>
      <c r="V457" s="13">
        <v>45175</v>
      </c>
      <c r="W457">
        <v>1</v>
      </c>
      <c r="X457">
        <v>1</v>
      </c>
      <c r="Y457" t="s">
        <v>3672</v>
      </c>
      <c r="AC457">
        <v>2448</v>
      </c>
      <c r="AD457" t="e" vm="449">
        <v>#VALUE!</v>
      </c>
    </row>
    <row r="458" spans="2:30" x14ac:dyDescent="0.25">
      <c r="B458">
        <v>2449</v>
      </c>
      <c r="C458" t="s">
        <v>3668</v>
      </c>
      <c r="D458" t="s">
        <v>3671</v>
      </c>
      <c r="E458" t="s">
        <v>3818</v>
      </c>
      <c r="F458" t="s">
        <v>83</v>
      </c>
      <c r="G458" t="s">
        <v>77</v>
      </c>
      <c r="H458" t="s">
        <v>3808</v>
      </c>
      <c r="I458" t="s">
        <v>3839</v>
      </c>
      <c r="J458" t="s">
        <v>3840</v>
      </c>
      <c r="K458" t="s">
        <v>1218</v>
      </c>
      <c r="L458" s="13">
        <v>44186</v>
      </c>
      <c r="M458">
        <v>3</v>
      </c>
      <c r="N458" t="s">
        <v>82</v>
      </c>
      <c r="O458" t="s">
        <v>3841</v>
      </c>
      <c r="P458" t="s">
        <v>76</v>
      </c>
      <c r="Q458" t="s">
        <v>76</v>
      </c>
      <c r="R458" t="s">
        <v>76</v>
      </c>
      <c r="S458" t="s">
        <v>76</v>
      </c>
      <c r="T458" t="s">
        <v>76</v>
      </c>
      <c r="U458">
        <v>1</v>
      </c>
      <c r="V458" s="13">
        <v>45175</v>
      </c>
      <c r="W458">
        <v>1</v>
      </c>
      <c r="X458">
        <v>1</v>
      </c>
      <c r="Y458" t="s">
        <v>3672</v>
      </c>
      <c r="AC458">
        <v>2449</v>
      </c>
      <c r="AD458" t="e" vm="450">
        <v>#VALUE!</v>
      </c>
    </row>
    <row r="459" spans="2:30" x14ac:dyDescent="0.25">
      <c r="B459">
        <v>2450</v>
      </c>
      <c r="C459" t="s">
        <v>3668</v>
      </c>
      <c r="D459" t="s">
        <v>3671</v>
      </c>
      <c r="E459" t="s">
        <v>3818</v>
      </c>
      <c r="F459" t="s">
        <v>83</v>
      </c>
      <c r="G459" t="s">
        <v>77</v>
      </c>
      <c r="H459" t="s">
        <v>3808</v>
      </c>
      <c r="I459" t="s">
        <v>3839</v>
      </c>
      <c r="J459" t="s">
        <v>3840</v>
      </c>
      <c r="K459" t="s">
        <v>1218</v>
      </c>
      <c r="L459" s="13">
        <v>44036</v>
      </c>
      <c r="M459">
        <v>3</v>
      </c>
      <c r="N459" t="s">
        <v>82</v>
      </c>
      <c r="O459" t="s">
        <v>3841</v>
      </c>
      <c r="P459" t="s">
        <v>76</v>
      </c>
      <c r="Q459" t="s">
        <v>76</v>
      </c>
      <c r="R459" t="s">
        <v>76</v>
      </c>
      <c r="S459" t="s">
        <v>76</v>
      </c>
      <c r="T459" t="s">
        <v>76</v>
      </c>
      <c r="U459">
        <v>1</v>
      </c>
      <c r="V459" s="13">
        <v>45175</v>
      </c>
      <c r="W459">
        <v>1</v>
      </c>
      <c r="X459">
        <v>1</v>
      </c>
      <c r="Y459" t="s">
        <v>3672</v>
      </c>
      <c r="AC459">
        <v>2450</v>
      </c>
      <c r="AD459" t="e" vm="451">
        <v>#VALUE!</v>
      </c>
    </row>
    <row r="460" spans="2:30" x14ac:dyDescent="0.25">
      <c r="B460">
        <v>2451</v>
      </c>
      <c r="C460" t="s">
        <v>3668</v>
      </c>
      <c r="D460" t="s">
        <v>3671</v>
      </c>
      <c r="E460" t="s">
        <v>3818</v>
      </c>
      <c r="F460" t="s">
        <v>83</v>
      </c>
      <c r="G460" t="s">
        <v>77</v>
      </c>
      <c r="H460" t="s">
        <v>3808</v>
      </c>
      <c r="I460" t="s">
        <v>3839</v>
      </c>
      <c r="J460" t="s">
        <v>3840</v>
      </c>
      <c r="K460" t="s">
        <v>1218</v>
      </c>
      <c r="L460" s="13">
        <v>44030</v>
      </c>
      <c r="M460">
        <v>3</v>
      </c>
      <c r="N460" t="s">
        <v>82</v>
      </c>
      <c r="O460" t="s">
        <v>3841</v>
      </c>
      <c r="P460" t="s">
        <v>76</v>
      </c>
      <c r="Q460" t="s">
        <v>76</v>
      </c>
      <c r="R460" t="s">
        <v>76</v>
      </c>
      <c r="S460" t="s">
        <v>76</v>
      </c>
      <c r="T460" t="s">
        <v>76</v>
      </c>
      <c r="U460">
        <v>1</v>
      </c>
      <c r="V460" s="13">
        <v>45175</v>
      </c>
      <c r="W460">
        <v>1</v>
      </c>
      <c r="X460">
        <v>1</v>
      </c>
      <c r="Y460" t="s">
        <v>3672</v>
      </c>
      <c r="AC460">
        <v>2451</v>
      </c>
      <c r="AD460" t="e" vm="452">
        <v>#VALUE!</v>
      </c>
    </row>
    <row r="461" spans="2:30" x14ac:dyDescent="0.25">
      <c r="B461">
        <v>2452</v>
      </c>
      <c r="C461" t="s">
        <v>3668</v>
      </c>
      <c r="D461" t="s">
        <v>3671</v>
      </c>
      <c r="E461" t="s">
        <v>3818</v>
      </c>
      <c r="F461" t="s">
        <v>83</v>
      </c>
      <c r="G461" t="s">
        <v>77</v>
      </c>
      <c r="H461" t="s">
        <v>3808</v>
      </c>
      <c r="I461" t="s">
        <v>3839</v>
      </c>
      <c r="J461" t="s">
        <v>3840</v>
      </c>
      <c r="K461" t="s">
        <v>1218</v>
      </c>
      <c r="L461" s="13">
        <v>44036</v>
      </c>
      <c r="M461">
        <v>3</v>
      </c>
      <c r="N461" t="s">
        <v>82</v>
      </c>
      <c r="O461" t="s">
        <v>3841</v>
      </c>
      <c r="P461" t="s">
        <v>76</v>
      </c>
      <c r="Q461" t="s">
        <v>76</v>
      </c>
      <c r="R461" t="s">
        <v>76</v>
      </c>
      <c r="S461" t="s">
        <v>76</v>
      </c>
      <c r="T461" t="s">
        <v>76</v>
      </c>
      <c r="U461">
        <v>1</v>
      </c>
      <c r="V461" s="13">
        <v>45175</v>
      </c>
      <c r="W461">
        <v>1</v>
      </c>
      <c r="X461">
        <v>1</v>
      </c>
      <c r="Y461" t="s">
        <v>3672</v>
      </c>
      <c r="AC461">
        <v>2452</v>
      </c>
      <c r="AD461" t="e" vm="453">
        <v>#VALUE!</v>
      </c>
    </row>
    <row r="462" spans="2:30" x14ac:dyDescent="0.25">
      <c r="B462">
        <v>2453</v>
      </c>
      <c r="C462" t="s">
        <v>3668</v>
      </c>
      <c r="D462" t="s">
        <v>3671</v>
      </c>
      <c r="E462" t="s">
        <v>3818</v>
      </c>
      <c r="F462" t="s">
        <v>83</v>
      </c>
      <c r="G462" t="s">
        <v>77</v>
      </c>
      <c r="H462" t="s">
        <v>3808</v>
      </c>
      <c r="I462" t="s">
        <v>3839</v>
      </c>
      <c r="J462" t="s">
        <v>3840</v>
      </c>
      <c r="K462" t="s">
        <v>1218</v>
      </c>
      <c r="L462" s="13">
        <v>44030</v>
      </c>
      <c r="M462">
        <v>3</v>
      </c>
      <c r="N462" t="s">
        <v>82</v>
      </c>
      <c r="O462" t="s">
        <v>3841</v>
      </c>
      <c r="P462" t="s">
        <v>76</v>
      </c>
      <c r="Q462" t="s">
        <v>76</v>
      </c>
      <c r="R462" t="s">
        <v>76</v>
      </c>
      <c r="S462" t="s">
        <v>76</v>
      </c>
      <c r="T462" t="s">
        <v>76</v>
      </c>
      <c r="U462">
        <v>1</v>
      </c>
      <c r="V462" s="13">
        <v>45175</v>
      </c>
      <c r="W462">
        <v>1</v>
      </c>
      <c r="X462">
        <v>1</v>
      </c>
      <c r="Y462" t="s">
        <v>3672</v>
      </c>
      <c r="AC462">
        <v>2453</v>
      </c>
      <c r="AD462" t="e" vm="454">
        <v>#VALUE!</v>
      </c>
    </row>
    <row r="463" spans="2:30" x14ac:dyDescent="0.25">
      <c r="B463">
        <v>2454</v>
      </c>
      <c r="C463" t="s">
        <v>3668</v>
      </c>
      <c r="D463" t="s">
        <v>3671</v>
      </c>
      <c r="E463" t="s">
        <v>3818</v>
      </c>
      <c r="F463" t="s">
        <v>83</v>
      </c>
      <c r="G463" t="s">
        <v>77</v>
      </c>
      <c r="H463" t="s">
        <v>3808</v>
      </c>
      <c r="I463" t="s">
        <v>3839</v>
      </c>
      <c r="J463" t="s">
        <v>3840</v>
      </c>
      <c r="K463" t="s">
        <v>1218</v>
      </c>
      <c r="L463" s="13">
        <v>44030</v>
      </c>
      <c r="M463">
        <v>3</v>
      </c>
      <c r="N463" t="s">
        <v>82</v>
      </c>
      <c r="O463" t="s">
        <v>3841</v>
      </c>
      <c r="P463" t="s">
        <v>76</v>
      </c>
      <c r="Q463" t="s">
        <v>76</v>
      </c>
      <c r="R463" t="s">
        <v>76</v>
      </c>
      <c r="S463" t="s">
        <v>76</v>
      </c>
      <c r="T463" t="s">
        <v>76</v>
      </c>
      <c r="U463">
        <v>1</v>
      </c>
      <c r="V463" s="13">
        <v>45175</v>
      </c>
      <c r="W463">
        <v>1</v>
      </c>
      <c r="X463">
        <v>1</v>
      </c>
      <c r="Y463" t="s">
        <v>3672</v>
      </c>
      <c r="AC463">
        <v>2454</v>
      </c>
      <c r="AD463" t="e" vm="455">
        <v>#VALUE!</v>
      </c>
    </row>
    <row r="464" spans="2:30" x14ac:dyDescent="0.25">
      <c r="B464">
        <v>2455</v>
      </c>
      <c r="C464" t="s">
        <v>3668</v>
      </c>
      <c r="D464" t="s">
        <v>3671</v>
      </c>
      <c r="E464" t="s">
        <v>3818</v>
      </c>
      <c r="F464" t="s">
        <v>83</v>
      </c>
      <c r="G464" t="s">
        <v>77</v>
      </c>
      <c r="H464" t="s">
        <v>3808</v>
      </c>
      <c r="I464" t="s">
        <v>3839</v>
      </c>
      <c r="J464" t="s">
        <v>3840</v>
      </c>
      <c r="K464" t="s">
        <v>1218</v>
      </c>
      <c r="L464" s="13">
        <v>44082</v>
      </c>
      <c r="M464">
        <v>3</v>
      </c>
      <c r="N464" t="s">
        <v>82</v>
      </c>
      <c r="O464" t="s">
        <v>3841</v>
      </c>
      <c r="P464" t="s">
        <v>76</v>
      </c>
      <c r="Q464" t="s">
        <v>76</v>
      </c>
      <c r="R464" t="s">
        <v>76</v>
      </c>
      <c r="S464" t="s">
        <v>76</v>
      </c>
      <c r="T464" t="s">
        <v>76</v>
      </c>
      <c r="U464">
        <v>1</v>
      </c>
      <c r="V464" s="13">
        <v>45175</v>
      </c>
      <c r="W464">
        <v>1</v>
      </c>
      <c r="X464">
        <v>1</v>
      </c>
      <c r="Y464" t="s">
        <v>3672</v>
      </c>
      <c r="AC464">
        <v>2455</v>
      </c>
      <c r="AD464" t="e" vm="456">
        <v>#VALUE!</v>
      </c>
    </row>
    <row r="465" spans="2:30" x14ac:dyDescent="0.25">
      <c r="B465">
        <v>2456</v>
      </c>
      <c r="C465" t="s">
        <v>3668</v>
      </c>
      <c r="D465" t="s">
        <v>3671</v>
      </c>
      <c r="E465" t="s">
        <v>3818</v>
      </c>
      <c r="F465" t="s">
        <v>83</v>
      </c>
      <c r="G465" t="s">
        <v>77</v>
      </c>
      <c r="H465" t="s">
        <v>3808</v>
      </c>
      <c r="I465" t="s">
        <v>3839</v>
      </c>
      <c r="J465" t="s">
        <v>3840</v>
      </c>
      <c r="K465" t="s">
        <v>1218</v>
      </c>
      <c r="L465" s="13">
        <v>44030</v>
      </c>
      <c r="M465">
        <v>3</v>
      </c>
      <c r="N465" t="s">
        <v>82</v>
      </c>
      <c r="O465" t="s">
        <v>3841</v>
      </c>
      <c r="P465" t="s">
        <v>76</v>
      </c>
      <c r="Q465" t="s">
        <v>76</v>
      </c>
      <c r="R465" t="s">
        <v>76</v>
      </c>
      <c r="S465" t="s">
        <v>76</v>
      </c>
      <c r="T465" t="s">
        <v>76</v>
      </c>
      <c r="U465">
        <v>1</v>
      </c>
      <c r="V465" s="13">
        <v>45175</v>
      </c>
      <c r="W465">
        <v>1</v>
      </c>
      <c r="X465">
        <v>1</v>
      </c>
      <c r="Y465" t="s">
        <v>3672</v>
      </c>
      <c r="AC465">
        <v>2456</v>
      </c>
      <c r="AD465" t="e" vm="457">
        <v>#VALUE!</v>
      </c>
    </row>
    <row r="466" spans="2:30" x14ac:dyDescent="0.25">
      <c r="B466">
        <v>2457</v>
      </c>
      <c r="C466" t="s">
        <v>3668</v>
      </c>
      <c r="D466" t="s">
        <v>3671</v>
      </c>
      <c r="E466" t="s">
        <v>3818</v>
      </c>
      <c r="F466" t="s">
        <v>83</v>
      </c>
      <c r="G466" t="s">
        <v>77</v>
      </c>
      <c r="H466" t="s">
        <v>3808</v>
      </c>
      <c r="I466" t="s">
        <v>3839</v>
      </c>
      <c r="J466" t="s">
        <v>3840</v>
      </c>
      <c r="K466" t="s">
        <v>1218</v>
      </c>
      <c r="L466" s="13">
        <v>44085</v>
      </c>
      <c r="M466">
        <v>3</v>
      </c>
      <c r="N466" t="s">
        <v>82</v>
      </c>
      <c r="O466" t="s">
        <v>3841</v>
      </c>
      <c r="P466" t="s">
        <v>76</v>
      </c>
      <c r="Q466" t="s">
        <v>76</v>
      </c>
      <c r="R466" t="s">
        <v>76</v>
      </c>
      <c r="S466" t="s">
        <v>76</v>
      </c>
      <c r="T466" t="s">
        <v>76</v>
      </c>
      <c r="U466">
        <v>1</v>
      </c>
      <c r="V466" s="13">
        <v>45175</v>
      </c>
      <c r="W466">
        <v>1</v>
      </c>
      <c r="X466">
        <v>1</v>
      </c>
      <c r="Y466" t="s">
        <v>3672</v>
      </c>
      <c r="AC466">
        <v>2457</v>
      </c>
      <c r="AD466" t="e" vm="458">
        <v>#VALUE!</v>
      </c>
    </row>
    <row r="467" spans="2:30" x14ac:dyDescent="0.25">
      <c r="B467">
        <v>2458</v>
      </c>
      <c r="C467" t="s">
        <v>3668</v>
      </c>
      <c r="D467" t="s">
        <v>3671</v>
      </c>
      <c r="E467" t="s">
        <v>3818</v>
      </c>
      <c r="F467" t="s">
        <v>83</v>
      </c>
      <c r="G467" t="s">
        <v>77</v>
      </c>
      <c r="H467" t="s">
        <v>3808</v>
      </c>
      <c r="I467" t="s">
        <v>3839</v>
      </c>
      <c r="J467" t="s">
        <v>3840</v>
      </c>
      <c r="K467" t="s">
        <v>1218</v>
      </c>
      <c r="L467" s="13">
        <v>44082</v>
      </c>
      <c r="M467">
        <v>3</v>
      </c>
      <c r="N467" t="s">
        <v>82</v>
      </c>
      <c r="O467" t="s">
        <v>3841</v>
      </c>
      <c r="P467" t="s">
        <v>76</v>
      </c>
      <c r="Q467" t="s">
        <v>76</v>
      </c>
      <c r="R467" t="s">
        <v>76</v>
      </c>
      <c r="S467" t="s">
        <v>76</v>
      </c>
      <c r="T467" t="s">
        <v>76</v>
      </c>
      <c r="U467">
        <v>1</v>
      </c>
      <c r="V467" s="13">
        <v>45175</v>
      </c>
      <c r="W467">
        <v>1</v>
      </c>
      <c r="X467">
        <v>1</v>
      </c>
      <c r="Y467" t="s">
        <v>3672</v>
      </c>
      <c r="AC467">
        <v>2458</v>
      </c>
      <c r="AD467" t="e" vm="459">
        <v>#VALUE!</v>
      </c>
    </row>
    <row r="468" spans="2:30" x14ac:dyDescent="0.25">
      <c r="B468">
        <v>2459</v>
      </c>
      <c r="C468" t="s">
        <v>3668</v>
      </c>
      <c r="D468" t="s">
        <v>3671</v>
      </c>
      <c r="E468" t="s">
        <v>3818</v>
      </c>
      <c r="F468" t="s">
        <v>83</v>
      </c>
      <c r="G468" t="s">
        <v>77</v>
      </c>
      <c r="H468" t="s">
        <v>3808</v>
      </c>
      <c r="I468" t="s">
        <v>3839</v>
      </c>
      <c r="J468" t="s">
        <v>3840</v>
      </c>
      <c r="K468" t="s">
        <v>1218</v>
      </c>
      <c r="L468" s="13">
        <v>44085</v>
      </c>
      <c r="M468">
        <v>3</v>
      </c>
      <c r="N468" t="s">
        <v>82</v>
      </c>
      <c r="O468" t="s">
        <v>3841</v>
      </c>
      <c r="P468" t="s">
        <v>76</v>
      </c>
      <c r="Q468" t="s">
        <v>76</v>
      </c>
      <c r="R468" t="s">
        <v>76</v>
      </c>
      <c r="S468" t="s">
        <v>76</v>
      </c>
      <c r="T468" t="s">
        <v>76</v>
      </c>
      <c r="U468">
        <v>1</v>
      </c>
      <c r="V468" s="13">
        <v>45175</v>
      </c>
      <c r="W468">
        <v>1</v>
      </c>
      <c r="X468">
        <v>1</v>
      </c>
      <c r="Y468" t="s">
        <v>3672</v>
      </c>
      <c r="AC468">
        <v>2459</v>
      </c>
      <c r="AD468" t="e" vm="460">
        <v>#VALUE!</v>
      </c>
    </row>
    <row r="469" spans="2:30" x14ac:dyDescent="0.25">
      <c r="B469">
        <v>2460</v>
      </c>
      <c r="C469" t="s">
        <v>3668</v>
      </c>
      <c r="D469" t="s">
        <v>3671</v>
      </c>
      <c r="E469" t="s">
        <v>3818</v>
      </c>
      <c r="F469" t="s">
        <v>83</v>
      </c>
      <c r="G469" t="s">
        <v>77</v>
      </c>
      <c r="H469" t="s">
        <v>3808</v>
      </c>
      <c r="I469" t="s">
        <v>3839</v>
      </c>
      <c r="J469" t="s">
        <v>3840</v>
      </c>
      <c r="K469" t="s">
        <v>1218</v>
      </c>
      <c r="L469" s="13">
        <v>44082</v>
      </c>
      <c r="M469">
        <v>3</v>
      </c>
      <c r="N469" t="s">
        <v>82</v>
      </c>
      <c r="O469" t="s">
        <v>3841</v>
      </c>
      <c r="P469" t="s">
        <v>76</v>
      </c>
      <c r="Q469" t="s">
        <v>76</v>
      </c>
      <c r="R469" t="s">
        <v>76</v>
      </c>
      <c r="S469" t="s">
        <v>76</v>
      </c>
      <c r="T469" t="s">
        <v>76</v>
      </c>
      <c r="U469">
        <v>1</v>
      </c>
      <c r="V469" s="13">
        <v>45175</v>
      </c>
      <c r="W469">
        <v>1</v>
      </c>
      <c r="X469">
        <v>1</v>
      </c>
      <c r="Y469" t="s">
        <v>3672</v>
      </c>
      <c r="AC469">
        <v>2460</v>
      </c>
      <c r="AD469" t="e" vm="461">
        <v>#VALUE!</v>
      </c>
    </row>
    <row r="470" spans="2:30" x14ac:dyDescent="0.25">
      <c r="B470">
        <v>2461</v>
      </c>
      <c r="C470" t="s">
        <v>3668</v>
      </c>
      <c r="D470" t="s">
        <v>3671</v>
      </c>
      <c r="E470" t="s">
        <v>3818</v>
      </c>
      <c r="F470" t="s">
        <v>83</v>
      </c>
      <c r="G470" t="s">
        <v>77</v>
      </c>
      <c r="H470" t="s">
        <v>3808</v>
      </c>
      <c r="I470" t="s">
        <v>3839</v>
      </c>
      <c r="J470" t="s">
        <v>3840</v>
      </c>
      <c r="K470" t="s">
        <v>1218</v>
      </c>
      <c r="L470" s="13">
        <v>44036</v>
      </c>
      <c r="M470">
        <v>3</v>
      </c>
      <c r="N470" t="s">
        <v>82</v>
      </c>
      <c r="O470" t="s">
        <v>3841</v>
      </c>
      <c r="P470" t="s">
        <v>76</v>
      </c>
      <c r="Q470" t="s">
        <v>76</v>
      </c>
      <c r="R470" t="s">
        <v>76</v>
      </c>
      <c r="S470" t="s">
        <v>76</v>
      </c>
      <c r="T470" t="s">
        <v>76</v>
      </c>
      <c r="U470">
        <v>1</v>
      </c>
      <c r="V470" s="13">
        <v>45175</v>
      </c>
      <c r="W470">
        <v>1</v>
      </c>
      <c r="X470">
        <v>1</v>
      </c>
      <c r="Y470" t="s">
        <v>3672</v>
      </c>
      <c r="AC470">
        <v>2461</v>
      </c>
      <c r="AD470" t="e" vm="462">
        <v>#VALUE!</v>
      </c>
    </row>
    <row r="471" spans="2:30" x14ac:dyDescent="0.25">
      <c r="B471">
        <v>2462</v>
      </c>
      <c r="C471" t="s">
        <v>3668</v>
      </c>
      <c r="D471" t="s">
        <v>3671</v>
      </c>
      <c r="E471" t="s">
        <v>3818</v>
      </c>
      <c r="F471" t="s">
        <v>83</v>
      </c>
      <c r="G471" t="s">
        <v>77</v>
      </c>
      <c r="H471" t="s">
        <v>3808</v>
      </c>
      <c r="I471" t="s">
        <v>3839</v>
      </c>
      <c r="J471" t="s">
        <v>3840</v>
      </c>
      <c r="K471" t="s">
        <v>1218</v>
      </c>
      <c r="L471" s="13">
        <v>44036</v>
      </c>
      <c r="M471">
        <v>3</v>
      </c>
      <c r="N471" t="s">
        <v>82</v>
      </c>
      <c r="O471" t="s">
        <v>3841</v>
      </c>
      <c r="P471" t="s">
        <v>76</v>
      </c>
      <c r="Q471" t="s">
        <v>76</v>
      </c>
      <c r="R471" t="s">
        <v>76</v>
      </c>
      <c r="S471" t="s">
        <v>76</v>
      </c>
      <c r="T471" t="s">
        <v>76</v>
      </c>
      <c r="U471">
        <v>1</v>
      </c>
      <c r="V471" s="13">
        <v>45175</v>
      </c>
      <c r="W471">
        <v>1</v>
      </c>
      <c r="X471">
        <v>1</v>
      </c>
      <c r="Y471" t="s">
        <v>3672</v>
      </c>
      <c r="AC471">
        <v>2462</v>
      </c>
      <c r="AD471" t="e" vm="463">
        <v>#VALUE!</v>
      </c>
    </row>
    <row r="472" spans="2:30" x14ac:dyDescent="0.25">
      <c r="B472">
        <v>2463</v>
      </c>
      <c r="C472" t="s">
        <v>3668</v>
      </c>
      <c r="D472" t="s">
        <v>3671</v>
      </c>
      <c r="E472" t="s">
        <v>3818</v>
      </c>
      <c r="F472" t="s">
        <v>83</v>
      </c>
      <c r="G472" t="s">
        <v>77</v>
      </c>
      <c r="H472" t="s">
        <v>3808</v>
      </c>
      <c r="I472" t="s">
        <v>3839</v>
      </c>
      <c r="J472" t="s">
        <v>3840</v>
      </c>
      <c r="K472" t="s">
        <v>1218</v>
      </c>
      <c r="L472" s="13">
        <v>44088</v>
      </c>
      <c r="M472">
        <v>3</v>
      </c>
      <c r="N472" t="s">
        <v>82</v>
      </c>
      <c r="O472" t="s">
        <v>3841</v>
      </c>
      <c r="P472" t="s">
        <v>76</v>
      </c>
      <c r="Q472" t="s">
        <v>76</v>
      </c>
      <c r="R472" t="s">
        <v>76</v>
      </c>
      <c r="S472" t="s">
        <v>76</v>
      </c>
      <c r="T472" t="s">
        <v>76</v>
      </c>
      <c r="U472">
        <v>1</v>
      </c>
      <c r="V472" s="13">
        <v>45175</v>
      </c>
      <c r="W472">
        <v>1</v>
      </c>
      <c r="X472">
        <v>1</v>
      </c>
      <c r="Y472" t="s">
        <v>3672</v>
      </c>
      <c r="AC472">
        <v>2463</v>
      </c>
      <c r="AD472" t="e" vm="464">
        <v>#VALUE!</v>
      </c>
    </row>
    <row r="473" spans="2:30" x14ac:dyDescent="0.25">
      <c r="B473">
        <v>2464</v>
      </c>
      <c r="C473" t="s">
        <v>3668</v>
      </c>
      <c r="D473" t="s">
        <v>3671</v>
      </c>
      <c r="E473" t="s">
        <v>3818</v>
      </c>
      <c r="F473" t="s">
        <v>83</v>
      </c>
      <c r="G473" t="s">
        <v>77</v>
      </c>
      <c r="H473" t="s">
        <v>3808</v>
      </c>
      <c r="I473" t="s">
        <v>3839</v>
      </c>
      <c r="J473" t="s">
        <v>3840</v>
      </c>
      <c r="K473" t="s">
        <v>1218</v>
      </c>
      <c r="L473" s="13">
        <v>44088</v>
      </c>
      <c r="M473">
        <v>3</v>
      </c>
      <c r="N473" t="s">
        <v>82</v>
      </c>
      <c r="O473" t="s">
        <v>3841</v>
      </c>
      <c r="P473" t="s">
        <v>76</v>
      </c>
      <c r="Q473" t="s">
        <v>76</v>
      </c>
      <c r="R473" t="s">
        <v>76</v>
      </c>
      <c r="S473" t="s">
        <v>76</v>
      </c>
      <c r="T473" t="s">
        <v>76</v>
      </c>
      <c r="U473">
        <v>1</v>
      </c>
      <c r="V473" s="13">
        <v>45175</v>
      </c>
      <c r="W473">
        <v>1</v>
      </c>
      <c r="X473">
        <v>1</v>
      </c>
      <c r="Y473" t="s">
        <v>3672</v>
      </c>
      <c r="AC473">
        <v>2464</v>
      </c>
      <c r="AD473" t="e" vm="465">
        <v>#VALUE!</v>
      </c>
    </row>
    <row r="474" spans="2:30" x14ac:dyDescent="0.25">
      <c r="B474">
        <v>2465</v>
      </c>
      <c r="C474" t="s">
        <v>3668</v>
      </c>
      <c r="D474" t="s">
        <v>3671</v>
      </c>
      <c r="E474" t="s">
        <v>3818</v>
      </c>
      <c r="F474" t="s">
        <v>83</v>
      </c>
      <c r="G474" t="s">
        <v>77</v>
      </c>
      <c r="H474" t="s">
        <v>3808</v>
      </c>
      <c r="I474" t="s">
        <v>3839</v>
      </c>
      <c r="J474" t="s">
        <v>3840</v>
      </c>
      <c r="K474" t="s">
        <v>1218</v>
      </c>
      <c r="L474" s="13">
        <v>44082</v>
      </c>
      <c r="M474">
        <v>3</v>
      </c>
      <c r="N474" t="s">
        <v>82</v>
      </c>
      <c r="O474" t="s">
        <v>3841</v>
      </c>
      <c r="P474" t="s">
        <v>76</v>
      </c>
      <c r="Q474" t="s">
        <v>76</v>
      </c>
      <c r="R474" t="s">
        <v>76</v>
      </c>
      <c r="S474" t="s">
        <v>76</v>
      </c>
      <c r="T474" t="s">
        <v>76</v>
      </c>
      <c r="U474">
        <v>1</v>
      </c>
      <c r="V474" s="13">
        <v>45175</v>
      </c>
      <c r="W474">
        <v>1</v>
      </c>
      <c r="X474">
        <v>1</v>
      </c>
      <c r="Y474" t="s">
        <v>3672</v>
      </c>
      <c r="AC474">
        <v>2465</v>
      </c>
      <c r="AD474" t="e" vm="466">
        <v>#VALUE!</v>
      </c>
    </row>
    <row r="475" spans="2:30" x14ac:dyDescent="0.25">
      <c r="B475">
        <v>2466</v>
      </c>
      <c r="C475" t="s">
        <v>3668</v>
      </c>
      <c r="D475" t="s">
        <v>3671</v>
      </c>
      <c r="E475" t="s">
        <v>3818</v>
      </c>
      <c r="F475" t="s">
        <v>83</v>
      </c>
      <c r="G475" t="s">
        <v>77</v>
      </c>
      <c r="H475" t="s">
        <v>3808</v>
      </c>
      <c r="I475" t="s">
        <v>3839</v>
      </c>
      <c r="J475" t="s">
        <v>3840</v>
      </c>
      <c r="K475" t="s">
        <v>1218</v>
      </c>
      <c r="L475" s="13">
        <v>44113</v>
      </c>
      <c r="M475">
        <v>3</v>
      </c>
      <c r="N475" t="s">
        <v>82</v>
      </c>
      <c r="O475" t="s">
        <v>3841</v>
      </c>
      <c r="P475" t="s">
        <v>76</v>
      </c>
      <c r="Q475" t="s">
        <v>76</v>
      </c>
      <c r="R475" t="s">
        <v>76</v>
      </c>
      <c r="S475" t="s">
        <v>76</v>
      </c>
      <c r="T475" t="s">
        <v>76</v>
      </c>
      <c r="U475">
        <v>1</v>
      </c>
      <c r="V475" s="13">
        <v>45175</v>
      </c>
      <c r="W475">
        <v>1</v>
      </c>
      <c r="X475">
        <v>1</v>
      </c>
      <c r="Y475" t="s">
        <v>3672</v>
      </c>
      <c r="AC475">
        <v>2466</v>
      </c>
      <c r="AD475" t="e" vm="467">
        <v>#VALUE!</v>
      </c>
    </row>
    <row r="476" spans="2:30" x14ac:dyDescent="0.25">
      <c r="B476">
        <v>2467</v>
      </c>
      <c r="C476" t="s">
        <v>3668</v>
      </c>
      <c r="D476" t="s">
        <v>3671</v>
      </c>
      <c r="E476" t="s">
        <v>3818</v>
      </c>
      <c r="F476" t="s">
        <v>83</v>
      </c>
      <c r="G476" t="s">
        <v>77</v>
      </c>
      <c r="H476" t="s">
        <v>3808</v>
      </c>
      <c r="I476" t="s">
        <v>3839</v>
      </c>
      <c r="J476" t="s">
        <v>3840</v>
      </c>
      <c r="K476" t="s">
        <v>1218</v>
      </c>
      <c r="L476" s="13">
        <v>44105</v>
      </c>
      <c r="M476">
        <v>3</v>
      </c>
      <c r="N476" t="s">
        <v>82</v>
      </c>
      <c r="O476" t="s">
        <v>3841</v>
      </c>
      <c r="P476" t="s">
        <v>76</v>
      </c>
      <c r="Q476" t="s">
        <v>76</v>
      </c>
      <c r="R476" t="s">
        <v>76</v>
      </c>
      <c r="S476" t="s">
        <v>76</v>
      </c>
      <c r="T476" t="s">
        <v>76</v>
      </c>
      <c r="U476">
        <v>1</v>
      </c>
      <c r="V476" s="13">
        <v>45175</v>
      </c>
      <c r="W476">
        <v>1</v>
      </c>
      <c r="X476">
        <v>1</v>
      </c>
      <c r="Y476" t="s">
        <v>3672</v>
      </c>
      <c r="AC476">
        <v>2467</v>
      </c>
      <c r="AD476" t="e" vm="468">
        <v>#VALUE!</v>
      </c>
    </row>
    <row r="477" spans="2:30" x14ac:dyDescent="0.25">
      <c r="B477">
        <v>2468</v>
      </c>
      <c r="C477" t="s">
        <v>3668</v>
      </c>
      <c r="D477" t="s">
        <v>3671</v>
      </c>
      <c r="E477" t="s">
        <v>3818</v>
      </c>
      <c r="F477" t="s">
        <v>83</v>
      </c>
      <c r="G477" t="s">
        <v>77</v>
      </c>
      <c r="H477" t="s">
        <v>3808</v>
      </c>
      <c r="I477" t="s">
        <v>3839</v>
      </c>
      <c r="J477" t="s">
        <v>3840</v>
      </c>
      <c r="K477" t="s">
        <v>1218</v>
      </c>
      <c r="L477" s="13">
        <v>44099</v>
      </c>
      <c r="M477">
        <v>3</v>
      </c>
      <c r="N477" t="s">
        <v>82</v>
      </c>
      <c r="O477" t="s">
        <v>3841</v>
      </c>
      <c r="P477" t="s">
        <v>76</v>
      </c>
      <c r="Q477" t="s">
        <v>76</v>
      </c>
      <c r="R477" t="s">
        <v>76</v>
      </c>
      <c r="S477" t="s">
        <v>76</v>
      </c>
      <c r="T477" t="s">
        <v>76</v>
      </c>
      <c r="U477">
        <v>1</v>
      </c>
      <c r="V477" s="13">
        <v>45175</v>
      </c>
      <c r="W477">
        <v>1</v>
      </c>
      <c r="X477">
        <v>1</v>
      </c>
      <c r="Y477" t="s">
        <v>3672</v>
      </c>
      <c r="AC477">
        <v>2468</v>
      </c>
      <c r="AD477" t="e" vm="469">
        <v>#VALUE!</v>
      </c>
    </row>
    <row r="478" spans="2:30" x14ac:dyDescent="0.25">
      <c r="B478">
        <v>2469</v>
      </c>
      <c r="C478" t="s">
        <v>3668</v>
      </c>
      <c r="D478" t="s">
        <v>3671</v>
      </c>
      <c r="E478" t="s">
        <v>3818</v>
      </c>
      <c r="F478" t="s">
        <v>83</v>
      </c>
      <c r="G478" t="s">
        <v>77</v>
      </c>
      <c r="H478" t="s">
        <v>3808</v>
      </c>
      <c r="I478" t="s">
        <v>3839</v>
      </c>
      <c r="J478" t="s">
        <v>3840</v>
      </c>
      <c r="K478" t="s">
        <v>1218</v>
      </c>
      <c r="L478" s="13">
        <v>44120</v>
      </c>
      <c r="M478">
        <v>3</v>
      </c>
      <c r="N478" t="s">
        <v>82</v>
      </c>
      <c r="O478" t="s">
        <v>3841</v>
      </c>
      <c r="P478" t="s">
        <v>76</v>
      </c>
      <c r="Q478" t="s">
        <v>76</v>
      </c>
      <c r="R478" t="s">
        <v>76</v>
      </c>
      <c r="S478" t="s">
        <v>76</v>
      </c>
      <c r="T478" t="s">
        <v>76</v>
      </c>
      <c r="U478">
        <v>1</v>
      </c>
      <c r="V478" s="13">
        <v>45175</v>
      </c>
      <c r="W478">
        <v>1</v>
      </c>
      <c r="X478">
        <v>1</v>
      </c>
      <c r="Y478" t="s">
        <v>3672</v>
      </c>
      <c r="AC478">
        <v>2469</v>
      </c>
      <c r="AD478" t="e" vm="470">
        <v>#VALUE!</v>
      </c>
    </row>
    <row r="479" spans="2:30" x14ac:dyDescent="0.25">
      <c r="B479">
        <v>2470</v>
      </c>
      <c r="C479" t="s">
        <v>3668</v>
      </c>
      <c r="D479" t="s">
        <v>3671</v>
      </c>
      <c r="E479" t="s">
        <v>3818</v>
      </c>
      <c r="F479" t="s">
        <v>83</v>
      </c>
      <c r="G479" t="s">
        <v>77</v>
      </c>
      <c r="H479" t="s">
        <v>3808</v>
      </c>
      <c r="I479" t="s">
        <v>3839</v>
      </c>
      <c r="J479" t="s">
        <v>3840</v>
      </c>
      <c r="K479" t="s">
        <v>1218</v>
      </c>
      <c r="L479" s="13">
        <v>44113</v>
      </c>
      <c r="M479">
        <v>3</v>
      </c>
      <c r="N479" t="s">
        <v>82</v>
      </c>
      <c r="O479" t="s">
        <v>3841</v>
      </c>
      <c r="P479" t="s">
        <v>76</v>
      </c>
      <c r="Q479" t="s">
        <v>76</v>
      </c>
      <c r="R479" t="s">
        <v>76</v>
      </c>
      <c r="S479" t="s">
        <v>76</v>
      </c>
      <c r="T479" t="s">
        <v>76</v>
      </c>
      <c r="U479">
        <v>1</v>
      </c>
      <c r="V479" s="13">
        <v>45175</v>
      </c>
      <c r="W479">
        <v>1</v>
      </c>
      <c r="X479">
        <v>1</v>
      </c>
      <c r="Y479" t="s">
        <v>3672</v>
      </c>
      <c r="AC479">
        <v>2470</v>
      </c>
      <c r="AD479" t="e" vm="471">
        <v>#VALUE!</v>
      </c>
    </row>
    <row r="480" spans="2:30" x14ac:dyDescent="0.25">
      <c r="B480">
        <v>2471</v>
      </c>
      <c r="C480" t="s">
        <v>3668</v>
      </c>
      <c r="D480" t="s">
        <v>3671</v>
      </c>
      <c r="E480" t="s">
        <v>3818</v>
      </c>
      <c r="F480" t="s">
        <v>83</v>
      </c>
      <c r="G480" t="s">
        <v>77</v>
      </c>
      <c r="H480" t="s">
        <v>3808</v>
      </c>
      <c r="I480" t="s">
        <v>3839</v>
      </c>
      <c r="J480" t="s">
        <v>3840</v>
      </c>
      <c r="K480" t="s">
        <v>1218</v>
      </c>
      <c r="L480" s="13">
        <v>44120</v>
      </c>
      <c r="M480">
        <v>3</v>
      </c>
      <c r="N480" t="s">
        <v>82</v>
      </c>
      <c r="O480" t="s">
        <v>3841</v>
      </c>
      <c r="P480" t="s">
        <v>76</v>
      </c>
      <c r="Q480" t="s">
        <v>76</v>
      </c>
      <c r="R480" t="s">
        <v>76</v>
      </c>
      <c r="S480" t="s">
        <v>76</v>
      </c>
      <c r="T480" t="s">
        <v>76</v>
      </c>
      <c r="U480">
        <v>1</v>
      </c>
      <c r="V480" s="13">
        <v>45175</v>
      </c>
      <c r="W480">
        <v>1</v>
      </c>
      <c r="X480">
        <v>1</v>
      </c>
      <c r="Y480" t="s">
        <v>3672</v>
      </c>
      <c r="AC480">
        <v>2471</v>
      </c>
      <c r="AD480" t="e" vm="472">
        <v>#VALUE!</v>
      </c>
    </row>
    <row r="481" spans="2:30" x14ac:dyDescent="0.25">
      <c r="B481">
        <v>2472</v>
      </c>
      <c r="C481" t="s">
        <v>3668</v>
      </c>
      <c r="D481" t="s">
        <v>3671</v>
      </c>
      <c r="E481" t="s">
        <v>3818</v>
      </c>
      <c r="F481" t="s">
        <v>83</v>
      </c>
      <c r="G481" t="s">
        <v>77</v>
      </c>
      <c r="H481" t="s">
        <v>3808</v>
      </c>
      <c r="I481" t="s">
        <v>3839</v>
      </c>
      <c r="J481" t="s">
        <v>3840</v>
      </c>
      <c r="K481" t="s">
        <v>1218</v>
      </c>
      <c r="L481" s="13">
        <v>44127</v>
      </c>
      <c r="M481">
        <v>3</v>
      </c>
      <c r="N481" t="s">
        <v>82</v>
      </c>
      <c r="O481" t="s">
        <v>3841</v>
      </c>
      <c r="P481" t="s">
        <v>76</v>
      </c>
      <c r="Q481" t="s">
        <v>76</v>
      </c>
      <c r="R481" t="s">
        <v>76</v>
      </c>
      <c r="S481" t="s">
        <v>76</v>
      </c>
      <c r="T481" t="s">
        <v>76</v>
      </c>
      <c r="U481">
        <v>1</v>
      </c>
      <c r="V481" s="13">
        <v>45175</v>
      </c>
      <c r="W481">
        <v>1</v>
      </c>
      <c r="X481">
        <v>1</v>
      </c>
      <c r="Y481" t="s">
        <v>3672</v>
      </c>
      <c r="AC481">
        <v>2472</v>
      </c>
      <c r="AD481" t="e" vm="473">
        <v>#VALUE!</v>
      </c>
    </row>
    <row r="482" spans="2:30" x14ac:dyDescent="0.25">
      <c r="B482">
        <v>2473</v>
      </c>
      <c r="C482" t="s">
        <v>3668</v>
      </c>
      <c r="D482" t="s">
        <v>3671</v>
      </c>
      <c r="E482" t="s">
        <v>3818</v>
      </c>
      <c r="F482" t="s">
        <v>83</v>
      </c>
      <c r="G482" t="s">
        <v>77</v>
      </c>
      <c r="H482" t="s">
        <v>3808</v>
      </c>
      <c r="I482" t="s">
        <v>3839</v>
      </c>
      <c r="J482" t="s">
        <v>3840</v>
      </c>
      <c r="K482" t="s">
        <v>1218</v>
      </c>
      <c r="L482" s="13">
        <v>44141</v>
      </c>
      <c r="M482">
        <v>3</v>
      </c>
      <c r="N482" t="s">
        <v>82</v>
      </c>
      <c r="O482" t="s">
        <v>3841</v>
      </c>
      <c r="P482" t="s">
        <v>76</v>
      </c>
      <c r="Q482" t="s">
        <v>76</v>
      </c>
      <c r="R482" t="s">
        <v>76</v>
      </c>
      <c r="S482" t="s">
        <v>76</v>
      </c>
      <c r="T482" t="s">
        <v>76</v>
      </c>
      <c r="U482">
        <v>1</v>
      </c>
      <c r="V482" s="13">
        <v>45175</v>
      </c>
      <c r="W482">
        <v>1</v>
      </c>
      <c r="X482">
        <v>1</v>
      </c>
      <c r="Y482" t="s">
        <v>3672</v>
      </c>
      <c r="AC482">
        <v>2473</v>
      </c>
      <c r="AD482" t="e" vm="474">
        <v>#VALUE!</v>
      </c>
    </row>
    <row r="483" spans="2:30" x14ac:dyDescent="0.25">
      <c r="B483">
        <v>2474</v>
      </c>
      <c r="C483" t="s">
        <v>3668</v>
      </c>
      <c r="D483" t="s">
        <v>3671</v>
      </c>
      <c r="E483" t="s">
        <v>3818</v>
      </c>
      <c r="F483" t="s">
        <v>83</v>
      </c>
      <c r="G483" t="s">
        <v>77</v>
      </c>
      <c r="H483" t="s">
        <v>3808</v>
      </c>
      <c r="I483" t="s">
        <v>3839</v>
      </c>
      <c r="J483" t="s">
        <v>3840</v>
      </c>
      <c r="K483" t="s">
        <v>1218</v>
      </c>
      <c r="L483" s="13">
        <v>44126</v>
      </c>
      <c r="M483">
        <v>3</v>
      </c>
      <c r="N483" t="s">
        <v>82</v>
      </c>
      <c r="O483" t="s">
        <v>3841</v>
      </c>
      <c r="P483" t="s">
        <v>76</v>
      </c>
      <c r="Q483" t="s">
        <v>76</v>
      </c>
      <c r="R483" t="s">
        <v>76</v>
      </c>
      <c r="S483" t="s">
        <v>76</v>
      </c>
      <c r="T483" t="s">
        <v>76</v>
      </c>
      <c r="U483">
        <v>1</v>
      </c>
      <c r="V483" s="13">
        <v>45175</v>
      </c>
      <c r="W483">
        <v>1</v>
      </c>
      <c r="X483">
        <v>1</v>
      </c>
      <c r="Y483" t="s">
        <v>3672</v>
      </c>
      <c r="AC483">
        <v>2474</v>
      </c>
      <c r="AD483" t="e" vm="475">
        <v>#VALUE!</v>
      </c>
    </row>
    <row r="484" spans="2:30" x14ac:dyDescent="0.25">
      <c r="B484">
        <v>2475</v>
      </c>
      <c r="C484" t="s">
        <v>3668</v>
      </c>
      <c r="D484" t="s">
        <v>3671</v>
      </c>
      <c r="E484" t="s">
        <v>3818</v>
      </c>
      <c r="F484" t="s">
        <v>83</v>
      </c>
      <c r="G484" t="s">
        <v>77</v>
      </c>
      <c r="H484" t="s">
        <v>3808</v>
      </c>
      <c r="I484" t="s">
        <v>3839</v>
      </c>
      <c r="J484" t="s">
        <v>3840</v>
      </c>
      <c r="K484" t="s">
        <v>1218</v>
      </c>
      <c r="L484" s="13">
        <v>44140</v>
      </c>
      <c r="M484">
        <v>3</v>
      </c>
      <c r="N484" t="s">
        <v>82</v>
      </c>
      <c r="O484" t="s">
        <v>3841</v>
      </c>
      <c r="P484" t="s">
        <v>76</v>
      </c>
      <c r="Q484" t="s">
        <v>76</v>
      </c>
      <c r="R484" t="s">
        <v>76</v>
      </c>
      <c r="S484" t="s">
        <v>76</v>
      </c>
      <c r="T484" t="s">
        <v>76</v>
      </c>
      <c r="U484">
        <v>1</v>
      </c>
      <c r="V484" s="13">
        <v>45175</v>
      </c>
      <c r="W484">
        <v>1</v>
      </c>
      <c r="X484">
        <v>1</v>
      </c>
      <c r="Y484" t="s">
        <v>3672</v>
      </c>
      <c r="AC484">
        <v>2475</v>
      </c>
      <c r="AD484" t="e" vm="476">
        <v>#VALUE!</v>
      </c>
    </row>
    <row r="485" spans="2:30" x14ac:dyDescent="0.25">
      <c r="B485">
        <v>2476</v>
      </c>
      <c r="C485" t="s">
        <v>3668</v>
      </c>
      <c r="D485" t="s">
        <v>3671</v>
      </c>
      <c r="E485" t="s">
        <v>3818</v>
      </c>
      <c r="F485" t="s">
        <v>83</v>
      </c>
      <c r="G485" t="s">
        <v>77</v>
      </c>
      <c r="H485" t="s">
        <v>3808</v>
      </c>
      <c r="I485" t="s">
        <v>3839</v>
      </c>
      <c r="J485" t="s">
        <v>3840</v>
      </c>
      <c r="K485" t="s">
        <v>1218</v>
      </c>
      <c r="L485" s="13">
        <v>44148</v>
      </c>
      <c r="M485">
        <v>3</v>
      </c>
      <c r="N485" t="s">
        <v>82</v>
      </c>
      <c r="O485" t="s">
        <v>3841</v>
      </c>
      <c r="P485" t="s">
        <v>76</v>
      </c>
      <c r="Q485" t="s">
        <v>76</v>
      </c>
      <c r="R485" t="s">
        <v>76</v>
      </c>
      <c r="S485" t="s">
        <v>76</v>
      </c>
      <c r="T485" t="s">
        <v>76</v>
      </c>
      <c r="U485">
        <v>1</v>
      </c>
      <c r="V485" s="13">
        <v>45175</v>
      </c>
      <c r="W485">
        <v>1</v>
      </c>
      <c r="X485">
        <v>1</v>
      </c>
      <c r="Y485" t="s">
        <v>3672</v>
      </c>
      <c r="AC485">
        <v>2476</v>
      </c>
      <c r="AD485" t="e" vm="477">
        <v>#VALUE!</v>
      </c>
    </row>
    <row r="486" spans="2:30" x14ac:dyDescent="0.25">
      <c r="B486">
        <v>2477</v>
      </c>
      <c r="C486" t="s">
        <v>3668</v>
      </c>
      <c r="D486" t="s">
        <v>3671</v>
      </c>
      <c r="E486" t="s">
        <v>3818</v>
      </c>
      <c r="F486" t="s">
        <v>83</v>
      </c>
      <c r="G486" t="s">
        <v>77</v>
      </c>
      <c r="H486" t="s">
        <v>3808</v>
      </c>
      <c r="I486" t="s">
        <v>3839</v>
      </c>
      <c r="J486" t="s">
        <v>3840</v>
      </c>
      <c r="K486" t="s">
        <v>1218</v>
      </c>
      <c r="L486" s="13">
        <v>44154</v>
      </c>
      <c r="M486">
        <v>3</v>
      </c>
      <c r="N486" t="s">
        <v>82</v>
      </c>
      <c r="O486" t="s">
        <v>3841</v>
      </c>
      <c r="P486" t="s">
        <v>76</v>
      </c>
      <c r="Q486" t="s">
        <v>76</v>
      </c>
      <c r="R486" t="s">
        <v>76</v>
      </c>
      <c r="S486" t="s">
        <v>76</v>
      </c>
      <c r="T486" t="s">
        <v>76</v>
      </c>
      <c r="U486">
        <v>1</v>
      </c>
      <c r="V486" s="13">
        <v>45175</v>
      </c>
      <c r="W486">
        <v>1</v>
      </c>
      <c r="X486">
        <v>1</v>
      </c>
      <c r="Y486" t="s">
        <v>3672</v>
      </c>
      <c r="AC486">
        <v>2477</v>
      </c>
      <c r="AD486" t="e" vm="478">
        <v>#VALUE!</v>
      </c>
    </row>
    <row r="487" spans="2:30" x14ac:dyDescent="0.25">
      <c r="B487">
        <v>2478</v>
      </c>
      <c r="C487" t="s">
        <v>3668</v>
      </c>
      <c r="D487" t="s">
        <v>3671</v>
      </c>
      <c r="E487" t="s">
        <v>3818</v>
      </c>
      <c r="F487" t="s">
        <v>83</v>
      </c>
      <c r="G487" t="s">
        <v>77</v>
      </c>
      <c r="H487" t="s">
        <v>3808</v>
      </c>
      <c r="I487" t="s">
        <v>3839</v>
      </c>
      <c r="J487" t="s">
        <v>3840</v>
      </c>
      <c r="K487" t="s">
        <v>1218</v>
      </c>
      <c r="L487" s="13">
        <v>44161</v>
      </c>
      <c r="M487">
        <v>3</v>
      </c>
      <c r="N487" t="s">
        <v>82</v>
      </c>
      <c r="O487" t="s">
        <v>3841</v>
      </c>
      <c r="P487" t="s">
        <v>76</v>
      </c>
      <c r="Q487" t="s">
        <v>76</v>
      </c>
      <c r="R487" t="s">
        <v>76</v>
      </c>
      <c r="S487" t="s">
        <v>76</v>
      </c>
      <c r="T487" t="s">
        <v>76</v>
      </c>
      <c r="U487">
        <v>1</v>
      </c>
      <c r="V487" s="13">
        <v>45175</v>
      </c>
      <c r="W487">
        <v>1</v>
      </c>
      <c r="X487">
        <v>1</v>
      </c>
      <c r="Y487" t="s">
        <v>3672</v>
      </c>
      <c r="AC487">
        <v>2478</v>
      </c>
      <c r="AD487" t="e" vm="479">
        <v>#VALUE!</v>
      </c>
    </row>
    <row r="488" spans="2:30" x14ac:dyDescent="0.25">
      <c r="B488">
        <v>2479</v>
      </c>
      <c r="C488" t="s">
        <v>3668</v>
      </c>
      <c r="D488" t="s">
        <v>3671</v>
      </c>
      <c r="E488" t="s">
        <v>3818</v>
      </c>
      <c r="F488" t="s">
        <v>83</v>
      </c>
      <c r="G488" t="s">
        <v>77</v>
      </c>
      <c r="H488" t="s">
        <v>3808</v>
      </c>
      <c r="I488" t="s">
        <v>3839</v>
      </c>
      <c r="J488" t="s">
        <v>3840</v>
      </c>
      <c r="K488" t="s">
        <v>1218</v>
      </c>
      <c r="L488" s="13">
        <v>44175</v>
      </c>
      <c r="M488">
        <v>3</v>
      </c>
      <c r="N488" t="s">
        <v>82</v>
      </c>
      <c r="O488" t="s">
        <v>3841</v>
      </c>
      <c r="P488" t="s">
        <v>76</v>
      </c>
      <c r="Q488" t="s">
        <v>76</v>
      </c>
      <c r="R488" t="s">
        <v>76</v>
      </c>
      <c r="S488" t="s">
        <v>76</v>
      </c>
      <c r="T488" t="s">
        <v>76</v>
      </c>
      <c r="U488">
        <v>1</v>
      </c>
      <c r="V488" s="13">
        <v>45175</v>
      </c>
      <c r="W488">
        <v>1</v>
      </c>
      <c r="X488">
        <v>1</v>
      </c>
      <c r="Y488" t="s">
        <v>3672</v>
      </c>
      <c r="AC488">
        <v>2479</v>
      </c>
      <c r="AD488" t="e" vm="480">
        <v>#VALUE!</v>
      </c>
    </row>
    <row r="489" spans="2:30" x14ac:dyDescent="0.25">
      <c r="B489">
        <v>2480</v>
      </c>
      <c r="C489" t="s">
        <v>3668</v>
      </c>
      <c r="D489" t="s">
        <v>3671</v>
      </c>
      <c r="E489" t="s">
        <v>3818</v>
      </c>
      <c r="F489" t="s">
        <v>83</v>
      </c>
      <c r="G489" t="s">
        <v>77</v>
      </c>
      <c r="H489" t="s">
        <v>3808</v>
      </c>
      <c r="I489" t="s">
        <v>3839</v>
      </c>
      <c r="J489" t="s">
        <v>3840</v>
      </c>
      <c r="K489" t="s">
        <v>1218</v>
      </c>
      <c r="L489" s="13">
        <v>44183</v>
      </c>
      <c r="M489">
        <v>3</v>
      </c>
      <c r="N489" t="s">
        <v>82</v>
      </c>
      <c r="O489" t="s">
        <v>3841</v>
      </c>
      <c r="P489" t="s">
        <v>76</v>
      </c>
      <c r="Q489" t="s">
        <v>76</v>
      </c>
      <c r="R489" t="s">
        <v>76</v>
      </c>
      <c r="S489" t="s">
        <v>76</v>
      </c>
      <c r="T489" t="s">
        <v>76</v>
      </c>
      <c r="U489">
        <v>1</v>
      </c>
      <c r="V489" s="13">
        <v>45175</v>
      </c>
      <c r="W489">
        <v>1</v>
      </c>
      <c r="X489">
        <v>1</v>
      </c>
      <c r="Y489" t="s">
        <v>3672</v>
      </c>
      <c r="AC489">
        <v>2480</v>
      </c>
      <c r="AD489" t="e" vm="481">
        <v>#VALUE!</v>
      </c>
    </row>
    <row r="490" spans="2:30" x14ac:dyDescent="0.25">
      <c r="B490">
        <v>2481</v>
      </c>
      <c r="C490" t="s">
        <v>3668</v>
      </c>
      <c r="D490" t="s">
        <v>3671</v>
      </c>
      <c r="E490" t="s">
        <v>3818</v>
      </c>
      <c r="F490" t="s">
        <v>83</v>
      </c>
      <c r="G490" t="s">
        <v>77</v>
      </c>
      <c r="H490" t="s">
        <v>3808</v>
      </c>
      <c r="I490" t="s">
        <v>3839</v>
      </c>
      <c r="J490" t="s">
        <v>3840</v>
      </c>
      <c r="K490" t="s">
        <v>1218</v>
      </c>
      <c r="L490" s="13">
        <v>44183</v>
      </c>
      <c r="M490">
        <v>3</v>
      </c>
      <c r="N490" t="s">
        <v>82</v>
      </c>
      <c r="O490" t="s">
        <v>3841</v>
      </c>
      <c r="P490" t="s">
        <v>76</v>
      </c>
      <c r="Q490" t="s">
        <v>76</v>
      </c>
      <c r="R490" t="s">
        <v>76</v>
      </c>
      <c r="S490" t="s">
        <v>76</v>
      </c>
      <c r="T490" t="s">
        <v>76</v>
      </c>
      <c r="U490">
        <v>1</v>
      </c>
      <c r="V490" s="13">
        <v>45175</v>
      </c>
      <c r="W490">
        <v>1</v>
      </c>
      <c r="X490">
        <v>1</v>
      </c>
      <c r="Y490" t="s">
        <v>3672</v>
      </c>
      <c r="AC490">
        <v>2481</v>
      </c>
      <c r="AD490" t="e" vm="482">
        <v>#VALUE!</v>
      </c>
    </row>
    <row r="491" spans="2:30" x14ac:dyDescent="0.25">
      <c r="B491">
        <v>2482</v>
      </c>
      <c r="C491" t="s">
        <v>3698</v>
      </c>
      <c r="D491" t="s">
        <v>3671</v>
      </c>
      <c r="E491" t="s">
        <v>3818</v>
      </c>
      <c r="F491" t="s">
        <v>83</v>
      </c>
      <c r="G491" t="s">
        <v>77</v>
      </c>
      <c r="H491" t="s">
        <v>3808</v>
      </c>
      <c r="I491" t="s">
        <v>3839</v>
      </c>
      <c r="J491" t="s">
        <v>3840</v>
      </c>
      <c r="K491" t="s">
        <v>1218</v>
      </c>
      <c r="L491" s="13">
        <v>44183</v>
      </c>
      <c r="M491">
        <v>3</v>
      </c>
      <c r="N491" t="s">
        <v>98</v>
      </c>
      <c r="O491" t="s">
        <v>3841</v>
      </c>
      <c r="P491" t="s">
        <v>76</v>
      </c>
      <c r="Q491" t="s">
        <v>76</v>
      </c>
      <c r="R491" t="s">
        <v>76</v>
      </c>
      <c r="S491" t="s">
        <v>76</v>
      </c>
      <c r="T491" t="s">
        <v>76</v>
      </c>
      <c r="U491">
        <v>1</v>
      </c>
      <c r="V491" s="13">
        <v>45175</v>
      </c>
      <c r="W491">
        <v>2</v>
      </c>
      <c r="X491">
        <v>1</v>
      </c>
      <c r="Y491" t="s">
        <v>3699</v>
      </c>
      <c r="AC491">
        <v>2482</v>
      </c>
      <c r="AD491" t="e" vm="483">
        <v>#VALUE!</v>
      </c>
    </row>
    <row r="492" spans="2:30" x14ac:dyDescent="0.25">
      <c r="B492">
        <v>2483</v>
      </c>
      <c r="C492" t="s">
        <v>3646</v>
      </c>
      <c r="D492" t="s">
        <v>3649</v>
      </c>
      <c r="E492" t="s">
        <v>3812</v>
      </c>
      <c r="F492" t="s">
        <v>85</v>
      </c>
      <c r="G492" t="s">
        <v>112</v>
      </c>
      <c r="H492" t="s">
        <v>3808</v>
      </c>
      <c r="I492" t="s">
        <v>3821</v>
      </c>
      <c r="J492" t="s">
        <v>3810</v>
      </c>
      <c r="K492" t="s">
        <v>1218</v>
      </c>
      <c r="L492" s="13">
        <v>43802</v>
      </c>
      <c r="M492">
        <v>4</v>
      </c>
      <c r="N492" t="s">
        <v>90</v>
      </c>
      <c r="O492" t="s">
        <v>3842</v>
      </c>
      <c r="P492" t="s">
        <v>76</v>
      </c>
      <c r="Q492" t="s">
        <v>76</v>
      </c>
      <c r="R492" t="s">
        <v>76</v>
      </c>
      <c r="S492" t="s">
        <v>76</v>
      </c>
      <c r="T492" t="s">
        <v>76</v>
      </c>
      <c r="U492">
        <v>1</v>
      </c>
      <c r="V492" s="13">
        <v>45175</v>
      </c>
      <c r="W492">
        <v>1</v>
      </c>
      <c r="X492">
        <v>1</v>
      </c>
      <c r="Y492" t="s">
        <v>3650</v>
      </c>
      <c r="AC492">
        <v>2483</v>
      </c>
      <c r="AD492" t="e" vm="484">
        <v>#VALUE!</v>
      </c>
    </row>
    <row r="493" spans="2:30" x14ac:dyDescent="0.25">
      <c r="B493">
        <v>2484</v>
      </c>
      <c r="C493" t="s">
        <v>3646</v>
      </c>
      <c r="D493" t="s">
        <v>3649</v>
      </c>
      <c r="E493" t="s">
        <v>3812</v>
      </c>
      <c r="F493" t="s">
        <v>85</v>
      </c>
      <c r="G493" t="s">
        <v>112</v>
      </c>
      <c r="H493" t="s">
        <v>3808</v>
      </c>
      <c r="I493" t="s">
        <v>3821</v>
      </c>
      <c r="J493" t="s">
        <v>3810</v>
      </c>
      <c r="K493" t="s">
        <v>1218</v>
      </c>
      <c r="L493" s="13">
        <v>43818</v>
      </c>
      <c r="M493">
        <v>4</v>
      </c>
      <c r="N493" t="s">
        <v>90</v>
      </c>
      <c r="O493" t="s">
        <v>3842</v>
      </c>
      <c r="P493" t="s">
        <v>76</v>
      </c>
      <c r="Q493" t="s">
        <v>76</v>
      </c>
      <c r="R493" t="s">
        <v>76</v>
      </c>
      <c r="S493" t="s">
        <v>76</v>
      </c>
      <c r="T493" t="s">
        <v>76</v>
      </c>
      <c r="U493">
        <v>1</v>
      </c>
      <c r="V493" s="13">
        <v>45175</v>
      </c>
      <c r="W493">
        <v>1</v>
      </c>
      <c r="X493">
        <v>1</v>
      </c>
      <c r="Y493" t="s">
        <v>3650</v>
      </c>
      <c r="AC493">
        <v>2484</v>
      </c>
      <c r="AD493" t="e" vm="485">
        <v>#VALUE!</v>
      </c>
    </row>
    <row r="494" spans="2:30" x14ac:dyDescent="0.25">
      <c r="B494">
        <v>2485</v>
      </c>
      <c r="C494" t="s">
        <v>3684</v>
      </c>
      <c r="D494" t="s">
        <v>3700</v>
      </c>
      <c r="E494" t="s">
        <v>3830</v>
      </c>
      <c r="F494" t="s">
        <v>116</v>
      </c>
      <c r="G494" t="s">
        <v>94</v>
      </c>
      <c r="H494" t="s">
        <v>3808</v>
      </c>
      <c r="I494" t="s">
        <v>3821</v>
      </c>
      <c r="J494" t="s">
        <v>3810</v>
      </c>
      <c r="K494" t="s">
        <v>1218</v>
      </c>
      <c r="L494" s="13">
        <v>43822</v>
      </c>
      <c r="M494">
        <v>4</v>
      </c>
      <c r="N494" t="s">
        <v>101</v>
      </c>
      <c r="O494" t="s">
        <v>3842</v>
      </c>
      <c r="P494" t="s">
        <v>76</v>
      </c>
      <c r="Q494" t="s">
        <v>76</v>
      </c>
      <c r="R494" t="s">
        <v>76</v>
      </c>
      <c r="S494" t="s">
        <v>76</v>
      </c>
      <c r="T494" t="s">
        <v>76</v>
      </c>
      <c r="U494">
        <v>1</v>
      </c>
      <c r="V494" s="13">
        <v>45175</v>
      </c>
      <c r="W494">
        <v>1</v>
      </c>
      <c r="X494">
        <v>1</v>
      </c>
      <c r="Y494" t="s">
        <v>3701</v>
      </c>
      <c r="AC494">
        <v>2485</v>
      </c>
      <c r="AD494" t="e" vm="486">
        <v>#VALUE!</v>
      </c>
    </row>
    <row r="495" spans="2:30" x14ac:dyDescent="0.25">
      <c r="B495">
        <v>2486</v>
      </c>
      <c r="C495" t="s">
        <v>3646</v>
      </c>
      <c r="D495" t="s">
        <v>3649</v>
      </c>
      <c r="E495" t="s">
        <v>3812</v>
      </c>
      <c r="F495" t="s">
        <v>85</v>
      </c>
      <c r="G495" t="s">
        <v>112</v>
      </c>
      <c r="H495" t="s">
        <v>3808</v>
      </c>
      <c r="I495" t="s">
        <v>3821</v>
      </c>
      <c r="J495" t="s">
        <v>3810</v>
      </c>
      <c r="K495" t="s">
        <v>1218</v>
      </c>
      <c r="L495" s="13">
        <v>43819</v>
      </c>
      <c r="M495">
        <v>4</v>
      </c>
      <c r="N495" t="s">
        <v>90</v>
      </c>
      <c r="O495" t="s">
        <v>3842</v>
      </c>
      <c r="P495" t="s">
        <v>76</v>
      </c>
      <c r="Q495" t="s">
        <v>76</v>
      </c>
      <c r="R495" t="s">
        <v>76</v>
      </c>
      <c r="S495" t="s">
        <v>76</v>
      </c>
      <c r="T495" t="s">
        <v>76</v>
      </c>
      <c r="U495">
        <v>1</v>
      </c>
      <c r="V495" s="13">
        <v>45175</v>
      </c>
      <c r="W495">
        <v>1</v>
      </c>
      <c r="X495">
        <v>1</v>
      </c>
      <c r="Y495" t="s">
        <v>3650</v>
      </c>
      <c r="AC495">
        <v>2486</v>
      </c>
      <c r="AD495" t="e" vm="487">
        <v>#VALUE!</v>
      </c>
    </row>
    <row r="496" spans="2:30" x14ac:dyDescent="0.25">
      <c r="B496">
        <v>2487</v>
      </c>
      <c r="C496" t="s">
        <v>3646</v>
      </c>
      <c r="D496" t="s">
        <v>3649</v>
      </c>
      <c r="E496" t="s">
        <v>3812</v>
      </c>
      <c r="F496" t="s">
        <v>85</v>
      </c>
      <c r="G496" t="s">
        <v>112</v>
      </c>
      <c r="H496" t="s">
        <v>3808</v>
      </c>
      <c r="I496" t="s">
        <v>3821</v>
      </c>
      <c r="J496" t="s">
        <v>3810</v>
      </c>
      <c r="K496" t="s">
        <v>1218</v>
      </c>
      <c r="L496" s="13">
        <v>43822</v>
      </c>
      <c r="M496">
        <v>4</v>
      </c>
      <c r="N496" t="s">
        <v>90</v>
      </c>
      <c r="O496" t="s">
        <v>3842</v>
      </c>
      <c r="P496" t="s">
        <v>76</v>
      </c>
      <c r="Q496" t="s">
        <v>76</v>
      </c>
      <c r="R496" t="s">
        <v>76</v>
      </c>
      <c r="S496" t="s">
        <v>76</v>
      </c>
      <c r="T496" t="s">
        <v>76</v>
      </c>
      <c r="U496">
        <v>1</v>
      </c>
      <c r="V496" s="13">
        <v>45175</v>
      </c>
      <c r="W496">
        <v>1</v>
      </c>
      <c r="X496">
        <v>1</v>
      </c>
      <c r="Y496" t="s">
        <v>3650</v>
      </c>
      <c r="AC496">
        <v>2487</v>
      </c>
      <c r="AD496" t="e" vm="488">
        <v>#VALUE!</v>
      </c>
    </row>
    <row r="497" spans="2:30" x14ac:dyDescent="0.25">
      <c r="B497">
        <v>2488</v>
      </c>
      <c r="C497" t="s">
        <v>3684</v>
      </c>
      <c r="D497" t="s">
        <v>3687</v>
      </c>
      <c r="E497" t="s">
        <v>3830</v>
      </c>
      <c r="F497" t="s">
        <v>116</v>
      </c>
      <c r="G497" t="s">
        <v>113</v>
      </c>
      <c r="H497" t="s">
        <v>3808</v>
      </c>
      <c r="I497" t="s">
        <v>3821</v>
      </c>
      <c r="J497" t="s">
        <v>3810</v>
      </c>
      <c r="K497" t="s">
        <v>1218</v>
      </c>
      <c r="L497" s="13">
        <v>43879</v>
      </c>
      <c r="M497">
        <v>4</v>
      </c>
      <c r="N497" t="s">
        <v>101</v>
      </c>
      <c r="O497" t="s">
        <v>3842</v>
      </c>
      <c r="P497" t="s">
        <v>76</v>
      </c>
      <c r="Q497" t="s">
        <v>76</v>
      </c>
      <c r="R497" t="s">
        <v>76</v>
      </c>
      <c r="S497" t="s">
        <v>76</v>
      </c>
      <c r="T497" t="s">
        <v>76</v>
      </c>
      <c r="U497">
        <v>1</v>
      </c>
      <c r="V497" s="13">
        <v>45175</v>
      </c>
      <c r="W497">
        <v>1</v>
      </c>
      <c r="X497">
        <v>1</v>
      </c>
      <c r="Y497" t="s">
        <v>3688</v>
      </c>
      <c r="AC497">
        <v>2488</v>
      </c>
      <c r="AD497" t="e" vm="489">
        <v>#VALUE!</v>
      </c>
    </row>
    <row r="498" spans="2:30" x14ac:dyDescent="0.25">
      <c r="B498">
        <v>2489</v>
      </c>
      <c r="C498" t="s">
        <v>3684</v>
      </c>
      <c r="D498" t="s">
        <v>3700</v>
      </c>
      <c r="E498" t="s">
        <v>3830</v>
      </c>
      <c r="F498" t="s">
        <v>116</v>
      </c>
      <c r="G498" t="s">
        <v>94</v>
      </c>
      <c r="H498" t="s">
        <v>3808</v>
      </c>
      <c r="I498" t="s">
        <v>3821</v>
      </c>
      <c r="J498" t="s">
        <v>3810</v>
      </c>
      <c r="K498" t="s">
        <v>1218</v>
      </c>
      <c r="L498" s="13">
        <v>43854</v>
      </c>
      <c r="M498">
        <v>4</v>
      </c>
      <c r="N498" t="s">
        <v>101</v>
      </c>
      <c r="O498" t="s">
        <v>3842</v>
      </c>
      <c r="P498" t="s">
        <v>76</v>
      </c>
      <c r="Q498" t="s">
        <v>76</v>
      </c>
      <c r="R498" t="s">
        <v>76</v>
      </c>
      <c r="S498" t="s">
        <v>76</v>
      </c>
      <c r="T498" t="s">
        <v>76</v>
      </c>
      <c r="U498">
        <v>1</v>
      </c>
      <c r="V498" s="13">
        <v>45175</v>
      </c>
      <c r="W498">
        <v>1</v>
      </c>
      <c r="X498">
        <v>1</v>
      </c>
      <c r="Y498" t="s">
        <v>3701</v>
      </c>
      <c r="AC498">
        <v>2489</v>
      </c>
      <c r="AD498" t="e" vm="490">
        <v>#VALUE!</v>
      </c>
    </row>
    <row r="499" spans="2:30" x14ac:dyDescent="0.25">
      <c r="B499">
        <v>2490</v>
      </c>
      <c r="C499" t="s">
        <v>3646</v>
      </c>
      <c r="D499" t="s">
        <v>3649</v>
      </c>
      <c r="E499" t="s">
        <v>3812</v>
      </c>
      <c r="F499" t="s">
        <v>85</v>
      </c>
      <c r="G499" t="s">
        <v>112</v>
      </c>
      <c r="H499" t="s">
        <v>3808</v>
      </c>
      <c r="I499" t="s">
        <v>3821</v>
      </c>
      <c r="J499" t="s">
        <v>3810</v>
      </c>
      <c r="K499" t="s">
        <v>1218</v>
      </c>
      <c r="L499" s="13">
        <v>43802</v>
      </c>
      <c r="M499">
        <v>4</v>
      </c>
      <c r="N499" t="s">
        <v>90</v>
      </c>
      <c r="O499" t="s">
        <v>3842</v>
      </c>
      <c r="P499" t="s">
        <v>76</v>
      </c>
      <c r="Q499" t="s">
        <v>76</v>
      </c>
      <c r="R499" t="s">
        <v>76</v>
      </c>
      <c r="S499" t="s">
        <v>76</v>
      </c>
      <c r="T499" t="s">
        <v>76</v>
      </c>
      <c r="U499">
        <v>1</v>
      </c>
      <c r="V499" s="13">
        <v>45175</v>
      </c>
      <c r="W499">
        <v>1</v>
      </c>
      <c r="X499">
        <v>1</v>
      </c>
      <c r="Y499" t="s">
        <v>3650</v>
      </c>
      <c r="AC499">
        <v>2490</v>
      </c>
      <c r="AD499" t="e" vm="491">
        <v>#VALUE!</v>
      </c>
    </row>
    <row r="500" spans="2:30" x14ac:dyDescent="0.25">
      <c r="B500">
        <v>2491</v>
      </c>
      <c r="C500" t="s">
        <v>3646</v>
      </c>
      <c r="D500" t="s">
        <v>3649</v>
      </c>
      <c r="E500" t="s">
        <v>3812</v>
      </c>
      <c r="F500" t="s">
        <v>85</v>
      </c>
      <c r="G500" t="s">
        <v>112</v>
      </c>
      <c r="H500" t="s">
        <v>3808</v>
      </c>
      <c r="I500" t="s">
        <v>3821</v>
      </c>
      <c r="J500" t="s">
        <v>3810</v>
      </c>
      <c r="K500" t="s">
        <v>1218</v>
      </c>
      <c r="L500" s="13">
        <v>43818</v>
      </c>
      <c r="M500">
        <v>4</v>
      </c>
      <c r="N500" t="s">
        <v>90</v>
      </c>
      <c r="O500" t="s">
        <v>3842</v>
      </c>
      <c r="P500" t="s">
        <v>76</v>
      </c>
      <c r="Q500" t="s">
        <v>76</v>
      </c>
      <c r="R500" t="s">
        <v>76</v>
      </c>
      <c r="S500" t="s">
        <v>76</v>
      </c>
      <c r="T500" t="s">
        <v>76</v>
      </c>
      <c r="U500">
        <v>1</v>
      </c>
      <c r="V500" s="13">
        <v>45175</v>
      </c>
      <c r="W500">
        <v>1</v>
      </c>
      <c r="X500">
        <v>1</v>
      </c>
      <c r="Y500" t="s">
        <v>3650</v>
      </c>
      <c r="AC500">
        <v>2491</v>
      </c>
      <c r="AD500" t="e" vm="492">
        <v>#VALUE!</v>
      </c>
    </row>
    <row r="501" spans="2:30" x14ac:dyDescent="0.25">
      <c r="B501">
        <v>2492</v>
      </c>
      <c r="C501" t="s">
        <v>3684</v>
      </c>
      <c r="D501" t="s">
        <v>3700</v>
      </c>
      <c r="E501" t="s">
        <v>3830</v>
      </c>
      <c r="F501" t="s">
        <v>116</v>
      </c>
      <c r="G501" t="s">
        <v>94</v>
      </c>
      <c r="H501" t="s">
        <v>3808</v>
      </c>
      <c r="I501" t="s">
        <v>3821</v>
      </c>
      <c r="J501" t="s">
        <v>3810</v>
      </c>
      <c r="K501" t="s">
        <v>1218</v>
      </c>
      <c r="L501" s="13">
        <v>43854</v>
      </c>
      <c r="M501">
        <v>4</v>
      </c>
      <c r="N501" t="s">
        <v>101</v>
      </c>
      <c r="O501" t="s">
        <v>3842</v>
      </c>
      <c r="P501" t="s">
        <v>76</v>
      </c>
      <c r="Q501" t="s">
        <v>76</v>
      </c>
      <c r="R501" t="s">
        <v>76</v>
      </c>
      <c r="S501" t="s">
        <v>76</v>
      </c>
      <c r="T501" t="s">
        <v>76</v>
      </c>
      <c r="U501">
        <v>1</v>
      </c>
      <c r="V501" s="13">
        <v>45175</v>
      </c>
      <c r="W501">
        <v>1</v>
      </c>
      <c r="X501">
        <v>1</v>
      </c>
      <c r="Y501" t="s">
        <v>3701</v>
      </c>
      <c r="AC501">
        <v>2492</v>
      </c>
      <c r="AD501" t="e" vm="493">
        <v>#VALUE!</v>
      </c>
    </row>
    <row r="502" spans="2:30" x14ac:dyDescent="0.25">
      <c r="B502">
        <v>2493</v>
      </c>
      <c r="C502" t="s">
        <v>3684</v>
      </c>
      <c r="D502" t="s">
        <v>3700</v>
      </c>
      <c r="E502" t="s">
        <v>3830</v>
      </c>
      <c r="F502" t="s">
        <v>116</v>
      </c>
      <c r="G502" t="s">
        <v>94</v>
      </c>
      <c r="H502" t="s">
        <v>3808</v>
      </c>
      <c r="I502" t="s">
        <v>3821</v>
      </c>
      <c r="J502" t="s">
        <v>3810</v>
      </c>
      <c r="K502" t="s">
        <v>1218</v>
      </c>
      <c r="L502" s="13">
        <v>43850</v>
      </c>
      <c r="M502">
        <v>4</v>
      </c>
      <c r="N502" t="s">
        <v>101</v>
      </c>
      <c r="O502" t="s">
        <v>3842</v>
      </c>
      <c r="P502" t="s">
        <v>76</v>
      </c>
      <c r="Q502" t="s">
        <v>76</v>
      </c>
      <c r="R502" t="s">
        <v>76</v>
      </c>
      <c r="S502" t="s">
        <v>76</v>
      </c>
      <c r="T502" t="s">
        <v>76</v>
      </c>
      <c r="U502">
        <v>1</v>
      </c>
      <c r="V502" s="13">
        <v>45175</v>
      </c>
      <c r="W502">
        <v>1</v>
      </c>
      <c r="X502">
        <v>1</v>
      </c>
      <c r="Y502" t="s">
        <v>3701</v>
      </c>
      <c r="AC502">
        <v>2493</v>
      </c>
      <c r="AD502" t="e" vm="494">
        <v>#VALUE!</v>
      </c>
    </row>
    <row r="503" spans="2:30" x14ac:dyDescent="0.25">
      <c r="B503">
        <v>2494</v>
      </c>
      <c r="C503" t="s">
        <v>3684</v>
      </c>
      <c r="D503" t="s">
        <v>3700</v>
      </c>
      <c r="E503" t="s">
        <v>3830</v>
      </c>
      <c r="F503" t="s">
        <v>116</v>
      </c>
      <c r="G503" t="s">
        <v>94</v>
      </c>
      <c r="H503" t="s">
        <v>3808</v>
      </c>
      <c r="I503" t="s">
        <v>3821</v>
      </c>
      <c r="J503" t="s">
        <v>3810</v>
      </c>
      <c r="K503" t="s">
        <v>1218</v>
      </c>
      <c r="L503" s="13">
        <v>43861</v>
      </c>
      <c r="M503">
        <v>4</v>
      </c>
      <c r="N503" t="s">
        <v>101</v>
      </c>
      <c r="O503" t="s">
        <v>3842</v>
      </c>
      <c r="P503" t="s">
        <v>76</v>
      </c>
      <c r="Q503" t="s">
        <v>76</v>
      </c>
      <c r="R503" t="s">
        <v>76</v>
      </c>
      <c r="S503" t="s">
        <v>76</v>
      </c>
      <c r="T503" t="s">
        <v>76</v>
      </c>
      <c r="U503">
        <v>1</v>
      </c>
      <c r="V503" s="13">
        <v>45175</v>
      </c>
      <c r="W503">
        <v>1</v>
      </c>
      <c r="X503">
        <v>1</v>
      </c>
      <c r="Y503" t="s">
        <v>3701</v>
      </c>
      <c r="AC503">
        <v>2494</v>
      </c>
      <c r="AD503" t="e" vm="495">
        <v>#VALUE!</v>
      </c>
    </row>
    <row r="504" spans="2:30" x14ac:dyDescent="0.25">
      <c r="B504">
        <v>2495</v>
      </c>
      <c r="C504" t="s">
        <v>3684</v>
      </c>
      <c r="D504" t="s">
        <v>3700</v>
      </c>
      <c r="E504" t="s">
        <v>3830</v>
      </c>
      <c r="F504" t="s">
        <v>116</v>
      </c>
      <c r="G504" t="s">
        <v>94</v>
      </c>
      <c r="H504" t="s">
        <v>3808</v>
      </c>
      <c r="I504" t="s">
        <v>3821</v>
      </c>
      <c r="J504" t="s">
        <v>3810</v>
      </c>
      <c r="K504" t="s">
        <v>1218</v>
      </c>
      <c r="L504" s="13">
        <v>43861</v>
      </c>
      <c r="M504">
        <v>4</v>
      </c>
      <c r="N504" t="s">
        <v>101</v>
      </c>
      <c r="O504" t="s">
        <v>3842</v>
      </c>
      <c r="P504" t="s">
        <v>76</v>
      </c>
      <c r="Q504" t="s">
        <v>76</v>
      </c>
      <c r="R504" t="s">
        <v>76</v>
      </c>
      <c r="S504" t="s">
        <v>76</v>
      </c>
      <c r="T504" t="s">
        <v>76</v>
      </c>
      <c r="U504">
        <v>1</v>
      </c>
      <c r="V504" s="13">
        <v>45175</v>
      </c>
      <c r="W504">
        <v>1</v>
      </c>
      <c r="X504">
        <v>1</v>
      </c>
      <c r="Y504" t="s">
        <v>3701</v>
      </c>
      <c r="AC504">
        <v>2495</v>
      </c>
      <c r="AD504" t="e" vm="496">
        <v>#VALUE!</v>
      </c>
    </row>
    <row r="505" spans="2:30" x14ac:dyDescent="0.25">
      <c r="B505">
        <v>2496</v>
      </c>
      <c r="C505" t="s">
        <v>3646</v>
      </c>
      <c r="D505" t="s">
        <v>3649</v>
      </c>
      <c r="E505" t="s">
        <v>3812</v>
      </c>
      <c r="F505" t="s">
        <v>85</v>
      </c>
      <c r="G505" t="s">
        <v>112</v>
      </c>
      <c r="H505" t="s">
        <v>3808</v>
      </c>
      <c r="I505" t="s">
        <v>3821</v>
      </c>
      <c r="J505" t="s">
        <v>3810</v>
      </c>
      <c r="K505" t="s">
        <v>1218</v>
      </c>
      <c r="L505" s="13">
        <v>43816</v>
      </c>
      <c r="M505">
        <v>4</v>
      </c>
      <c r="N505" t="s">
        <v>90</v>
      </c>
      <c r="O505" t="s">
        <v>3842</v>
      </c>
      <c r="P505" t="s">
        <v>76</v>
      </c>
      <c r="Q505" t="s">
        <v>76</v>
      </c>
      <c r="R505" t="s">
        <v>76</v>
      </c>
      <c r="S505" t="s">
        <v>76</v>
      </c>
      <c r="T505" t="s">
        <v>76</v>
      </c>
      <c r="U505">
        <v>1</v>
      </c>
      <c r="V505" s="13">
        <v>45175</v>
      </c>
      <c r="W505">
        <v>1</v>
      </c>
      <c r="X505">
        <v>1</v>
      </c>
      <c r="Y505" t="s">
        <v>3650</v>
      </c>
      <c r="AC505">
        <v>2496</v>
      </c>
      <c r="AD505" t="e" vm="497">
        <v>#VALUE!</v>
      </c>
    </row>
    <row r="506" spans="2:30" x14ac:dyDescent="0.25">
      <c r="B506">
        <v>2497</v>
      </c>
      <c r="C506" t="s">
        <v>3684</v>
      </c>
      <c r="D506" t="s">
        <v>3700</v>
      </c>
      <c r="E506" t="s">
        <v>3830</v>
      </c>
      <c r="F506" t="s">
        <v>116</v>
      </c>
      <c r="G506" t="s">
        <v>94</v>
      </c>
      <c r="H506" t="s">
        <v>3808</v>
      </c>
      <c r="I506" t="s">
        <v>3821</v>
      </c>
      <c r="J506" t="s">
        <v>3810</v>
      </c>
      <c r="K506" t="s">
        <v>1218</v>
      </c>
      <c r="L506" s="13">
        <v>43850</v>
      </c>
      <c r="M506">
        <v>4</v>
      </c>
      <c r="N506" t="s">
        <v>101</v>
      </c>
      <c r="O506" t="s">
        <v>3842</v>
      </c>
      <c r="P506" t="s">
        <v>76</v>
      </c>
      <c r="Q506" t="s">
        <v>76</v>
      </c>
      <c r="R506" t="s">
        <v>76</v>
      </c>
      <c r="S506" t="s">
        <v>76</v>
      </c>
      <c r="T506" t="s">
        <v>76</v>
      </c>
      <c r="U506">
        <v>1</v>
      </c>
      <c r="V506" s="13">
        <v>45175</v>
      </c>
      <c r="W506">
        <v>1</v>
      </c>
      <c r="X506">
        <v>1</v>
      </c>
      <c r="Y506" t="s">
        <v>3701</v>
      </c>
      <c r="AC506">
        <v>2497</v>
      </c>
      <c r="AD506" t="e" vm="498">
        <v>#VALUE!</v>
      </c>
    </row>
    <row r="507" spans="2:30" x14ac:dyDescent="0.25">
      <c r="B507">
        <v>2498</v>
      </c>
      <c r="C507" t="s">
        <v>3646</v>
      </c>
      <c r="D507" t="s">
        <v>3649</v>
      </c>
      <c r="E507" t="s">
        <v>3812</v>
      </c>
      <c r="F507" t="s">
        <v>85</v>
      </c>
      <c r="G507" t="s">
        <v>112</v>
      </c>
      <c r="H507" t="s">
        <v>3808</v>
      </c>
      <c r="I507" t="s">
        <v>3821</v>
      </c>
      <c r="J507" t="s">
        <v>3810</v>
      </c>
      <c r="K507" t="s">
        <v>1218</v>
      </c>
      <c r="L507" s="13">
        <v>43817</v>
      </c>
      <c r="M507">
        <v>4</v>
      </c>
      <c r="N507" t="s">
        <v>90</v>
      </c>
      <c r="O507" t="s">
        <v>3842</v>
      </c>
      <c r="P507" t="s">
        <v>76</v>
      </c>
      <c r="Q507" t="s">
        <v>76</v>
      </c>
      <c r="R507" t="s">
        <v>76</v>
      </c>
      <c r="S507" t="s">
        <v>76</v>
      </c>
      <c r="T507" t="s">
        <v>76</v>
      </c>
      <c r="U507">
        <v>1</v>
      </c>
      <c r="V507" s="13">
        <v>45175</v>
      </c>
      <c r="W507">
        <v>1</v>
      </c>
      <c r="X507">
        <v>1</v>
      </c>
      <c r="Y507" t="s">
        <v>3650</v>
      </c>
      <c r="AC507">
        <v>2498</v>
      </c>
      <c r="AD507" t="e" vm="499">
        <v>#VALUE!</v>
      </c>
    </row>
    <row r="508" spans="2:30" x14ac:dyDescent="0.25">
      <c r="B508">
        <v>2499</v>
      </c>
      <c r="C508" t="s">
        <v>3646</v>
      </c>
      <c r="D508" t="s">
        <v>3649</v>
      </c>
      <c r="E508" t="s">
        <v>3812</v>
      </c>
      <c r="F508" t="s">
        <v>85</v>
      </c>
      <c r="G508" t="s">
        <v>112</v>
      </c>
      <c r="H508" t="s">
        <v>3808</v>
      </c>
      <c r="I508" t="s">
        <v>3821</v>
      </c>
      <c r="J508" t="s">
        <v>3810</v>
      </c>
      <c r="K508" t="s">
        <v>1218</v>
      </c>
      <c r="L508" s="13">
        <v>43817</v>
      </c>
      <c r="M508">
        <v>4</v>
      </c>
      <c r="N508" t="s">
        <v>90</v>
      </c>
      <c r="O508" t="s">
        <v>3842</v>
      </c>
      <c r="P508" t="s">
        <v>76</v>
      </c>
      <c r="Q508" t="s">
        <v>76</v>
      </c>
      <c r="R508" t="s">
        <v>76</v>
      </c>
      <c r="S508" t="s">
        <v>76</v>
      </c>
      <c r="T508" t="s">
        <v>76</v>
      </c>
      <c r="U508">
        <v>1</v>
      </c>
      <c r="V508" s="13">
        <v>45175</v>
      </c>
      <c r="W508">
        <v>1</v>
      </c>
      <c r="X508">
        <v>1</v>
      </c>
      <c r="Y508" t="s">
        <v>3650</v>
      </c>
      <c r="AC508">
        <v>2499</v>
      </c>
      <c r="AD508" t="e" vm="500">
        <v>#VALUE!</v>
      </c>
    </row>
    <row r="509" spans="2:30" x14ac:dyDescent="0.25">
      <c r="B509">
        <v>2500</v>
      </c>
      <c r="C509" t="s">
        <v>3646</v>
      </c>
      <c r="D509" t="s">
        <v>3649</v>
      </c>
      <c r="E509" t="s">
        <v>3812</v>
      </c>
      <c r="F509" t="s">
        <v>85</v>
      </c>
      <c r="G509" t="s">
        <v>112</v>
      </c>
      <c r="H509" t="s">
        <v>3808</v>
      </c>
      <c r="I509" t="s">
        <v>3821</v>
      </c>
      <c r="J509" t="s">
        <v>3810</v>
      </c>
      <c r="K509" t="s">
        <v>1218</v>
      </c>
      <c r="L509" s="13">
        <v>43816</v>
      </c>
      <c r="M509">
        <v>4</v>
      </c>
      <c r="N509" t="s">
        <v>90</v>
      </c>
      <c r="O509" t="s">
        <v>3842</v>
      </c>
      <c r="P509" t="s">
        <v>76</v>
      </c>
      <c r="Q509" t="s">
        <v>76</v>
      </c>
      <c r="R509" t="s">
        <v>76</v>
      </c>
      <c r="S509" t="s">
        <v>76</v>
      </c>
      <c r="T509" t="s">
        <v>76</v>
      </c>
      <c r="U509">
        <v>1</v>
      </c>
      <c r="V509" s="13">
        <v>45175</v>
      </c>
      <c r="W509">
        <v>1</v>
      </c>
      <c r="X509">
        <v>1</v>
      </c>
      <c r="Y509" t="s">
        <v>3650</v>
      </c>
      <c r="AC509">
        <v>2500</v>
      </c>
      <c r="AD509" t="e" vm="501">
        <v>#VALUE!</v>
      </c>
    </row>
    <row r="510" spans="2:30" x14ac:dyDescent="0.25">
      <c r="B510">
        <v>2501</v>
      </c>
      <c r="C510" t="s">
        <v>3646</v>
      </c>
      <c r="D510" t="s">
        <v>3649</v>
      </c>
      <c r="E510" t="s">
        <v>3812</v>
      </c>
      <c r="F510" t="s">
        <v>85</v>
      </c>
      <c r="G510" t="s">
        <v>112</v>
      </c>
      <c r="H510" t="s">
        <v>3808</v>
      </c>
      <c r="I510" t="s">
        <v>3821</v>
      </c>
      <c r="J510" t="s">
        <v>3810</v>
      </c>
      <c r="K510" t="s">
        <v>1218</v>
      </c>
      <c r="L510" s="13">
        <v>43846</v>
      </c>
      <c r="M510">
        <v>4</v>
      </c>
      <c r="N510" t="s">
        <v>90</v>
      </c>
      <c r="O510" t="s">
        <v>3842</v>
      </c>
      <c r="P510" t="s">
        <v>76</v>
      </c>
      <c r="Q510" t="s">
        <v>76</v>
      </c>
      <c r="R510" t="s">
        <v>76</v>
      </c>
      <c r="S510" t="s">
        <v>76</v>
      </c>
      <c r="T510" t="s">
        <v>76</v>
      </c>
      <c r="U510">
        <v>1</v>
      </c>
      <c r="V510" s="13">
        <v>45175</v>
      </c>
      <c r="W510">
        <v>1</v>
      </c>
      <c r="X510">
        <v>1</v>
      </c>
      <c r="Y510" t="s">
        <v>3650</v>
      </c>
      <c r="AC510">
        <v>2501</v>
      </c>
      <c r="AD510" t="e" vm="502">
        <v>#VALUE!</v>
      </c>
    </row>
    <row r="511" spans="2:30" x14ac:dyDescent="0.25">
      <c r="B511">
        <v>2502</v>
      </c>
      <c r="C511" t="s">
        <v>3646</v>
      </c>
      <c r="D511" t="s">
        <v>3649</v>
      </c>
      <c r="E511" t="s">
        <v>3812</v>
      </c>
      <c r="F511" t="s">
        <v>85</v>
      </c>
      <c r="G511" t="s">
        <v>112</v>
      </c>
      <c r="H511" t="s">
        <v>3808</v>
      </c>
      <c r="I511" t="s">
        <v>3821</v>
      </c>
      <c r="J511" t="s">
        <v>3810</v>
      </c>
      <c r="K511" t="s">
        <v>1218</v>
      </c>
      <c r="L511" s="13">
        <v>43817</v>
      </c>
      <c r="M511">
        <v>4</v>
      </c>
      <c r="N511" t="s">
        <v>90</v>
      </c>
      <c r="O511" t="s">
        <v>3842</v>
      </c>
      <c r="P511" t="s">
        <v>76</v>
      </c>
      <c r="Q511" t="s">
        <v>76</v>
      </c>
      <c r="R511" t="s">
        <v>76</v>
      </c>
      <c r="S511" t="s">
        <v>76</v>
      </c>
      <c r="T511" t="s">
        <v>76</v>
      </c>
      <c r="U511">
        <v>1</v>
      </c>
      <c r="V511" s="13">
        <v>45175</v>
      </c>
      <c r="W511">
        <v>1</v>
      </c>
      <c r="X511">
        <v>1</v>
      </c>
      <c r="Y511" t="s">
        <v>3650</v>
      </c>
      <c r="AC511">
        <v>2502</v>
      </c>
      <c r="AD511" t="e" vm="503">
        <v>#VALUE!</v>
      </c>
    </row>
    <row r="512" spans="2:30" x14ac:dyDescent="0.25">
      <c r="B512">
        <v>2503</v>
      </c>
      <c r="C512" t="s">
        <v>3646</v>
      </c>
      <c r="D512" t="s">
        <v>3649</v>
      </c>
      <c r="E512" t="s">
        <v>3812</v>
      </c>
      <c r="F512" t="s">
        <v>85</v>
      </c>
      <c r="G512" t="s">
        <v>112</v>
      </c>
      <c r="H512" t="s">
        <v>3808</v>
      </c>
      <c r="I512" t="s">
        <v>3821</v>
      </c>
      <c r="J512" t="s">
        <v>3810</v>
      </c>
      <c r="K512" t="s">
        <v>1218</v>
      </c>
      <c r="L512" s="13">
        <v>43817</v>
      </c>
      <c r="M512">
        <v>4</v>
      </c>
      <c r="N512" t="s">
        <v>90</v>
      </c>
      <c r="O512" t="s">
        <v>3842</v>
      </c>
      <c r="P512" t="s">
        <v>76</v>
      </c>
      <c r="Q512" t="s">
        <v>76</v>
      </c>
      <c r="R512" t="s">
        <v>76</v>
      </c>
      <c r="S512" t="s">
        <v>76</v>
      </c>
      <c r="T512" t="s">
        <v>76</v>
      </c>
      <c r="U512">
        <v>1</v>
      </c>
      <c r="V512" s="13">
        <v>45175</v>
      </c>
      <c r="W512">
        <v>1</v>
      </c>
      <c r="X512">
        <v>1</v>
      </c>
      <c r="Y512" t="s">
        <v>3650</v>
      </c>
      <c r="AC512">
        <v>2503</v>
      </c>
      <c r="AD512" t="e" vm="504">
        <v>#VALUE!</v>
      </c>
    </row>
    <row r="513" spans="2:30" x14ac:dyDescent="0.25">
      <c r="B513">
        <v>2504</v>
      </c>
      <c r="C513" t="s">
        <v>3646</v>
      </c>
      <c r="D513" t="s">
        <v>3649</v>
      </c>
      <c r="E513" t="s">
        <v>3812</v>
      </c>
      <c r="F513" t="s">
        <v>85</v>
      </c>
      <c r="G513" t="s">
        <v>112</v>
      </c>
      <c r="H513" t="s">
        <v>3808</v>
      </c>
      <c r="I513" t="s">
        <v>3821</v>
      </c>
      <c r="J513" t="s">
        <v>3810</v>
      </c>
      <c r="K513" t="s">
        <v>1218</v>
      </c>
      <c r="L513" s="13">
        <v>43847</v>
      </c>
      <c r="M513">
        <v>4</v>
      </c>
      <c r="N513" t="s">
        <v>90</v>
      </c>
      <c r="O513" t="s">
        <v>3842</v>
      </c>
      <c r="P513" t="s">
        <v>76</v>
      </c>
      <c r="Q513" t="s">
        <v>76</v>
      </c>
      <c r="R513" t="s">
        <v>76</v>
      </c>
      <c r="S513" t="s">
        <v>76</v>
      </c>
      <c r="T513" t="s">
        <v>76</v>
      </c>
      <c r="U513">
        <v>1</v>
      </c>
      <c r="V513" s="13">
        <v>45175</v>
      </c>
      <c r="W513">
        <v>1</v>
      </c>
      <c r="X513">
        <v>1</v>
      </c>
      <c r="Y513" t="s">
        <v>3650</v>
      </c>
      <c r="AC513">
        <v>2504</v>
      </c>
      <c r="AD513" t="e" vm="505">
        <v>#VALUE!</v>
      </c>
    </row>
    <row r="514" spans="2:30" x14ac:dyDescent="0.25">
      <c r="B514">
        <v>2505</v>
      </c>
      <c r="C514" t="s">
        <v>3646</v>
      </c>
      <c r="D514" t="s">
        <v>3649</v>
      </c>
      <c r="E514" t="s">
        <v>3812</v>
      </c>
      <c r="F514" t="s">
        <v>85</v>
      </c>
      <c r="G514" t="s">
        <v>112</v>
      </c>
      <c r="H514" t="s">
        <v>3808</v>
      </c>
      <c r="I514" t="s">
        <v>3821</v>
      </c>
      <c r="J514" t="s">
        <v>3810</v>
      </c>
      <c r="K514" t="s">
        <v>1218</v>
      </c>
      <c r="L514" s="13">
        <v>43818</v>
      </c>
      <c r="M514">
        <v>4</v>
      </c>
      <c r="N514" t="s">
        <v>90</v>
      </c>
      <c r="O514" t="s">
        <v>3842</v>
      </c>
      <c r="P514" t="s">
        <v>76</v>
      </c>
      <c r="Q514" t="s">
        <v>76</v>
      </c>
      <c r="R514" t="s">
        <v>76</v>
      </c>
      <c r="S514" t="s">
        <v>76</v>
      </c>
      <c r="T514" t="s">
        <v>76</v>
      </c>
      <c r="U514">
        <v>1</v>
      </c>
      <c r="V514" s="13">
        <v>45175</v>
      </c>
      <c r="W514">
        <v>1</v>
      </c>
      <c r="X514">
        <v>1</v>
      </c>
      <c r="Y514" t="s">
        <v>3650</v>
      </c>
      <c r="AC514">
        <v>2505</v>
      </c>
      <c r="AD514" t="e" vm="506">
        <v>#VALUE!</v>
      </c>
    </row>
    <row r="515" spans="2:30" x14ac:dyDescent="0.25">
      <c r="B515">
        <v>2506</v>
      </c>
      <c r="C515" t="s">
        <v>3646</v>
      </c>
      <c r="D515" t="s">
        <v>3649</v>
      </c>
      <c r="E515" t="s">
        <v>3812</v>
      </c>
      <c r="F515" t="s">
        <v>85</v>
      </c>
      <c r="G515" t="s">
        <v>112</v>
      </c>
      <c r="H515" t="s">
        <v>3808</v>
      </c>
      <c r="I515" t="s">
        <v>3821</v>
      </c>
      <c r="J515" t="s">
        <v>3810</v>
      </c>
      <c r="K515" t="s">
        <v>1218</v>
      </c>
      <c r="L515" s="13">
        <v>43846</v>
      </c>
      <c r="M515">
        <v>4</v>
      </c>
      <c r="N515" t="s">
        <v>90</v>
      </c>
      <c r="O515" t="s">
        <v>3842</v>
      </c>
      <c r="P515" t="s">
        <v>76</v>
      </c>
      <c r="Q515" t="s">
        <v>76</v>
      </c>
      <c r="R515" t="s">
        <v>76</v>
      </c>
      <c r="S515" t="s">
        <v>76</v>
      </c>
      <c r="T515" t="s">
        <v>76</v>
      </c>
      <c r="U515">
        <v>1</v>
      </c>
      <c r="V515" s="13">
        <v>45175</v>
      </c>
      <c r="W515">
        <v>1</v>
      </c>
      <c r="X515">
        <v>1</v>
      </c>
      <c r="Y515" t="s">
        <v>3650</v>
      </c>
      <c r="AC515">
        <v>2506</v>
      </c>
      <c r="AD515" t="e" vm="507">
        <v>#VALUE!</v>
      </c>
    </row>
    <row r="516" spans="2:30" x14ac:dyDescent="0.25">
      <c r="B516">
        <v>2507</v>
      </c>
      <c r="C516" t="s">
        <v>3646</v>
      </c>
      <c r="D516" t="s">
        <v>3649</v>
      </c>
      <c r="E516" t="s">
        <v>3812</v>
      </c>
      <c r="F516" t="s">
        <v>85</v>
      </c>
      <c r="G516" t="s">
        <v>112</v>
      </c>
      <c r="H516" t="s">
        <v>3808</v>
      </c>
      <c r="I516" t="s">
        <v>3821</v>
      </c>
      <c r="J516" t="s">
        <v>3810</v>
      </c>
      <c r="K516" t="s">
        <v>1218</v>
      </c>
      <c r="L516" s="13">
        <v>43817</v>
      </c>
      <c r="M516">
        <v>4</v>
      </c>
      <c r="N516" t="s">
        <v>90</v>
      </c>
      <c r="O516" t="s">
        <v>3842</v>
      </c>
      <c r="P516" t="s">
        <v>76</v>
      </c>
      <c r="Q516" t="s">
        <v>76</v>
      </c>
      <c r="R516" t="s">
        <v>76</v>
      </c>
      <c r="S516" t="s">
        <v>76</v>
      </c>
      <c r="T516" t="s">
        <v>76</v>
      </c>
      <c r="U516">
        <v>1</v>
      </c>
      <c r="V516" s="13">
        <v>45175</v>
      </c>
      <c r="W516">
        <v>1</v>
      </c>
      <c r="X516">
        <v>1</v>
      </c>
      <c r="Y516" t="s">
        <v>3650</v>
      </c>
      <c r="AC516">
        <v>2507</v>
      </c>
      <c r="AD516" t="e" vm="508">
        <v>#VALUE!</v>
      </c>
    </row>
    <row r="517" spans="2:30" x14ac:dyDescent="0.25">
      <c r="B517">
        <v>2508</v>
      </c>
      <c r="C517" t="s">
        <v>3646</v>
      </c>
      <c r="D517" t="s">
        <v>3649</v>
      </c>
      <c r="E517" t="s">
        <v>3812</v>
      </c>
      <c r="F517" t="s">
        <v>85</v>
      </c>
      <c r="G517" t="s">
        <v>112</v>
      </c>
      <c r="H517" t="s">
        <v>3808</v>
      </c>
      <c r="I517" t="s">
        <v>3821</v>
      </c>
      <c r="J517" t="s">
        <v>3810</v>
      </c>
      <c r="K517" t="s">
        <v>1218</v>
      </c>
      <c r="L517" s="13">
        <v>43846</v>
      </c>
      <c r="M517">
        <v>4</v>
      </c>
      <c r="N517" t="s">
        <v>90</v>
      </c>
      <c r="O517" t="s">
        <v>3842</v>
      </c>
      <c r="P517" t="s">
        <v>76</v>
      </c>
      <c r="Q517" t="s">
        <v>76</v>
      </c>
      <c r="R517" t="s">
        <v>76</v>
      </c>
      <c r="S517" t="s">
        <v>76</v>
      </c>
      <c r="T517" t="s">
        <v>76</v>
      </c>
      <c r="U517">
        <v>1</v>
      </c>
      <c r="V517" s="13">
        <v>45175</v>
      </c>
      <c r="W517">
        <v>1</v>
      </c>
      <c r="X517">
        <v>1</v>
      </c>
      <c r="Y517" t="s">
        <v>3650</v>
      </c>
      <c r="AC517">
        <v>2508</v>
      </c>
      <c r="AD517" t="e" vm="509">
        <v>#VALUE!</v>
      </c>
    </row>
    <row r="518" spans="2:30" x14ac:dyDescent="0.25">
      <c r="B518">
        <v>2509</v>
      </c>
      <c r="C518" t="s">
        <v>3646</v>
      </c>
      <c r="D518" t="s">
        <v>3653</v>
      </c>
      <c r="E518" t="s">
        <v>3812</v>
      </c>
      <c r="F518" t="s">
        <v>85</v>
      </c>
      <c r="G518" t="s">
        <v>114</v>
      </c>
      <c r="H518" t="s">
        <v>3808</v>
      </c>
      <c r="I518" t="s">
        <v>3821</v>
      </c>
      <c r="J518" t="s">
        <v>3810</v>
      </c>
      <c r="K518" t="s">
        <v>1218</v>
      </c>
      <c r="L518" s="13">
        <v>43858</v>
      </c>
      <c r="M518">
        <v>4</v>
      </c>
      <c r="N518" t="s">
        <v>90</v>
      </c>
      <c r="O518" t="s">
        <v>3842</v>
      </c>
      <c r="P518" t="s">
        <v>76</v>
      </c>
      <c r="Q518" t="s">
        <v>76</v>
      </c>
      <c r="R518" t="s">
        <v>76</v>
      </c>
      <c r="S518" t="s">
        <v>76</v>
      </c>
      <c r="T518" t="s">
        <v>76</v>
      </c>
      <c r="U518">
        <v>1</v>
      </c>
      <c r="V518" s="13">
        <v>45175</v>
      </c>
      <c r="W518">
        <v>1</v>
      </c>
      <c r="X518">
        <v>1</v>
      </c>
      <c r="Y518" t="s">
        <v>3654</v>
      </c>
      <c r="AC518">
        <v>2509</v>
      </c>
      <c r="AD518" t="e" vm="510">
        <v>#VALUE!</v>
      </c>
    </row>
    <row r="519" spans="2:30" x14ac:dyDescent="0.25">
      <c r="B519">
        <v>2510</v>
      </c>
      <c r="C519" t="s">
        <v>3646</v>
      </c>
      <c r="D519" t="s">
        <v>3649</v>
      </c>
      <c r="E519" t="s">
        <v>3812</v>
      </c>
      <c r="F519" t="s">
        <v>85</v>
      </c>
      <c r="G519" t="s">
        <v>112</v>
      </c>
      <c r="H519" t="s">
        <v>3808</v>
      </c>
      <c r="I519" t="s">
        <v>3821</v>
      </c>
      <c r="J519" t="s">
        <v>3810</v>
      </c>
      <c r="K519" t="s">
        <v>1218</v>
      </c>
      <c r="L519" s="13">
        <v>43858</v>
      </c>
      <c r="M519">
        <v>4</v>
      </c>
      <c r="N519" t="s">
        <v>90</v>
      </c>
      <c r="O519" t="s">
        <v>3842</v>
      </c>
      <c r="P519" t="s">
        <v>76</v>
      </c>
      <c r="Q519" t="s">
        <v>76</v>
      </c>
      <c r="R519" t="s">
        <v>76</v>
      </c>
      <c r="S519" t="s">
        <v>76</v>
      </c>
      <c r="T519" t="s">
        <v>76</v>
      </c>
      <c r="U519">
        <v>1</v>
      </c>
      <c r="V519" s="13">
        <v>45175</v>
      </c>
      <c r="W519">
        <v>1</v>
      </c>
      <c r="X519">
        <v>1</v>
      </c>
      <c r="Y519" t="s">
        <v>3650</v>
      </c>
      <c r="AC519">
        <v>2510</v>
      </c>
      <c r="AD519" t="e" vm="511">
        <v>#VALUE!</v>
      </c>
    </row>
    <row r="520" spans="2:30" x14ac:dyDescent="0.25">
      <c r="B520">
        <v>2511</v>
      </c>
      <c r="C520" t="s">
        <v>3646</v>
      </c>
      <c r="D520" t="s">
        <v>3649</v>
      </c>
      <c r="E520" t="s">
        <v>3812</v>
      </c>
      <c r="F520" t="s">
        <v>85</v>
      </c>
      <c r="G520" t="s">
        <v>112</v>
      </c>
      <c r="H520" t="s">
        <v>3808</v>
      </c>
      <c r="I520" t="s">
        <v>3821</v>
      </c>
      <c r="J520" t="s">
        <v>3810</v>
      </c>
      <c r="K520" t="s">
        <v>1218</v>
      </c>
      <c r="L520" s="13">
        <v>43858</v>
      </c>
      <c r="M520">
        <v>4</v>
      </c>
      <c r="N520" t="s">
        <v>90</v>
      </c>
      <c r="O520" t="s">
        <v>3842</v>
      </c>
      <c r="P520" t="s">
        <v>76</v>
      </c>
      <c r="Q520" t="s">
        <v>76</v>
      </c>
      <c r="R520" t="s">
        <v>76</v>
      </c>
      <c r="S520" t="s">
        <v>76</v>
      </c>
      <c r="T520" t="s">
        <v>76</v>
      </c>
      <c r="U520">
        <v>1</v>
      </c>
      <c r="V520" s="13">
        <v>45175</v>
      </c>
      <c r="W520">
        <v>1</v>
      </c>
      <c r="X520">
        <v>1</v>
      </c>
      <c r="Y520" t="s">
        <v>3650</v>
      </c>
      <c r="AC520">
        <v>2511</v>
      </c>
      <c r="AD520" t="e" vm="512">
        <v>#VALUE!</v>
      </c>
    </row>
    <row r="521" spans="2:30" x14ac:dyDescent="0.25">
      <c r="B521">
        <v>2512</v>
      </c>
      <c r="C521" t="s">
        <v>3646</v>
      </c>
      <c r="D521" t="s">
        <v>3657</v>
      </c>
      <c r="E521" t="s">
        <v>3812</v>
      </c>
      <c r="F521" t="s">
        <v>85</v>
      </c>
      <c r="G521" t="s">
        <v>77</v>
      </c>
      <c r="H521" t="s">
        <v>3808</v>
      </c>
      <c r="I521" t="s">
        <v>3821</v>
      </c>
      <c r="J521" t="s">
        <v>3810</v>
      </c>
      <c r="K521" t="s">
        <v>1218</v>
      </c>
      <c r="L521" s="13">
        <v>43822</v>
      </c>
      <c r="M521">
        <v>4</v>
      </c>
      <c r="N521" t="s">
        <v>90</v>
      </c>
      <c r="O521" t="s">
        <v>3842</v>
      </c>
      <c r="P521" t="s">
        <v>76</v>
      </c>
      <c r="Q521" t="s">
        <v>76</v>
      </c>
      <c r="R521" t="s">
        <v>76</v>
      </c>
      <c r="S521" t="s">
        <v>76</v>
      </c>
      <c r="T521" t="s">
        <v>76</v>
      </c>
      <c r="U521">
        <v>1</v>
      </c>
      <c r="V521" s="13">
        <v>45175</v>
      </c>
      <c r="W521">
        <v>1</v>
      </c>
      <c r="X521">
        <v>1</v>
      </c>
      <c r="Y521" t="s">
        <v>3658</v>
      </c>
      <c r="AC521">
        <v>2512</v>
      </c>
      <c r="AD521" t="e" vm="513">
        <v>#VALUE!</v>
      </c>
    </row>
    <row r="522" spans="2:30" x14ac:dyDescent="0.25">
      <c r="B522">
        <v>2513</v>
      </c>
      <c r="C522" t="s">
        <v>3646</v>
      </c>
      <c r="D522" t="s">
        <v>3657</v>
      </c>
      <c r="E522" t="s">
        <v>3812</v>
      </c>
      <c r="F522" t="s">
        <v>85</v>
      </c>
      <c r="G522" t="s">
        <v>77</v>
      </c>
      <c r="H522" t="s">
        <v>3808</v>
      </c>
      <c r="I522" t="s">
        <v>3821</v>
      </c>
      <c r="J522" t="s">
        <v>3810</v>
      </c>
      <c r="K522" t="s">
        <v>1218</v>
      </c>
      <c r="L522" s="13">
        <v>43851</v>
      </c>
      <c r="M522">
        <v>4</v>
      </c>
      <c r="N522" t="s">
        <v>90</v>
      </c>
      <c r="O522" t="s">
        <v>3842</v>
      </c>
      <c r="P522" t="s">
        <v>76</v>
      </c>
      <c r="Q522" t="s">
        <v>76</v>
      </c>
      <c r="R522" t="s">
        <v>76</v>
      </c>
      <c r="S522" t="s">
        <v>76</v>
      </c>
      <c r="T522" t="s">
        <v>76</v>
      </c>
      <c r="U522">
        <v>1</v>
      </c>
      <c r="V522" s="13">
        <v>45175</v>
      </c>
      <c r="W522">
        <v>1</v>
      </c>
      <c r="X522">
        <v>1</v>
      </c>
      <c r="Y522" t="s">
        <v>3658</v>
      </c>
      <c r="AC522">
        <v>2513</v>
      </c>
      <c r="AD522" t="e" vm="514">
        <v>#VALUE!</v>
      </c>
    </row>
    <row r="523" spans="2:30" x14ac:dyDescent="0.25">
      <c r="B523">
        <v>2514</v>
      </c>
      <c r="C523" t="s">
        <v>3646</v>
      </c>
      <c r="D523" t="s">
        <v>3649</v>
      </c>
      <c r="E523" t="s">
        <v>3812</v>
      </c>
      <c r="F523" t="s">
        <v>85</v>
      </c>
      <c r="G523" t="s">
        <v>112</v>
      </c>
      <c r="H523" t="s">
        <v>3808</v>
      </c>
      <c r="I523" t="s">
        <v>3821</v>
      </c>
      <c r="J523" t="s">
        <v>3810</v>
      </c>
      <c r="K523" t="s">
        <v>1218</v>
      </c>
      <c r="L523" s="13">
        <v>43850</v>
      </c>
      <c r="M523">
        <v>4</v>
      </c>
      <c r="N523" t="s">
        <v>90</v>
      </c>
      <c r="O523" t="s">
        <v>3842</v>
      </c>
      <c r="P523" t="s">
        <v>76</v>
      </c>
      <c r="Q523" t="s">
        <v>76</v>
      </c>
      <c r="R523" t="s">
        <v>76</v>
      </c>
      <c r="S523" t="s">
        <v>76</v>
      </c>
      <c r="T523" t="s">
        <v>76</v>
      </c>
      <c r="U523">
        <v>1</v>
      </c>
      <c r="V523" s="13">
        <v>45175</v>
      </c>
      <c r="W523">
        <v>1</v>
      </c>
      <c r="X523">
        <v>1</v>
      </c>
      <c r="Y523" t="s">
        <v>3650</v>
      </c>
      <c r="AC523">
        <v>2514</v>
      </c>
      <c r="AD523" t="e" vm="515">
        <v>#VALUE!</v>
      </c>
    </row>
    <row r="524" spans="2:30" x14ac:dyDescent="0.25">
      <c r="B524">
        <v>2515</v>
      </c>
      <c r="C524" t="s">
        <v>3646</v>
      </c>
      <c r="D524" t="s">
        <v>3649</v>
      </c>
      <c r="E524" t="s">
        <v>3812</v>
      </c>
      <c r="F524" t="s">
        <v>85</v>
      </c>
      <c r="G524" t="s">
        <v>112</v>
      </c>
      <c r="H524" t="s">
        <v>3808</v>
      </c>
      <c r="I524" t="s">
        <v>3821</v>
      </c>
      <c r="J524" t="s">
        <v>3810</v>
      </c>
      <c r="K524" t="s">
        <v>1218</v>
      </c>
      <c r="L524" s="13">
        <v>43854</v>
      </c>
      <c r="M524">
        <v>4</v>
      </c>
      <c r="N524" t="s">
        <v>90</v>
      </c>
      <c r="O524" t="s">
        <v>3842</v>
      </c>
      <c r="P524" t="s">
        <v>76</v>
      </c>
      <c r="Q524" t="s">
        <v>76</v>
      </c>
      <c r="R524" t="s">
        <v>76</v>
      </c>
      <c r="S524" t="s">
        <v>76</v>
      </c>
      <c r="T524" t="s">
        <v>76</v>
      </c>
      <c r="U524">
        <v>1</v>
      </c>
      <c r="V524" s="13">
        <v>45175</v>
      </c>
      <c r="W524">
        <v>1</v>
      </c>
      <c r="X524">
        <v>1</v>
      </c>
      <c r="Y524" t="s">
        <v>3650</v>
      </c>
      <c r="AC524">
        <v>2515</v>
      </c>
      <c r="AD524" t="e" vm="516">
        <v>#VALUE!</v>
      </c>
    </row>
    <row r="525" spans="2:30" x14ac:dyDescent="0.25">
      <c r="B525">
        <v>2516</v>
      </c>
      <c r="C525" t="s">
        <v>3646</v>
      </c>
      <c r="D525" t="s">
        <v>3649</v>
      </c>
      <c r="E525" t="s">
        <v>3812</v>
      </c>
      <c r="F525" t="s">
        <v>85</v>
      </c>
      <c r="G525" t="s">
        <v>112</v>
      </c>
      <c r="H525" t="s">
        <v>3808</v>
      </c>
      <c r="I525" t="s">
        <v>3821</v>
      </c>
      <c r="J525" t="s">
        <v>3810</v>
      </c>
      <c r="K525" t="s">
        <v>1218</v>
      </c>
      <c r="L525" s="13">
        <v>43851</v>
      </c>
      <c r="M525">
        <v>4</v>
      </c>
      <c r="N525" t="s">
        <v>90</v>
      </c>
      <c r="O525" t="s">
        <v>3842</v>
      </c>
      <c r="P525" t="s">
        <v>76</v>
      </c>
      <c r="Q525" t="s">
        <v>76</v>
      </c>
      <c r="R525" t="s">
        <v>76</v>
      </c>
      <c r="S525" t="s">
        <v>76</v>
      </c>
      <c r="T525" t="s">
        <v>76</v>
      </c>
      <c r="U525">
        <v>1</v>
      </c>
      <c r="V525" s="13">
        <v>45175</v>
      </c>
      <c r="W525">
        <v>1</v>
      </c>
      <c r="X525">
        <v>1</v>
      </c>
      <c r="Y525" t="s">
        <v>3650</v>
      </c>
      <c r="AC525">
        <v>2516</v>
      </c>
      <c r="AD525" t="e" vm="517">
        <v>#VALUE!</v>
      </c>
    </row>
    <row r="526" spans="2:30" x14ac:dyDescent="0.25">
      <c r="B526">
        <v>2517</v>
      </c>
      <c r="C526" t="s">
        <v>3646</v>
      </c>
      <c r="D526" t="s">
        <v>3657</v>
      </c>
      <c r="E526" t="s">
        <v>3812</v>
      </c>
      <c r="F526" t="s">
        <v>85</v>
      </c>
      <c r="G526" t="s">
        <v>77</v>
      </c>
      <c r="H526" t="s">
        <v>3808</v>
      </c>
      <c r="I526" t="s">
        <v>3821</v>
      </c>
      <c r="J526" t="s">
        <v>3810</v>
      </c>
      <c r="K526" t="s">
        <v>1218</v>
      </c>
      <c r="L526" s="13">
        <v>43871</v>
      </c>
      <c r="M526">
        <v>4</v>
      </c>
      <c r="N526" t="s">
        <v>90</v>
      </c>
      <c r="O526" t="s">
        <v>3842</v>
      </c>
      <c r="P526" t="s">
        <v>76</v>
      </c>
      <c r="Q526" t="s">
        <v>76</v>
      </c>
      <c r="R526" t="s">
        <v>76</v>
      </c>
      <c r="S526" t="s">
        <v>76</v>
      </c>
      <c r="T526" t="s">
        <v>76</v>
      </c>
      <c r="U526">
        <v>1</v>
      </c>
      <c r="V526" s="13">
        <v>45175</v>
      </c>
      <c r="W526">
        <v>1</v>
      </c>
      <c r="X526">
        <v>1</v>
      </c>
      <c r="Y526" t="s">
        <v>3658</v>
      </c>
      <c r="AC526">
        <v>2517</v>
      </c>
      <c r="AD526" t="e" vm="518">
        <v>#VALUE!</v>
      </c>
    </row>
    <row r="527" spans="2:30" x14ac:dyDescent="0.25">
      <c r="B527">
        <v>2518</v>
      </c>
      <c r="C527" t="s">
        <v>3646</v>
      </c>
      <c r="D527" t="s">
        <v>3649</v>
      </c>
      <c r="E527" t="s">
        <v>3812</v>
      </c>
      <c r="F527" t="s">
        <v>85</v>
      </c>
      <c r="G527" t="s">
        <v>112</v>
      </c>
      <c r="H527" t="s">
        <v>3808</v>
      </c>
      <c r="I527" t="s">
        <v>3821</v>
      </c>
      <c r="J527" t="s">
        <v>3810</v>
      </c>
      <c r="K527" t="s">
        <v>1218</v>
      </c>
      <c r="L527" s="13">
        <v>43861</v>
      </c>
      <c r="M527">
        <v>4</v>
      </c>
      <c r="N527" t="s">
        <v>90</v>
      </c>
      <c r="O527" t="s">
        <v>3842</v>
      </c>
      <c r="P527" t="s">
        <v>76</v>
      </c>
      <c r="Q527" t="s">
        <v>76</v>
      </c>
      <c r="R527" t="s">
        <v>76</v>
      </c>
      <c r="S527" t="s">
        <v>76</v>
      </c>
      <c r="T527" t="s">
        <v>76</v>
      </c>
      <c r="U527">
        <v>1</v>
      </c>
      <c r="V527" s="13">
        <v>45175</v>
      </c>
      <c r="W527">
        <v>1</v>
      </c>
      <c r="X527">
        <v>1</v>
      </c>
      <c r="Y527" t="s">
        <v>3650</v>
      </c>
      <c r="AC527">
        <v>2518</v>
      </c>
      <c r="AD527" t="e" vm="519">
        <v>#VALUE!</v>
      </c>
    </row>
    <row r="528" spans="2:30" x14ac:dyDescent="0.25">
      <c r="B528">
        <v>2519</v>
      </c>
      <c r="C528" t="s">
        <v>3646</v>
      </c>
      <c r="D528" t="s">
        <v>3649</v>
      </c>
      <c r="E528" t="s">
        <v>3812</v>
      </c>
      <c r="F528" t="s">
        <v>85</v>
      </c>
      <c r="G528" t="s">
        <v>112</v>
      </c>
      <c r="H528" t="s">
        <v>3808</v>
      </c>
      <c r="I528" t="s">
        <v>3821</v>
      </c>
      <c r="J528" t="s">
        <v>3810</v>
      </c>
      <c r="K528" t="s">
        <v>1218</v>
      </c>
      <c r="L528" s="13">
        <v>43854</v>
      </c>
      <c r="M528">
        <v>4</v>
      </c>
      <c r="N528" t="s">
        <v>90</v>
      </c>
      <c r="O528" t="s">
        <v>3842</v>
      </c>
      <c r="P528" t="s">
        <v>76</v>
      </c>
      <c r="Q528" t="s">
        <v>76</v>
      </c>
      <c r="R528" t="s">
        <v>76</v>
      </c>
      <c r="S528" t="s">
        <v>76</v>
      </c>
      <c r="T528" t="s">
        <v>76</v>
      </c>
      <c r="U528">
        <v>1</v>
      </c>
      <c r="V528" s="13">
        <v>45175</v>
      </c>
      <c r="W528">
        <v>1</v>
      </c>
      <c r="X528">
        <v>1</v>
      </c>
      <c r="Y528" t="s">
        <v>3650</v>
      </c>
      <c r="AC528">
        <v>2519</v>
      </c>
      <c r="AD528" t="e" vm="520">
        <v>#VALUE!</v>
      </c>
    </row>
    <row r="529" spans="2:30" x14ac:dyDescent="0.25">
      <c r="B529">
        <v>2520</v>
      </c>
      <c r="C529" t="s">
        <v>3646</v>
      </c>
      <c r="D529" t="s">
        <v>3657</v>
      </c>
      <c r="E529" t="s">
        <v>3812</v>
      </c>
      <c r="F529" t="s">
        <v>85</v>
      </c>
      <c r="G529" t="s">
        <v>77</v>
      </c>
      <c r="H529" t="s">
        <v>3808</v>
      </c>
      <c r="I529" t="s">
        <v>3821</v>
      </c>
      <c r="J529" t="s">
        <v>3810</v>
      </c>
      <c r="K529" t="s">
        <v>1218</v>
      </c>
      <c r="L529" s="13">
        <v>43920</v>
      </c>
      <c r="M529">
        <v>3</v>
      </c>
      <c r="N529" t="s">
        <v>90</v>
      </c>
      <c r="O529" t="s">
        <v>3842</v>
      </c>
      <c r="P529" t="s">
        <v>76</v>
      </c>
      <c r="Q529" t="s">
        <v>76</v>
      </c>
      <c r="R529" t="s">
        <v>76</v>
      </c>
      <c r="S529" t="s">
        <v>76</v>
      </c>
      <c r="T529" t="s">
        <v>76</v>
      </c>
      <c r="U529">
        <v>1</v>
      </c>
      <c r="V529" s="13">
        <v>45175</v>
      </c>
      <c r="W529">
        <v>1</v>
      </c>
      <c r="X529">
        <v>1</v>
      </c>
      <c r="Y529" t="s">
        <v>3658</v>
      </c>
      <c r="AC529">
        <v>2520</v>
      </c>
      <c r="AD529" t="e" vm="521">
        <v>#VALUE!</v>
      </c>
    </row>
    <row r="530" spans="2:30" x14ac:dyDescent="0.25">
      <c r="B530">
        <v>2521</v>
      </c>
      <c r="C530" t="s">
        <v>3646</v>
      </c>
      <c r="D530" t="s">
        <v>3649</v>
      </c>
      <c r="E530" t="s">
        <v>3812</v>
      </c>
      <c r="F530" t="s">
        <v>85</v>
      </c>
      <c r="G530" t="s">
        <v>112</v>
      </c>
      <c r="H530" t="s">
        <v>3808</v>
      </c>
      <c r="I530" t="s">
        <v>3821</v>
      </c>
      <c r="J530" t="s">
        <v>3810</v>
      </c>
      <c r="K530" t="s">
        <v>1218</v>
      </c>
      <c r="L530" s="13">
        <v>43861</v>
      </c>
      <c r="M530">
        <v>4</v>
      </c>
      <c r="N530" t="s">
        <v>90</v>
      </c>
      <c r="O530" t="s">
        <v>3842</v>
      </c>
      <c r="P530" t="s">
        <v>76</v>
      </c>
      <c r="Q530" t="s">
        <v>76</v>
      </c>
      <c r="R530" t="s">
        <v>76</v>
      </c>
      <c r="S530" t="s">
        <v>76</v>
      </c>
      <c r="T530" t="s">
        <v>76</v>
      </c>
      <c r="U530">
        <v>1</v>
      </c>
      <c r="V530" s="13">
        <v>45175</v>
      </c>
      <c r="W530">
        <v>1</v>
      </c>
      <c r="X530">
        <v>1</v>
      </c>
      <c r="Y530" t="s">
        <v>3650</v>
      </c>
      <c r="AC530">
        <v>2521</v>
      </c>
      <c r="AD530" t="e" vm="522">
        <v>#VALUE!</v>
      </c>
    </row>
    <row r="531" spans="2:30" x14ac:dyDescent="0.25">
      <c r="B531">
        <v>2522</v>
      </c>
      <c r="C531" t="s">
        <v>3646</v>
      </c>
      <c r="D531" t="s">
        <v>3649</v>
      </c>
      <c r="E531" t="s">
        <v>3812</v>
      </c>
      <c r="F531" t="s">
        <v>85</v>
      </c>
      <c r="G531" t="s">
        <v>112</v>
      </c>
      <c r="H531" t="s">
        <v>3808</v>
      </c>
      <c r="I531" t="s">
        <v>3821</v>
      </c>
      <c r="J531" t="s">
        <v>3810</v>
      </c>
      <c r="K531" t="s">
        <v>1218</v>
      </c>
      <c r="L531" s="13">
        <v>43861</v>
      </c>
      <c r="M531">
        <v>4</v>
      </c>
      <c r="N531" t="s">
        <v>90</v>
      </c>
      <c r="O531" t="s">
        <v>3842</v>
      </c>
      <c r="P531" t="s">
        <v>76</v>
      </c>
      <c r="Q531" t="s">
        <v>76</v>
      </c>
      <c r="R531" t="s">
        <v>76</v>
      </c>
      <c r="S531" t="s">
        <v>76</v>
      </c>
      <c r="T531" t="s">
        <v>76</v>
      </c>
      <c r="U531">
        <v>1</v>
      </c>
      <c r="V531" s="13">
        <v>45175</v>
      </c>
      <c r="W531">
        <v>1</v>
      </c>
      <c r="X531">
        <v>1</v>
      </c>
      <c r="Y531" t="s">
        <v>3650</v>
      </c>
      <c r="AC531">
        <v>2522</v>
      </c>
      <c r="AD531" t="e" vm="523">
        <v>#VALUE!</v>
      </c>
    </row>
    <row r="532" spans="2:30" x14ac:dyDescent="0.25">
      <c r="B532">
        <v>2523</v>
      </c>
      <c r="C532" t="s">
        <v>3646</v>
      </c>
      <c r="D532" t="s">
        <v>3649</v>
      </c>
      <c r="E532" t="s">
        <v>3812</v>
      </c>
      <c r="F532" t="s">
        <v>85</v>
      </c>
      <c r="G532" t="s">
        <v>112</v>
      </c>
      <c r="H532" t="s">
        <v>3808</v>
      </c>
      <c r="I532" t="s">
        <v>3821</v>
      </c>
      <c r="J532" t="s">
        <v>3810</v>
      </c>
      <c r="K532" t="s">
        <v>1218</v>
      </c>
      <c r="L532" s="13">
        <v>43851</v>
      </c>
      <c r="M532">
        <v>4</v>
      </c>
      <c r="N532" t="s">
        <v>90</v>
      </c>
      <c r="O532" t="s">
        <v>3842</v>
      </c>
      <c r="P532" t="s">
        <v>76</v>
      </c>
      <c r="Q532" t="s">
        <v>76</v>
      </c>
      <c r="R532" t="s">
        <v>76</v>
      </c>
      <c r="S532" t="s">
        <v>76</v>
      </c>
      <c r="T532" t="s">
        <v>76</v>
      </c>
      <c r="U532">
        <v>1</v>
      </c>
      <c r="V532" s="13">
        <v>45175</v>
      </c>
      <c r="W532">
        <v>1</v>
      </c>
      <c r="X532">
        <v>1</v>
      </c>
      <c r="Y532" t="s">
        <v>3650</v>
      </c>
      <c r="AC532">
        <v>2523</v>
      </c>
      <c r="AD532" t="e" vm="524">
        <v>#VALUE!</v>
      </c>
    </row>
    <row r="533" spans="2:30" x14ac:dyDescent="0.25">
      <c r="B533">
        <v>2524</v>
      </c>
      <c r="C533" t="s">
        <v>3646</v>
      </c>
      <c r="D533" t="s">
        <v>3649</v>
      </c>
      <c r="E533" t="s">
        <v>3812</v>
      </c>
      <c r="F533" t="s">
        <v>85</v>
      </c>
      <c r="G533" t="s">
        <v>112</v>
      </c>
      <c r="H533" t="s">
        <v>3808</v>
      </c>
      <c r="I533" t="s">
        <v>3821</v>
      </c>
      <c r="J533" t="s">
        <v>3810</v>
      </c>
      <c r="K533" t="s">
        <v>1218</v>
      </c>
      <c r="L533" s="13">
        <v>43851</v>
      </c>
      <c r="M533">
        <v>4</v>
      </c>
      <c r="N533" t="s">
        <v>90</v>
      </c>
      <c r="O533" t="s">
        <v>3842</v>
      </c>
      <c r="P533" t="s">
        <v>76</v>
      </c>
      <c r="Q533" t="s">
        <v>76</v>
      </c>
      <c r="R533" t="s">
        <v>76</v>
      </c>
      <c r="S533" t="s">
        <v>76</v>
      </c>
      <c r="T533" t="s">
        <v>76</v>
      </c>
      <c r="U533">
        <v>1</v>
      </c>
      <c r="V533" s="13">
        <v>45175</v>
      </c>
      <c r="W533">
        <v>1</v>
      </c>
      <c r="X533">
        <v>1</v>
      </c>
      <c r="Y533" t="s">
        <v>3650</v>
      </c>
      <c r="AC533">
        <v>2524</v>
      </c>
      <c r="AD533" t="e" vm="525">
        <v>#VALUE!</v>
      </c>
    </row>
    <row r="534" spans="2:30" x14ac:dyDescent="0.25">
      <c r="B534">
        <v>2525</v>
      </c>
      <c r="C534" t="s">
        <v>3646</v>
      </c>
      <c r="D534" t="s">
        <v>3657</v>
      </c>
      <c r="E534" t="s">
        <v>3812</v>
      </c>
      <c r="F534" t="s">
        <v>85</v>
      </c>
      <c r="G534" t="s">
        <v>77</v>
      </c>
      <c r="H534" t="s">
        <v>3808</v>
      </c>
      <c r="I534" t="s">
        <v>3821</v>
      </c>
      <c r="J534" t="s">
        <v>3810</v>
      </c>
      <c r="K534" t="s">
        <v>1218</v>
      </c>
      <c r="L534" s="13">
        <v>43854</v>
      </c>
      <c r="M534">
        <v>4</v>
      </c>
      <c r="N534" t="s">
        <v>90</v>
      </c>
      <c r="O534" t="s">
        <v>3842</v>
      </c>
      <c r="P534" t="s">
        <v>76</v>
      </c>
      <c r="Q534" t="s">
        <v>76</v>
      </c>
      <c r="R534" t="s">
        <v>76</v>
      </c>
      <c r="S534" t="s">
        <v>76</v>
      </c>
      <c r="T534" t="s">
        <v>76</v>
      </c>
      <c r="U534">
        <v>1</v>
      </c>
      <c r="V534" s="13">
        <v>45175</v>
      </c>
      <c r="W534">
        <v>1</v>
      </c>
      <c r="X534">
        <v>1</v>
      </c>
      <c r="Y534" t="s">
        <v>3658</v>
      </c>
      <c r="AC534">
        <v>2525</v>
      </c>
      <c r="AD534" t="e" vm="526">
        <v>#VALUE!</v>
      </c>
    </row>
    <row r="535" spans="2:30" x14ac:dyDescent="0.25">
      <c r="B535">
        <v>2526</v>
      </c>
      <c r="C535" t="s">
        <v>3684</v>
      </c>
      <c r="D535" t="s">
        <v>3700</v>
      </c>
      <c r="E535" t="s">
        <v>3830</v>
      </c>
      <c r="F535" t="s">
        <v>116</v>
      </c>
      <c r="G535" t="s">
        <v>94</v>
      </c>
      <c r="H535" t="s">
        <v>3808</v>
      </c>
      <c r="I535" t="s">
        <v>3821</v>
      </c>
      <c r="J535" t="s">
        <v>3810</v>
      </c>
      <c r="K535" t="s">
        <v>1218</v>
      </c>
      <c r="L535" s="13">
        <v>43868</v>
      </c>
      <c r="M535">
        <v>4</v>
      </c>
      <c r="N535" t="s">
        <v>101</v>
      </c>
      <c r="O535" t="s">
        <v>3842</v>
      </c>
      <c r="P535" t="s">
        <v>76</v>
      </c>
      <c r="Q535" t="s">
        <v>76</v>
      </c>
      <c r="R535" t="s">
        <v>76</v>
      </c>
      <c r="S535" t="s">
        <v>76</v>
      </c>
      <c r="T535" t="s">
        <v>76</v>
      </c>
      <c r="U535">
        <v>1</v>
      </c>
      <c r="V535" s="13">
        <v>45175</v>
      </c>
      <c r="W535">
        <v>1</v>
      </c>
      <c r="X535">
        <v>1</v>
      </c>
      <c r="Y535" t="s">
        <v>3701</v>
      </c>
      <c r="AC535">
        <v>2526</v>
      </c>
      <c r="AD535" t="e" vm="527">
        <v>#VALUE!</v>
      </c>
    </row>
    <row r="536" spans="2:30" x14ac:dyDescent="0.25">
      <c r="B536">
        <v>2527</v>
      </c>
      <c r="C536" t="s">
        <v>3684</v>
      </c>
      <c r="D536" t="s">
        <v>3700</v>
      </c>
      <c r="E536" t="s">
        <v>3830</v>
      </c>
      <c r="F536" t="s">
        <v>116</v>
      </c>
      <c r="G536" t="s">
        <v>94</v>
      </c>
      <c r="H536" t="s">
        <v>3808</v>
      </c>
      <c r="I536" t="s">
        <v>3821</v>
      </c>
      <c r="J536" t="s">
        <v>3810</v>
      </c>
      <c r="K536" t="s">
        <v>1218</v>
      </c>
      <c r="L536" s="13">
        <v>43868</v>
      </c>
      <c r="M536">
        <v>4</v>
      </c>
      <c r="N536" t="s">
        <v>101</v>
      </c>
      <c r="O536" t="s">
        <v>3842</v>
      </c>
      <c r="P536" t="s">
        <v>76</v>
      </c>
      <c r="Q536" t="s">
        <v>76</v>
      </c>
      <c r="R536" t="s">
        <v>76</v>
      </c>
      <c r="S536" t="s">
        <v>76</v>
      </c>
      <c r="T536" t="s">
        <v>76</v>
      </c>
      <c r="U536">
        <v>1</v>
      </c>
      <c r="V536" s="13">
        <v>45175</v>
      </c>
      <c r="W536">
        <v>1</v>
      </c>
      <c r="X536">
        <v>1</v>
      </c>
      <c r="Y536" t="s">
        <v>3701</v>
      </c>
      <c r="AC536">
        <v>2527</v>
      </c>
      <c r="AD536" t="e" vm="528">
        <v>#VALUE!</v>
      </c>
    </row>
    <row r="537" spans="2:30" x14ac:dyDescent="0.25">
      <c r="B537">
        <v>2528</v>
      </c>
      <c r="C537" t="s">
        <v>3684</v>
      </c>
      <c r="D537" t="s">
        <v>3700</v>
      </c>
      <c r="E537" t="s">
        <v>3830</v>
      </c>
      <c r="F537" t="s">
        <v>116</v>
      </c>
      <c r="G537" t="s">
        <v>94</v>
      </c>
      <c r="H537" t="s">
        <v>3808</v>
      </c>
      <c r="I537" t="s">
        <v>3821</v>
      </c>
      <c r="J537" t="s">
        <v>3810</v>
      </c>
      <c r="K537" t="s">
        <v>1218</v>
      </c>
      <c r="L537" s="13">
        <v>43871</v>
      </c>
      <c r="M537">
        <v>4</v>
      </c>
      <c r="N537" t="s">
        <v>101</v>
      </c>
      <c r="O537" t="s">
        <v>3842</v>
      </c>
      <c r="P537" t="s">
        <v>76</v>
      </c>
      <c r="Q537" t="s">
        <v>76</v>
      </c>
      <c r="R537" t="s">
        <v>76</v>
      </c>
      <c r="S537" t="s">
        <v>76</v>
      </c>
      <c r="T537" t="s">
        <v>76</v>
      </c>
      <c r="U537">
        <v>1</v>
      </c>
      <c r="V537" s="13">
        <v>45175</v>
      </c>
      <c r="W537">
        <v>1</v>
      </c>
      <c r="X537">
        <v>1</v>
      </c>
      <c r="Y537" t="s">
        <v>3701</v>
      </c>
      <c r="AC537">
        <v>2528</v>
      </c>
      <c r="AD537" t="e" vm="529">
        <v>#VALUE!</v>
      </c>
    </row>
    <row r="538" spans="2:30" x14ac:dyDescent="0.25">
      <c r="B538">
        <v>2529</v>
      </c>
      <c r="C538" t="s">
        <v>3684</v>
      </c>
      <c r="D538" t="s">
        <v>3700</v>
      </c>
      <c r="E538" t="s">
        <v>3830</v>
      </c>
      <c r="F538" t="s">
        <v>116</v>
      </c>
      <c r="G538" t="s">
        <v>94</v>
      </c>
      <c r="H538" t="s">
        <v>3808</v>
      </c>
      <c r="I538" t="s">
        <v>3821</v>
      </c>
      <c r="J538" t="s">
        <v>3810</v>
      </c>
      <c r="K538" t="s">
        <v>1218</v>
      </c>
      <c r="L538" s="13">
        <v>43868</v>
      </c>
      <c r="M538">
        <v>4</v>
      </c>
      <c r="N538" t="s">
        <v>101</v>
      </c>
      <c r="O538" t="s">
        <v>3842</v>
      </c>
      <c r="P538" t="s">
        <v>76</v>
      </c>
      <c r="Q538" t="s">
        <v>76</v>
      </c>
      <c r="R538" t="s">
        <v>76</v>
      </c>
      <c r="S538" t="s">
        <v>76</v>
      </c>
      <c r="T538" t="s">
        <v>76</v>
      </c>
      <c r="U538">
        <v>1</v>
      </c>
      <c r="V538" s="13">
        <v>45175</v>
      </c>
      <c r="W538">
        <v>1</v>
      </c>
      <c r="X538">
        <v>1</v>
      </c>
      <c r="Y538" t="s">
        <v>3701</v>
      </c>
      <c r="AC538">
        <v>2529</v>
      </c>
      <c r="AD538" t="e" vm="530">
        <v>#VALUE!</v>
      </c>
    </row>
    <row r="539" spans="2:30" x14ac:dyDescent="0.25">
      <c r="B539">
        <v>2530</v>
      </c>
      <c r="C539" t="s">
        <v>3684</v>
      </c>
      <c r="D539" t="s">
        <v>3700</v>
      </c>
      <c r="E539" t="s">
        <v>3830</v>
      </c>
      <c r="F539" t="s">
        <v>116</v>
      </c>
      <c r="G539" t="s">
        <v>94</v>
      </c>
      <c r="H539" t="s">
        <v>3808</v>
      </c>
      <c r="I539" t="s">
        <v>3821</v>
      </c>
      <c r="J539" t="s">
        <v>3810</v>
      </c>
      <c r="K539" t="s">
        <v>1218</v>
      </c>
      <c r="L539" s="13">
        <v>43868</v>
      </c>
      <c r="M539">
        <v>4</v>
      </c>
      <c r="N539" t="s">
        <v>101</v>
      </c>
      <c r="O539" t="s">
        <v>3842</v>
      </c>
      <c r="P539" t="s">
        <v>76</v>
      </c>
      <c r="Q539" t="s">
        <v>76</v>
      </c>
      <c r="R539" t="s">
        <v>76</v>
      </c>
      <c r="S539" t="s">
        <v>76</v>
      </c>
      <c r="T539" t="s">
        <v>76</v>
      </c>
      <c r="U539">
        <v>1</v>
      </c>
      <c r="V539" s="13">
        <v>45175</v>
      </c>
      <c r="W539">
        <v>1</v>
      </c>
      <c r="X539">
        <v>1</v>
      </c>
      <c r="Y539" t="s">
        <v>3701</v>
      </c>
      <c r="AC539">
        <v>2530</v>
      </c>
      <c r="AD539" t="e" vm="531">
        <v>#VALUE!</v>
      </c>
    </row>
    <row r="540" spans="2:30" x14ac:dyDescent="0.25">
      <c r="B540">
        <v>2531</v>
      </c>
      <c r="C540" t="s">
        <v>3684</v>
      </c>
      <c r="D540" t="s">
        <v>3700</v>
      </c>
      <c r="E540" t="s">
        <v>3830</v>
      </c>
      <c r="F540" t="s">
        <v>116</v>
      </c>
      <c r="G540" t="s">
        <v>94</v>
      </c>
      <c r="H540" t="s">
        <v>3808</v>
      </c>
      <c r="I540" t="s">
        <v>3821</v>
      </c>
      <c r="J540" t="s">
        <v>3810</v>
      </c>
      <c r="K540" t="s">
        <v>1218</v>
      </c>
      <c r="L540" s="13">
        <v>43920</v>
      </c>
      <c r="M540">
        <v>3</v>
      </c>
      <c r="N540" t="s">
        <v>101</v>
      </c>
      <c r="O540" t="s">
        <v>3842</v>
      </c>
      <c r="P540" t="s">
        <v>76</v>
      </c>
      <c r="Q540" t="s">
        <v>76</v>
      </c>
      <c r="R540" t="s">
        <v>76</v>
      </c>
      <c r="S540" t="s">
        <v>76</v>
      </c>
      <c r="T540" t="s">
        <v>76</v>
      </c>
      <c r="U540">
        <v>1</v>
      </c>
      <c r="V540" s="13">
        <v>45175</v>
      </c>
      <c r="W540">
        <v>1</v>
      </c>
      <c r="X540">
        <v>1</v>
      </c>
      <c r="Y540" t="s">
        <v>3701</v>
      </c>
      <c r="AC540">
        <v>2531</v>
      </c>
      <c r="AD540" t="e" vm="532">
        <v>#VALUE!</v>
      </c>
    </row>
    <row r="541" spans="2:30" x14ac:dyDescent="0.25">
      <c r="B541">
        <v>2532</v>
      </c>
      <c r="C541" t="s">
        <v>3684</v>
      </c>
      <c r="D541" t="s">
        <v>3700</v>
      </c>
      <c r="E541" t="s">
        <v>3830</v>
      </c>
      <c r="F541" t="s">
        <v>116</v>
      </c>
      <c r="G541" t="s">
        <v>94</v>
      </c>
      <c r="H541" t="s">
        <v>3808</v>
      </c>
      <c r="I541" t="s">
        <v>3821</v>
      </c>
      <c r="J541" t="s">
        <v>3810</v>
      </c>
      <c r="K541" t="s">
        <v>1218</v>
      </c>
      <c r="L541" s="13">
        <v>43871</v>
      </c>
      <c r="M541">
        <v>4</v>
      </c>
      <c r="N541" t="s">
        <v>101</v>
      </c>
      <c r="O541" t="s">
        <v>3842</v>
      </c>
      <c r="P541" t="s">
        <v>76</v>
      </c>
      <c r="Q541" t="s">
        <v>76</v>
      </c>
      <c r="R541" t="s">
        <v>76</v>
      </c>
      <c r="S541" t="s">
        <v>76</v>
      </c>
      <c r="T541" t="s">
        <v>76</v>
      </c>
      <c r="U541">
        <v>1</v>
      </c>
      <c r="V541" s="13">
        <v>45175</v>
      </c>
      <c r="W541">
        <v>1</v>
      </c>
      <c r="X541">
        <v>1</v>
      </c>
      <c r="Y541" t="s">
        <v>3701</v>
      </c>
      <c r="AC541">
        <v>2532</v>
      </c>
      <c r="AD541" t="e" vm="533">
        <v>#VALUE!</v>
      </c>
    </row>
    <row r="542" spans="2:30" x14ac:dyDescent="0.25">
      <c r="B542">
        <v>2533</v>
      </c>
      <c r="C542" t="s">
        <v>3684</v>
      </c>
      <c r="D542" t="s">
        <v>3700</v>
      </c>
      <c r="E542" t="s">
        <v>3830</v>
      </c>
      <c r="F542" t="s">
        <v>116</v>
      </c>
      <c r="G542" t="s">
        <v>94</v>
      </c>
      <c r="H542" t="s">
        <v>3808</v>
      </c>
      <c r="I542" t="s">
        <v>3821</v>
      </c>
      <c r="J542" t="s">
        <v>3810</v>
      </c>
      <c r="K542" t="s">
        <v>1218</v>
      </c>
      <c r="L542" s="13">
        <v>43920</v>
      </c>
      <c r="M542">
        <v>3</v>
      </c>
      <c r="N542" t="s">
        <v>101</v>
      </c>
      <c r="O542" t="s">
        <v>3842</v>
      </c>
      <c r="P542" t="s">
        <v>76</v>
      </c>
      <c r="Q542" t="s">
        <v>76</v>
      </c>
      <c r="R542" t="s">
        <v>76</v>
      </c>
      <c r="S542" t="s">
        <v>76</v>
      </c>
      <c r="T542" t="s">
        <v>76</v>
      </c>
      <c r="U542">
        <v>1</v>
      </c>
      <c r="V542" s="13">
        <v>45175</v>
      </c>
      <c r="W542">
        <v>1</v>
      </c>
      <c r="X542">
        <v>1</v>
      </c>
      <c r="Y542" t="s">
        <v>3701</v>
      </c>
      <c r="AC542">
        <v>2533</v>
      </c>
      <c r="AD542" t="e" vm="534">
        <v>#VALUE!</v>
      </c>
    </row>
    <row r="543" spans="2:30" x14ac:dyDescent="0.25">
      <c r="B543">
        <v>2534</v>
      </c>
      <c r="C543" t="s">
        <v>3684</v>
      </c>
      <c r="D543" t="s">
        <v>3700</v>
      </c>
      <c r="E543" t="s">
        <v>3830</v>
      </c>
      <c r="F543" t="s">
        <v>116</v>
      </c>
      <c r="G543" t="s">
        <v>94</v>
      </c>
      <c r="H543" t="s">
        <v>3808</v>
      </c>
      <c r="I543" t="s">
        <v>3821</v>
      </c>
      <c r="J543" t="s">
        <v>3810</v>
      </c>
      <c r="K543" t="s">
        <v>1218</v>
      </c>
      <c r="L543" s="13">
        <v>43871</v>
      </c>
      <c r="M543">
        <v>4</v>
      </c>
      <c r="N543" t="s">
        <v>101</v>
      </c>
      <c r="O543" t="s">
        <v>3842</v>
      </c>
      <c r="P543" t="s">
        <v>76</v>
      </c>
      <c r="Q543" t="s">
        <v>76</v>
      </c>
      <c r="R543" t="s">
        <v>76</v>
      </c>
      <c r="S543" t="s">
        <v>76</v>
      </c>
      <c r="T543" t="s">
        <v>76</v>
      </c>
      <c r="U543">
        <v>1</v>
      </c>
      <c r="V543" s="13">
        <v>45175</v>
      </c>
      <c r="W543">
        <v>1</v>
      </c>
      <c r="X543">
        <v>1</v>
      </c>
      <c r="Y543" t="s">
        <v>3701</v>
      </c>
      <c r="AC543">
        <v>2534</v>
      </c>
      <c r="AD543" t="e" vm="535">
        <v>#VALUE!</v>
      </c>
    </row>
    <row r="544" spans="2:30" x14ac:dyDescent="0.25">
      <c r="B544">
        <v>2535</v>
      </c>
      <c r="C544" t="s">
        <v>3646</v>
      </c>
      <c r="D544" t="s">
        <v>3649</v>
      </c>
      <c r="E544" t="s">
        <v>3812</v>
      </c>
      <c r="F544" t="s">
        <v>85</v>
      </c>
      <c r="G544" t="s">
        <v>112</v>
      </c>
      <c r="H544" t="s">
        <v>3808</v>
      </c>
      <c r="I544" t="s">
        <v>3821</v>
      </c>
      <c r="J544" t="s">
        <v>3810</v>
      </c>
      <c r="K544" t="s">
        <v>1218</v>
      </c>
      <c r="L544" s="13">
        <v>43879</v>
      </c>
      <c r="M544">
        <v>4</v>
      </c>
      <c r="N544" t="s">
        <v>90</v>
      </c>
      <c r="O544" t="s">
        <v>3842</v>
      </c>
      <c r="P544" t="s">
        <v>76</v>
      </c>
      <c r="Q544" t="s">
        <v>76</v>
      </c>
      <c r="R544" t="s">
        <v>76</v>
      </c>
      <c r="S544" t="s">
        <v>76</v>
      </c>
      <c r="T544" t="s">
        <v>76</v>
      </c>
      <c r="U544">
        <v>1</v>
      </c>
      <c r="V544" s="13">
        <v>45175</v>
      </c>
      <c r="W544">
        <v>1</v>
      </c>
      <c r="X544">
        <v>1</v>
      </c>
      <c r="Y544" t="s">
        <v>3650</v>
      </c>
      <c r="AC544">
        <v>2535</v>
      </c>
      <c r="AD544" t="e" vm="536">
        <v>#VALUE!</v>
      </c>
    </row>
    <row r="545" spans="2:30" x14ac:dyDescent="0.25">
      <c r="B545">
        <v>2536</v>
      </c>
      <c r="C545" t="s">
        <v>3646</v>
      </c>
      <c r="D545" t="s">
        <v>3649</v>
      </c>
      <c r="E545" t="s">
        <v>3812</v>
      </c>
      <c r="F545" t="s">
        <v>85</v>
      </c>
      <c r="G545" t="s">
        <v>112</v>
      </c>
      <c r="H545" t="s">
        <v>3808</v>
      </c>
      <c r="I545" t="s">
        <v>3821</v>
      </c>
      <c r="J545" t="s">
        <v>3810</v>
      </c>
      <c r="K545" t="s">
        <v>1218</v>
      </c>
      <c r="L545" s="13">
        <v>43920</v>
      </c>
      <c r="M545">
        <v>3</v>
      </c>
      <c r="N545" t="s">
        <v>90</v>
      </c>
      <c r="O545" t="s">
        <v>3842</v>
      </c>
      <c r="P545" t="s">
        <v>76</v>
      </c>
      <c r="Q545" t="s">
        <v>76</v>
      </c>
      <c r="R545" t="s">
        <v>76</v>
      </c>
      <c r="S545" t="s">
        <v>76</v>
      </c>
      <c r="T545" t="s">
        <v>76</v>
      </c>
      <c r="U545">
        <v>1</v>
      </c>
      <c r="V545" s="13">
        <v>45175</v>
      </c>
      <c r="W545">
        <v>1</v>
      </c>
      <c r="X545">
        <v>1</v>
      </c>
      <c r="Y545" t="s">
        <v>3650</v>
      </c>
      <c r="AC545">
        <v>2536</v>
      </c>
      <c r="AD545" t="e" vm="537">
        <v>#VALUE!</v>
      </c>
    </row>
    <row r="546" spans="2:30" x14ac:dyDescent="0.25">
      <c r="B546">
        <v>2537</v>
      </c>
      <c r="C546" t="s">
        <v>3646</v>
      </c>
      <c r="D546" t="s">
        <v>3649</v>
      </c>
      <c r="E546" t="s">
        <v>3812</v>
      </c>
      <c r="F546" t="s">
        <v>85</v>
      </c>
      <c r="G546" t="s">
        <v>112</v>
      </c>
      <c r="H546" t="s">
        <v>3808</v>
      </c>
      <c r="I546" t="s">
        <v>3821</v>
      </c>
      <c r="J546" t="s">
        <v>3810</v>
      </c>
      <c r="K546" t="s">
        <v>1218</v>
      </c>
      <c r="L546" s="13">
        <v>43881</v>
      </c>
      <c r="M546">
        <v>4</v>
      </c>
      <c r="N546" t="s">
        <v>90</v>
      </c>
      <c r="O546" t="s">
        <v>3842</v>
      </c>
      <c r="P546" t="s">
        <v>76</v>
      </c>
      <c r="Q546" t="s">
        <v>76</v>
      </c>
      <c r="R546" t="s">
        <v>76</v>
      </c>
      <c r="S546" t="s">
        <v>76</v>
      </c>
      <c r="T546" t="s">
        <v>76</v>
      </c>
      <c r="U546">
        <v>1</v>
      </c>
      <c r="V546" s="13">
        <v>45175</v>
      </c>
      <c r="W546">
        <v>1</v>
      </c>
      <c r="X546">
        <v>1</v>
      </c>
      <c r="Y546" t="s">
        <v>3650</v>
      </c>
      <c r="AC546">
        <v>2537</v>
      </c>
      <c r="AD546" t="e" vm="538">
        <v>#VALUE!</v>
      </c>
    </row>
    <row r="547" spans="2:30" x14ac:dyDescent="0.25">
      <c r="B547">
        <v>2538</v>
      </c>
      <c r="C547" t="s">
        <v>3684</v>
      </c>
      <c r="D547" t="s">
        <v>3682</v>
      </c>
      <c r="E547" t="s">
        <v>3826</v>
      </c>
      <c r="F547" t="s">
        <v>81</v>
      </c>
      <c r="G547" t="s">
        <v>100</v>
      </c>
      <c r="H547" t="s">
        <v>3808</v>
      </c>
      <c r="I547" t="s">
        <v>3843</v>
      </c>
      <c r="J547" t="s">
        <v>3844</v>
      </c>
      <c r="K547" t="s">
        <v>99</v>
      </c>
      <c r="L547" s="13">
        <v>43817</v>
      </c>
      <c r="M547">
        <v>4</v>
      </c>
      <c r="N547" t="s">
        <v>101</v>
      </c>
      <c r="O547" t="s">
        <v>3845</v>
      </c>
      <c r="P547" t="s">
        <v>76</v>
      </c>
      <c r="Q547" t="s">
        <v>95</v>
      </c>
      <c r="R547" t="s">
        <v>76</v>
      </c>
      <c r="S547" t="s">
        <v>76</v>
      </c>
      <c r="T547" t="s">
        <v>76</v>
      </c>
      <c r="U547">
        <v>1</v>
      </c>
      <c r="V547" s="13">
        <v>45175</v>
      </c>
      <c r="W547">
        <v>1</v>
      </c>
      <c r="X547">
        <v>1</v>
      </c>
      <c r="Y547" t="s">
        <v>3702</v>
      </c>
      <c r="AC547">
        <v>2538</v>
      </c>
      <c r="AD547" t="e" vm="539">
        <v>#VALUE!</v>
      </c>
    </row>
    <row r="548" spans="2:30" x14ac:dyDescent="0.25">
      <c r="B548">
        <v>2539</v>
      </c>
      <c r="C548" t="s">
        <v>3684</v>
      </c>
      <c r="D548" t="s">
        <v>3695</v>
      </c>
      <c r="E548" t="s">
        <v>3838</v>
      </c>
      <c r="F548" t="s">
        <v>97</v>
      </c>
      <c r="G548" t="s">
        <v>102</v>
      </c>
      <c r="H548" t="s">
        <v>3808</v>
      </c>
      <c r="I548" t="s">
        <v>3843</v>
      </c>
      <c r="J548" t="s">
        <v>3844</v>
      </c>
      <c r="K548" t="s">
        <v>99</v>
      </c>
      <c r="L548" s="13">
        <v>43879</v>
      </c>
      <c r="M548">
        <v>4</v>
      </c>
      <c r="N548" t="s">
        <v>101</v>
      </c>
      <c r="O548" t="s">
        <v>3845</v>
      </c>
      <c r="P548" t="s">
        <v>76</v>
      </c>
      <c r="Q548" t="s">
        <v>95</v>
      </c>
      <c r="R548" t="s">
        <v>76</v>
      </c>
      <c r="S548" t="s">
        <v>76</v>
      </c>
      <c r="T548" t="s">
        <v>76</v>
      </c>
      <c r="U548">
        <v>1</v>
      </c>
      <c r="V548" s="13">
        <v>45175</v>
      </c>
      <c r="W548">
        <v>1</v>
      </c>
      <c r="X548">
        <v>1</v>
      </c>
      <c r="Y548" t="s">
        <v>3696</v>
      </c>
      <c r="AC548">
        <v>2539</v>
      </c>
      <c r="AD548" t="e" vm="540">
        <v>#VALUE!</v>
      </c>
    </row>
    <row r="549" spans="2:30" x14ac:dyDescent="0.25">
      <c r="B549">
        <v>2540</v>
      </c>
      <c r="C549" t="s">
        <v>3684</v>
      </c>
      <c r="D549" t="s">
        <v>3695</v>
      </c>
      <c r="E549" t="s">
        <v>3838</v>
      </c>
      <c r="F549" t="s">
        <v>97</v>
      </c>
      <c r="G549" t="s">
        <v>102</v>
      </c>
      <c r="H549" t="s">
        <v>3808</v>
      </c>
      <c r="I549" t="s">
        <v>3843</v>
      </c>
      <c r="J549" t="s">
        <v>3844</v>
      </c>
      <c r="K549" t="s">
        <v>99</v>
      </c>
      <c r="L549" s="13">
        <v>43818</v>
      </c>
      <c r="M549">
        <v>4</v>
      </c>
      <c r="N549" t="s">
        <v>101</v>
      </c>
      <c r="O549" t="s">
        <v>3845</v>
      </c>
      <c r="P549" t="s">
        <v>76</v>
      </c>
      <c r="Q549" t="s">
        <v>95</v>
      </c>
      <c r="R549" t="s">
        <v>76</v>
      </c>
      <c r="S549" t="s">
        <v>76</v>
      </c>
      <c r="T549" t="s">
        <v>76</v>
      </c>
      <c r="U549">
        <v>1</v>
      </c>
      <c r="V549" s="13">
        <v>45175</v>
      </c>
      <c r="W549">
        <v>1</v>
      </c>
      <c r="X549">
        <v>1</v>
      </c>
      <c r="Y549" t="s">
        <v>3696</v>
      </c>
      <c r="AC549">
        <v>2540</v>
      </c>
      <c r="AD549" t="e" vm="541">
        <v>#VALUE!</v>
      </c>
    </row>
    <row r="550" spans="2:30" x14ac:dyDescent="0.25">
      <c r="B550">
        <v>2541</v>
      </c>
      <c r="C550" t="s">
        <v>3684</v>
      </c>
      <c r="D550" t="s">
        <v>3695</v>
      </c>
      <c r="E550" t="s">
        <v>3838</v>
      </c>
      <c r="F550" t="s">
        <v>97</v>
      </c>
      <c r="G550" t="s">
        <v>102</v>
      </c>
      <c r="H550" t="s">
        <v>3808</v>
      </c>
      <c r="I550" t="s">
        <v>3843</v>
      </c>
      <c r="J550" t="s">
        <v>3844</v>
      </c>
      <c r="K550" t="s">
        <v>99</v>
      </c>
      <c r="L550" s="13">
        <v>43826</v>
      </c>
      <c r="M550">
        <v>4</v>
      </c>
      <c r="N550" t="s">
        <v>101</v>
      </c>
      <c r="O550" t="s">
        <v>3845</v>
      </c>
      <c r="P550" t="s">
        <v>76</v>
      </c>
      <c r="Q550" t="s">
        <v>95</v>
      </c>
      <c r="R550" t="s">
        <v>76</v>
      </c>
      <c r="S550" t="s">
        <v>76</v>
      </c>
      <c r="T550" t="s">
        <v>76</v>
      </c>
      <c r="U550">
        <v>1</v>
      </c>
      <c r="V550" s="13">
        <v>45175</v>
      </c>
      <c r="W550">
        <v>1</v>
      </c>
      <c r="X550">
        <v>1</v>
      </c>
      <c r="Y550" t="s">
        <v>3696</v>
      </c>
      <c r="AC550">
        <v>2541</v>
      </c>
      <c r="AD550" t="e" vm="542">
        <v>#VALUE!</v>
      </c>
    </row>
    <row r="551" spans="2:30" x14ac:dyDescent="0.25">
      <c r="B551">
        <v>2542</v>
      </c>
      <c r="C551" t="s">
        <v>3684</v>
      </c>
      <c r="D551" t="s">
        <v>3695</v>
      </c>
      <c r="E551" t="s">
        <v>3838</v>
      </c>
      <c r="F551" t="s">
        <v>97</v>
      </c>
      <c r="G551" t="s">
        <v>102</v>
      </c>
      <c r="H551" t="s">
        <v>3808</v>
      </c>
      <c r="I551" t="s">
        <v>3843</v>
      </c>
      <c r="J551" t="s">
        <v>3844</v>
      </c>
      <c r="K551" t="s">
        <v>99</v>
      </c>
      <c r="L551" s="13">
        <v>43928</v>
      </c>
      <c r="M551">
        <v>3</v>
      </c>
      <c r="N551" t="s">
        <v>101</v>
      </c>
      <c r="O551" t="s">
        <v>3845</v>
      </c>
      <c r="P551" t="s">
        <v>76</v>
      </c>
      <c r="Q551" t="s">
        <v>95</v>
      </c>
      <c r="R551" t="s">
        <v>76</v>
      </c>
      <c r="S551" t="s">
        <v>76</v>
      </c>
      <c r="T551" t="s">
        <v>76</v>
      </c>
      <c r="U551">
        <v>1</v>
      </c>
      <c r="V551" s="13">
        <v>45175</v>
      </c>
      <c r="W551">
        <v>1</v>
      </c>
      <c r="X551">
        <v>1</v>
      </c>
      <c r="Y551" t="s">
        <v>3696</v>
      </c>
      <c r="AC551">
        <v>2542</v>
      </c>
      <c r="AD551" t="e" vm="543">
        <v>#VALUE!</v>
      </c>
    </row>
    <row r="552" spans="2:30" x14ac:dyDescent="0.25">
      <c r="B552">
        <v>2543</v>
      </c>
      <c r="C552" t="s">
        <v>3646</v>
      </c>
      <c r="D552" t="s">
        <v>3682</v>
      </c>
      <c r="E552" t="s">
        <v>3826</v>
      </c>
      <c r="F552" t="s">
        <v>81</v>
      </c>
      <c r="G552" t="s">
        <v>100</v>
      </c>
      <c r="H552" t="s">
        <v>3808</v>
      </c>
      <c r="I552" t="s">
        <v>3843</v>
      </c>
      <c r="J552" t="s">
        <v>3844</v>
      </c>
      <c r="K552" t="s">
        <v>99</v>
      </c>
      <c r="L552" s="13">
        <v>43900</v>
      </c>
      <c r="M552">
        <v>4</v>
      </c>
      <c r="N552" t="s">
        <v>90</v>
      </c>
      <c r="O552" t="s">
        <v>3845</v>
      </c>
      <c r="P552" t="s">
        <v>76</v>
      </c>
      <c r="Q552" t="s">
        <v>95</v>
      </c>
      <c r="R552" t="s">
        <v>76</v>
      </c>
      <c r="S552" t="s">
        <v>76</v>
      </c>
      <c r="T552" t="s">
        <v>76</v>
      </c>
      <c r="U552">
        <v>1</v>
      </c>
      <c r="V552" s="13">
        <v>45175</v>
      </c>
      <c r="W552">
        <v>1</v>
      </c>
      <c r="X552">
        <v>1</v>
      </c>
      <c r="Y552" t="s">
        <v>3683</v>
      </c>
      <c r="AC552">
        <v>2543</v>
      </c>
      <c r="AD552" t="e" vm="544">
        <v>#VALUE!</v>
      </c>
    </row>
    <row r="553" spans="2:30" x14ac:dyDescent="0.25">
      <c r="B553">
        <v>2544</v>
      </c>
      <c r="C553" t="s">
        <v>3646</v>
      </c>
      <c r="D553" t="s">
        <v>3682</v>
      </c>
      <c r="E553" t="s">
        <v>3826</v>
      </c>
      <c r="F553" t="s">
        <v>81</v>
      </c>
      <c r="G553" t="s">
        <v>100</v>
      </c>
      <c r="H553" t="s">
        <v>3808</v>
      </c>
      <c r="I553" t="s">
        <v>3843</v>
      </c>
      <c r="J553" t="s">
        <v>3844</v>
      </c>
      <c r="K553" t="s">
        <v>99</v>
      </c>
      <c r="L553" s="13">
        <v>43850</v>
      </c>
      <c r="M553">
        <v>4</v>
      </c>
      <c r="N553" t="s">
        <v>90</v>
      </c>
      <c r="O553" t="s">
        <v>3845</v>
      </c>
      <c r="P553" t="s">
        <v>76</v>
      </c>
      <c r="Q553" t="s">
        <v>95</v>
      </c>
      <c r="R553" t="s">
        <v>76</v>
      </c>
      <c r="S553" t="s">
        <v>76</v>
      </c>
      <c r="T553" t="s">
        <v>76</v>
      </c>
      <c r="U553">
        <v>1</v>
      </c>
      <c r="V553" s="13">
        <v>45175</v>
      </c>
      <c r="W553">
        <v>1</v>
      </c>
      <c r="X553">
        <v>1</v>
      </c>
      <c r="Y553" t="s">
        <v>3683</v>
      </c>
      <c r="AC553">
        <v>2544</v>
      </c>
      <c r="AD553" t="e" vm="545">
        <v>#VALUE!</v>
      </c>
    </row>
    <row r="554" spans="2:30" x14ac:dyDescent="0.25">
      <c r="B554">
        <v>2545</v>
      </c>
      <c r="C554" t="s">
        <v>3646</v>
      </c>
      <c r="D554" t="s">
        <v>3682</v>
      </c>
      <c r="E554" t="s">
        <v>3826</v>
      </c>
      <c r="F554" t="s">
        <v>81</v>
      </c>
      <c r="G554" t="s">
        <v>100</v>
      </c>
      <c r="H554" t="s">
        <v>3808</v>
      </c>
      <c r="I554" t="s">
        <v>3843</v>
      </c>
      <c r="J554" t="s">
        <v>3844</v>
      </c>
      <c r="K554" t="s">
        <v>99</v>
      </c>
      <c r="L554" s="13">
        <v>44026</v>
      </c>
      <c r="M554">
        <v>3</v>
      </c>
      <c r="N554" t="s">
        <v>90</v>
      </c>
      <c r="O554" t="s">
        <v>3845</v>
      </c>
      <c r="P554" t="s">
        <v>76</v>
      </c>
      <c r="Q554" t="s">
        <v>95</v>
      </c>
      <c r="R554" t="s">
        <v>76</v>
      </c>
      <c r="S554" t="s">
        <v>76</v>
      </c>
      <c r="T554" t="s">
        <v>76</v>
      </c>
      <c r="U554">
        <v>1</v>
      </c>
      <c r="V554" s="13">
        <v>45175</v>
      </c>
      <c r="W554">
        <v>1</v>
      </c>
      <c r="X554">
        <v>1</v>
      </c>
      <c r="Y554" t="s">
        <v>3683</v>
      </c>
      <c r="AC554">
        <v>2545</v>
      </c>
      <c r="AD554" t="e" vm="546">
        <v>#VALUE!</v>
      </c>
    </row>
    <row r="555" spans="2:30" x14ac:dyDescent="0.25">
      <c r="B555">
        <v>2546</v>
      </c>
      <c r="C555" t="s">
        <v>3659</v>
      </c>
      <c r="D555" t="s">
        <v>3677</v>
      </c>
      <c r="E555" t="s">
        <v>3823</v>
      </c>
      <c r="F555" t="s">
        <v>87</v>
      </c>
      <c r="G555" t="s">
        <v>86</v>
      </c>
      <c r="H555" t="s">
        <v>3808</v>
      </c>
      <c r="I555" t="s">
        <v>3843</v>
      </c>
      <c r="J555" t="s">
        <v>3844</v>
      </c>
      <c r="K555" t="s">
        <v>99</v>
      </c>
      <c r="L555" s="13">
        <v>44132</v>
      </c>
      <c r="M555">
        <v>3</v>
      </c>
      <c r="N555" t="s">
        <v>88</v>
      </c>
      <c r="O555" t="s">
        <v>3845</v>
      </c>
      <c r="P555" t="s">
        <v>76</v>
      </c>
      <c r="Q555" t="s">
        <v>95</v>
      </c>
      <c r="R555" t="s">
        <v>76</v>
      </c>
      <c r="S555" t="s">
        <v>76</v>
      </c>
      <c r="T555" t="s">
        <v>76</v>
      </c>
      <c r="U555">
        <v>1</v>
      </c>
      <c r="V555" s="13">
        <v>45175</v>
      </c>
      <c r="W555">
        <v>1</v>
      </c>
      <c r="X555">
        <v>1</v>
      </c>
      <c r="Y555" t="s">
        <v>3678</v>
      </c>
      <c r="AC555">
        <v>2546</v>
      </c>
      <c r="AD555" t="e" vm="547">
        <v>#VALUE!</v>
      </c>
    </row>
    <row r="556" spans="2:30" x14ac:dyDescent="0.25">
      <c r="B556">
        <v>2547</v>
      </c>
      <c r="C556" t="s">
        <v>3646</v>
      </c>
      <c r="D556" t="s">
        <v>3682</v>
      </c>
      <c r="E556" t="s">
        <v>3826</v>
      </c>
      <c r="F556" t="s">
        <v>81</v>
      </c>
      <c r="G556" t="s">
        <v>100</v>
      </c>
      <c r="H556" t="s">
        <v>3808</v>
      </c>
      <c r="I556" t="s">
        <v>3843</v>
      </c>
      <c r="J556" t="s">
        <v>3844</v>
      </c>
      <c r="K556" t="s">
        <v>99</v>
      </c>
      <c r="L556" s="13">
        <v>44025</v>
      </c>
      <c r="M556">
        <v>3</v>
      </c>
      <c r="N556" t="s">
        <v>90</v>
      </c>
      <c r="O556" t="s">
        <v>3845</v>
      </c>
      <c r="P556" t="s">
        <v>76</v>
      </c>
      <c r="Q556" t="s">
        <v>95</v>
      </c>
      <c r="R556" t="s">
        <v>76</v>
      </c>
      <c r="S556" t="s">
        <v>76</v>
      </c>
      <c r="T556" t="s">
        <v>76</v>
      </c>
      <c r="U556">
        <v>1</v>
      </c>
      <c r="V556" s="13">
        <v>45175</v>
      </c>
      <c r="W556">
        <v>1</v>
      </c>
      <c r="X556">
        <v>1</v>
      </c>
      <c r="Y556" t="s">
        <v>3683</v>
      </c>
      <c r="AC556">
        <v>2547</v>
      </c>
      <c r="AD556" t="e" vm="548">
        <v>#VALUE!</v>
      </c>
    </row>
    <row r="557" spans="2:30" x14ac:dyDescent="0.25">
      <c r="B557">
        <v>2548</v>
      </c>
      <c r="C557" t="s">
        <v>3659</v>
      </c>
      <c r="D557" t="s">
        <v>3677</v>
      </c>
      <c r="E557" t="s">
        <v>3823</v>
      </c>
      <c r="F557" t="s">
        <v>87</v>
      </c>
      <c r="G557" t="s">
        <v>86</v>
      </c>
      <c r="H557" t="s">
        <v>3808</v>
      </c>
      <c r="I557" t="s">
        <v>3843</v>
      </c>
      <c r="J557" t="s">
        <v>3844</v>
      </c>
      <c r="K557" t="s">
        <v>99</v>
      </c>
      <c r="L557" s="13">
        <v>44132</v>
      </c>
      <c r="M557">
        <v>3</v>
      </c>
      <c r="N557" t="s">
        <v>88</v>
      </c>
      <c r="O557" t="s">
        <v>3845</v>
      </c>
      <c r="P557" t="s">
        <v>76</v>
      </c>
      <c r="Q557" t="s">
        <v>95</v>
      </c>
      <c r="R557" t="s">
        <v>76</v>
      </c>
      <c r="S557" t="s">
        <v>76</v>
      </c>
      <c r="T557" t="s">
        <v>76</v>
      </c>
      <c r="U557">
        <v>1</v>
      </c>
      <c r="V557" s="13">
        <v>45175</v>
      </c>
      <c r="W557">
        <v>1</v>
      </c>
      <c r="X557">
        <v>1</v>
      </c>
      <c r="Y557" t="s">
        <v>3678</v>
      </c>
      <c r="AC557">
        <v>2548</v>
      </c>
      <c r="AD557" t="e" vm="549">
        <v>#VALUE!</v>
      </c>
    </row>
    <row r="558" spans="2:30" x14ac:dyDescent="0.25">
      <c r="B558">
        <v>2549</v>
      </c>
      <c r="C558" t="s">
        <v>3659</v>
      </c>
      <c r="D558" t="s">
        <v>3677</v>
      </c>
      <c r="E558" t="s">
        <v>3823</v>
      </c>
      <c r="F558" t="s">
        <v>87</v>
      </c>
      <c r="G558" t="s">
        <v>86</v>
      </c>
      <c r="H558" t="s">
        <v>3808</v>
      </c>
      <c r="I558" t="s">
        <v>3843</v>
      </c>
      <c r="J558" t="s">
        <v>3844</v>
      </c>
      <c r="K558" t="s">
        <v>99</v>
      </c>
      <c r="L558" s="13">
        <v>44112</v>
      </c>
      <c r="M558">
        <v>3</v>
      </c>
      <c r="N558" t="s">
        <v>88</v>
      </c>
      <c r="O558" t="s">
        <v>3845</v>
      </c>
      <c r="P558" t="s">
        <v>76</v>
      </c>
      <c r="Q558" t="s">
        <v>95</v>
      </c>
      <c r="R558" t="s">
        <v>76</v>
      </c>
      <c r="S558" t="s">
        <v>76</v>
      </c>
      <c r="T558" t="s">
        <v>76</v>
      </c>
      <c r="U558">
        <v>1</v>
      </c>
      <c r="V558" s="13">
        <v>45175</v>
      </c>
      <c r="W558">
        <v>1</v>
      </c>
      <c r="X558">
        <v>1</v>
      </c>
      <c r="Y558" t="s">
        <v>3678</v>
      </c>
      <c r="AC558">
        <v>2549</v>
      </c>
      <c r="AD558" t="e" vm="550">
        <v>#VALUE!</v>
      </c>
    </row>
    <row r="559" spans="2:30" x14ac:dyDescent="0.25">
      <c r="B559">
        <v>2550</v>
      </c>
      <c r="C559" t="s">
        <v>3646</v>
      </c>
      <c r="D559" t="s">
        <v>3682</v>
      </c>
      <c r="E559" t="s">
        <v>3826</v>
      </c>
      <c r="F559" t="s">
        <v>81</v>
      </c>
      <c r="G559" t="s">
        <v>100</v>
      </c>
      <c r="H559" t="s">
        <v>3808</v>
      </c>
      <c r="I559" t="s">
        <v>3843</v>
      </c>
      <c r="J559" t="s">
        <v>3844</v>
      </c>
      <c r="K559" t="s">
        <v>99</v>
      </c>
      <c r="L559" s="13">
        <v>44025</v>
      </c>
      <c r="M559">
        <v>3</v>
      </c>
      <c r="N559" t="s">
        <v>90</v>
      </c>
      <c r="O559" t="s">
        <v>3845</v>
      </c>
      <c r="P559" t="s">
        <v>76</v>
      </c>
      <c r="Q559" t="s">
        <v>95</v>
      </c>
      <c r="R559" t="s">
        <v>76</v>
      </c>
      <c r="S559" t="s">
        <v>76</v>
      </c>
      <c r="T559" t="s">
        <v>76</v>
      </c>
      <c r="U559">
        <v>1</v>
      </c>
      <c r="V559" s="13">
        <v>45175</v>
      </c>
      <c r="W559">
        <v>1</v>
      </c>
      <c r="X559">
        <v>1</v>
      </c>
      <c r="Y559" t="s">
        <v>3683</v>
      </c>
      <c r="AC559">
        <v>2550</v>
      </c>
      <c r="AD559" t="e" vm="551">
        <v>#VALUE!</v>
      </c>
    </row>
    <row r="560" spans="2:30" x14ac:dyDescent="0.25">
      <c r="B560">
        <v>2551</v>
      </c>
      <c r="C560" t="s">
        <v>3684</v>
      </c>
      <c r="D560" t="s">
        <v>3703</v>
      </c>
      <c r="E560" t="s">
        <v>3846</v>
      </c>
      <c r="F560" t="s">
        <v>111</v>
      </c>
      <c r="G560" t="s">
        <v>109</v>
      </c>
      <c r="H560" t="s">
        <v>3808</v>
      </c>
      <c r="I560" t="s">
        <v>3809</v>
      </c>
      <c r="J560" t="s">
        <v>3827</v>
      </c>
      <c r="K560" t="s">
        <v>1218</v>
      </c>
      <c r="L560" s="13">
        <v>44090</v>
      </c>
      <c r="M560">
        <v>3</v>
      </c>
      <c r="N560" t="s">
        <v>101</v>
      </c>
      <c r="O560" t="s">
        <v>3847</v>
      </c>
      <c r="P560" t="s">
        <v>76</v>
      </c>
      <c r="Q560" t="s">
        <v>76</v>
      </c>
      <c r="R560" t="s">
        <v>76</v>
      </c>
      <c r="S560" t="s">
        <v>76</v>
      </c>
      <c r="T560" t="s">
        <v>76</v>
      </c>
      <c r="U560">
        <v>1</v>
      </c>
      <c r="V560" s="13">
        <v>45175</v>
      </c>
      <c r="W560">
        <v>1</v>
      </c>
      <c r="X560">
        <v>1</v>
      </c>
      <c r="Y560" t="s">
        <v>3704</v>
      </c>
      <c r="AC560">
        <v>2551</v>
      </c>
      <c r="AD560" t="e" vm="552">
        <v>#VALUE!</v>
      </c>
    </row>
    <row r="561" spans="2:30" x14ac:dyDescent="0.25">
      <c r="B561">
        <v>2552</v>
      </c>
      <c r="C561" t="s">
        <v>3684</v>
      </c>
      <c r="D561" t="s">
        <v>3703</v>
      </c>
      <c r="E561" t="s">
        <v>3846</v>
      </c>
      <c r="F561" t="s">
        <v>111</v>
      </c>
      <c r="G561" t="s">
        <v>109</v>
      </c>
      <c r="H561" t="s">
        <v>3808</v>
      </c>
      <c r="I561" t="s">
        <v>3809</v>
      </c>
      <c r="J561" t="s">
        <v>3827</v>
      </c>
      <c r="K561" t="s">
        <v>1218</v>
      </c>
      <c r="L561" s="13">
        <v>44069</v>
      </c>
      <c r="M561">
        <v>3</v>
      </c>
      <c r="N561" t="s">
        <v>101</v>
      </c>
      <c r="O561" t="s">
        <v>3847</v>
      </c>
      <c r="P561" t="s">
        <v>76</v>
      </c>
      <c r="Q561" t="s">
        <v>76</v>
      </c>
      <c r="R561" t="s">
        <v>76</v>
      </c>
      <c r="S561" t="s">
        <v>76</v>
      </c>
      <c r="T561" t="s">
        <v>76</v>
      </c>
      <c r="U561">
        <v>1</v>
      </c>
      <c r="V561" s="13">
        <v>45175</v>
      </c>
      <c r="W561">
        <v>1</v>
      </c>
      <c r="X561">
        <v>1</v>
      </c>
      <c r="Y561" t="s">
        <v>3704</v>
      </c>
      <c r="AC561">
        <v>2552</v>
      </c>
      <c r="AD561" t="e" vm="553">
        <v>#VALUE!</v>
      </c>
    </row>
    <row r="562" spans="2:30" x14ac:dyDescent="0.25">
      <c r="B562">
        <v>2553</v>
      </c>
      <c r="C562" t="s">
        <v>3684</v>
      </c>
      <c r="D562" t="s">
        <v>3703</v>
      </c>
      <c r="E562" t="s">
        <v>3846</v>
      </c>
      <c r="F562" t="s">
        <v>111</v>
      </c>
      <c r="G562" t="s">
        <v>109</v>
      </c>
      <c r="H562" t="s">
        <v>3808</v>
      </c>
      <c r="I562" t="s">
        <v>3809</v>
      </c>
      <c r="J562" t="s">
        <v>3827</v>
      </c>
      <c r="K562" t="s">
        <v>1218</v>
      </c>
      <c r="L562" s="13">
        <v>44081</v>
      </c>
      <c r="M562">
        <v>3</v>
      </c>
      <c r="N562" t="s">
        <v>101</v>
      </c>
      <c r="O562" t="s">
        <v>3847</v>
      </c>
      <c r="P562" t="s">
        <v>76</v>
      </c>
      <c r="Q562" t="s">
        <v>76</v>
      </c>
      <c r="R562" t="s">
        <v>76</v>
      </c>
      <c r="S562" t="s">
        <v>76</v>
      </c>
      <c r="T562" t="s">
        <v>76</v>
      </c>
      <c r="U562">
        <v>1</v>
      </c>
      <c r="V562" s="13">
        <v>45175</v>
      </c>
      <c r="W562">
        <v>1</v>
      </c>
      <c r="X562">
        <v>1</v>
      </c>
      <c r="Y562" t="s">
        <v>3704</v>
      </c>
      <c r="AC562">
        <v>2553</v>
      </c>
      <c r="AD562" t="e" vm="554">
        <v>#VALUE!</v>
      </c>
    </row>
    <row r="563" spans="2:30" x14ac:dyDescent="0.25">
      <c r="B563">
        <v>2554</v>
      </c>
      <c r="C563" t="s">
        <v>3684</v>
      </c>
      <c r="D563" t="s">
        <v>3703</v>
      </c>
      <c r="E563" t="s">
        <v>3846</v>
      </c>
      <c r="F563" t="s">
        <v>111</v>
      </c>
      <c r="G563" t="s">
        <v>109</v>
      </c>
      <c r="H563" t="s">
        <v>3808</v>
      </c>
      <c r="I563" t="s">
        <v>3809</v>
      </c>
      <c r="J563" t="s">
        <v>3827</v>
      </c>
      <c r="K563" t="s">
        <v>1218</v>
      </c>
      <c r="L563" s="13">
        <v>44315</v>
      </c>
      <c r="M563">
        <v>2</v>
      </c>
      <c r="N563" t="s">
        <v>101</v>
      </c>
      <c r="O563" t="s">
        <v>3847</v>
      </c>
      <c r="P563" t="s">
        <v>76</v>
      </c>
      <c r="Q563" t="s">
        <v>76</v>
      </c>
      <c r="R563" t="s">
        <v>76</v>
      </c>
      <c r="S563" t="s">
        <v>76</v>
      </c>
      <c r="T563" t="s">
        <v>76</v>
      </c>
      <c r="U563">
        <v>1</v>
      </c>
      <c r="V563" s="13">
        <v>45175</v>
      </c>
      <c r="W563">
        <v>1</v>
      </c>
      <c r="X563">
        <v>1</v>
      </c>
      <c r="Y563" t="s">
        <v>3704</v>
      </c>
      <c r="AC563">
        <v>2554</v>
      </c>
      <c r="AD563" t="e" vm="555">
        <v>#VALUE!</v>
      </c>
    </row>
    <row r="564" spans="2:30" x14ac:dyDescent="0.25">
      <c r="B564">
        <v>2555</v>
      </c>
      <c r="C564" t="s">
        <v>3684</v>
      </c>
      <c r="D564" t="s">
        <v>3703</v>
      </c>
      <c r="E564" t="s">
        <v>3846</v>
      </c>
      <c r="F564" t="s">
        <v>111</v>
      </c>
      <c r="G564" t="s">
        <v>109</v>
      </c>
      <c r="H564" t="s">
        <v>3808</v>
      </c>
      <c r="I564" t="s">
        <v>3809</v>
      </c>
      <c r="J564" t="s">
        <v>3827</v>
      </c>
      <c r="K564" t="s">
        <v>1218</v>
      </c>
      <c r="L564" s="13">
        <v>44069</v>
      </c>
      <c r="M564">
        <v>3</v>
      </c>
      <c r="N564" t="s">
        <v>101</v>
      </c>
      <c r="O564" t="s">
        <v>3847</v>
      </c>
      <c r="P564" t="s">
        <v>76</v>
      </c>
      <c r="Q564" t="s">
        <v>76</v>
      </c>
      <c r="R564" t="s">
        <v>76</v>
      </c>
      <c r="S564" t="s">
        <v>76</v>
      </c>
      <c r="T564" t="s">
        <v>76</v>
      </c>
      <c r="U564">
        <v>1</v>
      </c>
      <c r="V564" s="13">
        <v>45175</v>
      </c>
      <c r="W564">
        <v>1</v>
      </c>
      <c r="X564">
        <v>1</v>
      </c>
      <c r="Y564" t="s">
        <v>3704</v>
      </c>
      <c r="AC564">
        <v>2555</v>
      </c>
      <c r="AD564" t="e" vm="556">
        <v>#VALUE!</v>
      </c>
    </row>
    <row r="565" spans="2:30" x14ac:dyDescent="0.25">
      <c r="B565">
        <v>2556</v>
      </c>
      <c r="C565" t="s">
        <v>3684</v>
      </c>
      <c r="D565" t="s">
        <v>3703</v>
      </c>
      <c r="E565" t="s">
        <v>3846</v>
      </c>
      <c r="F565" t="s">
        <v>111</v>
      </c>
      <c r="G565" t="s">
        <v>109</v>
      </c>
      <c r="H565" t="s">
        <v>3808</v>
      </c>
      <c r="I565" t="s">
        <v>3809</v>
      </c>
      <c r="J565" t="s">
        <v>3827</v>
      </c>
      <c r="K565" t="s">
        <v>1218</v>
      </c>
      <c r="L565" s="13">
        <v>44081</v>
      </c>
      <c r="M565">
        <v>3</v>
      </c>
      <c r="N565" t="s">
        <v>101</v>
      </c>
      <c r="O565" t="s">
        <v>3847</v>
      </c>
      <c r="P565" t="s">
        <v>76</v>
      </c>
      <c r="Q565" t="s">
        <v>76</v>
      </c>
      <c r="R565" t="s">
        <v>76</v>
      </c>
      <c r="S565" t="s">
        <v>76</v>
      </c>
      <c r="T565" t="s">
        <v>76</v>
      </c>
      <c r="U565">
        <v>1</v>
      </c>
      <c r="V565" s="13">
        <v>45175</v>
      </c>
      <c r="W565">
        <v>1</v>
      </c>
      <c r="X565">
        <v>1</v>
      </c>
      <c r="Y565" t="s">
        <v>3704</v>
      </c>
      <c r="AC565">
        <v>2556</v>
      </c>
      <c r="AD565" t="e" vm="557">
        <v>#VALUE!</v>
      </c>
    </row>
    <row r="566" spans="2:30" x14ac:dyDescent="0.25">
      <c r="B566">
        <v>2557</v>
      </c>
      <c r="C566" t="s">
        <v>3684</v>
      </c>
      <c r="D566" t="s">
        <v>3703</v>
      </c>
      <c r="E566" t="s">
        <v>3846</v>
      </c>
      <c r="F566" t="s">
        <v>111</v>
      </c>
      <c r="G566" t="s">
        <v>109</v>
      </c>
      <c r="H566" t="s">
        <v>3808</v>
      </c>
      <c r="I566" t="s">
        <v>3809</v>
      </c>
      <c r="J566" t="s">
        <v>3827</v>
      </c>
      <c r="K566" t="s">
        <v>1218</v>
      </c>
      <c r="L566" s="13">
        <v>44082</v>
      </c>
      <c r="M566">
        <v>3</v>
      </c>
      <c r="N566" t="s">
        <v>101</v>
      </c>
      <c r="O566" t="s">
        <v>3847</v>
      </c>
      <c r="P566" t="s">
        <v>76</v>
      </c>
      <c r="Q566" t="s">
        <v>76</v>
      </c>
      <c r="R566" t="s">
        <v>76</v>
      </c>
      <c r="S566" t="s">
        <v>76</v>
      </c>
      <c r="T566" t="s">
        <v>76</v>
      </c>
      <c r="U566">
        <v>1</v>
      </c>
      <c r="V566" s="13">
        <v>45175</v>
      </c>
      <c r="W566">
        <v>1</v>
      </c>
      <c r="X566">
        <v>1</v>
      </c>
      <c r="Y566" t="s">
        <v>3704</v>
      </c>
      <c r="AC566">
        <v>2557</v>
      </c>
      <c r="AD566" t="e" vm="558">
        <v>#VALUE!</v>
      </c>
    </row>
    <row r="567" spans="2:30" x14ac:dyDescent="0.25">
      <c r="B567">
        <v>2558</v>
      </c>
      <c r="C567" t="s">
        <v>3684</v>
      </c>
      <c r="D567" t="s">
        <v>3703</v>
      </c>
      <c r="E567" t="s">
        <v>3846</v>
      </c>
      <c r="F567" t="s">
        <v>111</v>
      </c>
      <c r="G567" t="s">
        <v>109</v>
      </c>
      <c r="H567" t="s">
        <v>3808</v>
      </c>
      <c r="I567" t="s">
        <v>3809</v>
      </c>
      <c r="J567" t="s">
        <v>3827</v>
      </c>
      <c r="K567" t="s">
        <v>1218</v>
      </c>
      <c r="L567" s="13">
        <v>44082</v>
      </c>
      <c r="M567">
        <v>3</v>
      </c>
      <c r="N567" t="s">
        <v>101</v>
      </c>
      <c r="O567" t="s">
        <v>3847</v>
      </c>
      <c r="P567" t="s">
        <v>76</v>
      </c>
      <c r="Q567" t="s">
        <v>76</v>
      </c>
      <c r="R567" t="s">
        <v>76</v>
      </c>
      <c r="S567" t="s">
        <v>76</v>
      </c>
      <c r="T567" t="s">
        <v>76</v>
      </c>
      <c r="U567">
        <v>1</v>
      </c>
      <c r="V567" s="13">
        <v>45175</v>
      </c>
      <c r="W567">
        <v>1</v>
      </c>
      <c r="X567">
        <v>1</v>
      </c>
      <c r="Y567" t="s">
        <v>3704</v>
      </c>
      <c r="AC567">
        <v>2558</v>
      </c>
      <c r="AD567" t="e" vm="559">
        <v>#VALUE!</v>
      </c>
    </row>
    <row r="568" spans="2:30" x14ac:dyDescent="0.25">
      <c r="B568">
        <v>2559</v>
      </c>
      <c r="C568" t="s">
        <v>3684</v>
      </c>
      <c r="D568" t="s">
        <v>3703</v>
      </c>
      <c r="E568" t="s">
        <v>3846</v>
      </c>
      <c r="F568" t="s">
        <v>111</v>
      </c>
      <c r="G568" t="s">
        <v>109</v>
      </c>
      <c r="H568" t="s">
        <v>3808</v>
      </c>
      <c r="I568" t="s">
        <v>3809</v>
      </c>
      <c r="J568" t="s">
        <v>3827</v>
      </c>
      <c r="K568" t="s">
        <v>1218</v>
      </c>
      <c r="L568" s="13">
        <v>44118</v>
      </c>
      <c r="M568">
        <v>3</v>
      </c>
      <c r="N568" t="s">
        <v>101</v>
      </c>
      <c r="O568" t="s">
        <v>3847</v>
      </c>
      <c r="P568" t="s">
        <v>76</v>
      </c>
      <c r="Q568" t="s">
        <v>76</v>
      </c>
      <c r="R568" t="s">
        <v>76</v>
      </c>
      <c r="S568" t="s">
        <v>76</v>
      </c>
      <c r="T568" t="s">
        <v>76</v>
      </c>
      <c r="U568">
        <v>1</v>
      </c>
      <c r="V568" s="13">
        <v>45175</v>
      </c>
      <c r="W568">
        <v>1</v>
      </c>
      <c r="X568">
        <v>1</v>
      </c>
      <c r="Y568" t="s">
        <v>3704</v>
      </c>
      <c r="AC568">
        <v>2559</v>
      </c>
      <c r="AD568" t="e" vm="560">
        <v>#VALUE!</v>
      </c>
    </row>
    <row r="569" spans="2:30" x14ac:dyDescent="0.25">
      <c r="B569">
        <v>2560</v>
      </c>
      <c r="C569" t="s">
        <v>3684</v>
      </c>
      <c r="D569" t="s">
        <v>3703</v>
      </c>
      <c r="E569" t="s">
        <v>3846</v>
      </c>
      <c r="F569" t="s">
        <v>111</v>
      </c>
      <c r="G569" t="s">
        <v>109</v>
      </c>
      <c r="H569" t="s">
        <v>3808</v>
      </c>
      <c r="I569" t="s">
        <v>3809</v>
      </c>
      <c r="J569" t="s">
        <v>3827</v>
      </c>
      <c r="K569" t="s">
        <v>1218</v>
      </c>
      <c r="L569" s="13">
        <v>44090</v>
      </c>
      <c r="M569">
        <v>3</v>
      </c>
      <c r="N569" t="s">
        <v>101</v>
      </c>
      <c r="O569" t="s">
        <v>3847</v>
      </c>
      <c r="P569" t="s">
        <v>76</v>
      </c>
      <c r="Q569" t="s">
        <v>76</v>
      </c>
      <c r="R569" t="s">
        <v>76</v>
      </c>
      <c r="S569" t="s">
        <v>76</v>
      </c>
      <c r="T569" t="s">
        <v>76</v>
      </c>
      <c r="U569">
        <v>1</v>
      </c>
      <c r="V569" s="13">
        <v>45175</v>
      </c>
      <c r="W569">
        <v>1</v>
      </c>
      <c r="X569">
        <v>1</v>
      </c>
      <c r="Y569" t="s">
        <v>3704</v>
      </c>
      <c r="AC569">
        <v>2560</v>
      </c>
      <c r="AD569" t="e" vm="561">
        <v>#VALUE!</v>
      </c>
    </row>
    <row r="570" spans="2:30" x14ac:dyDescent="0.25">
      <c r="B570">
        <v>2561</v>
      </c>
      <c r="C570" t="s">
        <v>3684</v>
      </c>
      <c r="D570" t="s">
        <v>3703</v>
      </c>
      <c r="E570" t="s">
        <v>3846</v>
      </c>
      <c r="F570" t="s">
        <v>111</v>
      </c>
      <c r="G570" t="s">
        <v>109</v>
      </c>
      <c r="H570" t="s">
        <v>3808</v>
      </c>
      <c r="I570" t="s">
        <v>3809</v>
      </c>
      <c r="J570" t="s">
        <v>3827</v>
      </c>
      <c r="K570" t="s">
        <v>1218</v>
      </c>
      <c r="L570" s="13">
        <v>44082</v>
      </c>
      <c r="M570">
        <v>3</v>
      </c>
      <c r="N570" t="s">
        <v>101</v>
      </c>
      <c r="O570" t="s">
        <v>3847</v>
      </c>
      <c r="P570" t="s">
        <v>76</v>
      </c>
      <c r="Q570" t="s">
        <v>76</v>
      </c>
      <c r="R570" t="s">
        <v>76</v>
      </c>
      <c r="S570" t="s">
        <v>76</v>
      </c>
      <c r="T570" t="s">
        <v>76</v>
      </c>
      <c r="U570">
        <v>1</v>
      </c>
      <c r="V570" s="13">
        <v>45175</v>
      </c>
      <c r="W570">
        <v>1</v>
      </c>
      <c r="X570">
        <v>1</v>
      </c>
      <c r="Y570" t="s">
        <v>3704</v>
      </c>
      <c r="AC570">
        <v>2561</v>
      </c>
      <c r="AD570" t="e" vm="562">
        <v>#VALUE!</v>
      </c>
    </row>
    <row r="571" spans="2:30" x14ac:dyDescent="0.25">
      <c r="B571">
        <v>2562</v>
      </c>
      <c r="C571" t="s">
        <v>3684</v>
      </c>
      <c r="D571" t="s">
        <v>3703</v>
      </c>
      <c r="E571" t="s">
        <v>3846</v>
      </c>
      <c r="F571" t="s">
        <v>111</v>
      </c>
      <c r="G571" t="s">
        <v>109</v>
      </c>
      <c r="H571" t="s">
        <v>3808</v>
      </c>
      <c r="I571" t="s">
        <v>3809</v>
      </c>
      <c r="J571" t="s">
        <v>3827</v>
      </c>
      <c r="K571" t="s">
        <v>1218</v>
      </c>
      <c r="L571" s="13">
        <v>44096</v>
      </c>
      <c r="M571">
        <v>3</v>
      </c>
      <c r="N571" t="s">
        <v>101</v>
      </c>
      <c r="O571" t="s">
        <v>3847</v>
      </c>
      <c r="P571" t="s">
        <v>76</v>
      </c>
      <c r="Q571" t="s">
        <v>76</v>
      </c>
      <c r="R571" t="s">
        <v>76</v>
      </c>
      <c r="S571" t="s">
        <v>76</v>
      </c>
      <c r="T571" t="s">
        <v>76</v>
      </c>
      <c r="U571">
        <v>1</v>
      </c>
      <c r="V571" s="13">
        <v>45175</v>
      </c>
      <c r="W571">
        <v>1</v>
      </c>
      <c r="X571">
        <v>1</v>
      </c>
      <c r="Y571" t="s">
        <v>3704</v>
      </c>
      <c r="AC571">
        <v>2562</v>
      </c>
      <c r="AD571" t="e" vm="563">
        <v>#VALUE!</v>
      </c>
    </row>
    <row r="572" spans="2:30" x14ac:dyDescent="0.25">
      <c r="B572">
        <v>2563</v>
      </c>
      <c r="C572" t="s">
        <v>3684</v>
      </c>
      <c r="D572" t="s">
        <v>3703</v>
      </c>
      <c r="E572" t="s">
        <v>3846</v>
      </c>
      <c r="F572" t="s">
        <v>111</v>
      </c>
      <c r="G572" t="s">
        <v>109</v>
      </c>
      <c r="H572" t="s">
        <v>3808</v>
      </c>
      <c r="I572" t="s">
        <v>3809</v>
      </c>
      <c r="J572" t="s">
        <v>3827</v>
      </c>
      <c r="K572" t="s">
        <v>1218</v>
      </c>
      <c r="L572" s="13">
        <v>44089</v>
      </c>
      <c r="M572">
        <v>3</v>
      </c>
      <c r="N572" t="s">
        <v>101</v>
      </c>
      <c r="O572" t="s">
        <v>3847</v>
      </c>
      <c r="P572" t="s">
        <v>76</v>
      </c>
      <c r="Q572" t="s">
        <v>76</v>
      </c>
      <c r="R572" t="s">
        <v>76</v>
      </c>
      <c r="S572" t="s">
        <v>76</v>
      </c>
      <c r="T572" t="s">
        <v>76</v>
      </c>
      <c r="U572">
        <v>1</v>
      </c>
      <c r="V572" s="13">
        <v>45175</v>
      </c>
      <c r="W572">
        <v>1</v>
      </c>
      <c r="X572">
        <v>1</v>
      </c>
      <c r="Y572" t="s">
        <v>3704</v>
      </c>
      <c r="AC572">
        <v>2563</v>
      </c>
      <c r="AD572" t="e" vm="564">
        <v>#VALUE!</v>
      </c>
    </row>
    <row r="573" spans="2:30" x14ac:dyDescent="0.25">
      <c r="B573">
        <v>2564</v>
      </c>
      <c r="C573" t="s">
        <v>3684</v>
      </c>
      <c r="D573" t="s">
        <v>3703</v>
      </c>
      <c r="E573" t="s">
        <v>3846</v>
      </c>
      <c r="F573" t="s">
        <v>111</v>
      </c>
      <c r="G573" t="s">
        <v>109</v>
      </c>
      <c r="H573" t="s">
        <v>3808</v>
      </c>
      <c r="I573" t="s">
        <v>3809</v>
      </c>
      <c r="J573" t="s">
        <v>3827</v>
      </c>
      <c r="K573" t="s">
        <v>1218</v>
      </c>
      <c r="L573" s="13">
        <v>44089</v>
      </c>
      <c r="M573">
        <v>3</v>
      </c>
      <c r="N573" t="s">
        <v>101</v>
      </c>
      <c r="O573" t="s">
        <v>3847</v>
      </c>
      <c r="P573" t="s">
        <v>76</v>
      </c>
      <c r="Q573" t="s">
        <v>76</v>
      </c>
      <c r="R573" t="s">
        <v>76</v>
      </c>
      <c r="S573" t="s">
        <v>76</v>
      </c>
      <c r="T573" t="s">
        <v>76</v>
      </c>
      <c r="U573">
        <v>1</v>
      </c>
      <c r="V573" s="13">
        <v>45175</v>
      </c>
      <c r="W573">
        <v>1</v>
      </c>
      <c r="X573">
        <v>1</v>
      </c>
      <c r="Y573" t="s">
        <v>3704</v>
      </c>
      <c r="AC573">
        <v>2564</v>
      </c>
      <c r="AD573" t="e" vm="565">
        <v>#VALUE!</v>
      </c>
    </row>
    <row r="574" spans="2:30" x14ac:dyDescent="0.25">
      <c r="B574">
        <v>2565</v>
      </c>
      <c r="C574" t="s">
        <v>3684</v>
      </c>
      <c r="D574" t="s">
        <v>3703</v>
      </c>
      <c r="E574" t="s">
        <v>3846</v>
      </c>
      <c r="F574" t="s">
        <v>111</v>
      </c>
      <c r="G574" t="s">
        <v>109</v>
      </c>
      <c r="H574" t="s">
        <v>3808</v>
      </c>
      <c r="I574" t="s">
        <v>3809</v>
      </c>
      <c r="J574" t="s">
        <v>3827</v>
      </c>
      <c r="K574" t="s">
        <v>1218</v>
      </c>
      <c r="L574" s="13">
        <v>44103</v>
      </c>
      <c r="M574">
        <v>3</v>
      </c>
      <c r="N574" t="s">
        <v>101</v>
      </c>
      <c r="O574" t="s">
        <v>3847</v>
      </c>
      <c r="P574" t="s">
        <v>76</v>
      </c>
      <c r="Q574" t="s">
        <v>76</v>
      </c>
      <c r="R574" t="s">
        <v>76</v>
      </c>
      <c r="S574" t="s">
        <v>76</v>
      </c>
      <c r="T574" t="s">
        <v>76</v>
      </c>
      <c r="U574">
        <v>1</v>
      </c>
      <c r="V574" s="13">
        <v>45175</v>
      </c>
      <c r="W574">
        <v>1</v>
      </c>
      <c r="X574">
        <v>1</v>
      </c>
      <c r="Y574" t="s">
        <v>3704</v>
      </c>
      <c r="AC574">
        <v>2565</v>
      </c>
      <c r="AD574" t="e" vm="566">
        <v>#VALUE!</v>
      </c>
    </row>
    <row r="575" spans="2:30" x14ac:dyDescent="0.25">
      <c r="B575">
        <v>2566</v>
      </c>
      <c r="C575" t="s">
        <v>3684</v>
      </c>
      <c r="D575" t="s">
        <v>3703</v>
      </c>
      <c r="E575" t="s">
        <v>3846</v>
      </c>
      <c r="F575" t="s">
        <v>111</v>
      </c>
      <c r="G575" t="s">
        <v>109</v>
      </c>
      <c r="H575" t="s">
        <v>3808</v>
      </c>
      <c r="I575" t="s">
        <v>3809</v>
      </c>
      <c r="J575" t="s">
        <v>3827</v>
      </c>
      <c r="K575" t="s">
        <v>1218</v>
      </c>
      <c r="L575" s="13">
        <v>44088</v>
      </c>
      <c r="M575">
        <v>3</v>
      </c>
      <c r="N575" t="s">
        <v>101</v>
      </c>
      <c r="O575" t="s">
        <v>3847</v>
      </c>
      <c r="P575" t="s">
        <v>76</v>
      </c>
      <c r="Q575" t="s">
        <v>76</v>
      </c>
      <c r="R575" t="s">
        <v>76</v>
      </c>
      <c r="S575" t="s">
        <v>76</v>
      </c>
      <c r="T575" t="s">
        <v>76</v>
      </c>
      <c r="U575">
        <v>1</v>
      </c>
      <c r="V575" s="13">
        <v>45175</v>
      </c>
      <c r="W575">
        <v>1</v>
      </c>
      <c r="X575">
        <v>1</v>
      </c>
      <c r="Y575" t="s">
        <v>3704</v>
      </c>
      <c r="AC575">
        <v>2566</v>
      </c>
      <c r="AD575" t="e" vm="567">
        <v>#VALUE!</v>
      </c>
    </row>
    <row r="576" spans="2:30" x14ac:dyDescent="0.25">
      <c r="B576">
        <v>2567</v>
      </c>
      <c r="C576" t="s">
        <v>3684</v>
      </c>
      <c r="D576" t="s">
        <v>3703</v>
      </c>
      <c r="E576" t="s">
        <v>3846</v>
      </c>
      <c r="F576" t="s">
        <v>111</v>
      </c>
      <c r="G576" t="s">
        <v>109</v>
      </c>
      <c r="H576" t="s">
        <v>3808</v>
      </c>
      <c r="I576" t="s">
        <v>3809</v>
      </c>
      <c r="J576" t="s">
        <v>3827</v>
      </c>
      <c r="K576" t="s">
        <v>1218</v>
      </c>
      <c r="L576" s="13">
        <v>44189</v>
      </c>
      <c r="M576">
        <v>3</v>
      </c>
      <c r="N576" t="s">
        <v>101</v>
      </c>
      <c r="O576" t="s">
        <v>3847</v>
      </c>
      <c r="P576" t="s">
        <v>76</v>
      </c>
      <c r="Q576" t="s">
        <v>76</v>
      </c>
      <c r="R576" t="s">
        <v>76</v>
      </c>
      <c r="S576" t="s">
        <v>76</v>
      </c>
      <c r="T576" t="s">
        <v>76</v>
      </c>
      <c r="U576">
        <v>1</v>
      </c>
      <c r="V576" s="13">
        <v>45175</v>
      </c>
      <c r="W576">
        <v>1</v>
      </c>
      <c r="X576">
        <v>1</v>
      </c>
      <c r="Y576" t="s">
        <v>3704</v>
      </c>
      <c r="AC576">
        <v>2567</v>
      </c>
      <c r="AD576" t="e" vm="568">
        <v>#VALUE!</v>
      </c>
    </row>
    <row r="577" spans="2:30" x14ac:dyDescent="0.25">
      <c r="B577">
        <v>2568</v>
      </c>
      <c r="C577" t="s">
        <v>3684</v>
      </c>
      <c r="D577" t="s">
        <v>3703</v>
      </c>
      <c r="E577" t="s">
        <v>3846</v>
      </c>
      <c r="F577" t="s">
        <v>111</v>
      </c>
      <c r="G577" t="s">
        <v>109</v>
      </c>
      <c r="H577" t="s">
        <v>3808</v>
      </c>
      <c r="I577" t="s">
        <v>3809</v>
      </c>
      <c r="J577" t="s">
        <v>3827</v>
      </c>
      <c r="K577" t="s">
        <v>1218</v>
      </c>
      <c r="L577" s="13">
        <v>44109</v>
      </c>
      <c r="M577">
        <v>3</v>
      </c>
      <c r="N577" t="s">
        <v>101</v>
      </c>
      <c r="O577" t="s">
        <v>3847</v>
      </c>
      <c r="P577" t="s">
        <v>76</v>
      </c>
      <c r="Q577" t="s">
        <v>76</v>
      </c>
      <c r="R577" t="s">
        <v>76</v>
      </c>
      <c r="S577" t="s">
        <v>76</v>
      </c>
      <c r="T577" t="s">
        <v>76</v>
      </c>
      <c r="U577">
        <v>1</v>
      </c>
      <c r="V577" s="13">
        <v>45175</v>
      </c>
      <c r="W577">
        <v>1</v>
      </c>
      <c r="X577">
        <v>1</v>
      </c>
      <c r="Y577" t="s">
        <v>3704</v>
      </c>
      <c r="AC577">
        <v>2568</v>
      </c>
      <c r="AD577" t="e" vm="569">
        <v>#VALUE!</v>
      </c>
    </row>
    <row r="578" spans="2:30" x14ac:dyDescent="0.25">
      <c r="B578">
        <v>2569</v>
      </c>
      <c r="C578" t="s">
        <v>3684</v>
      </c>
      <c r="D578" t="s">
        <v>3703</v>
      </c>
      <c r="E578" t="s">
        <v>3846</v>
      </c>
      <c r="F578" t="s">
        <v>111</v>
      </c>
      <c r="G578" t="s">
        <v>109</v>
      </c>
      <c r="H578" t="s">
        <v>3808</v>
      </c>
      <c r="I578" t="s">
        <v>3809</v>
      </c>
      <c r="J578" t="s">
        <v>3827</v>
      </c>
      <c r="K578" t="s">
        <v>1218</v>
      </c>
      <c r="L578" s="13">
        <v>44090</v>
      </c>
      <c r="M578">
        <v>3</v>
      </c>
      <c r="N578" t="s">
        <v>101</v>
      </c>
      <c r="O578" t="s">
        <v>3847</v>
      </c>
      <c r="P578" t="s">
        <v>76</v>
      </c>
      <c r="Q578" t="s">
        <v>76</v>
      </c>
      <c r="R578" t="s">
        <v>76</v>
      </c>
      <c r="S578" t="s">
        <v>76</v>
      </c>
      <c r="T578" t="s">
        <v>76</v>
      </c>
      <c r="U578">
        <v>1</v>
      </c>
      <c r="V578" s="13">
        <v>45175</v>
      </c>
      <c r="W578">
        <v>1</v>
      </c>
      <c r="X578">
        <v>1</v>
      </c>
      <c r="Y578" t="s">
        <v>3704</v>
      </c>
      <c r="AC578">
        <v>2569</v>
      </c>
      <c r="AD578" t="e" vm="570">
        <v>#VALUE!</v>
      </c>
    </row>
    <row r="579" spans="2:30" x14ac:dyDescent="0.25">
      <c r="B579">
        <v>2570</v>
      </c>
      <c r="C579" t="s">
        <v>3684</v>
      </c>
      <c r="D579" t="s">
        <v>3703</v>
      </c>
      <c r="E579" t="s">
        <v>3846</v>
      </c>
      <c r="F579" t="s">
        <v>111</v>
      </c>
      <c r="G579" t="s">
        <v>109</v>
      </c>
      <c r="H579" t="s">
        <v>3808</v>
      </c>
      <c r="I579" t="s">
        <v>3809</v>
      </c>
      <c r="J579" t="s">
        <v>3827</v>
      </c>
      <c r="K579" t="s">
        <v>1218</v>
      </c>
      <c r="L579" s="13">
        <v>44110</v>
      </c>
      <c r="M579">
        <v>3</v>
      </c>
      <c r="N579" t="s">
        <v>101</v>
      </c>
      <c r="O579" t="s">
        <v>3847</v>
      </c>
      <c r="P579" t="s">
        <v>76</v>
      </c>
      <c r="Q579" t="s">
        <v>76</v>
      </c>
      <c r="R579" t="s">
        <v>76</v>
      </c>
      <c r="S579" t="s">
        <v>76</v>
      </c>
      <c r="T579" t="s">
        <v>76</v>
      </c>
      <c r="U579">
        <v>1</v>
      </c>
      <c r="V579" s="13">
        <v>45175</v>
      </c>
      <c r="W579">
        <v>1</v>
      </c>
      <c r="X579">
        <v>1</v>
      </c>
      <c r="Y579" t="s">
        <v>3704</v>
      </c>
      <c r="AC579">
        <v>2570</v>
      </c>
      <c r="AD579" t="e" vm="571">
        <v>#VALUE!</v>
      </c>
    </row>
    <row r="580" spans="2:30" x14ac:dyDescent="0.25">
      <c r="B580">
        <v>2571</v>
      </c>
      <c r="C580" t="s">
        <v>3684</v>
      </c>
      <c r="D580" t="s">
        <v>3703</v>
      </c>
      <c r="E580" t="s">
        <v>3846</v>
      </c>
      <c r="F580" t="s">
        <v>111</v>
      </c>
      <c r="G580" t="s">
        <v>109</v>
      </c>
      <c r="H580" t="s">
        <v>3808</v>
      </c>
      <c r="I580" t="s">
        <v>3809</v>
      </c>
      <c r="J580" t="s">
        <v>3827</v>
      </c>
      <c r="K580" t="s">
        <v>1218</v>
      </c>
      <c r="L580" s="13">
        <v>44123</v>
      </c>
      <c r="M580">
        <v>3</v>
      </c>
      <c r="N580" t="s">
        <v>101</v>
      </c>
      <c r="O580" t="s">
        <v>3847</v>
      </c>
      <c r="P580" t="s">
        <v>76</v>
      </c>
      <c r="Q580" t="s">
        <v>76</v>
      </c>
      <c r="R580" t="s">
        <v>76</v>
      </c>
      <c r="S580" t="s">
        <v>76</v>
      </c>
      <c r="T580" t="s">
        <v>76</v>
      </c>
      <c r="U580">
        <v>1</v>
      </c>
      <c r="V580" s="13">
        <v>45175</v>
      </c>
      <c r="W580">
        <v>1</v>
      </c>
      <c r="X580">
        <v>1</v>
      </c>
      <c r="Y580" t="s">
        <v>3704</v>
      </c>
      <c r="AC580">
        <v>2571</v>
      </c>
      <c r="AD580" t="e" vm="572">
        <v>#VALUE!</v>
      </c>
    </row>
    <row r="581" spans="2:30" x14ac:dyDescent="0.25">
      <c r="B581">
        <v>2572</v>
      </c>
      <c r="C581" t="s">
        <v>3684</v>
      </c>
      <c r="D581" t="s">
        <v>3703</v>
      </c>
      <c r="E581" t="s">
        <v>3846</v>
      </c>
      <c r="F581" t="s">
        <v>111</v>
      </c>
      <c r="G581" t="s">
        <v>109</v>
      </c>
      <c r="H581" t="s">
        <v>3808</v>
      </c>
      <c r="I581" t="s">
        <v>3809</v>
      </c>
      <c r="J581" t="s">
        <v>3827</v>
      </c>
      <c r="K581" t="s">
        <v>1218</v>
      </c>
      <c r="L581" s="13">
        <v>44102</v>
      </c>
      <c r="M581">
        <v>3</v>
      </c>
      <c r="N581" t="s">
        <v>101</v>
      </c>
      <c r="O581" t="s">
        <v>3847</v>
      </c>
      <c r="P581" t="s">
        <v>76</v>
      </c>
      <c r="Q581" t="s">
        <v>76</v>
      </c>
      <c r="R581" t="s">
        <v>76</v>
      </c>
      <c r="S581" t="s">
        <v>76</v>
      </c>
      <c r="T581" t="s">
        <v>76</v>
      </c>
      <c r="U581">
        <v>1</v>
      </c>
      <c r="V581" s="13">
        <v>45175</v>
      </c>
      <c r="W581">
        <v>1</v>
      </c>
      <c r="X581">
        <v>1</v>
      </c>
      <c r="Y581" t="s">
        <v>3704</v>
      </c>
      <c r="AC581">
        <v>2572</v>
      </c>
      <c r="AD581" t="e" vm="573">
        <v>#VALUE!</v>
      </c>
    </row>
    <row r="582" spans="2:30" x14ac:dyDescent="0.25">
      <c r="B582">
        <v>2573</v>
      </c>
      <c r="C582" t="s">
        <v>3684</v>
      </c>
      <c r="D582" t="s">
        <v>3703</v>
      </c>
      <c r="E582" t="s">
        <v>3846</v>
      </c>
      <c r="F582" t="s">
        <v>111</v>
      </c>
      <c r="G582" t="s">
        <v>109</v>
      </c>
      <c r="H582" t="s">
        <v>3808</v>
      </c>
      <c r="I582" t="s">
        <v>3809</v>
      </c>
      <c r="J582" t="s">
        <v>3827</v>
      </c>
      <c r="K582" t="s">
        <v>1218</v>
      </c>
      <c r="L582" s="13">
        <v>44103</v>
      </c>
      <c r="M582">
        <v>3</v>
      </c>
      <c r="N582" t="s">
        <v>101</v>
      </c>
      <c r="O582" t="s">
        <v>3847</v>
      </c>
      <c r="P582" t="s">
        <v>76</v>
      </c>
      <c r="Q582" t="s">
        <v>76</v>
      </c>
      <c r="R582" t="s">
        <v>76</v>
      </c>
      <c r="S582" t="s">
        <v>76</v>
      </c>
      <c r="T582" t="s">
        <v>76</v>
      </c>
      <c r="U582">
        <v>1</v>
      </c>
      <c r="V582" s="13">
        <v>45175</v>
      </c>
      <c r="W582">
        <v>1</v>
      </c>
      <c r="X582">
        <v>1</v>
      </c>
      <c r="Y582" t="s">
        <v>3704</v>
      </c>
      <c r="AC582">
        <v>2573</v>
      </c>
      <c r="AD582" t="e" vm="574">
        <v>#VALUE!</v>
      </c>
    </row>
    <row r="583" spans="2:30" x14ac:dyDescent="0.25">
      <c r="B583">
        <v>2574</v>
      </c>
      <c r="C583" t="s">
        <v>3684</v>
      </c>
      <c r="D583" t="s">
        <v>3703</v>
      </c>
      <c r="E583" t="s">
        <v>3846</v>
      </c>
      <c r="F583" t="s">
        <v>111</v>
      </c>
      <c r="G583" t="s">
        <v>109</v>
      </c>
      <c r="H583" t="s">
        <v>3808</v>
      </c>
      <c r="I583" t="s">
        <v>3809</v>
      </c>
      <c r="J583" t="s">
        <v>3827</v>
      </c>
      <c r="K583" t="s">
        <v>1218</v>
      </c>
      <c r="L583" s="13">
        <v>44123</v>
      </c>
      <c r="M583">
        <v>3</v>
      </c>
      <c r="N583" t="s">
        <v>101</v>
      </c>
      <c r="O583" t="s">
        <v>3847</v>
      </c>
      <c r="P583" t="s">
        <v>76</v>
      </c>
      <c r="Q583" t="s">
        <v>76</v>
      </c>
      <c r="R583" t="s">
        <v>76</v>
      </c>
      <c r="S583" t="s">
        <v>76</v>
      </c>
      <c r="T583" t="s">
        <v>76</v>
      </c>
      <c r="U583">
        <v>1</v>
      </c>
      <c r="V583" s="13">
        <v>45175</v>
      </c>
      <c r="W583">
        <v>1</v>
      </c>
      <c r="X583">
        <v>1</v>
      </c>
      <c r="Y583" t="s">
        <v>3704</v>
      </c>
      <c r="AC583">
        <v>2574</v>
      </c>
      <c r="AD583" t="e" vm="575">
        <v>#VALUE!</v>
      </c>
    </row>
    <row r="584" spans="2:30" x14ac:dyDescent="0.25">
      <c r="B584">
        <v>2575</v>
      </c>
      <c r="C584" t="s">
        <v>3684</v>
      </c>
      <c r="D584" t="s">
        <v>3703</v>
      </c>
      <c r="E584" t="s">
        <v>3846</v>
      </c>
      <c r="F584" t="s">
        <v>111</v>
      </c>
      <c r="G584" t="s">
        <v>109</v>
      </c>
      <c r="H584" t="s">
        <v>3808</v>
      </c>
      <c r="I584" t="s">
        <v>3809</v>
      </c>
      <c r="J584" t="s">
        <v>3827</v>
      </c>
      <c r="K584" t="s">
        <v>1218</v>
      </c>
      <c r="L584" s="13">
        <v>44131</v>
      </c>
      <c r="M584">
        <v>3</v>
      </c>
      <c r="N584" t="s">
        <v>101</v>
      </c>
      <c r="O584" t="s">
        <v>3847</v>
      </c>
      <c r="P584" t="s">
        <v>76</v>
      </c>
      <c r="Q584" t="s">
        <v>76</v>
      </c>
      <c r="R584" t="s">
        <v>76</v>
      </c>
      <c r="S584" t="s">
        <v>76</v>
      </c>
      <c r="T584" t="s">
        <v>76</v>
      </c>
      <c r="U584">
        <v>1</v>
      </c>
      <c r="V584" s="13">
        <v>45175</v>
      </c>
      <c r="W584">
        <v>1</v>
      </c>
      <c r="X584">
        <v>1</v>
      </c>
      <c r="Y584" t="s">
        <v>3704</v>
      </c>
      <c r="AC584">
        <v>2575</v>
      </c>
      <c r="AD584" t="e" vm="576">
        <v>#VALUE!</v>
      </c>
    </row>
    <row r="585" spans="2:30" x14ac:dyDescent="0.25">
      <c r="B585">
        <v>2576</v>
      </c>
      <c r="C585" t="s">
        <v>3684</v>
      </c>
      <c r="D585" t="s">
        <v>3703</v>
      </c>
      <c r="E585" t="s">
        <v>3846</v>
      </c>
      <c r="F585" t="s">
        <v>111</v>
      </c>
      <c r="G585" t="s">
        <v>109</v>
      </c>
      <c r="H585" t="s">
        <v>3808</v>
      </c>
      <c r="I585" t="s">
        <v>3809</v>
      </c>
      <c r="J585" t="s">
        <v>3827</v>
      </c>
      <c r="K585" t="s">
        <v>1218</v>
      </c>
      <c r="L585" s="13">
        <v>44131</v>
      </c>
      <c r="M585">
        <v>3</v>
      </c>
      <c r="N585" t="s">
        <v>101</v>
      </c>
      <c r="O585" t="s">
        <v>3847</v>
      </c>
      <c r="P585" t="s">
        <v>76</v>
      </c>
      <c r="Q585" t="s">
        <v>76</v>
      </c>
      <c r="R585" t="s">
        <v>76</v>
      </c>
      <c r="S585" t="s">
        <v>76</v>
      </c>
      <c r="T585" t="s">
        <v>76</v>
      </c>
      <c r="U585">
        <v>1</v>
      </c>
      <c r="V585" s="13">
        <v>45175</v>
      </c>
      <c r="W585">
        <v>1</v>
      </c>
      <c r="X585">
        <v>1</v>
      </c>
      <c r="Y585" t="s">
        <v>3704</v>
      </c>
      <c r="AC585">
        <v>2576</v>
      </c>
      <c r="AD585" t="e" vm="577">
        <v>#VALUE!</v>
      </c>
    </row>
    <row r="586" spans="2:30" x14ac:dyDescent="0.25">
      <c r="B586">
        <v>2577</v>
      </c>
      <c r="C586" t="s">
        <v>3684</v>
      </c>
      <c r="D586" t="s">
        <v>3703</v>
      </c>
      <c r="E586" t="s">
        <v>3846</v>
      </c>
      <c r="F586" t="s">
        <v>111</v>
      </c>
      <c r="G586" t="s">
        <v>109</v>
      </c>
      <c r="H586" t="s">
        <v>3808</v>
      </c>
      <c r="I586" t="s">
        <v>3809</v>
      </c>
      <c r="J586" t="s">
        <v>3827</v>
      </c>
      <c r="K586" t="s">
        <v>1218</v>
      </c>
      <c r="L586" s="13">
        <v>44110</v>
      </c>
      <c r="M586">
        <v>3</v>
      </c>
      <c r="N586" t="s">
        <v>101</v>
      </c>
      <c r="O586" t="s">
        <v>3847</v>
      </c>
      <c r="P586" t="s">
        <v>76</v>
      </c>
      <c r="Q586" t="s">
        <v>76</v>
      </c>
      <c r="R586" t="s">
        <v>76</v>
      </c>
      <c r="S586" t="s">
        <v>76</v>
      </c>
      <c r="T586" t="s">
        <v>76</v>
      </c>
      <c r="U586">
        <v>1</v>
      </c>
      <c r="V586" s="13">
        <v>45175</v>
      </c>
      <c r="W586">
        <v>1</v>
      </c>
      <c r="X586">
        <v>1</v>
      </c>
      <c r="Y586" t="s">
        <v>3704</v>
      </c>
      <c r="AC586">
        <v>2577</v>
      </c>
      <c r="AD586" t="e" vm="578">
        <v>#VALUE!</v>
      </c>
    </row>
    <row r="587" spans="2:30" x14ac:dyDescent="0.25">
      <c r="B587">
        <v>2578</v>
      </c>
      <c r="C587" t="s">
        <v>3684</v>
      </c>
      <c r="D587" t="s">
        <v>3703</v>
      </c>
      <c r="E587" t="s">
        <v>3846</v>
      </c>
      <c r="F587" t="s">
        <v>111</v>
      </c>
      <c r="G587" t="s">
        <v>109</v>
      </c>
      <c r="H587" t="s">
        <v>3808</v>
      </c>
      <c r="I587" t="s">
        <v>3809</v>
      </c>
      <c r="J587" t="s">
        <v>3827</v>
      </c>
      <c r="K587" t="s">
        <v>1218</v>
      </c>
      <c r="L587" s="13">
        <v>44102</v>
      </c>
      <c r="M587">
        <v>3</v>
      </c>
      <c r="N587" t="s">
        <v>101</v>
      </c>
      <c r="O587" t="s">
        <v>3847</v>
      </c>
      <c r="P587" t="s">
        <v>76</v>
      </c>
      <c r="Q587" t="s">
        <v>76</v>
      </c>
      <c r="R587" t="s">
        <v>76</v>
      </c>
      <c r="S587" t="s">
        <v>76</v>
      </c>
      <c r="T587" t="s">
        <v>76</v>
      </c>
      <c r="U587">
        <v>1</v>
      </c>
      <c r="V587" s="13">
        <v>45175</v>
      </c>
      <c r="W587">
        <v>1</v>
      </c>
      <c r="X587">
        <v>1</v>
      </c>
      <c r="Y587" t="s">
        <v>3704</v>
      </c>
      <c r="AC587">
        <v>2578</v>
      </c>
      <c r="AD587" t="e" vm="579">
        <v>#VALUE!</v>
      </c>
    </row>
    <row r="588" spans="2:30" x14ac:dyDescent="0.25">
      <c r="B588">
        <v>2579</v>
      </c>
      <c r="C588" t="s">
        <v>3684</v>
      </c>
      <c r="D588" t="s">
        <v>3703</v>
      </c>
      <c r="E588" t="s">
        <v>3846</v>
      </c>
      <c r="F588" t="s">
        <v>111</v>
      </c>
      <c r="G588" t="s">
        <v>109</v>
      </c>
      <c r="H588" t="s">
        <v>3808</v>
      </c>
      <c r="I588" t="s">
        <v>3809</v>
      </c>
      <c r="J588" t="s">
        <v>3827</v>
      </c>
      <c r="K588" t="s">
        <v>1218</v>
      </c>
      <c r="L588" s="13">
        <v>44131</v>
      </c>
      <c r="M588">
        <v>3</v>
      </c>
      <c r="N588" t="s">
        <v>101</v>
      </c>
      <c r="O588" t="s">
        <v>3847</v>
      </c>
      <c r="P588" t="s">
        <v>76</v>
      </c>
      <c r="Q588" t="s">
        <v>76</v>
      </c>
      <c r="R588" t="s">
        <v>76</v>
      </c>
      <c r="S588" t="s">
        <v>76</v>
      </c>
      <c r="T588" t="s">
        <v>76</v>
      </c>
      <c r="U588">
        <v>1</v>
      </c>
      <c r="V588" s="13">
        <v>45175</v>
      </c>
      <c r="W588">
        <v>1</v>
      </c>
      <c r="X588">
        <v>1</v>
      </c>
      <c r="Y588" t="s">
        <v>3704</v>
      </c>
      <c r="AC588">
        <v>2579</v>
      </c>
      <c r="AD588" t="e" vm="580">
        <v>#VALUE!</v>
      </c>
    </row>
    <row r="589" spans="2:30" x14ac:dyDescent="0.25">
      <c r="B589">
        <v>2580</v>
      </c>
      <c r="C589" t="s">
        <v>3684</v>
      </c>
      <c r="D589" t="s">
        <v>3703</v>
      </c>
      <c r="E589" t="s">
        <v>3846</v>
      </c>
      <c r="F589" t="s">
        <v>111</v>
      </c>
      <c r="G589" t="s">
        <v>109</v>
      </c>
      <c r="H589" t="s">
        <v>3808</v>
      </c>
      <c r="I589" t="s">
        <v>3809</v>
      </c>
      <c r="J589" t="s">
        <v>3827</v>
      </c>
      <c r="K589" t="s">
        <v>1218</v>
      </c>
      <c r="L589" s="13">
        <v>44109</v>
      </c>
      <c r="M589">
        <v>3</v>
      </c>
      <c r="N589" t="s">
        <v>101</v>
      </c>
      <c r="O589" t="s">
        <v>3847</v>
      </c>
      <c r="P589" t="s">
        <v>76</v>
      </c>
      <c r="Q589" t="s">
        <v>76</v>
      </c>
      <c r="R589" t="s">
        <v>76</v>
      </c>
      <c r="S589" t="s">
        <v>76</v>
      </c>
      <c r="T589" t="s">
        <v>76</v>
      </c>
      <c r="U589">
        <v>1</v>
      </c>
      <c r="V589" s="13">
        <v>45175</v>
      </c>
      <c r="W589">
        <v>1</v>
      </c>
      <c r="X589">
        <v>1</v>
      </c>
      <c r="Y589" t="s">
        <v>3704</v>
      </c>
      <c r="AC589">
        <v>2580</v>
      </c>
      <c r="AD589" t="e" vm="581">
        <v>#VALUE!</v>
      </c>
    </row>
    <row r="590" spans="2:30" x14ac:dyDescent="0.25">
      <c r="B590">
        <v>2581</v>
      </c>
      <c r="C590" t="s">
        <v>3684</v>
      </c>
      <c r="D590" t="s">
        <v>3703</v>
      </c>
      <c r="E590" t="s">
        <v>3846</v>
      </c>
      <c r="F590" t="s">
        <v>111</v>
      </c>
      <c r="G590" t="s">
        <v>109</v>
      </c>
      <c r="H590" t="s">
        <v>3808</v>
      </c>
      <c r="I590" t="s">
        <v>3809</v>
      </c>
      <c r="J590" t="s">
        <v>3827</v>
      </c>
      <c r="K590" t="s">
        <v>1218</v>
      </c>
      <c r="L590" s="13">
        <v>44123</v>
      </c>
      <c r="M590">
        <v>3</v>
      </c>
      <c r="N590" t="s">
        <v>101</v>
      </c>
      <c r="O590" t="s">
        <v>3847</v>
      </c>
      <c r="P590" t="s">
        <v>76</v>
      </c>
      <c r="Q590" t="s">
        <v>76</v>
      </c>
      <c r="R590" t="s">
        <v>76</v>
      </c>
      <c r="S590" t="s">
        <v>76</v>
      </c>
      <c r="T590" t="s">
        <v>76</v>
      </c>
      <c r="U590">
        <v>1</v>
      </c>
      <c r="V590" s="13">
        <v>45175</v>
      </c>
      <c r="W590">
        <v>1</v>
      </c>
      <c r="X590">
        <v>1</v>
      </c>
      <c r="Y590" t="s">
        <v>3704</v>
      </c>
      <c r="AC590">
        <v>2581</v>
      </c>
      <c r="AD590" t="e" vm="582">
        <v>#VALUE!</v>
      </c>
    </row>
    <row r="591" spans="2:30" x14ac:dyDescent="0.25">
      <c r="B591">
        <v>2582</v>
      </c>
      <c r="C591" t="s">
        <v>3684</v>
      </c>
      <c r="D591" t="s">
        <v>3703</v>
      </c>
      <c r="E591" t="s">
        <v>3846</v>
      </c>
      <c r="F591" t="s">
        <v>111</v>
      </c>
      <c r="G591" t="s">
        <v>109</v>
      </c>
      <c r="H591" t="s">
        <v>3808</v>
      </c>
      <c r="I591" t="s">
        <v>3809</v>
      </c>
      <c r="J591" t="s">
        <v>3827</v>
      </c>
      <c r="K591" t="s">
        <v>1218</v>
      </c>
      <c r="L591" s="13">
        <v>44137</v>
      </c>
      <c r="M591">
        <v>3</v>
      </c>
      <c r="N591" t="s">
        <v>101</v>
      </c>
      <c r="O591" t="s">
        <v>3847</v>
      </c>
      <c r="P591" t="s">
        <v>76</v>
      </c>
      <c r="Q591" t="s">
        <v>76</v>
      </c>
      <c r="R591" t="s">
        <v>76</v>
      </c>
      <c r="S591" t="s">
        <v>76</v>
      </c>
      <c r="T591" t="s">
        <v>76</v>
      </c>
      <c r="U591">
        <v>1</v>
      </c>
      <c r="V591" s="13">
        <v>45175</v>
      </c>
      <c r="W591">
        <v>1</v>
      </c>
      <c r="X591">
        <v>1</v>
      </c>
      <c r="Y591" t="s">
        <v>3704</v>
      </c>
      <c r="AC591">
        <v>2582</v>
      </c>
      <c r="AD591" t="e" vm="583">
        <v>#VALUE!</v>
      </c>
    </row>
    <row r="592" spans="2:30" x14ac:dyDescent="0.25">
      <c r="B592">
        <v>2583</v>
      </c>
      <c r="C592" t="s">
        <v>3684</v>
      </c>
      <c r="D592" t="s">
        <v>3703</v>
      </c>
      <c r="E592" t="s">
        <v>3846</v>
      </c>
      <c r="F592" t="s">
        <v>111</v>
      </c>
      <c r="G592" t="s">
        <v>109</v>
      </c>
      <c r="H592" t="s">
        <v>3808</v>
      </c>
      <c r="I592" t="s">
        <v>3809</v>
      </c>
      <c r="J592" t="s">
        <v>3827</v>
      </c>
      <c r="K592" t="s">
        <v>1218</v>
      </c>
      <c r="L592" s="13">
        <v>44139</v>
      </c>
      <c r="M592">
        <v>3</v>
      </c>
      <c r="N592" t="s">
        <v>101</v>
      </c>
      <c r="O592" t="s">
        <v>3847</v>
      </c>
      <c r="P592" t="s">
        <v>76</v>
      </c>
      <c r="Q592" t="s">
        <v>76</v>
      </c>
      <c r="R592" t="s">
        <v>76</v>
      </c>
      <c r="S592" t="s">
        <v>76</v>
      </c>
      <c r="T592" t="s">
        <v>76</v>
      </c>
      <c r="U592">
        <v>1</v>
      </c>
      <c r="V592" s="13">
        <v>45175</v>
      </c>
      <c r="W592">
        <v>1</v>
      </c>
      <c r="X592">
        <v>1</v>
      </c>
      <c r="Y592" t="s">
        <v>3704</v>
      </c>
      <c r="AC592">
        <v>2583</v>
      </c>
      <c r="AD592" t="e" vm="584">
        <v>#VALUE!</v>
      </c>
    </row>
    <row r="593" spans="2:30" x14ac:dyDescent="0.25">
      <c r="B593">
        <v>2584</v>
      </c>
      <c r="C593" t="s">
        <v>3684</v>
      </c>
      <c r="D593" t="s">
        <v>3703</v>
      </c>
      <c r="E593" t="s">
        <v>3846</v>
      </c>
      <c r="F593" t="s">
        <v>111</v>
      </c>
      <c r="G593" t="s">
        <v>109</v>
      </c>
      <c r="H593" t="s">
        <v>3808</v>
      </c>
      <c r="I593" t="s">
        <v>3809</v>
      </c>
      <c r="J593" t="s">
        <v>3827</v>
      </c>
      <c r="K593" t="s">
        <v>1218</v>
      </c>
      <c r="L593" s="13">
        <v>44137</v>
      </c>
      <c r="M593">
        <v>3</v>
      </c>
      <c r="N593" t="s">
        <v>101</v>
      </c>
      <c r="O593" t="s">
        <v>3847</v>
      </c>
      <c r="P593" t="s">
        <v>76</v>
      </c>
      <c r="Q593" t="s">
        <v>76</v>
      </c>
      <c r="R593" t="s">
        <v>76</v>
      </c>
      <c r="S593" t="s">
        <v>76</v>
      </c>
      <c r="T593" t="s">
        <v>76</v>
      </c>
      <c r="U593">
        <v>1</v>
      </c>
      <c r="V593" s="13">
        <v>45175</v>
      </c>
      <c r="W593">
        <v>1</v>
      </c>
      <c r="X593">
        <v>1</v>
      </c>
      <c r="Y593" t="s">
        <v>3704</v>
      </c>
      <c r="AC593">
        <v>2584</v>
      </c>
      <c r="AD593" t="e" vm="585">
        <v>#VALUE!</v>
      </c>
    </row>
    <row r="594" spans="2:30" x14ac:dyDescent="0.25">
      <c r="B594">
        <v>2585</v>
      </c>
      <c r="C594" t="s">
        <v>3684</v>
      </c>
      <c r="D594" t="s">
        <v>3703</v>
      </c>
      <c r="E594" t="s">
        <v>3846</v>
      </c>
      <c r="F594" t="s">
        <v>111</v>
      </c>
      <c r="G594" t="s">
        <v>109</v>
      </c>
      <c r="H594" t="s">
        <v>3808</v>
      </c>
      <c r="I594" t="s">
        <v>3809</v>
      </c>
      <c r="J594" t="s">
        <v>3827</v>
      </c>
      <c r="K594" t="s">
        <v>1218</v>
      </c>
      <c r="L594" s="13">
        <v>44137</v>
      </c>
      <c r="M594">
        <v>3</v>
      </c>
      <c r="N594" t="s">
        <v>101</v>
      </c>
      <c r="O594" t="s">
        <v>3847</v>
      </c>
      <c r="P594" t="s">
        <v>76</v>
      </c>
      <c r="Q594" t="s">
        <v>76</v>
      </c>
      <c r="R594" t="s">
        <v>76</v>
      </c>
      <c r="S594" t="s">
        <v>76</v>
      </c>
      <c r="T594" t="s">
        <v>76</v>
      </c>
      <c r="U594">
        <v>1</v>
      </c>
      <c r="V594" s="13">
        <v>45175</v>
      </c>
      <c r="W594">
        <v>1</v>
      </c>
      <c r="X594">
        <v>1</v>
      </c>
      <c r="Y594" t="s">
        <v>3704</v>
      </c>
      <c r="AC594">
        <v>2585</v>
      </c>
      <c r="AD594" t="e" vm="586">
        <v>#VALUE!</v>
      </c>
    </row>
    <row r="595" spans="2:30" x14ac:dyDescent="0.25">
      <c r="B595">
        <v>2586</v>
      </c>
      <c r="C595" t="s">
        <v>3684</v>
      </c>
      <c r="D595" t="s">
        <v>3703</v>
      </c>
      <c r="E595" t="s">
        <v>3846</v>
      </c>
      <c r="F595" t="s">
        <v>111</v>
      </c>
      <c r="G595" t="s">
        <v>109</v>
      </c>
      <c r="H595" t="s">
        <v>3808</v>
      </c>
      <c r="I595" t="s">
        <v>3809</v>
      </c>
      <c r="J595" t="s">
        <v>3827</v>
      </c>
      <c r="K595" t="s">
        <v>1218</v>
      </c>
      <c r="L595" s="13">
        <v>44154</v>
      </c>
      <c r="M595">
        <v>3</v>
      </c>
      <c r="N595" t="s">
        <v>101</v>
      </c>
      <c r="O595" t="s">
        <v>3847</v>
      </c>
      <c r="P595" t="s">
        <v>76</v>
      </c>
      <c r="Q595" t="s">
        <v>76</v>
      </c>
      <c r="R595" t="s">
        <v>76</v>
      </c>
      <c r="S595" t="s">
        <v>76</v>
      </c>
      <c r="T595" t="s">
        <v>76</v>
      </c>
      <c r="U595">
        <v>1</v>
      </c>
      <c r="V595" s="13">
        <v>45175</v>
      </c>
      <c r="W595">
        <v>1</v>
      </c>
      <c r="X595">
        <v>1</v>
      </c>
      <c r="Y595" t="s">
        <v>3704</v>
      </c>
      <c r="AC595">
        <v>2586</v>
      </c>
      <c r="AD595" t="e" vm="587">
        <v>#VALUE!</v>
      </c>
    </row>
    <row r="596" spans="2:30" x14ac:dyDescent="0.25">
      <c r="B596">
        <v>2587</v>
      </c>
      <c r="C596" t="s">
        <v>3684</v>
      </c>
      <c r="D596" t="s">
        <v>3705</v>
      </c>
      <c r="E596" t="s">
        <v>3846</v>
      </c>
      <c r="F596" t="s">
        <v>111</v>
      </c>
      <c r="G596" t="s">
        <v>84</v>
      </c>
      <c r="H596" t="s">
        <v>3808</v>
      </c>
      <c r="I596" t="s">
        <v>3809</v>
      </c>
      <c r="J596" t="s">
        <v>3827</v>
      </c>
      <c r="K596" t="s">
        <v>1218</v>
      </c>
      <c r="L596" s="13">
        <v>44124</v>
      </c>
      <c r="M596">
        <v>3</v>
      </c>
      <c r="N596" t="s">
        <v>101</v>
      </c>
      <c r="O596" t="s">
        <v>3847</v>
      </c>
      <c r="P596" t="s">
        <v>76</v>
      </c>
      <c r="Q596" t="s">
        <v>76</v>
      </c>
      <c r="R596" t="s">
        <v>76</v>
      </c>
      <c r="S596" t="s">
        <v>76</v>
      </c>
      <c r="T596" t="s">
        <v>76</v>
      </c>
      <c r="U596">
        <v>1</v>
      </c>
      <c r="V596" s="13">
        <v>45175</v>
      </c>
      <c r="W596">
        <v>1</v>
      </c>
      <c r="X596">
        <v>1</v>
      </c>
      <c r="Y596" t="s">
        <v>3706</v>
      </c>
      <c r="AC596">
        <v>2587</v>
      </c>
      <c r="AD596" t="e" vm="588">
        <v>#VALUE!</v>
      </c>
    </row>
    <row r="597" spans="2:30" x14ac:dyDescent="0.25">
      <c r="B597">
        <v>2588</v>
      </c>
      <c r="C597" t="s">
        <v>3684</v>
      </c>
      <c r="D597" t="s">
        <v>3705</v>
      </c>
      <c r="E597" t="s">
        <v>3846</v>
      </c>
      <c r="F597" t="s">
        <v>111</v>
      </c>
      <c r="G597" t="s">
        <v>84</v>
      </c>
      <c r="H597" t="s">
        <v>3808</v>
      </c>
      <c r="I597" t="s">
        <v>3809</v>
      </c>
      <c r="J597" t="s">
        <v>3827</v>
      </c>
      <c r="K597" t="s">
        <v>1218</v>
      </c>
      <c r="L597" s="13">
        <v>44137</v>
      </c>
      <c r="M597">
        <v>3</v>
      </c>
      <c r="N597" t="s">
        <v>101</v>
      </c>
      <c r="O597" t="s">
        <v>3847</v>
      </c>
      <c r="P597" t="s">
        <v>76</v>
      </c>
      <c r="Q597" t="s">
        <v>76</v>
      </c>
      <c r="R597" t="s">
        <v>76</v>
      </c>
      <c r="S597" t="s">
        <v>76</v>
      </c>
      <c r="T597" t="s">
        <v>76</v>
      </c>
      <c r="U597">
        <v>1</v>
      </c>
      <c r="V597" s="13">
        <v>45175</v>
      </c>
      <c r="W597">
        <v>1</v>
      </c>
      <c r="X597">
        <v>1</v>
      </c>
      <c r="Y597" t="s">
        <v>3706</v>
      </c>
      <c r="AC597">
        <v>2588</v>
      </c>
      <c r="AD597" t="e" vm="589">
        <v>#VALUE!</v>
      </c>
    </row>
    <row r="598" spans="2:30" x14ac:dyDescent="0.25">
      <c r="B598">
        <v>2589</v>
      </c>
      <c r="C598" t="s">
        <v>3684</v>
      </c>
      <c r="D598" t="s">
        <v>3705</v>
      </c>
      <c r="E598" t="s">
        <v>3846</v>
      </c>
      <c r="F598" t="s">
        <v>111</v>
      </c>
      <c r="G598" t="s">
        <v>84</v>
      </c>
      <c r="H598" t="s">
        <v>3808</v>
      </c>
      <c r="I598" t="s">
        <v>3809</v>
      </c>
      <c r="J598" t="s">
        <v>3827</v>
      </c>
      <c r="K598" t="s">
        <v>1218</v>
      </c>
      <c r="L598" s="13">
        <v>44162</v>
      </c>
      <c r="M598">
        <v>3</v>
      </c>
      <c r="N598" t="s">
        <v>101</v>
      </c>
      <c r="O598" t="s">
        <v>3847</v>
      </c>
      <c r="P598" t="s">
        <v>76</v>
      </c>
      <c r="Q598" t="s">
        <v>76</v>
      </c>
      <c r="R598" t="s">
        <v>76</v>
      </c>
      <c r="S598" t="s">
        <v>76</v>
      </c>
      <c r="T598" t="s">
        <v>76</v>
      </c>
      <c r="U598">
        <v>1</v>
      </c>
      <c r="V598" s="13">
        <v>45175</v>
      </c>
      <c r="W598">
        <v>1</v>
      </c>
      <c r="X598">
        <v>1</v>
      </c>
      <c r="Y598" t="s">
        <v>3706</v>
      </c>
      <c r="AC598">
        <v>2589</v>
      </c>
      <c r="AD598" t="e" vm="590">
        <v>#VALUE!</v>
      </c>
    </row>
    <row r="599" spans="2:30" x14ac:dyDescent="0.25">
      <c r="B599">
        <v>2590</v>
      </c>
      <c r="C599" t="s">
        <v>3684</v>
      </c>
      <c r="D599" t="s">
        <v>3705</v>
      </c>
      <c r="E599" t="s">
        <v>3846</v>
      </c>
      <c r="F599" t="s">
        <v>111</v>
      </c>
      <c r="G599" t="s">
        <v>84</v>
      </c>
      <c r="H599" t="s">
        <v>3808</v>
      </c>
      <c r="I599" t="s">
        <v>3809</v>
      </c>
      <c r="J599" t="s">
        <v>3827</v>
      </c>
      <c r="K599" t="s">
        <v>1218</v>
      </c>
      <c r="L599" s="13">
        <v>44181</v>
      </c>
      <c r="M599">
        <v>3</v>
      </c>
      <c r="N599" t="s">
        <v>101</v>
      </c>
      <c r="O599" t="s">
        <v>3847</v>
      </c>
      <c r="P599" t="s">
        <v>76</v>
      </c>
      <c r="Q599" t="s">
        <v>76</v>
      </c>
      <c r="R599" t="s">
        <v>76</v>
      </c>
      <c r="S599" t="s">
        <v>76</v>
      </c>
      <c r="T599" t="s">
        <v>76</v>
      </c>
      <c r="U599">
        <v>1</v>
      </c>
      <c r="V599" s="13">
        <v>45175</v>
      </c>
      <c r="W599">
        <v>1</v>
      </c>
      <c r="X599">
        <v>1</v>
      </c>
      <c r="Y599" t="s">
        <v>3706</v>
      </c>
      <c r="AC599">
        <v>2590</v>
      </c>
      <c r="AD599" t="e" vm="591">
        <v>#VALUE!</v>
      </c>
    </row>
    <row r="600" spans="2:30" x14ac:dyDescent="0.25">
      <c r="B600">
        <v>2591</v>
      </c>
      <c r="C600" t="s">
        <v>3684</v>
      </c>
      <c r="D600" t="s">
        <v>3705</v>
      </c>
      <c r="E600" t="s">
        <v>3846</v>
      </c>
      <c r="F600" t="s">
        <v>111</v>
      </c>
      <c r="G600" t="s">
        <v>84</v>
      </c>
      <c r="H600" t="s">
        <v>3808</v>
      </c>
      <c r="I600" t="s">
        <v>3809</v>
      </c>
      <c r="J600" t="s">
        <v>3827</v>
      </c>
      <c r="K600" t="s">
        <v>1218</v>
      </c>
      <c r="L600" s="13">
        <v>44148</v>
      </c>
      <c r="M600">
        <v>3</v>
      </c>
      <c r="N600" t="s">
        <v>101</v>
      </c>
      <c r="O600" t="s">
        <v>3847</v>
      </c>
      <c r="P600" t="s">
        <v>76</v>
      </c>
      <c r="Q600" t="s">
        <v>76</v>
      </c>
      <c r="R600" t="s">
        <v>76</v>
      </c>
      <c r="S600" t="s">
        <v>76</v>
      </c>
      <c r="T600" t="s">
        <v>76</v>
      </c>
      <c r="U600">
        <v>1</v>
      </c>
      <c r="V600" s="13">
        <v>45175</v>
      </c>
      <c r="W600">
        <v>1</v>
      </c>
      <c r="X600">
        <v>1</v>
      </c>
      <c r="Y600" t="s">
        <v>3706</v>
      </c>
      <c r="AC600">
        <v>2591</v>
      </c>
      <c r="AD600" t="e" vm="592">
        <v>#VALUE!</v>
      </c>
    </row>
    <row r="601" spans="2:30" x14ac:dyDescent="0.25">
      <c r="B601">
        <v>2592</v>
      </c>
      <c r="C601" t="s">
        <v>3684</v>
      </c>
      <c r="D601" t="s">
        <v>3705</v>
      </c>
      <c r="E601" t="s">
        <v>3846</v>
      </c>
      <c r="F601" t="s">
        <v>111</v>
      </c>
      <c r="G601" t="s">
        <v>84</v>
      </c>
      <c r="H601" t="s">
        <v>3808</v>
      </c>
      <c r="I601" t="s">
        <v>3809</v>
      </c>
      <c r="J601" t="s">
        <v>3827</v>
      </c>
      <c r="K601" t="s">
        <v>1218</v>
      </c>
      <c r="L601" s="13">
        <v>44181</v>
      </c>
      <c r="M601">
        <v>3</v>
      </c>
      <c r="N601" t="s">
        <v>101</v>
      </c>
      <c r="O601" t="s">
        <v>3847</v>
      </c>
      <c r="P601" t="s">
        <v>76</v>
      </c>
      <c r="Q601" t="s">
        <v>76</v>
      </c>
      <c r="R601" t="s">
        <v>76</v>
      </c>
      <c r="S601" t="s">
        <v>76</v>
      </c>
      <c r="T601" t="s">
        <v>76</v>
      </c>
      <c r="U601">
        <v>1</v>
      </c>
      <c r="V601" s="13">
        <v>45175</v>
      </c>
      <c r="W601">
        <v>1</v>
      </c>
      <c r="X601">
        <v>1</v>
      </c>
      <c r="Y601" t="s">
        <v>3706</v>
      </c>
      <c r="AC601">
        <v>2592</v>
      </c>
      <c r="AD601" t="e" vm="593">
        <v>#VALUE!</v>
      </c>
    </row>
    <row r="602" spans="2:30" x14ac:dyDescent="0.25">
      <c r="B602">
        <v>2593</v>
      </c>
      <c r="C602" t="s">
        <v>3684</v>
      </c>
      <c r="D602" t="s">
        <v>3705</v>
      </c>
      <c r="E602" t="s">
        <v>3846</v>
      </c>
      <c r="F602" t="s">
        <v>111</v>
      </c>
      <c r="G602" t="s">
        <v>84</v>
      </c>
      <c r="H602" t="s">
        <v>3808</v>
      </c>
      <c r="I602" t="s">
        <v>3809</v>
      </c>
      <c r="J602" t="s">
        <v>3827</v>
      </c>
      <c r="K602" t="s">
        <v>1218</v>
      </c>
      <c r="L602" s="13">
        <v>44148</v>
      </c>
      <c r="M602">
        <v>3</v>
      </c>
      <c r="N602" t="s">
        <v>101</v>
      </c>
      <c r="O602" t="s">
        <v>3847</v>
      </c>
      <c r="P602" t="s">
        <v>76</v>
      </c>
      <c r="Q602" t="s">
        <v>76</v>
      </c>
      <c r="R602" t="s">
        <v>76</v>
      </c>
      <c r="S602" t="s">
        <v>76</v>
      </c>
      <c r="T602" t="s">
        <v>76</v>
      </c>
      <c r="U602">
        <v>1</v>
      </c>
      <c r="V602" s="13">
        <v>45175</v>
      </c>
      <c r="W602">
        <v>1</v>
      </c>
      <c r="X602">
        <v>1</v>
      </c>
      <c r="Y602" t="s">
        <v>3706</v>
      </c>
      <c r="AC602">
        <v>2593</v>
      </c>
      <c r="AD602" t="e" vm="594">
        <v>#VALUE!</v>
      </c>
    </row>
    <row r="603" spans="2:30" x14ac:dyDescent="0.25">
      <c r="B603">
        <v>2594</v>
      </c>
      <c r="C603" t="s">
        <v>3684</v>
      </c>
      <c r="D603" t="s">
        <v>3705</v>
      </c>
      <c r="E603" t="s">
        <v>3846</v>
      </c>
      <c r="F603" t="s">
        <v>111</v>
      </c>
      <c r="G603" t="s">
        <v>84</v>
      </c>
      <c r="H603" t="s">
        <v>3808</v>
      </c>
      <c r="I603" t="s">
        <v>3809</v>
      </c>
      <c r="J603" t="s">
        <v>3827</v>
      </c>
      <c r="K603" t="s">
        <v>1218</v>
      </c>
      <c r="L603" s="13">
        <v>44180</v>
      </c>
      <c r="M603">
        <v>3</v>
      </c>
      <c r="N603" t="s">
        <v>101</v>
      </c>
      <c r="O603" t="s">
        <v>3847</v>
      </c>
      <c r="P603" t="s">
        <v>76</v>
      </c>
      <c r="Q603" t="s">
        <v>76</v>
      </c>
      <c r="R603" t="s">
        <v>76</v>
      </c>
      <c r="S603" t="s">
        <v>76</v>
      </c>
      <c r="T603" t="s">
        <v>76</v>
      </c>
      <c r="U603">
        <v>1</v>
      </c>
      <c r="V603" s="13">
        <v>45175</v>
      </c>
      <c r="W603">
        <v>1</v>
      </c>
      <c r="X603">
        <v>1</v>
      </c>
      <c r="Y603" t="s">
        <v>3706</v>
      </c>
      <c r="AC603">
        <v>2594</v>
      </c>
      <c r="AD603" t="e" vm="595">
        <v>#VALUE!</v>
      </c>
    </row>
    <row r="604" spans="2:30" x14ac:dyDescent="0.25">
      <c r="B604">
        <v>2595</v>
      </c>
      <c r="C604" t="s">
        <v>3684</v>
      </c>
      <c r="D604" t="s">
        <v>3705</v>
      </c>
      <c r="E604" t="s">
        <v>3846</v>
      </c>
      <c r="F604" t="s">
        <v>111</v>
      </c>
      <c r="G604" t="s">
        <v>84</v>
      </c>
      <c r="H604" t="s">
        <v>3808</v>
      </c>
      <c r="I604" t="s">
        <v>3809</v>
      </c>
      <c r="J604" t="s">
        <v>3827</v>
      </c>
      <c r="K604" t="s">
        <v>1218</v>
      </c>
      <c r="L604" s="13">
        <v>44154</v>
      </c>
      <c r="M604">
        <v>3</v>
      </c>
      <c r="N604" t="s">
        <v>101</v>
      </c>
      <c r="O604" t="s">
        <v>3847</v>
      </c>
      <c r="P604" t="s">
        <v>76</v>
      </c>
      <c r="Q604" t="s">
        <v>76</v>
      </c>
      <c r="R604" t="s">
        <v>76</v>
      </c>
      <c r="S604" t="s">
        <v>76</v>
      </c>
      <c r="T604" t="s">
        <v>76</v>
      </c>
      <c r="U604">
        <v>1</v>
      </c>
      <c r="V604" s="13">
        <v>45175</v>
      </c>
      <c r="W604">
        <v>1</v>
      </c>
      <c r="X604">
        <v>1</v>
      </c>
      <c r="Y604" t="s">
        <v>3706</v>
      </c>
      <c r="AC604">
        <v>2595</v>
      </c>
      <c r="AD604" t="e" vm="596">
        <v>#VALUE!</v>
      </c>
    </row>
    <row r="605" spans="2:30" x14ac:dyDescent="0.25">
      <c r="B605">
        <v>2596</v>
      </c>
      <c r="C605" t="s">
        <v>3684</v>
      </c>
      <c r="D605" t="s">
        <v>3705</v>
      </c>
      <c r="E605" t="s">
        <v>3846</v>
      </c>
      <c r="F605" t="s">
        <v>111</v>
      </c>
      <c r="G605" t="s">
        <v>84</v>
      </c>
      <c r="H605" t="s">
        <v>3808</v>
      </c>
      <c r="I605" t="s">
        <v>3809</v>
      </c>
      <c r="J605" t="s">
        <v>3827</v>
      </c>
      <c r="K605" t="s">
        <v>1218</v>
      </c>
      <c r="L605" s="13">
        <v>44180</v>
      </c>
      <c r="M605">
        <v>3</v>
      </c>
      <c r="N605" t="s">
        <v>101</v>
      </c>
      <c r="O605" t="s">
        <v>3847</v>
      </c>
      <c r="P605" t="s">
        <v>76</v>
      </c>
      <c r="Q605" t="s">
        <v>76</v>
      </c>
      <c r="R605" t="s">
        <v>76</v>
      </c>
      <c r="S605" t="s">
        <v>76</v>
      </c>
      <c r="T605" t="s">
        <v>76</v>
      </c>
      <c r="U605">
        <v>1</v>
      </c>
      <c r="V605" s="13">
        <v>45175</v>
      </c>
      <c r="W605">
        <v>1</v>
      </c>
      <c r="X605">
        <v>1</v>
      </c>
      <c r="Y605" t="s">
        <v>3706</v>
      </c>
      <c r="AC605">
        <v>2596</v>
      </c>
      <c r="AD605" t="e" vm="597">
        <v>#VALUE!</v>
      </c>
    </row>
    <row r="606" spans="2:30" x14ac:dyDescent="0.25">
      <c r="B606">
        <v>2597</v>
      </c>
      <c r="C606" t="s">
        <v>3684</v>
      </c>
      <c r="D606" t="s">
        <v>3705</v>
      </c>
      <c r="E606" t="s">
        <v>3846</v>
      </c>
      <c r="F606" t="s">
        <v>111</v>
      </c>
      <c r="G606" t="s">
        <v>84</v>
      </c>
      <c r="H606" t="s">
        <v>3808</v>
      </c>
      <c r="I606" t="s">
        <v>3809</v>
      </c>
      <c r="J606" t="s">
        <v>3827</v>
      </c>
      <c r="K606" t="s">
        <v>1218</v>
      </c>
      <c r="L606" s="13">
        <v>44204</v>
      </c>
      <c r="M606">
        <v>3</v>
      </c>
      <c r="N606" t="s">
        <v>101</v>
      </c>
      <c r="O606" t="s">
        <v>3847</v>
      </c>
      <c r="P606" t="s">
        <v>76</v>
      </c>
      <c r="Q606" t="s">
        <v>76</v>
      </c>
      <c r="R606" t="s">
        <v>76</v>
      </c>
      <c r="S606" t="s">
        <v>76</v>
      </c>
      <c r="T606" t="s">
        <v>76</v>
      </c>
      <c r="U606">
        <v>1</v>
      </c>
      <c r="V606" s="13">
        <v>45175</v>
      </c>
      <c r="W606">
        <v>1</v>
      </c>
      <c r="X606">
        <v>1</v>
      </c>
      <c r="Y606" t="s">
        <v>3706</v>
      </c>
      <c r="AC606">
        <v>2597</v>
      </c>
      <c r="AD606" t="e" vm="598">
        <v>#VALUE!</v>
      </c>
    </row>
    <row r="607" spans="2:30" x14ac:dyDescent="0.25">
      <c r="B607">
        <v>2598</v>
      </c>
      <c r="C607" t="s">
        <v>3684</v>
      </c>
      <c r="D607" t="s">
        <v>3705</v>
      </c>
      <c r="E607" t="s">
        <v>3846</v>
      </c>
      <c r="F607" t="s">
        <v>111</v>
      </c>
      <c r="G607" t="s">
        <v>84</v>
      </c>
      <c r="H607" t="s">
        <v>3808</v>
      </c>
      <c r="I607" t="s">
        <v>3809</v>
      </c>
      <c r="J607" t="s">
        <v>3827</v>
      </c>
      <c r="K607" t="s">
        <v>1218</v>
      </c>
      <c r="L607" s="13">
        <v>44188</v>
      </c>
      <c r="M607">
        <v>3</v>
      </c>
      <c r="N607" t="s">
        <v>101</v>
      </c>
      <c r="O607" t="s">
        <v>3847</v>
      </c>
      <c r="P607" t="s">
        <v>76</v>
      </c>
      <c r="Q607" t="s">
        <v>76</v>
      </c>
      <c r="R607" t="s">
        <v>76</v>
      </c>
      <c r="S607" t="s">
        <v>76</v>
      </c>
      <c r="T607" t="s">
        <v>76</v>
      </c>
      <c r="U607">
        <v>1</v>
      </c>
      <c r="V607" s="13">
        <v>45175</v>
      </c>
      <c r="W607">
        <v>1</v>
      </c>
      <c r="X607">
        <v>1</v>
      </c>
      <c r="Y607" t="s">
        <v>3706</v>
      </c>
      <c r="AC607">
        <v>2598</v>
      </c>
      <c r="AD607" t="e" vm="599">
        <v>#VALUE!</v>
      </c>
    </row>
    <row r="608" spans="2:30" x14ac:dyDescent="0.25">
      <c r="B608">
        <v>2599</v>
      </c>
      <c r="C608" t="s">
        <v>3684</v>
      </c>
      <c r="D608" t="s">
        <v>3705</v>
      </c>
      <c r="E608" t="s">
        <v>3846</v>
      </c>
      <c r="F608" t="s">
        <v>111</v>
      </c>
      <c r="G608" t="s">
        <v>84</v>
      </c>
      <c r="H608" t="s">
        <v>3808</v>
      </c>
      <c r="I608" t="s">
        <v>3809</v>
      </c>
      <c r="J608" t="s">
        <v>3827</v>
      </c>
      <c r="K608" t="s">
        <v>1218</v>
      </c>
      <c r="L608" s="13">
        <v>44271</v>
      </c>
      <c r="M608">
        <v>3</v>
      </c>
      <c r="N608" t="s">
        <v>101</v>
      </c>
      <c r="O608" t="s">
        <v>3847</v>
      </c>
      <c r="P608" t="s">
        <v>76</v>
      </c>
      <c r="Q608" t="s">
        <v>76</v>
      </c>
      <c r="R608" t="s">
        <v>76</v>
      </c>
      <c r="S608" t="s">
        <v>76</v>
      </c>
      <c r="T608" t="s">
        <v>76</v>
      </c>
      <c r="U608">
        <v>1</v>
      </c>
      <c r="V608" s="13">
        <v>45175</v>
      </c>
      <c r="W608">
        <v>1</v>
      </c>
      <c r="X608">
        <v>1</v>
      </c>
      <c r="Y608" t="s">
        <v>3706</v>
      </c>
      <c r="AC608">
        <v>2599</v>
      </c>
      <c r="AD608" t="e" vm="600">
        <v>#VALUE!</v>
      </c>
    </row>
    <row r="609" spans="2:30" x14ac:dyDescent="0.25">
      <c r="B609">
        <v>2600</v>
      </c>
      <c r="C609" t="s">
        <v>3684</v>
      </c>
      <c r="D609" t="s">
        <v>3705</v>
      </c>
      <c r="E609" t="s">
        <v>3846</v>
      </c>
      <c r="F609" t="s">
        <v>111</v>
      </c>
      <c r="G609" t="s">
        <v>84</v>
      </c>
      <c r="H609" t="s">
        <v>3808</v>
      </c>
      <c r="I609" t="s">
        <v>3809</v>
      </c>
      <c r="J609" t="s">
        <v>3827</v>
      </c>
      <c r="K609" t="s">
        <v>1218</v>
      </c>
      <c r="L609" s="13">
        <v>44217</v>
      </c>
      <c r="M609">
        <v>3</v>
      </c>
      <c r="N609" t="s">
        <v>101</v>
      </c>
      <c r="O609" t="s">
        <v>3847</v>
      </c>
      <c r="P609" t="s">
        <v>76</v>
      </c>
      <c r="Q609" t="s">
        <v>76</v>
      </c>
      <c r="R609" t="s">
        <v>76</v>
      </c>
      <c r="S609" t="s">
        <v>76</v>
      </c>
      <c r="T609" t="s">
        <v>76</v>
      </c>
      <c r="U609">
        <v>1</v>
      </c>
      <c r="V609" s="13">
        <v>45175</v>
      </c>
      <c r="W609">
        <v>1</v>
      </c>
      <c r="X609">
        <v>1</v>
      </c>
      <c r="Y609" t="s">
        <v>3706</v>
      </c>
      <c r="AC609">
        <v>2600</v>
      </c>
      <c r="AD609" t="e" vm="601">
        <v>#VALUE!</v>
      </c>
    </row>
    <row r="610" spans="2:30" x14ac:dyDescent="0.25">
      <c r="B610">
        <v>2601</v>
      </c>
      <c r="C610" t="s">
        <v>3684</v>
      </c>
      <c r="D610" t="s">
        <v>3705</v>
      </c>
      <c r="E610" t="s">
        <v>3846</v>
      </c>
      <c r="F610" t="s">
        <v>111</v>
      </c>
      <c r="G610" t="s">
        <v>84</v>
      </c>
      <c r="H610" t="s">
        <v>3808</v>
      </c>
      <c r="I610" t="s">
        <v>3809</v>
      </c>
      <c r="J610" t="s">
        <v>3827</v>
      </c>
      <c r="K610" t="s">
        <v>1218</v>
      </c>
      <c r="L610" s="13">
        <v>44217</v>
      </c>
      <c r="M610">
        <v>3</v>
      </c>
      <c r="N610" t="s">
        <v>101</v>
      </c>
      <c r="O610" t="s">
        <v>3847</v>
      </c>
      <c r="P610" t="s">
        <v>76</v>
      </c>
      <c r="Q610" t="s">
        <v>76</v>
      </c>
      <c r="R610" t="s">
        <v>76</v>
      </c>
      <c r="S610" t="s">
        <v>76</v>
      </c>
      <c r="T610" t="s">
        <v>76</v>
      </c>
      <c r="U610">
        <v>1</v>
      </c>
      <c r="V610" s="13">
        <v>45175</v>
      </c>
      <c r="W610">
        <v>1</v>
      </c>
      <c r="X610">
        <v>1</v>
      </c>
      <c r="Y610" t="s">
        <v>3706</v>
      </c>
      <c r="AC610">
        <v>2601</v>
      </c>
      <c r="AD610" t="e" vm="602">
        <v>#VALUE!</v>
      </c>
    </row>
    <row r="611" spans="2:30" x14ac:dyDescent="0.25">
      <c r="B611">
        <v>2602</v>
      </c>
      <c r="C611" t="s">
        <v>3684</v>
      </c>
      <c r="D611" t="s">
        <v>3705</v>
      </c>
      <c r="E611" t="s">
        <v>3846</v>
      </c>
      <c r="F611" t="s">
        <v>111</v>
      </c>
      <c r="G611" t="s">
        <v>84</v>
      </c>
      <c r="H611" t="s">
        <v>3808</v>
      </c>
      <c r="I611" t="s">
        <v>3809</v>
      </c>
      <c r="J611" t="s">
        <v>3827</v>
      </c>
      <c r="K611" t="s">
        <v>1218</v>
      </c>
      <c r="L611" s="13">
        <v>44204</v>
      </c>
      <c r="M611">
        <v>3</v>
      </c>
      <c r="N611" t="s">
        <v>101</v>
      </c>
      <c r="O611" t="s">
        <v>3847</v>
      </c>
      <c r="P611" t="s">
        <v>76</v>
      </c>
      <c r="Q611" t="s">
        <v>76</v>
      </c>
      <c r="R611" t="s">
        <v>76</v>
      </c>
      <c r="S611" t="s">
        <v>76</v>
      </c>
      <c r="T611" t="s">
        <v>76</v>
      </c>
      <c r="U611">
        <v>1</v>
      </c>
      <c r="V611" s="13">
        <v>45175</v>
      </c>
      <c r="W611">
        <v>1</v>
      </c>
      <c r="X611">
        <v>1</v>
      </c>
      <c r="Y611" t="s">
        <v>3706</v>
      </c>
      <c r="AC611">
        <v>2602</v>
      </c>
      <c r="AD611" t="e" vm="603">
        <v>#VALUE!</v>
      </c>
    </row>
    <row r="612" spans="2:30" x14ac:dyDescent="0.25">
      <c r="B612">
        <v>2603</v>
      </c>
      <c r="C612" t="s">
        <v>3684</v>
      </c>
      <c r="D612" t="s">
        <v>3707</v>
      </c>
      <c r="E612" t="s">
        <v>3846</v>
      </c>
      <c r="F612" t="s">
        <v>111</v>
      </c>
      <c r="G612" t="s">
        <v>80</v>
      </c>
      <c r="H612" t="s">
        <v>3808</v>
      </c>
      <c r="I612" t="s">
        <v>3809</v>
      </c>
      <c r="J612" t="s">
        <v>3827</v>
      </c>
      <c r="K612" t="s">
        <v>1218</v>
      </c>
      <c r="L612" s="13">
        <v>44271</v>
      </c>
      <c r="M612">
        <v>3</v>
      </c>
      <c r="N612" t="s">
        <v>101</v>
      </c>
      <c r="O612" t="s">
        <v>3847</v>
      </c>
      <c r="P612" t="s">
        <v>76</v>
      </c>
      <c r="Q612" t="s">
        <v>76</v>
      </c>
      <c r="R612" t="s">
        <v>76</v>
      </c>
      <c r="S612" t="s">
        <v>76</v>
      </c>
      <c r="T612" t="s">
        <v>76</v>
      </c>
      <c r="U612">
        <v>1</v>
      </c>
      <c r="V612" s="13">
        <v>45175</v>
      </c>
      <c r="W612">
        <v>1</v>
      </c>
      <c r="X612">
        <v>1</v>
      </c>
      <c r="Y612" t="s">
        <v>3708</v>
      </c>
      <c r="AC612">
        <v>2603</v>
      </c>
      <c r="AD612" t="e" vm="604">
        <v>#VALUE!</v>
      </c>
    </row>
    <row r="613" spans="2:30" x14ac:dyDescent="0.25">
      <c r="B613">
        <v>2604</v>
      </c>
      <c r="C613" t="s">
        <v>3684</v>
      </c>
      <c r="D613" t="s">
        <v>3707</v>
      </c>
      <c r="E613" t="s">
        <v>3846</v>
      </c>
      <c r="F613" t="s">
        <v>111</v>
      </c>
      <c r="G613" t="s">
        <v>80</v>
      </c>
      <c r="H613" t="s">
        <v>3808</v>
      </c>
      <c r="I613" t="s">
        <v>3809</v>
      </c>
      <c r="J613" t="s">
        <v>3827</v>
      </c>
      <c r="K613" t="s">
        <v>1218</v>
      </c>
      <c r="L613" s="13">
        <v>44217</v>
      </c>
      <c r="M613">
        <v>3</v>
      </c>
      <c r="N613" t="s">
        <v>101</v>
      </c>
      <c r="O613" t="s">
        <v>3847</v>
      </c>
      <c r="P613" t="s">
        <v>76</v>
      </c>
      <c r="Q613" t="s">
        <v>76</v>
      </c>
      <c r="R613" t="s">
        <v>76</v>
      </c>
      <c r="S613" t="s">
        <v>76</v>
      </c>
      <c r="T613" t="s">
        <v>76</v>
      </c>
      <c r="U613">
        <v>1</v>
      </c>
      <c r="V613" s="13">
        <v>45175</v>
      </c>
      <c r="W613">
        <v>1</v>
      </c>
      <c r="X613">
        <v>1</v>
      </c>
      <c r="Y613" t="s">
        <v>3708</v>
      </c>
      <c r="AC613">
        <v>2604</v>
      </c>
      <c r="AD613" t="e" vm="605">
        <v>#VALUE!</v>
      </c>
    </row>
    <row r="614" spans="2:30" x14ac:dyDescent="0.25">
      <c r="B614">
        <v>2605</v>
      </c>
      <c r="C614" t="s">
        <v>3684</v>
      </c>
      <c r="D614" t="s">
        <v>3707</v>
      </c>
      <c r="E614" t="s">
        <v>3846</v>
      </c>
      <c r="F614" t="s">
        <v>111</v>
      </c>
      <c r="G614" t="s">
        <v>80</v>
      </c>
      <c r="H614" t="s">
        <v>3808</v>
      </c>
      <c r="I614" t="s">
        <v>3809</v>
      </c>
      <c r="J614" t="s">
        <v>3827</v>
      </c>
      <c r="K614" t="s">
        <v>1218</v>
      </c>
      <c r="L614" s="13">
        <v>44250</v>
      </c>
      <c r="M614">
        <v>3</v>
      </c>
      <c r="N614" t="s">
        <v>101</v>
      </c>
      <c r="O614" t="s">
        <v>3847</v>
      </c>
      <c r="P614" t="s">
        <v>76</v>
      </c>
      <c r="Q614" t="s">
        <v>76</v>
      </c>
      <c r="R614" t="s">
        <v>76</v>
      </c>
      <c r="S614" t="s">
        <v>76</v>
      </c>
      <c r="T614" t="s">
        <v>76</v>
      </c>
      <c r="U614">
        <v>1</v>
      </c>
      <c r="V614" s="13">
        <v>45175</v>
      </c>
      <c r="W614">
        <v>1</v>
      </c>
      <c r="X614">
        <v>1</v>
      </c>
      <c r="Y614" t="s">
        <v>3708</v>
      </c>
      <c r="AC614">
        <v>2605</v>
      </c>
      <c r="AD614" t="e" vm="606">
        <v>#VALUE!</v>
      </c>
    </row>
    <row r="615" spans="2:30" x14ac:dyDescent="0.25">
      <c r="B615">
        <v>2606</v>
      </c>
      <c r="C615" t="s">
        <v>3684</v>
      </c>
      <c r="D615" t="s">
        <v>3707</v>
      </c>
      <c r="E615" t="s">
        <v>3846</v>
      </c>
      <c r="F615" t="s">
        <v>111</v>
      </c>
      <c r="G615" t="s">
        <v>80</v>
      </c>
      <c r="H615" t="s">
        <v>3808</v>
      </c>
      <c r="I615" t="s">
        <v>3809</v>
      </c>
      <c r="J615" t="s">
        <v>3827</v>
      </c>
      <c r="K615" t="s">
        <v>1218</v>
      </c>
      <c r="L615" s="13">
        <v>44253</v>
      </c>
      <c r="M615">
        <v>3</v>
      </c>
      <c r="N615" t="s">
        <v>101</v>
      </c>
      <c r="O615" t="s">
        <v>3847</v>
      </c>
      <c r="P615" t="s">
        <v>76</v>
      </c>
      <c r="Q615" t="s">
        <v>76</v>
      </c>
      <c r="R615" t="s">
        <v>76</v>
      </c>
      <c r="S615" t="s">
        <v>76</v>
      </c>
      <c r="T615" t="s">
        <v>76</v>
      </c>
      <c r="U615">
        <v>1</v>
      </c>
      <c r="V615" s="13">
        <v>45175</v>
      </c>
      <c r="W615">
        <v>1</v>
      </c>
      <c r="X615">
        <v>1</v>
      </c>
      <c r="Y615" t="s">
        <v>3708</v>
      </c>
      <c r="AC615">
        <v>2606</v>
      </c>
      <c r="AD615" t="e" vm="607">
        <v>#VALUE!</v>
      </c>
    </row>
    <row r="616" spans="2:30" x14ac:dyDescent="0.25">
      <c r="B616">
        <v>2607</v>
      </c>
      <c r="C616" t="s">
        <v>3684</v>
      </c>
      <c r="D616" t="s">
        <v>3707</v>
      </c>
      <c r="E616" t="s">
        <v>3846</v>
      </c>
      <c r="F616" t="s">
        <v>111</v>
      </c>
      <c r="G616" t="s">
        <v>80</v>
      </c>
      <c r="H616" t="s">
        <v>3808</v>
      </c>
      <c r="I616" t="s">
        <v>3809</v>
      </c>
      <c r="J616" t="s">
        <v>3827</v>
      </c>
      <c r="K616" t="s">
        <v>1218</v>
      </c>
      <c r="L616" s="13">
        <v>44253</v>
      </c>
      <c r="M616">
        <v>3</v>
      </c>
      <c r="N616" t="s">
        <v>101</v>
      </c>
      <c r="O616" t="s">
        <v>3847</v>
      </c>
      <c r="P616" t="s">
        <v>76</v>
      </c>
      <c r="Q616" t="s">
        <v>76</v>
      </c>
      <c r="R616" t="s">
        <v>76</v>
      </c>
      <c r="S616" t="s">
        <v>76</v>
      </c>
      <c r="T616" t="s">
        <v>76</v>
      </c>
      <c r="U616">
        <v>1</v>
      </c>
      <c r="V616" s="13">
        <v>45175</v>
      </c>
      <c r="W616">
        <v>1</v>
      </c>
      <c r="X616">
        <v>1</v>
      </c>
      <c r="Y616" t="s">
        <v>3708</v>
      </c>
      <c r="AC616">
        <v>2607</v>
      </c>
      <c r="AD616" t="e" vm="608">
        <v>#VALUE!</v>
      </c>
    </row>
    <row r="617" spans="2:30" x14ac:dyDescent="0.25">
      <c r="B617">
        <v>2608</v>
      </c>
      <c r="C617" t="s">
        <v>3684</v>
      </c>
      <c r="D617" t="s">
        <v>3707</v>
      </c>
      <c r="E617" t="s">
        <v>3846</v>
      </c>
      <c r="F617" t="s">
        <v>111</v>
      </c>
      <c r="G617" t="s">
        <v>80</v>
      </c>
      <c r="H617" t="s">
        <v>3808</v>
      </c>
      <c r="I617" t="s">
        <v>3809</v>
      </c>
      <c r="J617" t="s">
        <v>3827</v>
      </c>
      <c r="K617" t="s">
        <v>1218</v>
      </c>
      <c r="L617" s="13">
        <v>44250</v>
      </c>
      <c r="M617">
        <v>3</v>
      </c>
      <c r="N617" t="s">
        <v>101</v>
      </c>
      <c r="O617" t="s">
        <v>3847</v>
      </c>
      <c r="P617" t="s">
        <v>76</v>
      </c>
      <c r="Q617" t="s">
        <v>76</v>
      </c>
      <c r="R617" t="s">
        <v>76</v>
      </c>
      <c r="S617" t="s">
        <v>76</v>
      </c>
      <c r="T617" t="s">
        <v>76</v>
      </c>
      <c r="U617">
        <v>1</v>
      </c>
      <c r="V617" s="13">
        <v>45175</v>
      </c>
      <c r="W617">
        <v>1</v>
      </c>
      <c r="X617">
        <v>1</v>
      </c>
      <c r="Y617" t="s">
        <v>3708</v>
      </c>
      <c r="AC617">
        <v>2608</v>
      </c>
      <c r="AD617" t="e" vm="609">
        <v>#VALUE!</v>
      </c>
    </row>
    <row r="618" spans="2:30" x14ac:dyDescent="0.25">
      <c r="B618">
        <v>2609</v>
      </c>
      <c r="C618" t="s">
        <v>3684</v>
      </c>
      <c r="D618" t="s">
        <v>3707</v>
      </c>
      <c r="E618" t="s">
        <v>3846</v>
      </c>
      <c r="F618" t="s">
        <v>111</v>
      </c>
      <c r="G618" t="s">
        <v>80</v>
      </c>
      <c r="H618" t="s">
        <v>3808</v>
      </c>
      <c r="I618" t="s">
        <v>3809</v>
      </c>
      <c r="J618" t="s">
        <v>3827</v>
      </c>
      <c r="K618" t="s">
        <v>1218</v>
      </c>
      <c r="L618" s="13">
        <v>44250</v>
      </c>
      <c r="M618">
        <v>3</v>
      </c>
      <c r="N618" t="s">
        <v>101</v>
      </c>
      <c r="O618" t="s">
        <v>3847</v>
      </c>
      <c r="P618" t="s">
        <v>76</v>
      </c>
      <c r="Q618" t="s">
        <v>76</v>
      </c>
      <c r="R618" t="s">
        <v>76</v>
      </c>
      <c r="S618" t="s">
        <v>76</v>
      </c>
      <c r="T618" t="s">
        <v>76</v>
      </c>
      <c r="U618">
        <v>1</v>
      </c>
      <c r="V618" s="13">
        <v>45175</v>
      </c>
      <c r="W618">
        <v>1</v>
      </c>
      <c r="X618">
        <v>1</v>
      </c>
      <c r="Y618" t="s">
        <v>3708</v>
      </c>
      <c r="AC618">
        <v>2609</v>
      </c>
      <c r="AD618" t="e" vm="610">
        <v>#VALUE!</v>
      </c>
    </row>
    <row r="619" spans="2:30" x14ac:dyDescent="0.25">
      <c r="B619">
        <v>2610</v>
      </c>
      <c r="C619" t="s">
        <v>3684</v>
      </c>
      <c r="D619" t="s">
        <v>3707</v>
      </c>
      <c r="E619" t="s">
        <v>3846</v>
      </c>
      <c r="F619" t="s">
        <v>111</v>
      </c>
      <c r="G619" t="s">
        <v>80</v>
      </c>
      <c r="H619" t="s">
        <v>3808</v>
      </c>
      <c r="I619" t="s">
        <v>3809</v>
      </c>
      <c r="J619" t="s">
        <v>3827</v>
      </c>
      <c r="K619" t="s">
        <v>1218</v>
      </c>
      <c r="L619" s="13">
        <v>44267</v>
      </c>
      <c r="M619">
        <v>3</v>
      </c>
      <c r="N619" t="s">
        <v>101</v>
      </c>
      <c r="O619" t="s">
        <v>3847</v>
      </c>
      <c r="P619" t="s">
        <v>76</v>
      </c>
      <c r="Q619" t="s">
        <v>76</v>
      </c>
      <c r="R619" t="s">
        <v>76</v>
      </c>
      <c r="S619" t="s">
        <v>76</v>
      </c>
      <c r="T619" t="s">
        <v>76</v>
      </c>
      <c r="U619">
        <v>1</v>
      </c>
      <c r="V619" s="13">
        <v>45175</v>
      </c>
      <c r="W619">
        <v>1</v>
      </c>
      <c r="X619">
        <v>1</v>
      </c>
      <c r="Y619" t="s">
        <v>3708</v>
      </c>
      <c r="AC619">
        <v>2610</v>
      </c>
      <c r="AD619" t="e" vm="611">
        <v>#VALUE!</v>
      </c>
    </row>
    <row r="620" spans="2:30" x14ac:dyDescent="0.25">
      <c r="B620">
        <v>2611</v>
      </c>
      <c r="C620" t="s">
        <v>3684</v>
      </c>
      <c r="D620" t="s">
        <v>3707</v>
      </c>
      <c r="E620" t="s">
        <v>3846</v>
      </c>
      <c r="F620" t="s">
        <v>111</v>
      </c>
      <c r="G620" t="s">
        <v>80</v>
      </c>
      <c r="H620" t="s">
        <v>3808</v>
      </c>
      <c r="I620" t="s">
        <v>3809</v>
      </c>
      <c r="J620" t="s">
        <v>3827</v>
      </c>
      <c r="K620" t="s">
        <v>1218</v>
      </c>
      <c r="L620" s="13">
        <v>44253</v>
      </c>
      <c r="M620">
        <v>3</v>
      </c>
      <c r="N620" t="s">
        <v>101</v>
      </c>
      <c r="O620" t="s">
        <v>3847</v>
      </c>
      <c r="P620" t="s">
        <v>76</v>
      </c>
      <c r="Q620" t="s">
        <v>76</v>
      </c>
      <c r="R620" t="s">
        <v>76</v>
      </c>
      <c r="S620" t="s">
        <v>76</v>
      </c>
      <c r="T620" t="s">
        <v>76</v>
      </c>
      <c r="U620">
        <v>1</v>
      </c>
      <c r="V620" s="13">
        <v>45175</v>
      </c>
      <c r="W620">
        <v>1</v>
      </c>
      <c r="X620">
        <v>1</v>
      </c>
      <c r="Y620" t="s">
        <v>3708</v>
      </c>
      <c r="AC620">
        <v>2611</v>
      </c>
      <c r="AD620" t="e" vm="612">
        <v>#VALUE!</v>
      </c>
    </row>
    <row r="621" spans="2:30" x14ac:dyDescent="0.25">
      <c r="B621">
        <v>2612</v>
      </c>
      <c r="C621" t="s">
        <v>3684</v>
      </c>
      <c r="D621" t="s">
        <v>3707</v>
      </c>
      <c r="E621" t="s">
        <v>3846</v>
      </c>
      <c r="F621" t="s">
        <v>111</v>
      </c>
      <c r="G621" t="s">
        <v>80</v>
      </c>
      <c r="H621" t="s">
        <v>3808</v>
      </c>
      <c r="I621" t="s">
        <v>3809</v>
      </c>
      <c r="J621" t="s">
        <v>3827</v>
      </c>
      <c r="K621" t="s">
        <v>1218</v>
      </c>
      <c r="L621" s="13">
        <v>44363</v>
      </c>
      <c r="M621">
        <v>2</v>
      </c>
      <c r="N621" t="s">
        <v>101</v>
      </c>
      <c r="O621" t="s">
        <v>3847</v>
      </c>
      <c r="P621" t="s">
        <v>76</v>
      </c>
      <c r="Q621" t="s">
        <v>76</v>
      </c>
      <c r="R621" t="s">
        <v>76</v>
      </c>
      <c r="S621" t="s">
        <v>76</v>
      </c>
      <c r="T621" t="s">
        <v>76</v>
      </c>
      <c r="U621">
        <v>1</v>
      </c>
      <c r="V621" s="13">
        <v>45175</v>
      </c>
      <c r="W621">
        <v>1</v>
      </c>
      <c r="X621">
        <v>1</v>
      </c>
      <c r="Y621" t="s">
        <v>3708</v>
      </c>
      <c r="AC621">
        <v>2612</v>
      </c>
      <c r="AD621" t="e" vm="613">
        <v>#VALUE!</v>
      </c>
    </row>
    <row r="622" spans="2:30" x14ac:dyDescent="0.25">
      <c r="B622">
        <v>2613</v>
      </c>
      <c r="C622" t="s">
        <v>3684</v>
      </c>
      <c r="D622" t="s">
        <v>3707</v>
      </c>
      <c r="E622" t="s">
        <v>3846</v>
      </c>
      <c r="F622" t="s">
        <v>111</v>
      </c>
      <c r="G622" t="s">
        <v>80</v>
      </c>
      <c r="H622" t="s">
        <v>3808</v>
      </c>
      <c r="I622" t="s">
        <v>3809</v>
      </c>
      <c r="J622" t="s">
        <v>3827</v>
      </c>
      <c r="K622" t="s">
        <v>1218</v>
      </c>
      <c r="L622" s="13">
        <v>44386</v>
      </c>
      <c r="M622">
        <v>2</v>
      </c>
      <c r="N622" t="s">
        <v>101</v>
      </c>
      <c r="O622" t="s">
        <v>3847</v>
      </c>
      <c r="P622" t="s">
        <v>76</v>
      </c>
      <c r="Q622" t="s">
        <v>76</v>
      </c>
      <c r="R622" t="s">
        <v>76</v>
      </c>
      <c r="S622" t="s">
        <v>76</v>
      </c>
      <c r="T622" t="s">
        <v>76</v>
      </c>
      <c r="U622">
        <v>1</v>
      </c>
      <c r="V622" s="13">
        <v>45175</v>
      </c>
      <c r="W622">
        <v>1</v>
      </c>
      <c r="X622">
        <v>1</v>
      </c>
      <c r="Y622" t="s">
        <v>3708</v>
      </c>
      <c r="AC622">
        <v>2613</v>
      </c>
      <c r="AD622" t="e" vm="614">
        <v>#VALUE!</v>
      </c>
    </row>
    <row r="623" spans="2:30" x14ac:dyDescent="0.25">
      <c r="B623">
        <v>2614</v>
      </c>
      <c r="C623" t="s">
        <v>3684</v>
      </c>
      <c r="D623" t="s">
        <v>3707</v>
      </c>
      <c r="E623" t="s">
        <v>3846</v>
      </c>
      <c r="F623" t="s">
        <v>111</v>
      </c>
      <c r="G623" t="s">
        <v>80</v>
      </c>
      <c r="H623" t="s">
        <v>3808</v>
      </c>
      <c r="I623" t="s">
        <v>3809</v>
      </c>
      <c r="J623" t="s">
        <v>3827</v>
      </c>
      <c r="K623" t="s">
        <v>1218</v>
      </c>
      <c r="L623" s="13">
        <v>44355</v>
      </c>
      <c r="M623">
        <v>2</v>
      </c>
      <c r="N623" t="s">
        <v>101</v>
      </c>
      <c r="O623" t="s">
        <v>3847</v>
      </c>
      <c r="P623" t="s">
        <v>76</v>
      </c>
      <c r="Q623" t="s">
        <v>76</v>
      </c>
      <c r="R623" t="s">
        <v>76</v>
      </c>
      <c r="S623" t="s">
        <v>76</v>
      </c>
      <c r="T623" t="s">
        <v>76</v>
      </c>
      <c r="U623">
        <v>1</v>
      </c>
      <c r="V623" s="13">
        <v>45175</v>
      </c>
      <c r="W623">
        <v>1</v>
      </c>
      <c r="X623">
        <v>1</v>
      </c>
      <c r="Y623" t="s">
        <v>3708</v>
      </c>
      <c r="AC623">
        <v>2614</v>
      </c>
      <c r="AD623" t="e" vm="615">
        <v>#VALUE!</v>
      </c>
    </row>
    <row r="624" spans="2:30" x14ac:dyDescent="0.25">
      <c r="B624">
        <v>2615</v>
      </c>
      <c r="C624" t="s">
        <v>3684</v>
      </c>
      <c r="D624" t="s">
        <v>3707</v>
      </c>
      <c r="E624" t="s">
        <v>3846</v>
      </c>
      <c r="F624" t="s">
        <v>111</v>
      </c>
      <c r="G624" t="s">
        <v>80</v>
      </c>
      <c r="H624" t="s">
        <v>3808</v>
      </c>
      <c r="I624" t="s">
        <v>3809</v>
      </c>
      <c r="J624" t="s">
        <v>3827</v>
      </c>
      <c r="K624" t="s">
        <v>1218</v>
      </c>
      <c r="L624" s="13">
        <v>44355</v>
      </c>
      <c r="M624">
        <v>2</v>
      </c>
      <c r="N624" t="s">
        <v>101</v>
      </c>
      <c r="O624" t="s">
        <v>3847</v>
      </c>
      <c r="P624" t="s">
        <v>76</v>
      </c>
      <c r="Q624" t="s">
        <v>76</v>
      </c>
      <c r="R624" t="s">
        <v>76</v>
      </c>
      <c r="S624" t="s">
        <v>76</v>
      </c>
      <c r="T624" t="s">
        <v>76</v>
      </c>
      <c r="U624">
        <v>1</v>
      </c>
      <c r="V624" s="13">
        <v>45175</v>
      </c>
      <c r="W624">
        <v>1</v>
      </c>
      <c r="X624">
        <v>1</v>
      </c>
      <c r="Y624" t="s">
        <v>3708</v>
      </c>
      <c r="AC624">
        <v>2615</v>
      </c>
      <c r="AD624" t="e" vm="616">
        <v>#VALUE!</v>
      </c>
    </row>
    <row r="625" spans="2:30" x14ac:dyDescent="0.25">
      <c r="B625">
        <v>2616</v>
      </c>
      <c r="C625" t="s">
        <v>3684</v>
      </c>
      <c r="D625" t="s">
        <v>3707</v>
      </c>
      <c r="E625" t="s">
        <v>3846</v>
      </c>
      <c r="F625" t="s">
        <v>111</v>
      </c>
      <c r="G625" t="s">
        <v>80</v>
      </c>
      <c r="H625" t="s">
        <v>3808</v>
      </c>
      <c r="I625" t="s">
        <v>3809</v>
      </c>
      <c r="J625" t="s">
        <v>3827</v>
      </c>
      <c r="K625" t="s">
        <v>1218</v>
      </c>
      <c r="L625" s="13">
        <v>44377</v>
      </c>
      <c r="M625">
        <v>2</v>
      </c>
      <c r="N625" t="s">
        <v>101</v>
      </c>
      <c r="O625" t="s">
        <v>3847</v>
      </c>
      <c r="P625" t="s">
        <v>76</v>
      </c>
      <c r="Q625" t="s">
        <v>76</v>
      </c>
      <c r="R625" t="s">
        <v>76</v>
      </c>
      <c r="S625" t="s">
        <v>76</v>
      </c>
      <c r="T625" t="s">
        <v>76</v>
      </c>
      <c r="U625">
        <v>1</v>
      </c>
      <c r="V625" s="13">
        <v>45175</v>
      </c>
      <c r="W625">
        <v>1</v>
      </c>
      <c r="X625">
        <v>1</v>
      </c>
      <c r="Y625" t="s">
        <v>3708</v>
      </c>
      <c r="AC625">
        <v>2616</v>
      </c>
      <c r="AD625" t="e" vm="617">
        <v>#VALUE!</v>
      </c>
    </row>
    <row r="626" spans="2:30" x14ac:dyDescent="0.25">
      <c r="B626">
        <v>2617</v>
      </c>
      <c r="C626" t="s">
        <v>3684</v>
      </c>
      <c r="D626" t="s">
        <v>3707</v>
      </c>
      <c r="E626" t="s">
        <v>3846</v>
      </c>
      <c r="F626" t="s">
        <v>111</v>
      </c>
      <c r="G626" t="s">
        <v>80</v>
      </c>
      <c r="H626" t="s">
        <v>3808</v>
      </c>
      <c r="I626" t="s">
        <v>3809</v>
      </c>
      <c r="J626" t="s">
        <v>3827</v>
      </c>
      <c r="K626" t="s">
        <v>1218</v>
      </c>
      <c r="L626" s="13">
        <v>44253</v>
      </c>
      <c r="M626">
        <v>3</v>
      </c>
      <c r="N626" t="s">
        <v>101</v>
      </c>
      <c r="O626" t="s">
        <v>3847</v>
      </c>
      <c r="P626" t="s">
        <v>76</v>
      </c>
      <c r="Q626" t="s">
        <v>76</v>
      </c>
      <c r="R626" t="s">
        <v>76</v>
      </c>
      <c r="S626" t="s">
        <v>76</v>
      </c>
      <c r="T626" t="s">
        <v>76</v>
      </c>
      <c r="U626">
        <v>1</v>
      </c>
      <c r="V626" s="13">
        <v>45175</v>
      </c>
      <c r="W626">
        <v>1</v>
      </c>
      <c r="X626">
        <v>1</v>
      </c>
      <c r="Y626" t="s">
        <v>3708</v>
      </c>
      <c r="AC626">
        <v>2617</v>
      </c>
      <c r="AD626" t="e" vm="618">
        <v>#VALUE!</v>
      </c>
    </row>
    <row r="627" spans="2:30" x14ac:dyDescent="0.25">
      <c r="B627">
        <v>2618</v>
      </c>
      <c r="C627" t="s">
        <v>3684</v>
      </c>
      <c r="D627" t="s">
        <v>3707</v>
      </c>
      <c r="E627" t="s">
        <v>3846</v>
      </c>
      <c r="F627" t="s">
        <v>111</v>
      </c>
      <c r="G627" t="s">
        <v>80</v>
      </c>
      <c r="H627" t="s">
        <v>3808</v>
      </c>
      <c r="I627" t="s">
        <v>3809</v>
      </c>
      <c r="J627" t="s">
        <v>3827</v>
      </c>
      <c r="K627" t="s">
        <v>1218</v>
      </c>
      <c r="L627" s="13">
        <v>44266</v>
      </c>
      <c r="M627">
        <v>3</v>
      </c>
      <c r="N627" t="s">
        <v>101</v>
      </c>
      <c r="O627" t="s">
        <v>3847</v>
      </c>
      <c r="P627" t="s">
        <v>76</v>
      </c>
      <c r="Q627" t="s">
        <v>76</v>
      </c>
      <c r="R627" t="s">
        <v>76</v>
      </c>
      <c r="S627" t="s">
        <v>76</v>
      </c>
      <c r="T627" t="s">
        <v>76</v>
      </c>
      <c r="U627">
        <v>1</v>
      </c>
      <c r="V627" s="13">
        <v>45175</v>
      </c>
      <c r="W627">
        <v>1</v>
      </c>
      <c r="X627">
        <v>1</v>
      </c>
      <c r="Y627" t="s">
        <v>3708</v>
      </c>
      <c r="AC627">
        <v>2618</v>
      </c>
      <c r="AD627" t="e" vm="619">
        <v>#VALUE!</v>
      </c>
    </row>
    <row r="628" spans="2:30" x14ac:dyDescent="0.25">
      <c r="B628">
        <v>2619</v>
      </c>
      <c r="C628" t="s">
        <v>3684</v>
      </c>
      <c r="D628" t="s">
        <v>3709</v>
      </c>
      <c r="E628" t="s">
        <v>3848</v>
      </c>
      <c r="F628" t="s">
        <v>110</v>
      </c>
      <c r="G628" t="s">
        <v>112</v>
      </c>
      <c r="H628" t="s">
        <v>3808</v>
      </c>
      <c r="I628" t="s">
        <v>3809</v>
      </c>
      <c r="J628" t="s">
        <v>3827</v>
      </c>
      <c r="K628" t="s">
        <v>1218</v>
      </c>
      <c r="L628" s="13">
        <v>44272</v>
      </c>
      <c r="M628">
        <v>2</v>
      </c>
      <c r="N628" t="s">
        <v>101</v>
      </c>
      <c r="O628" t="s">
        <v>3847</v>
      </c>
      <c r="P628" t="s">
        <v>76</v>
      </c>
      <c r="Q628" t="s">
        <v>76</v>
      </c>
      <c r="R628" t="s">
        <v>76</v>
      </c>
      <c r="S628" t="s">
        <v>76</v>
      </c>
      <c r="T628" t="s">
        <v>76</v>
      </c>
      <c r="U628">
        <v>1</v>
      </c>
      <c r="V628" s="13">
        <v>45175</v>
      </c>
      <c r="W628">
        <v>1</v>
      </c>
      <c r="X628">
        <v>1</v>
      </c>
      <c r="Y628" t="s">
        <v>3710</v>
      </c>
      <c r="AC628">
        <v>2619</v>
      </c>
      <c r="AD628" t="e" vm="620">
        <v>#VALUE!</v>
      </c>
    </row>
    <row r="629" spans="2:30" x14ac:dyDescent="0.25">
      <c r="B629">
        <v>2620</v>
      </c>
      <c r="C629" t="s">
        <v>3684</v>
      </c>
      <c r="D629" t="s">
        <v>3709</v>
      </c>
      <c r="E629" t="s">
        <v>3848</v>
      </c>
      <c r="F629" t="s">
        <v>110</v>
      </c>
      <c r="G629" t="s">
        <v>112</v>
      </c>
      <c r="H629" t="s">
        <v>3808</v>
      </c>
      <c r="I629" t="s">
        <v>3809</v>
      </c>
      <c r="J629" t="s">
        <v>3827</v>
      </c>
      <c r="K629" t="s">
        <v>1218</v>
      </c>
      <c r="L629" s="13">
        <v>44272</v>
      </c>
      <c r="M629">
        <v>2</v>
      </c>
      <c r="N629" t="s">
        <v>101</v>
      </c>
      <c r="O629" t="s">
        <v>3847</v>
      </c>
      <c r="P629" t="s">
        <v>76</v>
      </c>
      <c r="Q629" t="s">
        <v>76</v>
      </c>
      <c r="R629" t="s">
        <v>76</v>
      </c>
      <c r="S629" t="s">
        <v>76</v>
      </c>
      <c r="T629" t="s">
        <v>76</v>
      </c>
      <c r="U629">
        <v>1</v>
      </c>
      <c r="V629" s="13">
        <v>45175</v>
      </c>
      <c r="W629">
        <v>1</v>
      </c>
      <c r="X629">
        <v>1</v>
      </c>
      <c r="Y629" t="s">
        <v>3710</v>
      </c>
      <c r="AC629">
        <v>2620</v>
      </c>
      <c r="AD629" t="e" vm="621">
        <v>#VALUE!</v>
      </c>
    </row>
    <row r="630" spans="2:30" x14ac:dyDescent="0.25">
      <c r="B630">
        <v>2621</v>
      </c>
      <c r="C630" t="s">
        <v>3684</v>
      </c>
      <c r="D630" t="s">
        <v>3709</v>
      </c>
      <c r="E630" t="s">
        <v>3848</v>
      </c>
      <c r="F630" t="s">
        <v>110</v>
      </c>
      <c r="G630" t="s">
        <v>112</v>
      </c>
      <c r="H630" t="s">
        <v>3808</v>
      </c>
      <c r="I630" t="s">
        <v>3809</v>
      </c>
      <c r="J630" t="s">
        <v>3827</v>
      </c>
      <c r="K630" t="s">
        <v>1218</v>
      </c>
      <c r="L630" s="13">
        <v>44340</v>
      </c>
      <c r="M630">
        <v>2</v>
      </c>
      <c r="N630" t="s">
        <v>101</v>
      </c>
      <c r="O630" t="s">
        <v>3847</v>
      </c>
      <c r="P630" t="s">
        <v>76</v>
      </c>
      <c r="Q630" t="s">
        <v>76</v>
      </c>
      <c r="R630" t="s">
        <v>76</v>
      </c>
      <c r="S630" t="s">
        <v>76</v>
      </c>
      <c r="T630" t="s">
        <v>76</v>
      </c>
      <c r="U630">
        <v>1</v>
      </c>
      <c r="V630" s="13">
        <v>45175</v>
      </c>
      <c r="W630">
        <v>1</v>
      </c>
      <c r="X630">
        <v>1</v>
      </c>
      <c r="Y630" t="s">
        <v>3710</v>
      </c>
      <c r="AC630">
        <v>2621</v>
      </c>
      <c r="AD630" t="e" vm="622">
        <v>#VALUE!</v>
      </c>
    </row>
    <row r="631" spans="2:30" x14ac:dyDescent="0.25">
      <c r="B631">
        <v>2622</v>
      </c>
      <c r="C631" t="s">
        <v>3684</v>
      </c>
      <c r="D631" t="s">
        <v>3709</v>
      </c>
      <c r="E631" t="s">
        <v>3848</v>
      </c>
      <c r="F631" t="s">
        <v>110</v>
      </c>
      <c r="G631" t="s">
        <v>112</v>
      </c>
      <c r="H631" t="s">
        <v>3808</v>
      </c>
      <c r="I631" t="s">
        <v>3809</v>
      </c>
      <c r="J631" t="s">
        <v>3827</v>
      </c>
      <c r="K631" t="s">
        <v>1218</v>
      </c>
      <c r="L631" s="13">
        <v>44335</v>
      </c>
      <c r="M631">
        <v>2</v>
      </c>
      <c r="N631" t="s">
        <v>101</v>
      </c>
      <c r="O631" t="s">
        <v>3847</v>
      </c>
      <c r="P631" t="s">
        <v>76</v>
      </c>
      <c r="Q631" t="s">
        <v>76</v>
      </c>
      <c r="R631" t="s">
        <v>76</v>
      </c>
      <c r="S631" t="s">
        <v>76</v>
      </c>
      <c r="T631" t="s">
        <v>76</v>
      </c>
      <c r="U631">
        <v>1</v>
      </c>
      <c r="V631" s="13">
        <v>45175</v>
      </c>
      <c r="W631">
        <v>1</v>
      </c>
      <c r="X631">
        <v>1</v>
      </c>
      <c r="Y631" t="s">
        <v>3710</v>
      </c>
      <c r="AC631">
        <v>2622</v>
      </c>
      <c r="AD631" t="e" vm="623">
        <v>#VALUE!</v>
      </c>
    </row>
    <row r="632" spans="2:30" x14ac:dyDescent="0.25">
      <c r="B632">
        <v>2623</v>
      </c>
      <c r="C632" t="s">
        <v>3684</v>
      </c>
      <c r="D632" t="s">
        <v>3709</v>
      </c>
      <c r="E632" t="s">
        <v>3848</v>
      </c>
      <c r="F632" t="s">
        <v>110</v>
      </c>
      <c r="G632" t="s">
        <v>112</v>
      </c>
      <c r="H632" t="s">
        <v>3808</v>
      </c>
      <c r="I632" t="s">
        <v>3809</v>
      </c>
      <c r="J632" t="s">
        <v>3827</v>
      </c>
      <c r="K632" t="s">
        <v>1218</v>
      </c>
      <c r="L632" s="13">
        <v>44286</v>
      </c>
      <c r="M632">
        <v>2</v>
      </c>
      <c r="N632" t="s">
        <v>101</v>
      </c>
      <c r="O632" t="s">
        <v>3847</v>
      </c>
      <c r="P632" t="s">
        <v>76</v>
      </c>
      <c r="Q632" t="s">
        <v>76</v>
      </c>
      <c r="R632" t="s">
        <v>76</v>
      </c>
      <c r="S632" t="s">
        <v>76</v>
      </c>
      <c r="T632" t="s">
        <v>76</v>
      </c>
      <c r="U632">
        <v>1</v>
      </c>
      <c r="V632" s="13">
        <v>45175</v>
      </c>
      <c r="W632">
        <v>1</v>
      </c>
      <c r="X632">
        <v>1</v>
      </c>
      <c r="Y632" t="s">
        <v>3710</v>
      </c>
      <c r="AC632">
        <v>2623</v>
      </c>
      <c r="AD632" t="e" vm="624">
        <v>#VALUE!</v>
      </c>
    </row>
    <row r="633" spans="2:30" x14ac:dyDescent="0.25">
      <c r="B633">
        <v>2624</v>
      </c>
      <c r="C633" t="s">
        <v>3684</v>
      </c>
      <c r="D633" t="s">
        <v>3709</v>
      </c>
      <c r="E633" t="s">
        <v>3848</v>
      </c>
      <c r="F633" t="s">
        <v>110</v>
      </c>
      <c r="G633" t="s">
        <v>112</v>
      </c>
      <c r="H633" t="s">
        <v>3808</v>
      </c>
      <c r="I633" t="s">
        <v>3809</v>
      </c>
      <c r="J633" t="s">
        <v>3827</v>
      </c>
      <c r="K633" t="s">
        <v>1218</v>
      </c>
      <c r="L633" s="13">
        <v>44302</v>
      </c>
      <c r="M633">
        <v>2</v>
      </c>
      <c r="N633" t="s">
        <v>101</v>
      </c>
      <c r="O633" t="s">
        <v>3847</v>
      </c>
      <c r="P633" t="s">
        <v>76</v>
      </c>
      <c r="Q633" t="s">
        <v>76</v>
      </c>
      <c r="R633" t="s">
        <v>76</v>
      </c>
      <c r="S633" t="s">
        <v>76</v>
      </c>
      <c r="T633" t="s">
        <v>76</v>
      </c>
      <c r="U633">
        <v>1</v>
      </c>
      <c r="V633" s="13">
        <v>45175</v>
      </c>
      <c r="W633">
        <v>1</v>
      </c>
      <c r="X633">
        <v>1</v>
      </c>
      <c r="Y633" t="s">
        <v>3710</v>
      </c>
      <c r="AC633">
        <v>2624</v>
      </c>
      <c r="AD633" t="e" vm="625">
        <v>#VALUE!</v>
      </c>
    </row>
    <row r="634" spans="2:30" x14ac:dyDescent="0.25">
      <c r="B634">
        <v>2625</v>
      </c>
      <c r="C634" t="s">
        <v>3684</v>
      </c>
      <c r="D634" t="s">
        <v>3709</v>
      </c>
      <c r="E634" t="s">
        <v>3848</v>
      </c>
      <c r="F634" t="s">
        <v>110</v>
      </c>
      <c r="G634" t="s">
        <v>112</v>
      </c>
      <c r="H634" t="s">
        <v>3808</v>
      </c>
      <c r="I634" t="s">
        <v>3809</v>
      </c>
      <c r="J634" t="s">
        <v>3827</v>
      </c>
      <c r="K634" t="s">
        <v>1218</v>
      </c>
      <c r="L634" s="13">
        <v>44363</v>
      </c>
      <c r="M634">
        <v>2</v>
      </c>
      <c r="N634" t="s">
        <v>101</v>
      </c>
      <c r="O634" t="s">
        <v>3847</v>
      </c>
      <c r="P634" t="s">
        <v>76</v>
      </c>
      <c r="Q634" t="s">
        <v>76</v>
      </c>
      <c r="R634" t="s">
        <v>76</v>
      </c>
      <c r="S634" t="s">
        <v>76</v>
      </c>
      <c r="T634" t="s">
        <v>76</v>
      </c>
      <c r="U634">
        <v>1</v>
      </c>
      <c r="V634" s="13">
        <v>45175</v>
      </c>
      <c r="W634">
        <v>1</v>
      </c>
      <c r="X634">
        <v>1</v>
      </c>
      <c r="Y634" t="s">
        <v>3710</v>
      </c>
      <c r="AC634">
        <v>2625</v>
      </c>
      <c r="AD634" t="e" vm="626">
        <v>#VALUE!</v>
      </c>
    </row>
    <row r="635" spans="2:30" x14ac:dyDescent="0.25">
      <c r="B635">
        <v>2626</v>
      </c>
      <c r="C635" t="s">
        <v>3684</v>
      </c>
      <c r="D635" t="s">
        <v>3709</v>
      </c>
      <c r="E635" t="s">
        <v>3848</v>
      </c>
      <c r="F635" t="s">
        <v>110</v>
      </c>
      <c r="G635" t="s">
        <v>112</v>
      </c>
      <c r="H635" t="s">
        <v>3808</v>
      </c>
      <c r="I635" t="s">
        <v>3809</v>
      </c>
      <c r="J635" t="s">
        <v>3827</v>
      </c>
      <c r="K635" t="s">
        <v>1218</v>
      </c>
      <c r="L635" s="13">
        <v>44424</v>
      </c>
      <c r="M635">
        <v>2</v>
      </c>
      <c r="N635" t="s">
        <v>101</v>
      </c>
      <c r="O635" t="s">
        <v>3847</v>
      </c>
      <c r="P635" t="s">
        <v>76</v>
      </c>
      <c r="Q635" t="s">
        <v>76</v>
      </c>
      <c r="R635" t="s">
        <v>76</v>
      </c>
      <c r="S635" t="s">
        <v>76</v>
      </c>
      <c r="T635" t="s">
        <v>76</v>
      </c>
      <c r="U635">
        <v>1</v>
      </c>
      <c r="V635" s="13">
        <v>45175</v>
      </c>
      <c r="W635">
        <v>1</v>
      </c>
      <c r="X635">
        <v>1</v>
      </c>
      <c r="Y635" t="s">
        <v>3710</v>
      </c>
      <c r="AC635">
        <v>2626</v>
      </c>
      <c r="AD635" t="e" vm="627">
        <v>#VALUE!</v>
      </c>
    </row>
    <row r="636" spans="2:30" x14ac:dyDescent="0.25">
      <c r="B636">
        <v>2627</v>
      </c>
      <c r="C636" t="s">
        <v>3684</v>
      </c>
      <c r="D636" t="s">
        <v>3709</v>
      </c>
      <c r="E636" t="s">
        <v>3848</v>
      </c>
      <c r="F636" t="s">
        <v>110</v>
      </c>
      <c r="G636" t="s">
        <v>112</v>
      </c>
      <c r="H636" t="s">
        <v>3808</v>
      </c>
      <c r="I636" t="s">
        <v>3809</v>
      </c>
      <c r="J636" t="s">
        <v>3827</v>
      </c>
      <c r="K636" t="s">
        <v>1218</v>
      </c>
      <c r="L636" s="13">
        <v>44368</v>
      </c>
      <c r="M636">
        <v>2</v>
      </c>
      <c r="N636" t="s">
        <v>101</v>
      </c>
      <c r="O636" t="s">
        <v>3847</v>
      </c>
      <c r="P636" t="s">
        <v>76</v>
      </c>
      <c r="Q636" t="s">
        <v>76</v>
      </c>
      <c r="R636" t="s">
        <v>76</v>
      </c>
      <c r="S636" t="s">
        <v>76</v>
      </c>
      <c r="T636" t="s">
        <v>76</v>
      </c>
      <c r="U636">
        <v>1</v>
      </c>
      <c r="V636" s="13">
        <v>45175</v>
      </c>
      <c r="W636">
        <v>1</v>
      </c>
      <c r="X636">
        <v>1</v>
      </c>
      <c r="Y636" t="s">
        <v>3710</v>
      </c>
      <c r="AC636">
        <v>2627</v>
      </c>
      <c r="AD636" t="e" vm="628">
        <v>#VALUE!</v>
      </c>
    </row>
    <row r="637" spans="2:30" x14ac:dyDescent="0.25">
      <c r="B637">
        <v>2628</v>
      </c>
      <c r="C637" t="s">
        <v>3684</v>
      </c>
      <c r="D637" t="s">
        <v>3709</v>
      </c>
      <c r="E637" t="s">
        <v>3848</v>
      </c>
      <c r="F637" t="s">
        <v>110</v>
      </c>
      <c r="G637" t="s">
        <v>112</v>
      </c>
      <c r="H637" t="s">
        <v>3808</v>
      </c>
      <c r="I637" t="s">
        <v>3809</v>
      </c>
      <c r="J637" t="s">
        <v>3827</v>
      </c>
      <c r="K637" t="s">
        <v>1218</v>
      </c>
      <c r="L637" s="13">
        <v>44389</v>
      </c>
      <c r="M637">
        <v>2</v>
      </c>
      <c r="N637" t="s">
        <v>101</v>
      </c>
      <c r="O637" t="s">
        <v>3847</v>
      </c>
      <c r="P637" t="s">
        <v>76</v>
      </c>
      <c r="Q637" t="s">
        <v>76</v>
      </c>
      <c r="R637" t="s">
        <v>76</v>
      </c>
      <c r="S637" t="s">
        <v>76</v>
      </c>
      <c r="T637" t="s">
        <v>76</v>
      </c>
      <c r="U637">
        <v>1</v>
      </c>
      <c r="V637" s="13">
        <v>45175</v>
      </c>
      <c r="W637">
        <v>1</v>
      </c>
      <c r="X637">
        <v>1</v>
      </c>
      <c r="Y637" t="s">
        <v>3710</v>
      </c>
      <c r="AC637">
        <v>2628</v>
      </c>
      <c r="AD637" t="e" vm="629">
        <v>#VALUE!</v>
      </c>
    </row>
    <row r="638" spans="2:30" x14ac:dyDescent="0.25">
      <c r="B638">
        <v>2629</v>
      </c>
      <c r="C638" t="s">
        <v>3684</v>
      </c>
      <c r="D638" t="s">
        <v>3709</v>
      </c>
      <c r="E638" t="s">
        <v>3848</v>
      </c>
      <c r="F638" t="s">
        <v>110</v>
      </c>
      <c r="G638" t="s">
        <v>112</v>
      </c>
      <c r="H638" t="s">
        <v>3808</v>
      </c>
      <c r="I638" t="s">
        <v>3809</v>
      </c>
      <c r="J638" t="s">
        <v>3827</v>
      </c>
      <c r="K638" t="s">
        <v>1218</v>
      </c>
      <c r="L638" s="13">
        <v>44424</v>
      </c>
      <c r="M638">
        <v>2</v>
      </c>
      <c r="N638" t="s">
        <v>101</v>
      </c>
      <c r="O638" t="s">
        <v>3847</v>
      </c>
      <c r="P638" t="s">
        <v>76</v>
      </c>
      <c r="Q638" t="s">
        <v>76</v>
      </c>
      <c r="R638" t="s">
        <v>76</v>
      </c>
      <c r="S638" t="s">
        <v>76</v>
      </c>
      <c r="T638" t="s">
        <v>76</v>
      </c>
      <c r="U638">
        <v>1</v>
      </c>
      <c r="V638" s="13">
        <v>45175</v>
      </c>
      <c r="W638">
        <v>1</v>
      </c>
      <c r="X638">
        <v>1</v>
      </c>
      <c r="Y638" t="s">
        <v>3710</v>
      </c>
      <c r="AC638">
        <v>2629</v>
      </c>
      <c r="AD638" t="e" vm="630">
        <v>#VALUE!</v>
      </c>
    </row>
    <row r="639" spans="2:30" x14ac:dyDescent="0.25">
      <c r="B639">
        <v>2630</v>
      </c>
      <c r="C639" t="s">
        <v>3684</v>
      </c>
      <c r="D639" t="s">
        <v>3709</v>
      </c>
      <c r="E639" t="s">
        <v>3848</v>
      </c>
      <c r="F639" t="s">
        <v>110</v>
      </c>
      <c r="G639" t="s">
        <v>112</v>
      </c>
      <c r="H639" t="s">
        <v>3808</v>
      </c>
      <c r="I639" t="s">
        <v>3809</v>
      </c>
      <c r="J639" t="s">
        <v>3827</v>
      </c>
      <c r="K639" t="s">
        <v>1218</v>
      </c>
      <c r="L639" s="13">
        <v>44424</v>
      </c>
      <c r="M639">
        <v>2</v>
      </c>
      <c r="N639" t="s">
        <v>101</v>
      </c>
      <c r="O639" t="s">
        <v>3847</v>
      </c>
      <c r="P639" t="s">
        <v>76</v>
      </c>
      <c r="Q639" t="s">
        <v>76</v>
      </c>
      <c r="R639" t="s">
        <v>76</v>
      </c>
      <c r="S639" t="s">
        <v>76</v>
      </c>
      <c r="T639" t="s">
        <v>76</v>
      </c>
      <c r="U639">
        <v>1</v>
      </c>
      <c r="V639" s="13">
        <v>45175</v>
      </c>
      <c r="W639">
        <v>1</v>
      </c>
      <c r="X639">
        <v>1</v>
      </c>
      <c r="Y639" t="s">
        <v>3710</v>
      </c>
      <c r="AC639">
        <v>2630</v>
      </c>
      <c r="AD639" t="e" vm="631">
        <v>#VALUE!</v>
      </c>
    </row>
    <row r="640" spans="2:30" x14ac:dyDescent="0.25">
      <c r="B640">
        <v>2631</v>
      </c>
      <c r="C640" t="s">
        <v>3646</v>
      </c>
      <c r="D640" t="s">
        <v>3711</v>
      </c>
      <c r="E640" t="s">
        <v>3849</v>
      </c>
      <c r="F640" t="s">
        <v>83</v>
      </c>
      <c r="G640" t="s">
        <v>103</v>
      </c>
      <c r="H640" t="s">
        <v>3808</v>
      </c>
      <c r="I640" t="s">
        <v>3821</v>
      </c>
      <c r="J640" t="s">
        <v>3827</v>
      </c>
      <c r="K640" t="s">
        <v>1218</v>
      </c>
      <c r="L640" s="13">
        <v>44789</v>
      </c>
      <c r="M640">
        <v>1</v>
      </c>
      <c r="N640" t="s">
        <v>90</v>
      </c>
      <c r="O640" t="s">
        <v>3850</v>
      </c>
      <c r="P640" t="s">
        <v>76</v>
      </c>
      <c r="Q640" t="s">
        <v>76</v>
      </c>
      <c r="R640" t="s">
        <v>76</v>
      </c>
      <c r="S640" t="s">
        <v>76</v>
      </c>
      <c r="T640" t="s">
        <v>76</v>
      </c>
      <c r="U640">
        <v>1</v>
      </c>
      <c r="V640" s="13">
        <v>45175</v>
      </c>
      <c r="W640">
        <v>1</v>
      </c>
      <c r="X640">
        <v>1</v>
      </c>
      <c r="Y640" t="s">
        <v>3712</v>
      </c>
      <c r="AC640">
        <v>2631</v>
      </c>
      <c r="AD640" t="e" vm="632">
        <v>#VALUE!</v>
      </c>
    </row>
    <row r="641" spans="2:30" x14ac:dyDescent="0.25">
      <c r="B641">
        <v>2632</v>
      </c>
      <c r="C641" t="s">
        <v>3646</v>
      </c>
      <c r="D641" t="s">
        <v>3711</v>
      </c>
      <c r="E641" t="s">
        <v>3849</v>
      </c>
      <c r="F641" t="s">
        <v>83</v>
      </c>
      <c r="G641" t="s">
        <v>103</v>
      </c>
      <c r="H641" t="s">
        <v>3808</v>
      </c>
      <c r="I641" t="s">
        <v>3821</v>
      </c>
      <c r="J641" t="s">
        <v>3827</v>
      </c>
      <c r="K641" t="s">
        <v>1218</v>
      </c>
      <c r="L641" s="13">
        <v>44783</v>
      </c>
      <c r="M641">
        <v>1</v>
      </c>
      <c r="N641" t="s">
        <v>90</v>
      </c>
      <c r="O641" t="s">
        <v>3850</v>
      </c>
      <c r="P641" t="s">
        <v>76</v>
      </c>
      <c r="Q641" t="s">
        <v>76</v>
      </c>
      <c r="R641" t="s">
        <v>76</v>
      </c>
      <c r="S641" t="s">
        <v>76</v>
      </c>
      <c r="T641" t="s">
        <v>76</v>
      </c>
      <c r="U641">
        <v>1</v>
      </c>
      <c r="V641" s="13">
        <v>45175</v>
      </c>
      <c r="W641">
        <v>1</v>
      </c>
      <c r="X641">
        <v>1</v>
      </c>
      <c r="Y641" t="s">
        <v>3712</v>
      </c>
      <c r="AC641">
        <v>2632</v>
      </c>
      <c r="AD641" t="e" vm="633">
        <v>#VALUE!</v>
      </c>
    </row>
    <row r="642" spans="2:30" x14ac:dyDescent="0.25">
      <c r="B642">
        <v>2633</v>
      </c>
      <c r="C642" t="s">
        <v>3646</v>
      </c>
      <c r="D642" t="s">
        <v>3711</v>
      </c>
      <c r="E642" t="s">
        <v>3849</v>
      </c>
      <c r="F642" t="s">
        <v>83</v>
      </c>
      <c r="G642" t="s">
        <v>103</v>
      </c>
      <c r="H642" t="s">
        <v>3808</v>
      </c>
      <c r="I642" t="s">
        <v>3821</v>
      </c>
      <c r="J642" t="s">
        <v>3827</v>
      </c>
      <c r="K642" t="s">
        <v>1218</v>
      </c>
      <c r="L642" s="13">
        <v>44279</v>
      </c>
      <c r="M642">
        <v>2</v>
      </c>
      <c r="N642" t="s">
        <v>90</v>
      </c>
      <c r="O642" t="s">
        <v>3850</v>
      </c>
      <c r="P642" t="s">
        <v>76</v>
      </c>
      <c r="Q642" t="s">
        <v>76</v>
      </c>
      <c r="R642" t="s">
        <v>76</v>
      </c>
      <c r="S642" t="s">
        <v>76</v>
      </c>
      <c r="T642" t="s">
        <v>76</v>
      </c>
      <c r="U642">
        <v>1</v>
      </c>
      <c r="V642" s="13">
        <v>45175</v>
      </c>
      <c r="W642">
        <v>1</v>
      </c>
      <c r="X642">
        <v>1</v>
      </c>
      <c r="Y642" t="s">
        <v>3712</v>
      </c>
      <c r="AC642">
        <v>2633</v>
      </c>
      <c r="AD642" t="e" vm="634">
        <v>#VALUE!</v>
      </c>
    </row>
    <row r="643" spans="2:30" x14ac:dyDescent="0.25">
      <c r="B643">
        <v>2634</v>
      </c>
      <c r="C643" t="s">
        <v>3646</v>
      </c>
      <c r="D643" t="s">
        <v>3711</v>
      </c>
      <c r="E643" t="s">
        <v>3849</v>
      </c>
      <c r="F643" t="s">
        <v>83</v>
      </c>
      <c r="G643" t="s">
        <v>103</v>
      </c>
      <c r="H643" t="s">
        <v>3808</v>
      </c>
      <c r="I643" t="s">
        <v>3821</v>
      </c>
      <c r="J643" t="s">
        <v>3827</v>
      </c>
      <c r="K643" t="s">
        <v>1218</v>
      </c>
      <c r="L643" s="13">
        <v>44574</v>
      </c>
      <c r="M643">
        <v>2</v>
      </c>
      <c r="N643" t="s">
        <v>90</v>
      </c>
      <c r="O643" t="s">
        <v>3850</v>
      </c>
      <c r="P643" t="s">
        <v>76</v>
      </c>
      <c r="Q643" t="s">
        <v>76</v>
      </c>
      <c r="R643" t="s">
        <v>76</v>
      </c>
      <c r="S643" t="s">
        <v>76</v>
      </c>
      <c r="T643" t="s">
        <v>76</v>
      </c>
      <c r="U643">
        <v>1</v>
      </c>
      <c r="V643" s="13">
        <v>45175</v>
      </c>
      <c r="W643">
        <v>1</v>
      </c>
      <c r="X643">
        <v>1</v>
      </c>
      <c r="Y643" t="s">
        <v>3712</v>
      </c>
      <c r="AC643">
        <v>2634</v>
      </c>
      <c r="AD643" t="e" vm="635">
        <v>#VALUE!</v>
      </c>
    </row>
    <row r="644" spans="2:30" x14ac:dyDescent="0.25">
      <c r="B644">
        <v>2635</v>
      </c>
      <c r="C644" t="s">
        <v>3646</v>
      </c>
      <c r="D644" t="s">
        <v>3711</v>
      </c>
      <c r="E644" t="s">
        <v>3849</v>
      </c>
      <c r="F644" t="s">
        <v>83</v>
      </c>
      <c r="G644" t="s">
        <v>103</v>
      </c>
      <c r="H644" t="s">
        <v>3808</v>
      </c>
      <c r="I644" t="s">
        <v>3821</v>
      </c>
      <c r="J644" t="s">
        <v>3827</v>
      </c>
      <c r="K644" t="s">
        <v>1218</v>
      </c>
      <c r="L644" s="13">
        <v>44279</v>
      </c>
      <c r="M644">
        <v>2</v>
      </c>
      <c r="N644" t="s">
        <v>90</v>
      </c>
      <c r="O644" t="s">
        <v>3850</v>
      </c>
      <c r="P644" t="s">
        <v>76</v>
      </c>
      <c r="Q644" t="s">
        <v>76</v>
      </c>
      <c r="R644" t="s">
        <v>76</v>
      </c>
      <c r="S644" t="s">
        <v>76</v>
      </c>
      <c r="T644" t="s">
        <v>76</v>
      </c>
      <c r="U644">
        <v>1</v>
      </c>
      <c r="V644" s="13">
        <v>45175</v>
      </c>
      <c r="W644">
        <v>1</v>
      </c>
      <c r="X644">
        <v>1</v>
      </c>
      <c r="Y644" t="s">
        <v>3712</v>
      </c>
      <c r="AC644">
        <v>2635</v>
      </c>
      <c r="AD644" t="e" vm="636">
        <v>#VALUE!</v>
      </c>
    </row>
    <row r="645" spans="2:30" x14ac:dyDescent="0.25">
      <c r="B645">
        <v>2636</v>
      </c>
      <c r="C645" t="s">
        <v>3646</v>
      </c>
      <c r="D645" t="s">
        <v>3711</v>
      </c>
      <c r="E645" t="s">
        <v>3849</v>
      </c>
      <c r="F645" t="s">
        <v>83</v>
      </c>
      <c r="G645" t="s">
        <v>103</v>
      </c>
      <c r="H645" t="s">
        <v>3808</v>
      </c>
      <c r="I645" t="s">
        <v>3821</v>
      </c>
      <c r="J645" t="s">
        <v>3827</v>
      </c>
      <c r="K645" t="s">
        <v>1218</v>
      </c>
      <c r="L645" s="13">
        <v>44285</v>
      </c>
      <c r="M645">
        <v>2</v>
      </c>
      <c r="N645" t="s">
        <v>90</v>
      </c>
      <c r="O645" t="s">
        <v>3850</v>
      </c>
      <c r="P645" t="s">
        <v>76</v>
      </c>
      <c r="Q645" t="s">
        <v>76</v>
      </c>
      <c r="R645" t="s">
        <v>76</v>
      </c>
      <c r="S645" t="s">
        <v>76</v>
      </c>
      <c r="T645" t="s">
        <v>76</v>
      </c>
      <c r="U645">
        <v>1</v>
      </c>
      <c r="V645" s="13">
        <v>45175</v>
      </c>
      <c r="W645">
        <v>1</v>
      </c>
      <c r="X645">
        <v>1</v>
      </c>
      <c r="Y645" t="s">
        <v>3712</v>
      </c>
      <c r="AC645">
        <v>2636</v>
      </c>
      <c r="AD645" t="e" vm="637">
        <v>#VALUE!</v>
      </c>
    </row>
    <row r="646" spans="2:30" x14ac:dyDescent="0.25">
      <c r="B646">
        <v>2637</v>
      </c>
      <c r="C646" t="s">
        <v>3646</v>
      </c>
      <c r="D646" t="s">
        <v>3711</v>
      </c>
      <c r="E646" t="s">
        <v>3849</v>
      </c>
      <c r="F646" t="s">
        <v>83</v>
      </c>
      <c r="G646" t="s">
        <v>103</v>
      </c>
      <c r="H646" t="s">
        <v>3808</v>
      </c>
      <c r="I646" t="s">
        <v>3821</v>
      </c>
      <c r="J646" t="s">
        <v>3827</v>
      </c>
      <c r="K646" t="s">
        <v>1218</v>
      </c>
      <c r="L646" s="13">
        <v>44279</v>
      </c>
      <c r="M646">
        <v>2</v>
      </c>
      <c r="N646" t="s">
        <v>90</v>
      </c>
      <c r="O646" t="s">
        <v>3850</v>
      </c>
      <c r="P646" t="s">
        <v>76</v>
      </c>
      <c r="Q646" t="s">
        <v>76</v>
      </c>
      <c r="R646" t="s">
        <v>76</v>
      </c>
      <c r="S646" t="s">
        <v>76</v>
      </c>
      <c r="T646" t="s">
        <v>76</v>
      </c>
      <c r="U646">
        <v>1</v>
      </c>
      <c r="V646" s="13">
        <v>45175</v>
      </c>
      <c r="W646">
        <v>1</v>
      </c>
      <c r="X646">
        <v>1</v>
      </c>
      <c r="Y646" t="s">
        <v>3712</v>
      </c>
      <c r="AC646">
        <v>2637</v>
      </c>
      <c r="AD646" t="e" vm="638">
        <v>#VALUE!</v>
      </c>
    </row>
    <row r="647" spans="2:30" x14ac:dyDescent="0.25">
      <c r="B647">
        <v>2638</v>
      </c>
      <c r="C647" t="s">
        <v>3646</v>
      </c>
      <c r="D647" t="s">
        <v>3711</v>
      </c>
      <c r="E647" t="s">
        <v>3849</v>
      </c>
      <c r="F647" t="s">
        <v>83</v>
      </c>
      <c r="G647" t="s">
        <v>103</v>
      </c>
      <c r="H647" t="s">
        <v>3808</v>
      </c>
      <c r="I647" t="s">
        <v>3821</v>
      </c>
      <c r="J647" t="s">
        <v>3827</v>
      </c>
      <c r="K647" t="s">
        <v>1218</v>
      </c>
      <c r="L647" s="13">
        <v>44225</v>
      </c>
      <c r="M647">
        <v>3</v>
      </c>
      <c r="N647" t="s">
        <v>90</v>
      </c>
      <c r="O647" t="s">
        <v>3850</v>
      </c>
      <c r="P647" t="s">
        <v>76</v>
      </c>
      <c r="Q647" t="s">
        <v>76</v>
      </c>
      <c r="R647" t="s">
        <v>76</v>
      </c>
      <c r="S647" t="s">
        <v>76</v>
      </c>
      <c r="T647" t="s">
        <v>76</v>
      </c>
      <c r="U647">
        <v>1</v>
      </c>
      <c r="V647" s="13">
        <v>45175</v>
      </c>
      <c r="W647">
        <v>1</v>
      </c>
      <c r="X647">
        <v>1</v>
      </c>
      <c r="Y647" t="s">
        <v>3712</v>
      </c>
      <c r="AC647">
        <v>2638</v>
      </c>
      <c r="AD647" t="e" vm="639">
        <v>#VALUE!</v>
      </c>
    </row>
    <row r="648" spans="2:30" x14ac:dyDescent="0.25">
      <c r="B648">
        <v>2639</v>
      </c>
      <c r="C648" t="s">
        <v>3646</v>
      </c>
      <c r="D648" t="s">
        <v>3711</v>
      </c>
      <c r="E648" t="s">
        <v>3849</v>
      </c>
      <c r="F648" t="s">
        <v>83</v>
      </c>
      <c r="G648" t="s">
        <v>103</v>
      </c>
      <c r="H648" t="s">
        <v>3808</v>
      </c>
      <c r="I648" t="s">
        <v>3821</v>
      </c>
      <c r="J648" t="s">
        <v>3827</v>
      </c>
      <c r="K648" t="s">
        <v>1218</v>
      </c>
      <c r="L648" s="13">
        <v>44225</v>
      </c>
      <c r="M648">
        <v>3</v>
      </c>
      <c r="N648" t="s">
        <v>90</v>
      </c>
      <c r="O648" t="s">
        <v>3850</v>
      </c>
      <c r="P648" t="s">
        <v>76</v>
      </c>
      <c r="Q648" t="s">
        <v>76</v>
      </c>
      <c r="R648" t="s">
        <v>76</v>
      </c>
      <c r="S648" t="s">
        <v>76</v>
      </c>
      <c r="T648" t="s">
        <v>76</v>
      </c>
      <c r="U648">
        <v>1</v>
      </c>
      <c r="V648" s="13">
        <v>45175</v>
      </c>
      <c r="W648">
        <v>1</v>
      </c>
      <c r="X648">
        <v>1</v>
      </c>
      <c r="Y648" t="s">
        <v>3712</v>
      </c>
      <c r="AC648">
        <v>2639</v>
      </c>
      <c r="AD648" t="e" vm="640">
        <v>#VALUE!</v>
      </c>
    </row>
    <row r="649" spans="2:30" x14ac:dyDescent="0.25">
      <c r="B649">
        <v>2640</v>
      </c>
      <c r="C649" t="s">
        <v>3646</v>
      </c>
      <c r="D649" t="s">
        <v>3711</v>
      </c>
      <c r="E649" t="s">
        <v>3849</v>
      </c>
      <c r="F649" t="s">
        <v>83</v>
      </c>
      <c r="G649" t="s">
        <v>103</v>
      </c>
      <c r="H649" t="s">
        <v>3808</v>
      </c>
      <c r="I649" t="s">
        <v>3821</v>
      </c>
      <c r="J649" t="s">
        <v>3827</v>
      </c>
      <c r="K649" t="s">
        <v>1218</v>
      </c>
      <c r="L649" s="13">
        <v>44348</v>
      </c>
      <c r="M649">
        <v>2</v>
      </c>
      <c r="N649" t="s">
        <v>90</v>
      </c>
      <c r="O649" t="s">
        <v>3850</v>
      </c>
      <c r="P649" t="s">
        <v>76</v>
      </c>
      <c r="Q649" t="s">
        <v>76</v>
      </c>
      <c r="R649" t="s">
        <v>76</v>
      </c>
      <c r="S649" t="s">
        <v>76</v>
      </c>
      <c r="T649" t="s">
        <v>76</v>
      </c>
      <c r="U649">
        <v>1</v>
      </c>
      <c r="V649" s="13">
        <v>45175</v>
      </c>
      <c r="W649">
        <v>1</v>
      </c>
      <c r="X649">
        <v>1</v>
      </c>
      <c r="Y649" t="s">
        <v>3712</v>
      </c>
      <c r="AC649">
        <v>2640</v>
      </c>
      <c r="AD649" t="e" vm="641">
        <v>#VALUE!</v>
      </c>
    </row>
    <row r="650" spans="2:30" x14ac:dyDescent="0.25">
      <c r="B650">
        <v>2641</v>
      </c>
      <c r="C650" t="s">
        <v>3646</v>
      </c>
      <c r="D650" t="s">
        <v>3711</v>
      </c>
      <c r="E650" t="s">
        <v>3849</v>
      </c>
      <c r="F650" t="s">
        <v>83</v>
      </c>
      <c r="G650" t="s">
        <v>103</v>
      </c>
      <c r="H650" t="s">
        <v>3808</v>
      </c>
      <c r="I650" t="s">
        <v>3821</v>
      </c>
      <c r="J650" t="s">
        <v>3827</v>
      </c>
      <c r="K650" t="s">
        <v>1218</v>
      </c>
      <c r="L650" s="13">
        <v>44270</v>
      </c>
      <c r="M650">
        <v>3</v>
      </c>
      <c r="N650" t="s">
        <v>90</v>
      </c>
      <c r="O650" t="s">
        <v>3850</v>
      </c>
      <c r="P650" t="s">
        <v>76</v>
      </c>
      <c r="Q650" t="s">
        <v>76</v>
      </c>
      <c r="R650" t="s">
        <v>76</v>
      </c>
      <c r="S650" t="s">
        <v>76</v>
      </c>
      <c r="T650" t="s">
        <v>76</v>
      </c>
      <c r="U650">
        <v>1</v>
      </c>
      <c r="V650" s="13">
        <v>45175</v>
      </c>
      <c r="W650">
        <v>1</v>
      </c>
      <c r="X650">
        <v>1</v>
      </c>
      <c r="Y650" t="s">
        <v>3712</v>
      </c>
      <c r="AC650">
        <v>2641</v>
      </c>
      <c r="AD650" t="e" vm="642">
        <v>#VALUE!</v>
      </c>
    </row>
    <row r="651" spans="2:30" x14ac:dyDescent="0.25">
      <c r="B651">
        <v>2642</v>
      </c>
      <c r="C651" t="s">
        <v>3646</v>
      </c>
      <c r="D651" t="s">
        <v>3713</v>
      </c>
      <c r="E651" t="s">
        <v>3849</v>
      </c>
      <c r="F651" t="s">
        <v>83</v>
      </c>
      <c r="G651" t="s">
        <v>107</v>
      </c>
      <c r="H651" t="s">
        <v>3808</v>
      </c>
      <c r="I651" t="s">
        <v>3821</v>
      </c>
      <c r="J651" t="s">
        <v>3827</v>
      </c>
      <c r="K651" t="s">
        <v>1218</v>
      </c>
      <c r="L651" s="13">
        <v>44270</v>
      </c>
      <c r="M651">
        <v>3</v>
      </c>
      <c r="N651" t="s">
        <v>90</v>
      </c>
      <c r="O651" t="s">
        <v>3850</v>
      </c>
      <c r="P651" t="s">
        <v>76</v>
      </c>
      <c r="Q651" t="s">
        <v>76</v>
      </c>
      <c r="R651" t="s">
        <v>76</v>
      </c>
      <c r="S651" t="s">
        <v>76</v>
      </c>
      <c r="T651" t="s">
        <v>76</v>
      </c>
      <c r="U651">
        <v>1</v>
      </c>
      <c r="V651" s="13">
        <v>45175</v>
      </c>
      <c r="W651">
        <v>1</v>
      </c>
      <c r="X651">
        <v>1</v>
      </c>
      <c r="Y651" t="s">
        <v>3714</v>
      </c>
      <c r="AC651">
        <v>2642</v>
      </c>
      <c r="AD651" t="e" vm="643">
        <v>#VALUE!</v>
      </c>
    </row>
    <row r="652" spans="2:30" x14ac:dyDescent="0.25">
      <c r="B652">
        <v>2643</v>
      </c>
      <c r="C652" t="s">
        <v>3646</v>
      </c>
      <c r="D652" t="s">
        <v>3713</v>
      </c>
      <c r="E652" t="s">
        <v>3849</v>
      </c>
      <c r="F652" t="s">
        <v>83</v>
      </c>
      <c r="G652" t="s">
        <v>107</v>
      </c>
      <c r="H652" t="s">
        <v>3808</v>
      </c>
      <c r="I652" t="s">
        <v>3821</v>
      </c>
      <c r="J652" t="s">
        <v>3827</v>
      </c>
      <c r="K652" t="s">
        <v>1218</v>
      </c>
      <c r="L652" s="13">
        <v>44279</v>
      </c>
      <c r="M652">
        <v>2</v>
      </c>
      <c r="N652" t="s">
        <v>90</v>
      </c>
      <c r="O652" t="s">
        <v>3850</v>
      </c>
      <c r="P652" t="s">
        <v>76</v>
      </c>
      <c r="Q652" t="s">
        <v>76</v>
      </c>
      <c r="R652" t="s">
        <v>76</v>
      </c>
      <c r="S652" t="s">
        <v>76</v>
      </c>
      <c r="T652" t="s">
        <v>76</v>
      </c>
      <c r="U652">
        <v>1</v>
      </c>
      <c r="V652" s="13">
        <v>45175</v>
      </c>
      <c r="W652">
        <v>1</v>
      </c>
      <c r="X652">
        <v>1</v>
      </c>
      <c r="Y652" t="s">
        <v>3714</v>
      </c>
      <c r="AC652">
        <v>2643</v>
      </c>
      <c r="AD652" t="e" vm="644">
        <v>#VALUE!</v>
      </c>
    </row>
    <row r="653" spans="2:30" x14ac:dyDescent="0.25">
      <c r="B653">
        <v>2644</v>
      </c>
      <c r="C653" t="s">
        <v>3646</v>
      </c>
      <c r="D653" t="s">
        <v>3713</v>
      </c>
      <c r="E653" t="s">
        <v>3849</v>
      </c>
      <c r="F653" t="s">
        <v>83</v>
      </c>
      <c r="G653" t="s">
        <v>107</v>
      </c>
      <c r="H653" t="s">
        <v>3808</v>
      </c>
      <c r="I653" t="s">
        <v>3821</v>
      </c>
      <c r="J653" t="s">
        <v>3827</v>
      </c>
      <c r="K653" t="s">
        <v>1218</v>
      </c>
      <c r="L653" s="13">
        <v>44867</v>
      </c>
      <c r="M653">
        <v>1</v>
      </c>
      <c r="N653" t="s">
        <v>90</v>
      </c>
      <c r="O653" t="s">
        <v>3850</v>
      </c>
      <c r="P653" t="s">
        <v>76</v>
      </c>
      <c r="Q653" t="s">
        <v>76</v>
      </c>
      <c r="R653" t="s">
        <v>76</v>
      </c>
      <c r="S653" t="s">
        <v>76</v>
      </c>
      <c r="T653" t="s">
        <v>76</v>
      </c>
      <c r="U653">
        <v>1</v>
      </c>
      <c r="V653" s="13">
        <v>45175</v>
      </c>
      <c r="W653">
        <v>1</v>
      </c>
      <c r="X653">
        <v>1</v>
      </c>
      <c r="Y653" t="s">
        <v>3714</v>
      </c>
      <c r="AC653">
        <v>2644</v>
      </c>
      <c r="AD653" t="e" vm="645">
        <v>#VALUE!</v>
      </c>
    </row>
    <row r="654" spans="2:30" x14ac:dyDescent="0.25">
      <c r="B654">
        <v>2645</v>
      </c>
      <c r="C654" t="s">
        <v>3646</v>
      </c>
      <c r="D654" t="s">
        <v>3713</v>
      </c>
      <c r="E654" t="s">
        <v>3849</v>
      </c>
      <c r="F654" t="s">
        <v>83</v>
      </c>
      <c r="G654" t="s">
        <v>107</v>
      </c>
      <c r="H654" t="s">
        <v>3808</v>
      </c>
      <c r="I654" t="s">
        <v>3821</v>
      </c>
      <c r="J654" t="s">
        <v>3827</v>
      </c>
      <c r="K654" t="s">
        <v>1218</v>
      </c>
      <c r="L654" s="13">
        <v>44270</v>
      </c>
      <c r="M654">
        <v>3</v>
      </c>
      <c r="N654" t="s">
        <v>90</v>
      </c>
      <c r="O654" t="s">
        <v>3850</v>
      </c>
      <c r="P654" t="s">
        <v>76</v>
      </c>
      <c r="Q654" t="s">
        <v>76</v>
      </c>
      <c r="R654" t="s">
        <v>76</v>
      </c>
      <c r="S654" t="s">
        <v>76</v>
      </c>
      <c r="T654" t="s">
        <v>76</v>
      </c>
      <c r="U654">
        <v>1</v>
      </c>
      <c r="V654" s="13">
        <v>45175</v>
      </c>
      <c r="W654">
        <v>1</v>
      </c>
      <c r="X654">
        <v>1</v>
      </c>
      <c r="Y654" t="s">
        <v>3714</v>
      </c>
      <c r="AC654">
        <v>2645</v>
      </c>
      <c r="AD654" t="e" vm="646">
        <v>#VALUE!</v>
      </c>
    </row>
    <row r="655" spans="2:30" x14ac:dyDescent="0.25">
      <c r="B655">
        <v>2646</v>
      </c>
      <c r="C655" t="s">
        <v>3646</v>
      </c>
      <c r="D655" t="s">
        <v>3713</v>
      </c>
      <c r="E655" t="s">
        <v>3849</v>
      </c>
      <c r="F655" t="s">
        <v>83</v>
      </c>
      <c r="G655" t="s">
        <v>107</v>
      </c>
      <c r="H655" t="s">
        <v>3808</v>
      </c>
      <c r="I655" t="s">
        <v>3821</v>
      </c>
      <c r="J655" t="s">
        <v>3827</v>
      </c>
      <c r="K655" t="s">
        <v>1218</v>
      </c>
      <c r="L655" s="13">
        <v>44285</v>
      </c>
      <c r="M655">
        <v>2</v>
      </c>
      <c r="N655" t="s">
        <v>90</v>
      </c>
      <c r="O655" t="s">
        <v>3850</v>
      </c>
      <c r="P655" t="s">
        <v>76</v>
      </c>
      <c r="Q655" t="s">
        <v>76</v>
      </c>
      <c r="R655" t="s">
        <v>76</v>
      </c>
      <c r="S655" t="s">
        <v>76</v>
      </c>
      <c r="T655" t="s">
        <v>76</v>
      </c>
      <c r="U655">
        <v>1</v>
      </c>
      <c r="V655" s="13">
        <v>45175</v>
      </c>
      <c r="W655">
        <v>1</v>
      </c>
      <c r="X655">
        <v>1</v>
      </c>
      <c r="Y655" t="s">
        <v>3714</v>
      </c>
      <c r="AC655">
        <v>2646</v>
      </c>
      <c r="AD655" t="e" vm="647">
        <v>#VALUE!</v>
      </c>
    </row>
    <row r="656" spans="2:30" x14ac:dyDescent="0.25">
      <c r="B656">
        <v>2647</v>
      </c>
      <c r="C656" t="s">
        <v>3646</v>
      </c>
      <c r="D656" t="s">
        <v>3713</v>
      </c>
      <c r="E656" t="s">
        <v>3849</v>
      </c>
      <c r="F656" t="s">
        <v>83</v>
      </c>
      <c r="G656" t="s">
        <v>107</v>
      </c>
      <c r="H656" t="s">
        <v>3808</v>
      </c>
      <c r="I656" t="s">
        <v>3821</v>
      </c>
      <c r="J656" t="s">
        <v>3827</v>
      </c>
      <c r="K656" t="s">
        <v>1218</v>
      </c>
      <c r="L656" s="13">
        <v>44295</v>
      </c>
      <c r="M656">
        <v>2</v>
      </c>
      <c r="N656" t="s">
        <v>90</v>
      </c>
      <c r="O656" t="s">
        <v>3850</v>
      </c>
      <c r="P656" t="s">
        <v>76</v>
      </c>
      <c r="Q656" t="s">
        <v>76</v>
      </c>
      <c r="R656" t="s">
        <v>76</v>
      </c>
      <c r="S656" t="s">
        <v>76</v>
      </c>
      <c r="T656" t="s">
        <v>76</v>
      </c>
      <c r="U656">
        <v>1</v>
      </c>
      <c r="V656" s="13">
        <v>45175</v>
      </c>
      <c r="W656">
        <v>1</v>
      </c>
      <c r="X656">
        <v>1</v>
      </c>
      <c r="Y656" t="s">
        <v>3714</v>
      </c>
      <c r="AC656">
        <v>2647</v>
      </c>
      <c r="AD656" t="e" vm="648">
        <v>#VALUE!</v>
      </c>
    </row>
    <row r="657" spans="2:30" x14ac:dyDescent="0.25">
      <c r="B657">
        <v>2648</v>
      </c>
      <c r="C657" t="s">
        <v>3646</v>
      </c>
      <c r="D657" t="s">
        <v>3713</v>
      </c>
      <c r="E657" t="s">
        <v>3849</v>
      </c>
      <c r="F657" t="s">
        <v>83</v>
      </c>
      <c r="G657" t="s">
        <v>107</v>
      </c>
      <c r="H657" t="s">
        <v>3808</v>
      </c>
      <c r="I657" t="s">
        <v>3821</v>
      </c>
      <c r="J657" t="s">
        <v>3827</v>
      </c>
      <c r="K657" t="s">
        <v>1218</v>
      </c>
      <c r="L657" s="13">
        <v>44295</v>
      </c>
      <c r="M657">
        <v>2</v>
      </c>
      <c r="N657" t="s">
        <v>90</v>
      </c>
      <c r="O657" t="s">
        <v>3850</v>
      </c>
      <c r="P657" t="s">
        <v>76</v>
      </c>
      <c r="Q657" t="s">
        <v>76</v>
      </c>
      <c r="R657" t="s">
        <v>76</v>
      </c>
      <c r="S657" t="s">
        <v>76</v>
      </c>
      <c r="T657" t="s">
        <v>76</v>
      </c>
      <c r="U657">
        <v>1</v>
      </c>
      <c r="V657" s="13">
        <v>45175</v>
      </c>
      <c r="W657">
        <v>1</v>
      </c>
      <c r="X657">
        <v>1</v>
      </c>
      <c r="Y657" t="s">
        <v>3714</v>
      </c>
      <c r="AC657">
        <v>2648</v>
      </c>
      <c r="AD657" t="e" vm="649">
        <v>#VALUE!</v>
      </c>
    </row>
    <row r="658" spans="2:30" x14ac:dyDescent="0.25">
      <c r="B658">
        <v>2649</v>
      </c>
      <c r="C658" t="s">
        <v>3646</v>
      </c>
      <c r="D658" t="s">
        <v>3713</v>
      </c>
      <c r="E658" t="s">
        <v>3849</v>
      </c>
      <c r="F658" t="s">
        <v>83</v>
      </c>
      <c r="G658" t="s">
        <v>107</v>
      </c>
      <c r="H658" t="s">
        <v>3808</v>
      </c>
      <c r="I658" t="s">
        <v>3821</v>
      </c>
      <c r="J658" t="s">
        <v>3827</v>
      </c>
      <c r="K658" t="s">
        <v>1218</v>
      </c>
      <c r="L658" s="13">
        <v>44286</v>
      </c>
      <c r="M658">
        <v>2</v>
      </c>
      <c r="N658" t="s">
        <v>90</v>
      </c>
      <c r="O658" t="s">
        <v>3850</v>
      </c>
      <c r="P658" t="s">
        <v>76</v>
      </c>
      <c r="Q658" t="s">
        <v>76</v>
      </c>
      <c r="R658" t="s">
        <v>76</v>
      </c>
      <c r="S658" t="s">
        <v>76</v>
      </c>
      <c r="T658" t="s">
        <v>76</v>
      </c>
      <c r="U658">
        <v>1</v>
      </c>
      <c r="V658" s="13">
        <v>45175</v>
      </c>
      <c r="W658">
        <v>1</v>
      </c>
      <c r="X658">
        <v>1</v>
      </c>
      <c r="Y658" t="s">
        <v>3714</v>
      </c>
      <c r="AC658">
        <v>2649</v>
      </c>
      <c r="AD658" t="e" vm="650">
        <v>#VALUE!</v>
      </c>
    </row>
    <row r="659" spans="2:30" x14ac:dyDescent="0.25">
      <c r="B659">
        <v>2650</v>
      </c>
      <c r="C659" t="s">
        <v>3646</v>
      </c>
      <c r="D659" t="s">
        <v>3713</v>
      </c>
      <c r="E659" t="s">
        <v>3849</v>
      </c>
      <c r="F659" t="s">
        <v>83</v>
      </c>
      <c r="G659" t="s">
        <v>107</v>
      </c>
      <c r="H659" t="s">
        <v>3808</v>
      </c>
      <c r="I659" t="s">
        <v>3821</v>
      </c>
      <c r="J659" t="s">
        <v>3827</v>
      </c>
      <c r="K659" t="s">
        <v>1218</v>
      </c>
      <c r="L659" s="13">
        <v>44286</v>
      </c>
      <c r="M659">
        <v>2</v>
      </c>
      <c r="N659" t="s">
        <v>90</v>
      </c>
      <c r="O659" t="s">
        <v>3850</v>
      </c>
      <c r="P659" t="s">
        <v>76</v>
      </c>
      <c r="Q659" t="s">
        <v>76</v>
      </c>
      <c r="R659" t="s">
        <v>76</v>
      </c>
      <c r="S659" t="s">
        <v>76</v>
      </c>
      <c r="T659" t="s">
        <v>76</v>
      </c>
      <c r="U659">
        <v>1</v>
      </c>
      <c r="V659" s="13">
        <v>45175</v>
      </c>
      <c r="W659">
        <v>1</v>
      </c>
      <c r="X659">
        <v>1</v>
      </c>
      <c r="Y659" t="s">
        <v>3714</v>
      </c>
      <c r="AC659">
        <v>2650</v>
      </c>
      <c r="AD659" t="e" vm="651">
        <v>#VALUE!</v>
      </c>
    </row>
    <row r="660" spans="2:30" x14ac:dyDescent="0.25">
      <c r="B660">
        <v>2651</v>
      </c>
      <c r="C660" t="s">
        <v>3684</v>
      </c>
      <c r="D660" t="s">
        <v>3703</v>
      </c>
      <c r="E660" t="s">
        <v>3846</v>
      </c>
      <c r="F660" t="s">
        <v>111</v>
      </c>
      <c r="G660" t="s">
        <v>109</v>
      </c>
      <c r="H660" t="s">
        <v>3808</v>
      </c>
      <c r="I660" t="s">
        <v>3821</v>
      </c>
      <c r="J660" t="s">
        <v>3827</v>
      </c>
      <c r="K660" t="s">
        <v>1218</v>
      </c>
      <c r="L660" s="13">
        <v>44335</v>
      </c>
      <c r="M660">
        <v>2</v>
      </c>
      <c r="N660" t="s">
        <v>101</v>
      </c>
      <c r="O660" t="s">
        <v>3850</v>
      </c>
      <c r="P660" t="s">
        <v>76</v>
      </c>
      <c r="Q660" t="s">
        <v>76</v>
      </c>
      <c r="R660" t="s">
        <v>76</v>
      </c>
      <c r="S660" t="s">
        <v>76</v>
      </c>
      <c r="T660" t="s">
        <v>76</v>
      </c>
      <c r="U660">
        <v>1</v>
      </c>
      <c r="V660" s="13">
        <v>45175</v>
      </c>
      <c r="W660">
        <v>1</v>
      </c>
      <c r="X660">
        <v>1</v>
      </c>
      <c r="Y660" t="s">
        <v>3704</v>
      </c>
      <c r="AC660">
        <v>2651</v>
      </c>
      <c r="AD660" t="e" vm="652">
        <v>#VALUE!</v>
      </c>
    </row>
    <row r="661" spans="2:30" x14ac:dyDescent="0.25">
      <c r="B661">
        <v>2652</v>
      </c>
      <c r="C661" t="s">
        <v>3684</v>
      </c>
      <c r="D661" t="s">
        <v>3703</v>
      </c>
      <c r="E661" t="s">
        <v>3846</v>
      </c>
      <c r="F661" t="s">
        <v>111</v>
      </c>
      <c r="G661" t="s">
        <v>109</v>
      </c>
      <c r="H661" t="s">
        <v>3808</v>
      </c>
      <c r="I661" t="s">
        <v>3821</v>
      </c>
      <c r="J661" t="s">
        <v>3827</v>
      </c>
      <c r="K661" t="s">
        <v>1218</v>
      </c>
      <c r="L661" s="13">
        <v>44340</v>
      </c>
      <c r="M661">
        <v>2</v>
      </c>
      <c r="N661" t="s">
        <v>101</v>
      </c>
      <c r="O661" t="s">
        <v>3850</v>
      </c>
      <c r="P661" t="s">
        <v>76</v>
      </c>
      <c r="Q661" t="s">
        <v>76</v>
      </c>
      <c r="R661" t="s">
        <v>76</v>
      </c>
      <c r="S661" t="s">
        <v>76</v>
      </c>
      <c r="T661" t="s">
        <v>76</v>
      </c>
      <c r="U661">
        <v>1</v>
      </c>
      <c r="V661" s="13">
        <v>45175</v>
      </c>
      <c r="W661">
        <v>1</v>
      </c>
      <c r="X661">
        <v>1</v>
      </c>
      <c r="Y661" t="s">
        <v>3704</v>
      </c>
      <c r="AC661">
        <v>2652</v>
      </c>
      <c r="AD661" t="e" vm="653">
        <v>#VALUE!</v>
      </c>
    </row>
    <row r="662" spans="2:30" x14ac:dyDescent="0.25">
      <c r="B662">
        <v>2653</v>
      </c>
      <c r="C662" t="s">
        <v>3684</v>
      </c>
      <c r="D662" t="s">
        <v>3703</v>
      </c>
      <c r="E662" t="s">
        <v>3846</v>
      </c>
      <c r="F662" t="s">
        <v>111</v>
      </c>
      <c r="G662" t="s">
        <v>109</v>
      </c>
      <c r="H662" t="s">
        <v>3808</v>
      </c>
      <c r="I662" t="s">
        <v>3821</v>
      </c>
      <c r="J662" t="s">
        <v>3827</v>
      </c>
      <c r="K662" t="s">
        <v>1218</v>
      </c>
      <c r="L662" s="13">
        <v>44335</v>
      </c>
      <c r="M662">
        <v>2</v>
      </c>
      <c r="N662" t="s">
        <v>101</v>
      </c>
      <c r="O662" t="s">
        <v>3850</v>
      </c>
      <c r="P662" t="s">
        <v>76</v>
      </c>
      <c r="Q662" t="s">
        <v>76</v>
      </c>
      <c r="R662" t="s">
        <v>76</v>
      </c>
      <c r="S662" t="s">
        <v>76</v>
      </c>
      <c r="T662" t="s">
        <v>76</v>
      </c>
      <c r="U662">
        <v>1</v>
      </c>
      <c r="V662" s="13">
        <v>45175</v>
      </c>
      <c r="W662">
        <v>1</v>
      </c>
      <c r="X662">
        <v>1</v>
      </c>
      <c r="Y662" t="s">
        <v>3704</v>
      </c>
      <c r="AC662">
        <v>2653</v>
      </c>
      <c r="AD662" t="e" vm="654">
        <v>#VALUE!</v>
      </c>
    </row>
    <row r="663" spans="2:30" x14ac:dyDescent="0.25">
      <c r="B663">
        <v>2654</v>
      </c>
      <c r="C663" t="s">
        <v>3684</v>
      </c>
      <c r="D663" t="s">
        <v>3703</v>
      </c>
      <c r="E663" t="s">
        <v>3846</v>
      </c>
      <c r="F663" t="s">
        <v>111</v>
      </c>
      <c r="G663" t="s">
        <v>109</v>
      </c>
      <c r="H663" t="s">
        <v>3808</v>
      </c>
      <c r="I663" t="s">
        <v>3821</v>
      </c>
      <c r="J663" t="s">
        <v>3827</v>
      </c>
      <c r="K663" t="s">
        <v>1218</v>
      </c>
      <c r="L663" s="13">
        <v>44343</v>
      </c>
      <c r="M663">
        <v>2</v>
      </c>
      <c r="N663" t="s">
        <v>101</v>
      </c>
      <c r="O663" t="s">
        <v>3850</v>
      </c>
      <c r="P663" t="s">
        <v>76</v>
      </c>
      <c r="Q663" t="s">
        <v>76</v>
      </c>
      <c r="R663" t="s">
        <v>76</v>
      </c>
      <c r="S663" t="s">
        <v>76</v>
      </c>
      <c r="T663" t="s">
        <v>76</v>
      </c>
      <c r="U663">
        <v>1</v>
      </c>
      <c r="V663" s="13">
        <v>45175</v>
      </c>
      <c r="W663">
        <v>1</v>
      </c>
      <c r="X663">
        <v>1</v>
      </c>
      <c r="Y663" t="s">
        <v>3704</v>
      </c>
      <c r="AC663">
        <v>2654</v>
      </c>
      <c r="AD663" t="e" vm="655">
        <v>#VALUE!</v>
      </c>
    </row>
    <row r="664" spans="2:30" x14ac:dyDescent="0.25">
      <c r="B664">
        <v>2655</v>
      </c>
      <c r="C664" t="s">
        <v>3684</v>
      </c>
      <c r="D664" t="s">
        <v>3703</v>
      </c>
      <c r="E664" t="s">
        <v>3846</v>
      </c>
      <c r="F664" t="s">
        <v>111</v>
      </c>
      <c r="G664" t="s">
        <v>109</v>
      </c>
      <c r="H664" t="s">
        <v>3808</v>
      </c>
      <c r="I664" t="s">
        <v>3821</v>
      </c>
      <c r="J664" t="s">
        <v>3827</v>
      </c>
      <c r="K664" t="s">
        <v>1218</v>
      </c>
      <c r="L664" s="13">
        <v>44326</v>
      </c>
      <c r="M664">
        <v>2</v>
      </c>
      <c r="N664" t="s">
        <v>101</v>
      </c>
      <c r="O664" t="s">
        <v>3850</v>
      </c>
      <c r="P664" t="s">
        <v>76</v>
      </c>
      <c r="Q664" t="s">
        <v>76</v>
      </c>
      <c r="R664" t="s">
        <v>76</v>
      </c>
      <c r="S664" t="s">
        <v>76</v>
      </c>
      <c r="T664" t="s">
        <v>76</v>
      </c>
      <c r="U664">
        <v>1</v>
      </c>
      <c r="V664" s="13">
        <v>45175</v>
      </c>
      <c r="W664">
        <v>1</v>
      </c>
      <c r="X664">
        <v>1</v>
      </c>
      <c r="Y664" t="s">
        <v>3704</v>
      </c>
      <c r="AC664">
        <v>2655</v>
      </c>
      <c r="AD664" t="e" vm="656">
        <v>#VALUE!</v>
      </c>
    </row>
    <row r="665" spans="2:30" x14ac:dyDescent="0.25">
      <c r="B665">
        <v>2656</v>
      </c>
      <c r="C665" t="s">
        <v>3684</v>
      </c>
      <c r="D665" t="s">
        <v>3703</v>
      </c>
      <c r="E665" t="s">
        <v>3846</v>
      </c>
      <c r="F665" t="s">
        <v>111</v>
      </c>
      <c r="G665" t="s">
        <v>109</v>
      </c>
      <c r="H665" t="s">
        <v>3808</v>
      </c>
      <c r="I665" t="s">
        <v>3821</v>
      </c>
      <c r="J665" t="s">
        <v>3827</v>
      </c>
      <c r="K665" t="s">
        <v>1218</v>
      </c>
      <c r="L665" s="13">
        <v>44335</v>
      </c>
      <c r="M665">
        <v>2</v>
      </c>
      <c r="N665" t="s">
        <v>101</v>
      </c>
      <c r="O665" t="s">
        <v>3850</v>
      </c>
      <c r="P665" t="s">
        <v>76</v>
      </c>
      <c r="Q665" t="s">
        <v>76</v>
      </c>
      <c r="R665" t="s">
        <v>76</v>
      </c>
      <c r="S665" t="s">
        <v>76</v>
      </c>
      <c r="T665" t="s">
        <v>76</v>
      </c>
      <c r="U665">
        <v>1</v>
      </c>
      <c r="V665" s="13">
        <v>45175</v>
      </c>
      <c r="W665">
        <v>1</v>
      </c>
      <c r="X665">
        <v>1</v>
      </c>
      <c r="Y665" t="s">
        <v>3704</v>
      </c>
      <c r="AC665">
        <v>2656</v>
      </c>
      <c r="AD665" t="e" vm="657">
        <v>#VALUE!</v>
      </c>
    </row>
    <row r="666" spans="2:30" x14ac:dyDescent="0.25">
      <c r="B666">
        <v>2657</v>
      </c>
      <c r="C666" t="s">
        <v>3684</v>
      </c>
      <c r="D666" t="s">
        <v>3703</v>
      </c>
      <c r="E666" t="s">
        <v>3846</v>
      </c>
      <c r="F666" t="s">
        <v>111</v>
      </c>
      <c r="G666" t="s">
        <v>109</v>
      </c>
      <c r="H666" t="s">
        <v>3808</v>
      </c>
      <c r="I666" t="s">
        <v>3821</v>
      </c>
      <c r="J666" t="s">
        <v>3827</v>
      </c>
      <c r="K666" t="s">
        <v>1218</v>
      </c>
      <c r="L666" s="13">
        <v>44343</v>
      </c>
      <c r="M666">
        <v>2</v>
      </c>
      <c r="N666" t="s">
        <v>101</v>
      </c>
      <c r="O666" t="s">
        <v>3850</v>
      </c>
      <c r="P666" t="s">
        <v>76</v>
      </c>
      <c r="Q666" t="s">
        <v>76</v>
      </c>
      <c r="R666" t="s">
        <v>76</v>
      </c>
      <c r="S666" t="s">
        <v>76</v>
      </c>
      <c r="T666" t="s">
        <v>76</v>
      </c>
      <c r="U666">
        <v>1</v>
      </c>
      <c r="V666" s="13">
        <v>45175</v>
      </c>
      <c r="W666">
        <v>1</v>
      </c>
      <c r="X666">
        <v>1</v>
      </c>
      <c r="Y666" t="s">
        <v>3704</v>
      </c>
      <c r="AC666">
        <v>2657</v>
      </c>
      <c r="AD666" t="e" vm="658">
        <v>#VALUE!</v>
      </c>
    </row>
    <row r="667" spans="2:30" x14ac:dyDescent="0.25">
      <c r="B667">
        <v>2658</v>
      </c>
      <c r="C667" t="s">
        <v>3684</v>
      </c>
      <c r="D667" t="s">
        <v>3703</v>
      </c>
      <c r="E667" t="s">
        <v>3846</v>
      </c>
      <c r="F667" t="s">
        <v>111</v>
      </c>
      <c r="G667" t="s">
        <v>109</v>
      </c>
      <c r="H667" t="s">
        <v>3808</v>
      </c>
      <c r="I667" t="s">
        <v>3821</v>
      </c>
      <c r="J667" t="s">
        <v>3827</v>
      </c>
      <c r="K667" t="s">
        <v>1218</v>
      </c>
      <c r="L667" s="13">
        <v>44348</v>
      </c>
      <c r="M667">
        <v>2</v>
      </c>
      <c r="N667" t="s">
        <v>101</v>
      </c>
      <c r="O667" t="s">
        <v>3850</v>
      </c>
      <c r="P667" t="s">
        <v>76</v>
      </c>
      <c r="Q667" t="s">
        <v>76</v>
      </c>
      <c r="R667" t="s">
        <v>76</v>
      </c>
      <c r="S667" t="s">
        <v>76</v>
      </c>
      <c r="T667" t="s">
        <v>76</v>
      </c>
      <c r="U667">
        <v>1</v>
      </c>
      <c r="V667" s="13">
        <v>45175</v>
      </c>
      <c r="W667">
        <v>1</v>
      </c>
      <c r="X667">
        <v>1</v>
      </c>
      <c r="Y667" t="s">
        <v>3704</v>
      </c>
      <c r="AC667">
        <v>2658</v>
      </c>
      <c r="AD667" t="e" vm="659">
        <v>#VALUE!</v>
      </c>
    </row>
    <row r="668" spans="2:30" x14ac:dyDescent="0.25">
      <c r="B668">
        <v>2659</v>
      </c>
      <c r="C668" t="s">
        <v>3684</v>
      </c>
      <c r="D668" t="s">
        <v>3703</v>
      </c>
      <c r="E668" t="s">
        <v>3846</v>
      </c>
      <c r="F668" t="s">
        <v>111</v>
      </c>
      <c r="G668" t="s">
        <v>109</v>
      </c>
      <c r="H668" t="s">
        <v>3808</v>
      </c>
      <c r="I668" t="s">
        <v>3821</v>
      </c>
      <c r="J668" t="s">
        <v>3827</v>
      </c>
      <c r="K668" t="s">
        <v>1218</v>
      </c>
      <c r="L668" s="13">
        <v>44326</v>
      </c>
      <c r="M668">
        <v>2</v>
      </c>
      <c r="N668" t="s">
        <v>101</v>
      </c>
      <c r="O668" t="s">
        <v>3850</v>
      </c>
      <c r="P668" t="s">
        <v>76</v>
      </c>
      <c r="Q668" t="s">
        <v>76</v>
      </c>
      <c r="R668" t="s">
        <v>76</v>
      </c>
      <c r="S668" t="s">
        <v>76</v>
      </c>
      <c r="T668" t="s">
        <v>76</v>
      </c>
      <c r="U668">
        <v>1</v>
      </c>
      <c r="V668" s="13">
        <v>45175</v>
      </c>
      <c r="W668">
        <v>1</v>
      </c>
      <c r="X668">
        <v>1</v>
      </c>
      <c r="Y668" t="s">
        <v>3704</v>
      </c>
      <c r="AC668">
        <v>2659</v>
      </c>
      <c r="AD668" t="e" vm="660">
        <v>#VALUE!</v>
      </c>
    </row>
    <row r="669" spans="2:30" x14ac:dyDescent="0.25">
      <c r="B669">
        <v>2660</v>
      </c>
      <c r="C669" t="s">
        <v>3684</v>
      </c>
      <c r="D669" t="s">
        <v>3703</v>
      </c>
      <c r="E669" t="s">
        <v>3846</v>
      </c>
      <c r="F669" t="s">
        <v>111</v>
      </c>
      <c r="G669" t="s">
        <v>109</v>
      </c>
      <c r="H669" t="s">
        <v>3808</v>
      </c>
      <c r="I669" t="s">
        <v>3821</v>
      </c>
      <c r="J669" t="s">
        <v>3827</v>
      </c>
      <c r="K669" t="s">
        <v>1218</v>
      </c>
      <c r="L669" s="13">
        <v>44327</v>
      </c>
      <c r="M669">
        <v>2</v>
      </c>
      <c r="N669" t="s">
        <v>101</v>
      </c>
      <c r="O669" t="s">
        <v>3850</v>
      </c>
      <c r="P669" t="s">
        <v>76</v>
      </c>
      <c r="Q669" t="s">
        <v>76</v>
      </c>
      <c r="R669" t="s">
        <v>76</v>
      </c>
      <c r="S669" t="s">
        <v>76</v>
      </c>
      <c r="T669" t="s">
        <v>76</v>
      </c>
      <c r="U669">
        <v>1</v>
      </c>
      <c r="V669" s="13">
        <v>45175</v>
      </c>
      <c r="W669">
        <v>1</v>
      </c>
      <c r="X669">
        <v>1</v>
      </c>
      <c r="Y669" t="s">
        <v>3704</v>
      </c>
      <c r="AC669">
        <v>2660</v>
      </c>
      <c r="AD669" t="e" vm="661">
        <v>#VALUE!</v>
      </c>
    </row>
    <row r="670" spans="2:30" x14ac:dyDescent="0.25">
      <c r="B670">
        <v>2661</v>
      </c>
      <c r="C670" t="s">
        <v>3684</v>
      </c>
      <c r="D670" t="s">
        <v>3703</v>
      </c>
      <c r="E670" t="s">
        <v>3846</v>
      </c>
      <c r="F670" t="s">
        <v>111</v>
      </c>
      <c r="G670" t="s">
        <v>109</v>
      </c>
      <c r="H670" t="s">
        <v>3808</v>
      </c>
      <c r="I670" t="s">
        <v>3821</v>
      </c>
      <c r="J670" t="s">
        <v>3827</v>
      </c>
      <c r="K670" t="s">
        <v>1218</v>
      </c>
      <c r="L670" s="13">
        <v>44327</v>
      </c>
      <c r="M670">
        <v>2</v>
      </c>
      <c r="N670" t="s">
        <v>101</v>
      </c>
      <c r="O670" t="s">
        <v>3850</v>
      </c>
      <c r="P670" t="s">
        <v>76</v>
      </c>
      <c r="Q670" t="s">
        <v>76</v>
      </c>
      <c r="R670" t="s">
        <v>76</v>
      </c>
      <c r="S670" t="s">
        <v>76</v>
      </c>
      <c r="T670" t="s">
        <v>76</v>
      </c>
      <c r="U670">
        <v>1</v>
      </c>
      <c r="V670" s="13">
        <v>45175</v>
      </c>
      <c r="W670">
        <v>1</v>
      </c>
      <c r="X670">
        <v>1</v>
      </c>
      <c r="Y670" t="s">
        <v>3704</v>
      </c>
      <c r="AC670">
        <v>2661</v>
      </c>
      <c r="AD670" t="e" vm="662">
        <v>#VALUE!</v>
      </c>
    </row>
    <row r="671" spans="2:30" x14ac:dyDescent="0.25">
      <c r="B671">
        <v>2662</v>
      </c>
      <c r="C671" t="s">
        <v>3684</v>
      </c>
      <c r="D671" t="s">
        <v>3703</v>
      </c>
      <c r="E671" t="s">
        <v>3846</v>
      </c>
      <c r="F671" t="s">
        <v>111</v>
      </c>
      <c r="G671" t="s">
        <v>109</v>
      </c>
      <c r="H671" t="s">
        <v>3808</v>
      </c>
      <c r="I671" t="s">
        <v>3821</v>
      </c>
      <c r="J671" t="s">
        <v>3827</v>
      </c>
      <c r="K671" t="s">
        <v>1218</v>
      </c>
      <c r="L671" s="13">
        <v>44341</v>
      </c>
      <c r="M671">
        <v>2</v>
      </c>
      <c r="N671" t="s">
        <v>101</v>
      </c>
      <c r="O671" t="s">
        <v>3850</v>
      </c>
      <c r="P671" t="s">
        <v>76</v>
      </c>
      <c r="Q671" t="s">
        <v>76</v>
      </c>
      <c r="R671" t="s">
        <v>76</v>
      </c>
      <c r="S671" t="s">
        <v>76</v>
      </c>
      <c r="T671" t="s">
        <v>76</v>
      </c>
      <c r="U671">
        <v>1</v>
      </c>
      <c r="V671" s="13">
        <v>45175</v>
      </c>
      <c r="W671">
        <v>1</v>
      </c>
      <c r="X671">
        <v>1</v>
      </c>
      <c r="Y671" t="s">
        <v>3704</v>
      </c>
      <c r="AC671">
        <v>2662</v>
      </c>
      <c r="AD671" t="e" vm="663">
        <v>#VALUE!</v>
      </c>
    </row>
    <row r="672" spans="2:30" x14ac:dyDescent="0.25">
      <c r="B672">
        <v>2663</v>
      </c>
      <c r="C672" t="s">
        <v>3684</v>
      </c>
      <c r="D672" t="s">
        <v>3703</v>
      </c>
      <c r="E672" t="s">
        <v>3846</v>
      </c>
      <c r="F672" t="s">
        <v>111</v>
      </c>
      <c r="G672" t="s">
        <v>109</v>
      </c>
      <c r="H672" t="s">
        <v>3808</v>
      </c>
      <c r="I672" t="s">
        <v>3821</v>
      </c>
      <c r="J672" t="s">
        <v>3827</v>
      </c>
      <c r="K672" t="s">
        <v>1218</v>
      </c>
      <c r="L672" s="13">
        <v>44285</v>
      </c>
      <c r="M672">
        <v>2</v>
      </c>
      <c r="N672" t="s">
        <v>101</v>
      </c>
      <c r="O672" t="s">
        <v>3850</v>
      </c>
      <c r="P672" t="s">
        <v>76</v>
      </c>
      <c r="Q672" t="s">
        <v>76</v>
      </c>
      <c r="R672" t="s">
        <v>76</v>
      </c>
      <c r="S672" t="s">
        <v>76</v>
      </c>
      <c r="T672" t="s">
        <v>76</v>
      </c>
      <c r="U672">
        <v>1</v>
      </c>
      <c r="V672" s="13">
        <v>45175</v>
      </c>
      <c r="W672">
        <v>1</v>
      </c>
      <c r="X672">
        <v>1</v>
      </c>
      <c r="Y672" t="s">
        <v>3704</v>
      </c>
      <c r="AC672">
        <v>2663</v>
      </c>
      <c r="AD672" t="e" vm="664">
        <v>#VALUE!</v>
      </c>
    </row>
    <row r="673" spans="2:30" x14ac:dyDescent="0.25">
      <c r="B673">
        <v>2664</v>
      </c>
      <c r="C673" t="s">
        <v>3684</v>
      </c>
      <c r="D673" t="s">
        <v>3703</v>
      </c>
      <c r="E673" t="s">
        <v>3846</v>
      </c>
      <c r="F673" t="s">
        <v>111</v>
      </c>
      <c r="G673" t="s">
        <v>109</v>
      </c>
      <c r="H673" t="s">
        <v>3808</v>
      </c>
      <c r="I673" t="s">
        <v>3821</v>
      </c>
      <c r="J673" t="s">
        <v>3827</v>
      </c>
      <c r="K673" t="s">
        <v>1218</v>
      </c>
      <c r="L673" s="13">
        <v>44327</v>
      </c>
      <c r="M673">
        <v>2</v>
      </c>
      <c r="N673" t="s">
        <v>101</v>
      </c>
      <c r="O673" t="s">
        <v>3850</v>
      </c>
      <c r="P673" t="s">
        <v>76</v>
      </c>
      <c r="Q673" t="s">
        <v>76</v>
      </c>
      <c r="R673" t="s">
        <v>76</v>
      </c>
      <c r="S673" t="s">
        <v>76</v>
      </c>
      <c r="T673" t="s">
        <v>76</v>
      </c>
      <c r="U673">
        <v>1</v>
      </c>
      <c r="V673" s="13">
        <v>45175</v>
      </c>
      <c r="W673">
        <v>1</v>
      </c>
      <c r="X673">
        <v>1</v>
      </c>
      <c r="Y673" t="s">
        <v>3704</v>
      </c>
      <c r="AC673">
        <v>2664</v>
      </c>
      <c r="AD673" t="e" vm="665">
        <v>#VALUE!</v>
      </c>
    </row>
    <row r="674" spans="2:30" x14ac:dyDescent="0.25">
      <c r="B674">
        <v>2665</v>
      </c>
      <c r="C674" t="s">
        <v>3684</v>
      </c>
      <c r="D674" t="s">
        <v>3703</v>
      </c>
      <c r="E674" t="s">
        <v>3846</v>
      </c>
      <c r="F674" t="s">
        <v>111</v>
      </c>
      <c r="G674" t="s">
        <v>109</v>
      </c>
      <c r="H674" t="s">
        <v>3808</v>
      </c>
      <c r="I674" t="s">
        <v>3821</v>
      </c>
      <c r="J674" t="s">
        <v>3827</v>
      </c>
      <c r="K674" t="s">
        <v>1218</v>
      </c>
      <c r="L674" s="13">
        <v>44335</v>
      </c>
      <c r="M674">
        <v>2</v>
      </c>
      <c r="N674" t="s">
        <v>101</v>
      </c>
      <c r="O674" t="s">
        <v>3850</v>
      </c>
      <c r="P674" t="s">
        <v>76</v>
      </c>
      <c r="Q674" t="s">
        <v>76</v>
      </c>
      <c r="R674" t="s">
        <v>76</v>
      </c>
      <c r="S674" t="s">
        <v>76</v>
      </c>
      <c r="T674" t="s">
        <v>76</v>
      </c>
      <c r="U674">
        <v>1</v>
      </c>
      <c r="V674" s="13">
        <v>45175</v>
      </c>
      <c r="W674">
        <v>1</v>
      </c>
      <c r="X674">
        <v>1</v>
      </c>
      <c r="Y674" t="s">
        <v>3704</v>
      </c>
      <c r="AC674">
        <v>2665</v>
      </c>
      <c r="AD674" t="e" vm="666">
        <v>#VALUE!</v>
      </c>
    </row>
    <row r="675" spans="2:30" x14ac:dyDescent="0.25">
      <c r="B675">
        <v>2666</v>
      </c>
      <c r="C675" t="s">
        <v>3684</v>
      </c>
      <c r="D675" t="s">
        <v>3703</v>
      </c>
      <c r="E675" t="s">
        <v>3846</v>
      </c>
      <c r="F675" t="s">
        <v>111</v>
      </c>
      <c r="G675" t="s">
        <v>109</v>
      </c>
      <c r="H675" t="s">
        <v>3808</v>
      </c>
      <c r="I675" t="s">
        <v>3821</v>
      </c>
      <c r="J675" t="s">
        <v>3827</v>
      </c>
      <c r="K675" t="s">
        <v>1218</v>
      </c>
      <c r="L675" s="13">
        <v>44335</v>
      </c>
      <c r="M675">
        <v>2</v>
      </c>
      <c r="N675" t="s">
        <v>101</v>
      </c>
      <c r="O675" t="s">
        <v>3850</v>
      </c>
      <c r="P675" t="s">
        <v>76</v>
      </c>
      <c r="Q675" t="s">
        <v>76</v>
      </c>
      <c r="R675" t="s">
        <v>76</v>
      </c>
      <c r="S675" t="s">
        <v>76</v>
      </c>
      <c r="T675" t="s">
        <v>76</v>
      </c>
      <c r="U675">
        <v>1</v>
      </c>
      <c r="V675" s="13">
        <v>45175</v>
      </c>
      <c r="W675">
        <v>1</v>
      </c>
      <c r="X675">
        <v>1</v>
      </c>
      <c r="Y675" t="s">
        <v>3704</v>
      </c>
      <c r="AC675">
        <v>2666</v>
      </c>
      <c r="AD675" t="e" vm="667">
        <v>#VALUE!</v>
      </c>
    </row>
    <row r="676" spans="2:30" x14ac:dyDescent="0.25">
      <c r="B676">
        <v>2667</v>
      </c>
      <c r="C676" t="s">
        <v>3684</v>
      </c>
      <c r="D676" t="s">
        <v>3703</v>
      </c>
      <c r="E676" t="s">
        <v>3846</v>
      </c>
      <c r="F676" t="s">
        <v>111</v>
      </c>
      <c r="G676" t="s">
        <v>109</v>
      </c>
      <c r="H676" t="s">
        <v>3808</v>
      </c>
      <c r="I676" t="s">
        <v>3821</v>
      </c>
      <c r="J676" t="s">
        <v>3827</v>
      </c>
      <c r="K676" t="s">
        <v>1218</v>
      </c>
      <c r="L676" s="13">
        <v>44341</v>
      </c>
      <c r="M676">
        <v>2</v>
      </c>
      <c r="N676" t="s">
        <v>101</v>
      </c>
      <c r="O676" t="s">
        <v>3850</v>
      </c>
      <c r="P676" t="s">
        <v>76</v>
      </c>
      <c r="Q676" t="s">
        <v>76</v>
      </c>
      <c r="R676" t="s">
        <v>76</v>
      </c>
      <c r="S676" t="s">
        <v>76</v>
      </c>
      <c r="T676" t="s">
        <v>76</v>
      </c>
      <c r="U676">
        <v>1</v>
      </c>
      <c r="V676" s="13">
        <v>45175</v>
      </c>
      <c r="W676">
        <v>1</v>
      </c>
      <c r="X676">
        <v>1</v>
      </c>
      <c r="Y676" t="s">
        <v>3704</v>
      </c>
      <c r="AC676">
        <v>2667</v>
      </c>
      <c r="AD676" t="e" vm="668">
        <v>#VALUE!</v>
      </c>
    </row>
    <row r="677" spans="2:30" x14ac:dyDescent="0.25">
      <c r="B677">
        <v>2668</v>
      </c>
      <c r="C677" t="s">
        <v>3684</v>
      </c>
      <c r="D677" t="s">
        <v>3703</v>
      </c>
      <c r="E677" t="s">
        <v>3846</v>
      </c>
      <c r="F677" t="s">
        <v>111</v>
      </c>
      <c r="G677" t="s">
        <v>109</v>
      </c>
      <c r="H677" t="s">
        <v>3808</v>
      </c>
      <c r="I677" t="s">
        <v>3821</v>
      </c>
      <c r="J677" t="s">
        <v>3827</v>
      </c>
      <c r="K677" t="s">
        <v>1218</v>
      </c>
      <c r="L677" s="13">
        <v>44349</v>
      </c>
      <c r="M677">
        <v>2</v>
      </c>
      <c r="N677" t="s">
        <v>101</v>
      </c>
      <c r="O677" t="s">
        <v>3850</v>
      </c>
      <c r="P677" t="s">
        <v>76</v>
      </c>
      <c r="Q677" t="s">
        <v>76</v>
      </c>
      <c r="R677" t="s">
        <v>76</v>
      </c>
      <c r="S677" t="s">
        <v>76</v>
      </c>
      <c r="T677" t="s">
        <v>76</v>
      </c>
      <c r="U677">
        <v>1</v>
      </c>
      <c r="V677" s="13">
        <v>45175</v>
      </c>
      <c r="W677">
        <v>1</v>
      </c>
      <c r="X677">
        <v>1</v>
      </c>
      <c r="Y677" t="s">
        <v>3704</v>
      </c>
      <c r="AC677">
        <v>2668</v>
      </c>
      <c r="AD677" t="e" vm="669">
        <v>#VALUE!</v>
      </c>
    </row>
    <row r="678" spans="2:30" x14ac:dyDescent="0.25">
      <c r="B678">
        <v>2669</v>
      </c>
      <c r="C678" t="s">
        <v>3684</v>
      </c>
      <c r="D678" t="s">
        <v>3703</v>
      </c>
      <c r="E678" t="s">
        <v>3846</v>
      </c>
      <c r="F678" t="s">
        <v>111</v>
      </c>
      <c r="G678" t="s">
        <v>109</v>
      </c>
      <c r="H678" t="s">
        <v>3808</v>
      </c>
      <c r="I678" t="s">
        <v>3821</v>
      </c>
      <c r="J678" t="s">
        <v>3827</v>
      </c>
      <c r="K678" t="s">
        <v>1218</v>
      </c>
      <c r="L678" s="13">
        <v>44349</v>
      </c>
      <c r="M678">
        <v>2</v>
      </c>
      <c r="N678" t="s">
        <v>101</v>
      </c>
      <c r="O678" t="s">
        <v>3850</v>
      </c>
      <c r="P678" t="s">
        <v>76</v>
      </c>
      <c r="Q678" t="s">
        <v>76</v>
      </c>
      <c r="R678" t="s">
        <v>76</v>
      </c>
      <c r="S678" t="s">
        <v>76</v>
      </c>
      <c r="T678" t="s">
        <v>76</v>
      </c>
      <c r="U678">
        <v>1</v>
      </c>
      <c r="V678" s="13">
        <v>45175</v>
      </c>
      <c r="W678">
        <v>1</v>
      </c>
      <c r="X678">
        <v>1</v>
      </c>
      <c r="Y678" t="s">
        <v>3704</v>
      </c>
      <c r="AC678">
        <v>2669</v>
      </c>
      <c r="AD678" t="e" vm="670">
        <v>#VALUE!</v>
      </c>
    </row>
    <row r="679" spans="2:30" x14ac:dyDescent="0.25">
      <c r="B679">
        <v>2670</v>
      </c>
      <c r="C679" t="s">
        <v>3684</v>
      </c>
      <c r="D679" t="s">
        <v>3703</v>
      </c>
      <c r="E679" t="s">
        <v>3846</v>
      </c>
      <c r="F679" t="s">
        <v>111</v>
      </c>
      <c r="G679" t="s">
        <v>109</v>
      </c>
      <c r="H679" t="s">
        <v>3808</v>
      </c>
      <c r="I679" t="s">
        <v>3821</v>
      </c>
      <c r="J679" t="s">
        <v>3827</v>
      </c>
      <c r="K679" t="s">
        <v>1218</v>
      </c>
      <c r="L679" s="13">
        <v>44370</v>
      </c>
      <c r="M679">
        <v>2</v>
      </c>
      <c r="N679" t="s">
        <v>101</v>
      </c>
      <c r="O679" t="s">
        <v>3850</v>
      </c>
      <c r="P679" t="s">
        <v>76</v>
      </c>
      <c r="Q679" t="s">
        <v>76</v>
      </c>
      <c r="R679" t="s">
        <v>76</v>
      </c>
      <c r="S679" t="s">
        <v>76</v>
      </c>
      <c r="T679" t="s">
        <v>76</v>
      </c>
      <c r="U679">
        <v>1</v>
      </c>
      <c r="V679" s="13">
        <v>45175</v>
      </c>
      <c r="W679">
        <v>1</v>
      </c>
      <c r="X679">
        <v>1</v>
      </c>
      <c r="Y679" t="s">
        <v>3704</v>
      </c>
      <c r="AC679">
        <v>2670</v>
      </c>
      <c r="AD679" t="e" vm="671">
        <v>#VALUE!</v>
      </c>
    </row>
    <row r="680" spans="2:30" x14ac:dyDescent="0.25">
      <c r="B680">
        <v>2671</v>
      </c>
      <c r="C680" t="s">
        <v>3684</v>
      </c>
      <c r="D680" t="s">
        <v>3703</v>
      </c>
      <c r="E680" t="s">
        <v>3846</v>
      </c>
      <c r="F680" t="s">
        <v>111</v>
      </c>
      <c r="G680" t="s">
        <v>109</v>
      </c>
      <c r="H680" t="s">
        <v>3808</v>
      </c>
      <c r="I680" t="s">
        <v>3821</v>
      </c>
      <c r="J680" t="s">
        <v>3827</v>
      </c>
      <c r="K680" t="s">
        <v>1218</v>
      </c>
      <c r="L680" s="13">
        <v>44363</v>
      </c>
      <c r="M680">
        <v>2</v>
      </c>
      <c r="N680" t="s">
        <v>101</v>
      </c>
      <c r="O680" t="s">
        <v>3850</v>
      </c>
      <c r="P680" t="s">
        <v>76</v>
      </c>
      <c r="Q680" t="s">
        <v>76</v>
      </c>
      <c r="R680" t="s">
        <v>76</v>
      </c>
      <c r="S680" t="s">
        <v>76</v>
      </c>
      <c r="T680" t="s">
        <v>76</v>
      </c>
      <c r="U680">
        <v>1</v>
      </c>
      <c r="V680" s="13">
        <v>45175</v>
      </c>
      <c r="W680">
        <v>1</v>
      </c>
      <c r="X680">
        <v>1</v>
      </c>
      <c r="Y680" t="s">
        <v>3704</v>
      </c>
      <c r="AC680">
        <v>2671</v>
      </c>
      <c r="AD680" t="e" vm="672">
        <v>#VALUE!</v>
      </c>
    </row>
    <row r="681" spans="2:30" x14ac:dyDescent="0.25">
      <c r="B681">
        <v>2672</v>
      </c>
      <c r="C681" t="s">
        <v>3684</v>
      </c>
      <c r="D681" t="s">
        <v>3703</v>
      </c>
      <c r="E681" t="s">
        <v>3846</v>
      </c>
      <c r="F681" t="s">
        <v>111</v>
      </c>
      <c r="G681" t="s">
        <v>109</v>
      </c>
      <c r="H681" t="s">
        <v>3808</v>
      </c>
      <c r="I681" t="s">
        <v>3821</v>
      </c>
      <c r="J681" t="s">
        <v>3827</v>
      </c>
      <c r="K681" t="s">
        <v>1218</v>
      </c>
      <c r="L681" s="13">
        <v>44355</v>
      </c>
      <c r="M681">
        <v>2</v>
      </c>
      <c r="N681" t="s">
        <v>101</v>
      </c>
      <c r="O681" t="s">
        <v>3850</v>
      </c>
      <c r="P681" t="s">
        <v>76</v>
      </c>
      <c r="Q681" t="s">
        <v>76</v>
      </c>
      <c r="R681" t="s">
        <v>76</v>
      </c>
      <c r="S681" t="s">
        <v>76</v>
      </c>
      <c r="T681" t="s">
        <v>76</v>
      </c>
      <c r="U681">
        <v>1</v>
      </c>
      <c r="V681" s="13">
        <v>45175</v>
      </c>
      <c r="W681">
        <v>1</v>
      </c>
      <c r="X681">
        <v>1</v>
      </c>
      <c r="Y681" t="s">
        <v>3704</v>
      </c>
      <c r="AC681">
        <v>2672</v>
      </c>
      <c r="AD681" t="e" vm="673">
        <v>#VALUE!</v>
      </c>
    </row>
    <row r="682" spans="2:30" x14ac:dyDescent="0.25">
      <c r="B682">
        <v>2673</v>
      </c>
      <c r="C682" t="s">
        <v>3684</v>
      </c>
      <c r="D682" t="s">
        <v>3703</v>
      </c>
      <c r="E682" t="s">
        <v>3846</v>
      </c>
      <c r="F682" t="s">
        <v>111</v>
      </c>
      <c r="G682" t="s">
        <v>109</v>
      </c>
      <c r="H682" t="s">
        <v>3808</v>
      </c>
      <c r="I682" t="s">
        <v>3821</v>
      </c>
      <c r="J682" t="s">
        <v>3827</v>
      </c>
      <c r="K682" t="s">
        <v>1218</v>
      </c>
      <c r="L682" s="13">
        <v>44389</v>
      </c>
      <c r="M682">
        <v>2</v>
      </c>
      <c r="N682" t="s">
        <v>101</v>
      </c>
      <c r="O682" t="s">
        <v>3850</v>
      </c>
      <c r="P682" t="s">
        <v>76</v>
      </c>
      <c r="Q682" t="s">
        <v>76</v>
      </c>
      <c r="R682" t="s">
        <v>76</v>
      </c>
      <c r="S682" t="s">
        <v>76</v>
      </c>
      <c r="T682" t="s">
        <v>76</v>
      </c>
      <c r="U682">
        <v>1</v>
      </c>
      <c r="V682" s="13">
        <v>45175</v>
      </c>
      <c r="W682">
        <v>1</v>
      </c>
      <c r="X682">
        <v>1</v>
      </c>
      <c r="Y682" t="s">
        <v>3704</v>
      </c>
      <c r="AC682">
        <v>2673</v>
      </c>
      <c r="AD682" t="e" vm="674">
        <v>#VALUE!</v>
      </c>
    </row>
    <row r="683" spans="2:30" x14ac:dyDescent="0.25">
      <c r="B683">
        <v>2674</v>
      </c>
      <c r="C683" t="s">
        <v>3684</v>
      </c>
      <c r="D683" t="s">
        <v>3703</v>
      </c>
      <c r="E683" t="s">
        <v>3846</v>
      </c>
      <c r="F683" t="s">
        <v>111</v>
      </c>
      <c r="G683" t="s">
        <v>109</v>
      </c>
      <c r="H683" t="s">
        <v>3808</v>
      </c>
      <c r="I683" t="s">
        <v>3821</v>
      </c>
      <c r="J683" t="s">
        <v>3827</v>
      </c>
      <c r="K683" t="s">
        <v>1218</v>
      </c>
      <c r="L683" s="13">
        <v>44363</v>
      </c>
      <c r="M683">
        <v>2</v>
      </c>
      <c r="N683" t="s">
        <v>101</v>
      </c>
      <c r="O683" t="s">
        <v>3850</v>
      </c>
      <c r="P683" t="s">
        <v>76</v>
      </c>
      <c r="Q683" t="s">
        <v>76</v>
      </c>
      <c r="R683" t="s">
        <v>76</v>
      </c>
      <c r="S683" t="s">
        <v>76</v>
      </c>
      <c r="T683" t="s">
        <v>76</v>
      </c>
      <c r="U683">
        <v>1</v>
      </c>
      <c r="V683" s="13">
        <v>45175</v>
      </c>
      <c r="W683">
        <v>1</v>
      </c>
      <c r="X683">
        <v>1</v>
      </c>
      <c r="Y683" t="s">
        <v>3704</v>
      </c>
      <c r="AC683">
        <v>2674</v>
      </c>
      <c r="AD683" t="e" vm="675">
        <v>#VALUE!</v>
      </c>
    </row>
    <row r="684" spans="2:30" x14ac:dyDescent="0.25">
      <c r="B684">
        <v>2675</v>
      </c>
      <c r="C684" t="s">
        <v>3684</v>
      </c>
      <c r="D684" t="s">
        <v>3703</v>
      </c>
      <c r="E684" t="s">
        <v>3846</v>
      </c>
      <c r="F684" t="s">
        <v>111</v>
      </c>
      <c r="G684" t="s">
        <v>109</v>
      </c>
      <c r="H684" t="s">
        <v>3808</v>
      </c>
      <c r="I684" t="s">
        <v>3821</v>
      </c>
      <c r="J684" t="s">
        <v>3827</v>
      </c>
      <c r="K684" t="s">
        <v>1218</v>
      </c>
      <c r="L684" s="13">
        <v>44350</v>
      </c>
      <c r="M684">
        <v>2</v>
      </c>
      <c r="N684" t="s">
        <v>101</v>
      </c>
      <c r="O684" t="s">
        <v>3850</v>
      </c>
      <c r="P684" t="s">
        <v>76</v>
      </c>
      <c r="Q684" t="s">
        <v>76</v>
      </c>
      <c r="R684" t="s">
        <v>76</v>
      </c>
      <c r="S684" t="s">
        <v>76</v>
      </c>
      <c r="T684" t="s">
        <v>76</v>
      </c>
      <c r="U684">
        <v>1</v>
      </c>
      <c r="V684" s="13">
        <v>45175</v>
      </c>
      <c r="W684">
        <v>1</v>
      </c>
      <c r="X684">
        <v>1</v>
      </c>
      <c r="Y684" t="s">
        <v>3704</v>
      </c>
      <c r="AC684">
        <v>2675</v>
      </c>
      <c r="AD684" t="e" vm="676">
        <v>#VALUE!</v>
      </c>
    </row>
    <row r="685" spans="2:30" x14ac:dyDescent="0.25">
      <c r="B685">
        <v>2676</v>
      </c>
      <c r="C685" t="s">
        <v>3684</v>
      </c>
      <c r="D685" t="s">
        <v>3703</v>
      </c>
      <c r="E685" t="s">
        <v>3846</v>
      </c>
      <c r="F685" t="s">
        <v>111</v>
      </c>
      <c r="G685" t="s">
        <v>109</v>
      </c>
      <c r="H685" t="s">
        <v>3808</v>
      </c>
      <c r="I685" t="s">
        <v>3821</v>
      </c>
      <c r="J685" t="s">
        <v>3827</v>
      </c>
      <c r="K685" t="s">
        <v>1218</v>
      </c>
      <c r="L685" s="13">
        <v>44385</v>
      </c>
      <c r="M685">
        <v>2</v>
      </c>
      <c r="N685" t="s">
        <v>101</v>
      </c>
      <c r="O685" t="s">
        <v>3850</v>
      </c>
      <c r="P685" t="s">
        <v>76</v>
      </c>
      <c r="Q685" t="s">
        <v>76</v>
      </c>
      <c r="R685" t="s">
        <v>76</v>
      </c>
      <c r="S685" t="s">
        <v>76</v>
      </c>
      <c r="T685" t="s">
        <v>76</v>
      </c>
      <c r="U685">
        <v>1</v>
      </c>
      <c r="V685" s="13">
        <v>45175</v>
      </c>
      <c r="W685">
        <v>1</v>
      </c>
      <c r="X685">
        <v>1</v>
      </c>
      <c r="Y685" t="s">
        <v>3704</v>
      </c>
      <c r="AC685">
        <v>2676</v>
      </c>
      <c r="AD685" t="e" vm="677">
        <v>#VALUE!</v>
      </c>
    </row>
    <row r="686" spans="2:30" x14ac:dyDescent="0.25">
      <c r="B686">
        <v>2677</v>
      </c>
      <c r="C686" t="s">
        <v>3684</v>
      </c>
      <c r="D686" t="s">
        <v>3703</v>
      </c>
      <c r="E686" t="s">
        <v>3846</v>
      </c>
      <c r="F686" t="s">
        <v>111</v>
      </c>
      <c r="G686" t="s">
        <v>109</v>
      </c>
      <c r="H686" t="s">
        <v>3808</v>
      </c>
      <c r="I686" t="s">
        <v>3821</v>
      </c>
      <c r="J686" t="s">
        <v>3827</v>
      </c>
      <c r="K686" t="s">
        <v>1218</v>
      </c>
      <c r="L686" s="13">
        <v>44370</v>
      </c>
      <c r="M686">
        <v>2</v>
      </c>
      <c r="N686" t="s">
        <v>101</v>
      </c>
      <c r="O686" t="s">
        <v>3850</v>
      </c>
      <c r="P686" t="s">
        <v>76</v>
      </c>
      <c r="Q686" t="s">
        <v>76</v>
      </c>
      <c r="R686" t="s">
        <v>76</v>
      </c>
      <c r="S686" t="s">
        <v>76</v>
      </c>
      <c r="T686" t="s">
        <v>76</v>
      </c>
      <c r="U686">
        <v>1</v>
      </c>
      <c r="V686" s="13">
        <v>45175</v>
      </c>
      <c r="W686">
        <v>1</v>
      </c>
      <c r="X686">
        <v>1</v>
      </c>
      <c r="Y686" t="s">
        <v>3704</v>
      </c>
      <c r="AC686">
        <v>2677</v>
      </c>
      <c r="AD686" t="e" vm="678">
        <v>#VALUE!</v>
      </c>
    </row>
    <row r="687" spans="2:30" x14ac:dyDescent="0.25">
      <c r="B687">
        <v>2678</v>
      </c>
      <c r="C687" t="s">
        <v>3684</v>
      </c>
      <c r="D687" t="s">
        <v>3703</v>
      </c>
      <c r="E687" t="s">
        <v>3846</v>
      </c>
      <c r="F687" t="s">
        <v>111</v>
      </c>
      <c r="G687" t="s">
        <v>109</v>
      </c>
      <c r="H687" t="s">
        <v>3808</v>
      </c>
      <c r="I687" t="s">
        <v>3821</v>
      </c>
      <c r="J687" t="s">
        <v>3827</v>
      </c>
      <c r="K687" t="s">
        <v>1218</v>
      </c>
      <c r="L687" s="13">
        <v>44389</v>
      </c>
      <c r="M687">
        <v>2</v>
      </c>
      <c r="N687" t="s">
        <v>101</v>
      </c>
      <c r="O687" t="s">
        <v>3850</v>
      </c>
      <c r="P687" t="s">
        <v>76</v>
      </c>
      <c r="Q687" t="s">
        <v>76</v>
      </c>
      <c r="R687" t="s">
        <v>76</v>
      </c>
      <c r="S687" t="s">
        <v>76</v>
      </c>
      <c r="T687" t="s">
        <v>76</v>
      </c>
      <c r="U687">
        <v>1</v>
      </c>
      <c r="V687" s="13">
        <v>45175</v>
      </c>
      <c r="W687">
        <v>1</v>
      </c>
      <c r="X687">
        <v>1</v>
      </c>
      <c r="Y687" t="s">
        <v>3704</v>
      </c>
      <c r="AC687">
        <v>2678</v>
      </c>
      <c r="AD687" t="e" vm="679">
        <v>#VALUE!</v>
      </c>
    </row>
    <row r="688" spans="2:30" x14ac:dyDescent="0.25">
      <c r="B688">
        <v>2679</v>
      </c>
      <c r="C688" t="s">
        <v>3684</v>
      </c>
      <c r="D688" t="s">
        <v>3703</v>
      </c>
      <c r="E688" t="s">
        <v>3846</v>
      </c>
      <c r="F688" t="s">
        <v>111</v>
      </c>
      <c r="G688" t="s">
        <v>109</v>
      </c>
      <c r="H688" t="s">
        <v>3808</v>
      </c>
      <c r="I688" t="s">
        <v>3821</v>
      </c>
      <c r="J688" t="s">
        <v>3827</v>
      </c>
      <c r="K688" t="s">
        <v>1218</v>
      </c>
      <c r="L688" s="13">
        <v>44389</v>
      </c>
      <c r="M688">
        <v>2</v>
      </c>
      <c r="N688" t="s">
        <v>101</v>
      </c>
      <c r="O688" t="s">
        <v>3850</v>
      </c>
      <c r="P688" t="s">
        <v>76</v>
      </c>
      <c r="Q688" t="s">
        <v>76</v>
      </c>
      <c r="R688" t="s">
        <v>76</v>
      </c>
      <c r="S688" t="s">
        <v>76</v>
      </c>
      <c r="T688" t="s">
        <v>76</v>
      </c>
      <c r="U688">
        <v>1</v>
      </c>
      <c r="V688" s="13">
        <v>45175</v>
      </c>
      <c r="W688">
        <v>1</v>
      </c>
      <c r="X688">
        <v>1</v>
      </c>
      <c r="Y688" t="s">
        <v>3704</v>
      </c>
      <c r="AC688">
        <v>2679</v>
      </c>
      <c r="AD688" t="e" vm="680">
        <v>#VALUE!</v>
      </c>
    </row>
    <row r="689" spans="2:30" x14ac:dyDescent="0.25">
      <c r="B689">
        <v>2680</v>
      </c>
      <c r="C689" t="s">
        <v>3684</v>
      </c>
      <c r="D689" t="s">
        <v>3703</v>
      </c>
      <c r="E689" t="s">
        <v>3846</v>
      </c>
      <c r="F689" t="s">
        <v>111</v>
      </c>
      <c r="G689" t="s">
        <v>109</v>
      </c>
      <c r="H689" t="s">
        <v>3808</v>
      </c>
      <c r="I689" t="s">
        <v>3821</v>
      </c>
      <c r="J689" t="s">
        <v>3827</v>
      </c>
      <c r="K689" t="s">
        <v>1218</v>
      </c>
      <c r="L689" s="13">
        <v>44376</v>
      </c>
      <c r="M689">
        <v>2</v>
      </c>
      <c r="N689" t="s">
        <v>101</v>
      </c>
      <c r="O689" t="s">
        <v>3850</v>
      </c>
      <c r="P689" t="s">
        <v>76</v>
      </c>
      <c r="Q689" t="s">
        <v>76</v>
      </c>
      <c r="R689" t="s">
        <v>76</v>
      </c>
      <c r="S689" t="s">
        <v>76</v>
      </c>
      <c r="T689" t="s">
        <v>76</v>
      </c>
      <c r="U689">
        <v>1</v>
      </c>
      <c r="V689" s="13">
        <v>45175</v>
      </c>
      <c r="W689">
        <v>1</v>
      </c>
      <c r="X689">
        <v>1</v>
      </c>
      <c r="Y689" t="s">
        <v>3704</v>
      </c>
      <c r="AC689">
        <v>2680</v>
      </c>
      <c r="AD689" t="e" vm="681">
        <v>#VALUE!</v>
      </c>
    </row>
    <row r="690" spans="2:30" x14ac:dyDescent="0.25">
      <c r="B690">
        <v>2681</v>
      </c>
      <c r="C690" t="s">
        <v>3684</v>
      </c>
      <c r="D690" t="s">
        <v>3703</v>
      </c>
      <c r="E690" t="s">
        <v>3846</v>
      </c>
      <c r="F690" t="s">
        <v>111</v>
      </c>
      <c r="G690" t="s">
        <v>109</v>
      </c>
      <c r="H690" t="s">
        <v>3808</v>
      </c>
      <c r="I690" t="s">
        <v>3821</v>
      </c>
      <c r="J690" t="s">
        <v>3827</v>
      </c>
      <c r="K690" t="s">
        <v>1218</v>
      </c>
      <c r="L690" s="13">
        <v>44389</v>
      </c>
      <c r="M690">
        <v>2</v>
      </c>
      <c r="N690" t="s">
        <v>101</v>
      </c>
      <c r="O690" t="s">
        <v>3850</v>
      </c>
      <c r="P690" t="s">
        <v>76</v>
      </c>
      <c r="Q690" t="s">
        <v>76</v>
      </c>
      <c r="R690" t="s">
        <v>76</v>
      </c>
      <c r="S690" t="s">
        <v>76</v>
      </c>
      <c r="T690" t="s">
        <v>76</v>
      </c>
      <c r="U690">
        <v>1</v>
      </c>
      <c r="V690" s="13">
        <v>45175</v>
      </c>
      <c r="W690">
        <v>1</v>
      </c>
      <c r="X690">
        <v>1</v>
      </c>
      <c r="Y690" t="s">
        <v>3704</v>
      </c>
      <c r="AC690">
        <v>2681</v>
      </c>
      <c r="AD690" t="e" vm="682">
        <v>#VALUE!</v>
      </c>
    </row>
    <row r="691" spans="2:30" x14ac:dyDescent="0.25">
      <c r="B691">
        <v>2682</v>
      </c>
      <c r="C691" t="s">
        <v>3684</v>
      </c>
      <c r="D691" t="s">
        <v>3703</v>
      </c>
      <c r="E691" t="s">
        <v>3846</v>
      </c>
      <c r="F691" t="s">
        <v>111</v>
      </c>
      <c r="G691" t="s">
        <v>109</v>
      </c>
      <c r="H691" t="s">
        <v>3808</v>
      </c>
      <c r="I691" t="s">
        <v>3821</v>
      </c>
      <c r="J691" t="s">
        <v>3827</v>
      </c>
      <c r="K691" t="s">
        <v>1218</v>
      </c>
      <c r="L691" s="13">
        <v>44424</v>
      </c>
      <c r="M691">
        <v>2</v>
      </c>
      <c r="N691" t="s">
        <v>101</v>
      </c>
      <c r="O691" t="s">
        <v>3850</v>
      </c>
      <c r="P691" t="s">
        <v>76</v>
      </c>
      <c r="Q691" t="s">
        <v>76</v>
      </c>
      <c r="R691" t="s">
        <v>76</v>
      </c>
      <c r="S691" t="s">
        <v>76</v>
      </c>
      <c r="T691" t="s">
        <v>76</v>
      </c>
      <c r="U691">
        <v>1</v>
      </c>
      <c r="V691" s="13">
        <v>45175</v>
      </c>
      <c r="W691">
        <v>1</v>
      </c>
      <c r="X691">
        <v>1</v>
      </c>
      <c r="Y691" t="s">
        <v>3704</v>
      </c>
      <c r="AC691">
        <v>2682</v>
      </c>
      <c r="AD691" t="e" vm="683">
        <v>#VALUE!</v>
      </c>
    </row>
    <row r="692" spans="2:30" x14ac:dyDescent="0.25">
      <c r="B692">
        <v>2683</v>
      </c>
      <c r="C692" t="s">
        <v>3684</v>
      </c>
      <c r="D692" t="s">
        <v>3703</v>
      </c>
      <c r="E692" t="s">
        <v>3846</v>
      </c>
      <c r="F692" t="s">
        <v>111</v>
      </c>
      <c r="G692" t="s">
        <v>109</v>
      </c>
      <c r="H692" t="s">
        <v>3808</v>
      </c>
      <c r="I692" t="s">
        <v>3821</v>
      </c>
      <c r="J692" t="s">
        <v>3827</v>
      </c>
      <c r="K692" t="s">
        <v>1218</v>
      </c>
      <c r="L692" s="13">
        <v>44448</v>
      </c>
      <c r="M692">
        <v>2</v>
      </c>
      <c r="N692" t="s">
        <v>101</v>
      </c>
      <c r="O692" t="s">
        <v>3850</v>
      </c>
      <c r="P692" t="s">
        <v>76</v>
      </c>
      <c r="Q692" t="s">
        <v>76</v>
      </c>
      <c r="R692" t="s">
        <v>76</v>
      </c>
      <c r="S692" t="s">
        <v>76</v>
      </c>
      <c r="T692" t="s">
        <v>76</v>
      </c>
      <c r="U692">
        <v>1</v>
      </c>
      <c r="V692" s="13">
        <v>45175</v>
      </c>
      <c r="W692">
        <v>1</v>
      </c>
      <c r="X692">
        <v>1</v>
      </c>
      <c r="Y692" t="s">
        <v>3704</v>
      </c>
      <c r="AC692">
        <v>2683</v>
      </c>
      <c r="AD692" t="e" vm="684">
        <v>#VALUE!</v>
      </c>
    </row>
    <row r="693" spans="2:30" x14ac:dyDescent="0.25">
      <c r="B693">
        <v>2684</v>
      </c>
      <c r="C693" t="s">
        <v>3684</v>
      </c>
      <c r="D693" t="s">
        <v>3703</v>
      </c>
      <c r="E693" t="s">
        <v>3846</v>
      </c>
      <c r="F693" t="s">
        <v>111</v>
      </c>
      <c r="G693" t="s">
        <v>109</v>
      </c>
      <c r="H693" t="s">
        <v>3808</v>
      </c>
      <c r="I693" t="s">
        <v>3821</v>
      </c>
      <c r="J693" t="s">
        <v>3827</v>
      </c>
      <c r="K693" t="s">
        <v>1218</v>
      </c>
      <c r="L693" s="13">
        <v>44424</v>
      </c>
      <c r="M693">
        <v>2</v>
      </c>
      <c r="N693" t="s">
        <v>101</v>
      </c>
      <c r="O693" t="s">
        <v>3850</v>
      </c>
      <c r="P693" t="s">
        <v>76</v>
      </c>
      <c r="Q693" t="s">
        <v>76</v>
      </c>
      <c r="R693" t="s">
        <v>76</v>
      </c>
      <c r="S693" t="s">
        <v>76</v>
      </c>
      <c r="T693" t="s">
        <v>76</v>
      </c>
      <c r="U693">
        <v>1</v>
      </c>
      <c r="V693" s="13">
        <v>45175</v>
      </c>
      <c r="W693">
        <v>1</v>
      </c>
      <c r="X693">
        <v>1</v>
      </c>
      <c r="Y693" t="s">
        <v>3704</v>
      </c>
      <c r="AC693">
        <v>2684</v>
      </c>
      <c r="AD693" t="e" vm="685">
        <v>#VALUE!</v>
      </c>
    </row>
    <row r="694" spans="2:30" x14ac:dyDescent="0.25">
      <c r="B694">
        <v>2685</v>
      </c>
      <c r="C694" t="s">
        <v>3684</v>
      </c>
      <c r="D694" t="s">
        <v>3703</v>
      </c>
      <c r="E694" t="s">
        <v>3846</v>
      </c>
      <c r="F694" t="s">
        <v>111</v>
      </c>
      <c r="G694" t="s">
        <v>109</v>
      </c>
      <c r="H694" t="s">
        <v>3808</v>
      </c>
      <c r="I694" t="s">
        <v>3821</v>
      </c>
      <c r="J694" t="s">
        <v>3827</v>
      </c>
      <c r="K694" t="s">
        <v>1218</v>
      </c>
      <c r="L694" s="13">
        <v>44387</v>
      </c>
      <c r="M694">
        <v>2</v>
      </c>
      <c r="N694" t="s">
        <v>101</v>
      </c>
      <c r="O694" t="s">
        <v>3850</v>
      </c>
      <c r="P694" t="s">
        <v>76</v>
      </c>
      <c r="Q694" t="s">
        <v>76</v>
      </c>
      <c r="R694" t="s">
        <v>76</v>
      </c>
      <c r="S694" t="s">
        <v>76</v>
      </c>
      <c r="T694" t="s">
        <v>76</v>
      </c>
      <c r="U694">
        <v>1</v>
      </c>
      <c r="V694" s="13">
        <v>45175</v>
      </c>
      <c r="W694">
        <v>1</v>
      </c>
      <c r="X694">
        <v>1</v>
      </c>
      <c r="Y694" t="s">
        <v>3704</v>
      </c>
      <c r="AC694">
        <v>2685</v>
      </c>
      <c r="AD694" t="e" vm="686">
        <v>#VALUE!</v>
      </c>
    </row>
    <row r="695" spans="2:30" x14ac:dyDescent="0.25">
      <c r="B695">
        <v>2686</v>
      </c>
      <c r="C695" t="s">
        <v>3684</v>
      </c>
      <c r="D695" t="s">
        <v>3703</v>
      </c>
      <c r="E695" t="s">
        <v>3846</v>
      </c>
      <c r="F695" t="s">
        <v>111</v>
      </c>
      <c r="G695" t="s">
        <v>109</v>
      </c>
      <c r="H695" t="s">
        <v>3808</v>
      </c>
      <c r="I695" t="s">
        <v>3821</v>
      </c>
      <c r="J695" t="s">
        <v>3827</v>
      </c>
      <c r="K695" t="s">
        <v>1218</v>
      </c>
      <c r="L695" s="13">
        <v>44392</v>
      </c>
      <c r="M695">
        <v>2</v>
      </c>
      <c r="N695" t="s">
        <v>101</v>
      </c>
      <c r="O695" t="s">
        <v>3850</v>
      </c>
      <c r="P695" t="s">
        <v>76</v>
      </c>
      <c r="Q695" t="s">
        <v>76</v>
      </c>
      <c r="R695" t="s">
        <v>76</v>
      </c>
      <c r="S695" t="s">
        <v>76</v>
      </c>
      <c r="T695" t="s">
        <v>76</v>
      </c>
      <c r="U695">
        <v>1</v>
      </c>
      <c r="V695" s="13">
        <v>45175</v>
      </c>
      <c r="W695">
        <v>1</v>
      </c>
      <c r="X695">
        <v>1</v>
      </c>
      <c r="Y695" t="s">
        <v>3704</v>
      </c>
      <c r="AC695">
        <v>2686</v>
      </c>
      <c r="AD695" t="e" vm="687">
        <v>#VALUE!</v>
      </c>
    </row>
    <row r="696" spans="2:30" x14ac:dyDescent="0.25">
      <c r="B696">
        <v>2687</v>
      </c>
      <c r="C696" t="s">
        <v>3646</v>
      </c>
      <c r="D696" t="s">
        <v>3711</v>
      </c>
      <c r="E696" t="s">
        <v>3849</v>
      </c>
      <c r="F696" t="s">
        <v>83</v>
      </c>
      <c r="G696" t="s">
        <v>103</v>
      </c>
      <c r="H696" t="s">
        <v>3808</v>
      </c>
      <c r="I696" t="s">
        <v>3821</v>
      </c>
      <c r="J696" t="s">
        <v>3827</v>
      </c>
      <c r="K696" t="s">
        <v>1218</v>
      </c>
      <c r="L696" s="13">
        <v>44428</v>
      </c>
      <c r="M696">
        <v>2</v>
      </c>
      <c r="N696" t="s">
        <v>90</v>
      </c>
      <c r="O696" t="s">
        <v>3850</v>
      </c>
      <c r="P696" t="s">
        <v>76</v>
      </c>
      <c r="Q696" t="s">
        <v>76</v>
      </c>
      <c r="R696" t="s">
        <v>76</v>
      </c>
      <c r="S696" t="s">
        <v>76</v>
      </c>
      <c r="T696" t="s">
        <v>76</v>
      </c>
      <c r="U696">
        <v>1</v>
      </c>
      <c r="V696" s="13">
        <v>45175</v>
      </c>
      <c r="W696">
        <v>1</v>
      </c>
      <c r="X696">
        <v>1</v>
      </c>
      <c r="Y696" t="s">
        <v>3712</v>
      </c>
      <c r="AC696">
        <v>2687</v>
      </c>
      <c r="AD696" t="e" vm="688">
        <v>#VALUE!</v>
      </c>
    </row>
    <row r="697" spans="2:30" x14ac:dyDescent="0.25">
      <c r="B697">
        <v>2688</v>
      </c>
      <c r="C697" t="s">
        <v>3646</v>
      </c>
      <c r="D697" t="s">
        <v>3711</v>
      </c>
      <c r="E697" t="s">
        <v>3849</v>
      </c>
      <c r="F697" t="s">
        <v>83</v>
      </c>
      <c r="G697" t="s">
        <v>103</v>
      </c>
      <c r="H697" t="s">
        <v>3808</v>
      </c>
      <c r="I697" t="s">
        <v>3821</v>
      </c>
      <c r="J697" t="s">
        <v>3827</v>
      </c>
      <c r="K697" t="s">
        <v>1218</v>
      </c>
      <c r="L697" s="13">
        <v>44442</v>
      </c>
      <c r="M697">
        <v>2</v>
      </c>
      <c r="N697" t="s">
        <v>90</v>
      </c>
      <c r="O697" t="s">
        <v>3850</v>
      </c>
      <c r="P697" t="s">
        <v>76</v>
      </c>
      <c r="Q697" t="s">
        <v>76</v>
      </c>
      <c r="R697" t="s">
        <v>76</v>
      </c>
      <c r="S697" t="s">
        <v>76</v>
      </c>
      <c r="T697" t="s">
        <v>76</v>
      </c>
      <c r="U697">
        <v>1</v>
      </c>
      <c r="V697" s="13">
        <v>45175</v>
      </c>
      <c r="W697">
        <v>1</v>
      </c>
      <c r="X697">
        <v>1</v>
      </c>
      <c r="Y697" t="s">
        <v>3712</v>
      </c>
      <c r="AC697">
        <v>2688</v>
      </c>
      <c r="AD697" t="e" vm="689">
        <v>#VALUE!</v>
      </c>
    </row>
    <row r="698" spans="2:30" x14ac:dyDescent="0.25">
      <c r="B698">
        <v>2689</v>
      </c>
      <c r="C698" t="s">
        <v>3646</v>
      </c>
      <c r="D698" t="s">
        <v>3711</v>
      </c>
      <c r="E698" t="s">
        <v>3849</v>
      </c>
      <c r="F698" t="s">
        <v>83</v>
      </c>
      <c r="G698" t="s">
        <v>103</v>
      </c>
      <c r="H698" t="s">
        <v>3808</v>
      </c>
      <c r="I698" t="s">
        <v>3821</v>
      </c>
      <c r="J698" t="s">
        <v>3827</v>
      </c>
      <c r="K698" t="s">
        <v>1218</v>
      </c>
      <c r="L698" s="13">
        <v>44537</v>
      </c>
      <c r="M698">
        <v>2</v>
      </c>
      <c r="N698" t="s">
        <v>90</v>
      </c>
      <c r="O698" t="s">
        <v>3850</v>
      </c>
      <c r="P698" t="s">
        <v>76</v>
      </c>
      <c r="Q698" t="s">
        <v>76</v>
      </c>
      <c r="R698" t="s">
        <v>76</v>
      </c>
      <c r="S698" t="s">
        <v>76</v>
      </c>
      <c r="T698" t="s">
        <v>76</v>
      </c>
      <c r="U698">
        <v>1</v>
      </c>
      <c r="V698" s="13">
        <v>45175</v>
      </c>
      <c r="W698">
        <v>1</v>
      </c>
      <c r="X698">
        <v>1</v>
      </c>
      <c r="Y698" t="s">
        <v>3712</v>
      </c>
      <c r="AC698">
        <v>2689</v>
      </c>
      <c r="AD698" t="e" vm="690">
        <v>#VALUE!</v>
      </c>
    </row>
    <row r="699" spans="2:30" x14ac:dyDescent="0.25">
      <c r="B699">
        <v>2690</v>
      </c>
      <c r="C699" t="s">
        <v>3646</v>
      </c>
      <c r="D699" t="s">
        <v>3711</v>
      </c>
      <c r="E699" t="s">
        <v>3849</v>
      </c>
      <c r="F699" t="s">
        <v>83</v>
      </c>
      <c r="G699" t="s">
        <v>103</v>
      </c>
      <c r="H699" t="s">
        <v>3808</v>
      </c>
      <c r="I699" t="s">
        <v>3821</v>
      </c>
      <c r="J699" t="s">
        <v>3827</v>
      </c>
      <c r="K699" t="s">
        <v>1218</v>
      </c>
      <c r="L699" s="13">
        <v>44428</v>
      </c>
      <c r="M699">
        <v>2</v>
      </c>
      <c r="N699" t="s">
        <v>90</v>
      </c>
      <c r="O699" t="s">
        <v>3850</v>
      </c>
      <c r="P699" t="s">
        <v>76</v>
      </c>
      <c r="Q699" t="s">
        <v>76</v>
      </c>
      <c r="R699" t="s">
        <v>76</v>
      </c>
      <c r="S699" t="s">
        <v>76</v>
      </c>
      <c r="T699" t="s">
        <v>76</v>
      </c>
      <c r="U699">
        <v>1</v>
      </c>
      <c r="V699" s="13">
        <v>45175</v>
      </c>
      <c r="W699">
        <v>1</v>
      </c>
      <c r="X699">
        <v>1</v>
      </c>
      <c r="Y699" t="s">
        <v>3712</v>
      </c>
      <c r="AC699">
        <v>2690</v>
      </c>
      <c r="AD699" t="e" vm="691">
        <v>#VALUE!</v>
      </c>
    </row>
    <row r="700" spans="2:30" x14ac:dyDescent="0.25">
      <c r="B700">
        <v>2691</v>
      </c>
      <c r="C700" t="s">
        <v>3646</v>
      </c>
      <c r="D700" t="s">
        <v>3711</v>
      </c>
      <c r="E700" t="s">
        <v>3849</v>
      </c>
      <c r="F700" t="s">
        <v>83</v>
      </c>
      <c r="G700" t="s">
        <v>103</v>
      </c>
      <c r="H700" t="s">
        <v>3808</v>
      </c>
      <c r="I700" t="s">
        <v>3821</v>
      </c>
      <c r="J700" t="s">
        <v>3827</v>
      </c>
      <c r="K700" t="s">
        <v>1218</v>
      </c>
      <c r="L700" s="13">
        <v>44442</v>
      </c>
      <c r="M700">
        <v>2</v>
      </c>
      <c r="N700" t="s">
        <v>90</v>
      </c>
      <c r="O700" t="s">
        <v>3850</v>
      </c>
      <c r="P700" t="s">
        <v>76</v>
      </c>
      <c r="Q700" t="s">
        <v>76</v>
      </c>
      <c r="R700" t="s">
        <v>76</v>
      </c>
      <c r="S700" t="s">
        <v>76</v>
      </c>
      <c r="T700" t="s">
        <v>76</v>
      </c>
      <c r="U700">
        <v>1</v>
      </c>
      <c r="V700" s="13">
        <v>45175</v>
      </c>
      <c r="W700">
        <v>1</v>
      </c>
      <c r="X700">
        <v>1</v>
      </c>
      <c r="Y700" t="s">
        <v>3712</v>
      </c>
      <c r="AC700">
        <v>2691</v>
      </c>
      <c r="AD700" t="e" vm="692">
        <v>#VALUE!</v>
      </c>
    </row>
    <row r="701" spans="2:30" x14ac:dyDescent="0.25">
      <c r="B701">
        <v>2692</v>
      </c>
      <c r="C701" t="s">
        <v>3646</v>
      </c>
      <c r="D701" t="s">
        <v>3711</v>
      </c>
      <c r="E701" t="s">
        <v>3849</v>
      </c>
      <c r="F701" t="s">
        <v>83</v>
      </c>
      <c r="G701" t="s">
        <v>103</v>
      </c>
      <c r="H701" t="s">
        <v>3808</v>
      </c>
      <c r="I701" t="s">
        <v>3821</v>
      </c>
      <c r="J701" t="s">
        <v>3827</v>
      </c>
      <c r="K701" t="s">
        <v>1218</v>
      </c>
      <c r="L701" s="13">
        <v>44434</v>
      </c>
      <c r="M701">
        <v>2</v>
      </c>
      <c r="N701" t="s">
        <v>90</v>
      </c>
      <c r="O701" t="s">
        <v>3850</v>
      </c>
      <c r="P701" t="s">
        <v>76</v>
      </c>
      <c r="Q701" t="s">
        <v>76</v>
      </c>
      <c r="R701" t="s">
        <v>76</v>
      </c>
      <c r="S701" t="s">
        <v>76</v>
      </c>
      <c r="T701" t="s">
        <v>76</v>
      </c>
      <c r="U701">
        <v>1</v>
      </c>
      <c r="V701" s="13">
        <v>45175</v>
      </c>
      <c r="W701">
        <v>1</v>
      </c>
      <c r="X701">
        <v>1</v>
      </c>
      <c r="Y701" t="s">
        <v>3712</v>
      </c>
      <c r="AC701">
        <v>2692</v>
      </c>
      <c r="AD701" t="e" vm="693">
        <v>#VALUE!</v>
      </c>
    </row>
    <row r="702" spans="2:30" x14ac:dyDescent="0.25">
      <c r="B702">
        <v>2693</v>
      </c>
      <c r="C702" t="s">
        <v>3646</v>
      </c>
      <c r="D702" t="s">
        <v>3711</v>
      </c>
      <c r="E702" t="s">
        <v>3849</v>
      </c>
      <c r="F702" t="s">
        <v>83</v>
      </c>
      <c r="G702" t="s">
        <v>103</v>
      </c>
      <c r="H702" t="s">
        <v>3808</v>
      </c>
      <c r="I702" t="s">
        <v>3821</v>
      </c>
      <c r="J702" t="s">
        <v>3827</v>
      </c>
      <c r="K702" t="s">
        <v>1218</v>
      </c>
      <c r="L702" s="13">
        <v>44490</v>
      </c>
      <c r="M702">
        <v>2</v>
      </c>
      <c r="N702" t="s">
        <v>90</v>
      </c>
      <c r="O702" t="s">
        <v>3850</v>
      </c>
      <c r="P702" t="s">
        <v>76</v>
      </c>
      <c r="Q702" t="s">
        <v>76</v>
      </c>
      <c r="R702" t="s">
        <v>76</v>
      </c>
      <c r="S702" t="s">
        <v>76</v>
      </c>
      <c r="T702" t="s">
        <v>76</v>
      </c>
      <c r="U702">
        <v>1</v>
      </c>
      <c r="V702" s="13">
        <v>45175</v>
      </c>
      <c r="W702">
        <v>1</v>
      </c>
      <c r="X702">
        <v>1</v>
      </c>
      <c r="Y702" t="s">
        <v>3712</v>
      </c>
      <c r="AC702">
        <v>2693</v>
      </c>
      <c r="AD702" t="e" vm="694">
        <v>#VALUE!</v>
      </c>
    </row>
    <row r="703" spans="2:30" x14ac:dyDescent="0.25">
      <c r="B703">
        <v>2694</v>
      </c>
      <c r="C703" t="s">
        <v>3646</v>
      </c>
      <c r="D703" t="s">
        <v>3711</v>
      </c>
      <c r="E703" t="s">
        <v>3849</v>
      </c>
      <c r="F703" t="s">
        <v>83</v>
      </c>
      <c r="G703" t="s">
        <v>103</v>
      </c>
      <c r="H703" t="s">
        <v>3808</v>
      </c>
      <c r="I703" t="s">
        <v>3821</v>
      </c>
      <c r="J703" t="s">
        <v>3827</v>
      </c>
      <c r="K703" t="s">
        <v>1218</v>
      </c>
      <c r="L703" s="13">
        <v>44442</v>
      </c>
      <c r="M703">
        <v>2</v>
      </c>
      <c r="N703" t="s">
        <v>90</v>
      </c>
      <c r="O703" t="s">
        <v>3850</v>
      </c>
      <c r="P703" t="s">
        <v>76</v>
      </c>
      <c r="Q703" t="s">
        <v>76</v>
      </c>
      <c r="R703" t="s">
        <v>76</v>
      </c>
      <c r="S703" t="s">
        <v>76</v>
      </c>
      <c r="T703" t="s">
        <v>76</v>
      </c>
      <c r="U703">
        <v>1</v>
      </c>
      <c r="V703" s="13">
        <v>45175</v>
      </c>
      <c r="W703">
        <v>1</v>
      </c>
      <c r="X703">
        <v>1</v>
      </c>
      <c r="Y703" t="s">
        <v>3712</v>
      </c>
      <c r="AC703">
        <v>2694</v>
      </c>
      <c r="AD703" t="e" vm="695">
        <v>#VALUE!</v>
      </c>
    </row>
    <row r="704" spans="2:30" x14ac:dyDescent="0.25">
      <c r="B704">
        <v>2695</v>
      </c>
      <c r="C704" t="s">
        <v>3646</v>
      </c>
      <c r="D704" t="s">
        <v>3711</v>
      </c>
      <c r="E704" t="s">
        <v>3849</v>
      </c>
      <c r="F704" t="s">
        <v>83</v>
      </c>
      <c r="G704" t="s">
        <v>103</v>
      </c>
      <c r="H704" t="s">
        <v>3808</v>
      </c>
      <c r="I704" t="s">
        <v>3821</v>
      </c>
      <c r="J704" t="s">
        <v>3827</v>
      </c>
      <c r="K704" t="s">
        <v>1218</v>
      </c>
      <c r="L704" s="13">
        <v>44448</v>
      </c>
      <c r="M704">
        <v>2</v>
      </c>
      <c r="N704" t="s">
        <v>90</v>
      </c>
      <c r="O704" t="s">
        <v>3850</v>
      </c>
      <c r="P704" t="s">
        <v>76</v>
      </c>
      <c r="Q704" t="s">
        <v>76</v>
      </c>
      <c r="R704" t="s">
        <v>76</v>
      </c>
      <c r="S704" t="s">
        <v>76</v>
      </c>
      <c r="T704" t="s">
        <v>76</v>
      </c>
      <c r="U704">
        <v>1</v>
      </c>
      <c r="V704" s="13">
        <v>45175</v>
      </c>
      <c r="W704">
        <v>1</v>
      </c>
      <c r="X704">
        <v>1</v>
      </c>
      <c r="Y704" t="s">
        <v>3712</v>
      </c>
      <c r="AC704">
        <v>2695</v>
      </c>
      <c r="AD704" t="e" vm="696">
        <v>#VALUE!</v>
      </c>
    </row>
    <row r="705" spans="2:30" x14ac:dyDescent="0.25">
      <c r="B705">
        <v>2696</v>
      </c>
      <c r="C705" t="s">
        <v>3646</v>
      </c>
      <c r="D705" t="s">
        <v>3711</v>
      </c>
      <c r="E705" t="s">
        <v>3849</v>
      </c>
      <c r="F705" t="s">
        <v>83</v>
      </c>
      <c r="G705" t="s">
        <v>103</v>
      </c>
      <c r="H705" t="s">
        <v>3808</v>
      </c>
      <c r="I705" t="s">
        <v>3821</v>
      </c>
      <c r="J705" t="s">
        <v>3827</v>
      </c>
      <c r="K705" t="s">
        <v>1218</v>
      </c>
      <c r="L705" s="13">
        <v>44481</v>
      </c>
      <c r="M705">
        <v>2</v>
      </c>
      <c r="N705" t="s">
        <v>90</v>
      </c>
      <c r="O705" t="s">
        <v>3850</v>
      </c>
      <c r="P705" t="s">
        <v>76</v>
      </c>
      <c r="Q705" t="s">
        <v>76</v>
      </c>
      <c r="R705" t="s">
        <v>76</v>
      </c>
      <c r="S705" t="s">
        <v>76</v>
      </c>
      <c r="T705" t="s">
        <v>76</v>
      </c>
      <c r="U705">
        <v>1</v>
      </c>
      <c r="V705" s="13">
        <v>45175</v>
      </c>
      <c r="W705">
        <v>1</v>
      </c>
      <c r="X705">
        <v>1</v>
      </c>
      <c r="Y705" t="s">
        <v>3712</v>
      </c>
      <c r="AC705">
        <v>2696</v>
      </c>
      <c r="AD705" t="e" vm="697">
        <v>#VALUE!</v>
      </c>
    </row>
    <row r="706" spans="2:30" x14ac:dyDescent="0.25">
      <c r="B706">
        <v>2697</v>
      </c>
      <c r="C706" t="s">
        <v>3646</v>
      </c>
      <c r="D706" t="s">
        <v>3711</v>
      </c>
      <c r="E706" t="s">
        <v>3849</v>
      </c>
      <c r="F706" t="s">
        <v>83</v>
      </c>
      <c r="G706" t="s">
        <v>103</v>
      </c>
      <c r="H706" t="s">
        <v>3808</v>
      </c>
      <c r="I706" t="s">
        <v>3821</v>
      </c>
      <c r="J706" t="s">
        <v>3827</v>
      </c>
      <c r="K706" t="s">
        <v>1218</v>
      </c>
      <c r="L706" s="13">
        <v>44490</v>
      </c>
      <c r="M706">
        <v>2</v>
      </c>
      <c r="N706" t="s">
        <v>90</v>
      </c>
      <c r="O706" t="s">
        <v>3850</v>
      </c>
      <c r="P706" t="s">
        <v>76</v>
      </c>
      <c r="Q706" t="s">
        <v>76</v>
      </c>
      <c r="R706" t="s">
        <v>76</v>
      </c>
      <c r="S706" t="s">
        <v>76</v>
      </c>
      <c r="T706" t="s">
        <v>76</v>
      </c>
      <c r="U706">
        <v>1</v>
      </c>
      <c r="V706" s="13">
        <v>45175</v>
      </c>
      <c r="W706">
        <v>1</v>
      </c>
      <c r="X706">
        <v>1</v>
      </c>
      <c r="Y706" t="s">
        <v>3712</v>
      </c>
      <c r="AC706">
        <v>2697</v>
      </c>
      <c r="AD706" t="e" vm="698">
        <v>#VALUE!</v>
      </c>
    </row>
    <row r="707" spans="2:30" x14ac:dyDescent="0.25">
      <c r="B707">
        <v>2698</v>
      </c>
      <c r="C707" t="s">
        <v>3646</v>
      </c>
      <c r="D707" t="s">
        <v>3711</v>
      </c>
      <c r="E707" t="s">
        <v>3849</v>
      </c>
      <c r="F707" t="s">
        <v>83</v>
      </c>
      <c r="G707" t="s">
        <v>103</v>
      </c>
      <c r="H707" t="s">
        <v>3808</v>
      </c>
      <c r="I707" t="s">
        <v>3821</v>
      </c>
      <c r="J707" t="s">
        <v>3827</v>
      </c>
      <c r="K707" t="s">
        <v>1218</v>
      </c>
      <c r="L707" s="13">
        <v>44424</v>
      </c>
      <c r="M707">
        <v>2</v>
      </c>
      <c r="N707" t="s">
        <v>90</v>
      </c>
      <c r="O707" t="s">
        <v>3850</v>
      </c>
      <c r="P707" t="s">
        <v>76</v>
      </c>
      <c r="Q707" t="s">
        <v>76</v>
      </c>
      <c r="R707" t="s">
        <v>76</v>
      </c>
      <c r="S707" t="s">
        <v>76</v>
      </c>
      <c r="T707" t="s">
        <v>76</v>
      </c>
      <c r="U707">
        <v>1</v>
      </c>
      <c r="V707" s="13">
        <v>45175</v>
      </c>
      <c r="W707">
        <v>1</v>
      </c>
      <c r="X707">
        <v>1</v>
      </c>
      <c r="Y707" t="s">
        <v>3712</v>
      </c>
      <c r="AC707">
        <v>2698</v>
      </c>
      <c r="AD707" t="e" vm="699">
        <v>#VALUE!</v>
      </c>
    </row>
    <row r="708" spans="2:30" x14ac:dyDescent="0.25">
      <c r="B708">
        <v>2699</v>
      </c>
      <c r="C708" t="s">
        <v>3646</v>
      </c>
      <c r="D708" t="s">
        <v>3711</v>
      </c>
      <c r="E708" t="s">
        <v>3849</v>
      </c>
      <c r="F708" t="s">
        <v>83</v>
      </c>
      <c r="G708" t="s">
        <v>103</v>
      </c>
      <c r="H708" t="s">
        <v>3808</v>
      </c>
      <c r="I708" t="s">
        <v>3821</v>
      </c>
      <c r="J708" t="s">
        <v>3827</v>
      </c>
      <c r="K708" t="s">
        <v>1218</v>
      </c>
      <c r="L708" s="13">
        <v>44550</v>
      </c>
      <c r="M708">
        <v>2</v>
      </c>
      <c r="N708" t="s">
        <v>90</v>
      </c>
      <c r="O708" t="s">
        <v>3850</v>
      </c>
      <c r="P708" t="s">
        <v>76</v>
      </c>
      <c r="Q708" t="s">
        <v>76</v>
      </c>
      <c r="R708" t="s">
        <v>76</v>
      </c>
      <c r="S708" t="s">
        <v>76</v>
      </c>
      <c r="T708" t="s">
        <v>76</v>
      </c>
      <c r="U708">
        <v>1</v>
      </c>
      <c r="V708" s="13">
        <v>45175</v>
      </c>
      <c r="W708">
        <v>1</v>
      </c>
      <c r="X708">
        <v>1</v>
      </c>
      <c r="Y708" t="s">
        <v>3712</v>
      </c>
      <c r="AC708">
        <v>2699</v>
      </c>
      <c r="AD708" t="e" vm="700">
        <v>#VALUE!</v>
      </c>
    </row>
    <row r="709" spans="2:30" x14ac:dyDescent="0.25">
      <c r="B709">
        <v>2700</v>
      </c>
      <c r="C709" t="s">
        <v>3684</v>
      </c>
      <c r="D709" t="s">
        <v>3695</v>
      </c>
      <c r="E709" t="s">
        <v>3838</v>
      </c>
      <c r="F709" t="s">
        <v>97</v>
      </c>
      <c r="G709" t="s">
        <v>102</v>
      </c>
      <c r="H709" t="s">
        <v>3808</v>
      </c>
      <c r="I709" t="s">
        <v>3821</v>
      </c>
      <c r="J709" t="s">
        <v>3827</v>
      </c>
      <c r="K709" t="s">
        <v>1218</v>
      </c>
      <c r="L709" s="13">
        <v>44434</v>
      </c>
      <c r="M709">
        <v>2</v>
      </c>
      <c r="N709" t="s">
        <v>101</v>
      </c>
      <c r="O709" t="s">
        <v>3850</v>
      </c>
      <c r="P709" t="s">
        <v>76</v>
      </c>
      <c r="Q709" t="s">
        <v>76</v>
      </c>
      <c r="R709" t="s">
        <v>76</v>
      </c>
      <c r="S709" t="s">
        <v>76</v>
      </c>
      <c r="T709" t="s">
        <v>76</v>
      </c>
      <c r="U709">
        <v>1</v>
      </c>
      <c r="V709" s="13">
        <v>45175</v>
      </c>
      <c r="W709">
        <v>1</v>
      </c>
      <c r="X709">
        <v>1</v>
      </c>
      <c r="Y709" t="s">
        <v>3696</v>
      </c>
      <c r="AC709">
        <v>2700</v>
      </c>
      <c r="AD709" t="e" vm="701">
        <v>#VALUE!</v>
      </c>
    </row>
    <row r="710" spans="2:30" x14ac:dyDescent="0.25">
      <c r="B710">
        <v>2701</v>
      </c>
      <c r="C710" t="s">
        <v>3684</v>
      </c>
      <c r="D710" t="s">
        <v>3695</v>
      </c>
      <c r="E710" t="s">
        <v>3838</v>
      </c>
      <c r="F710" t="s">
        <v>97</v>
      </c>
      <c r="G710" t="s">
        <v>102</v>
      </c>
      <c r="H710" t="s">
        <v>3808</v>
      </c>
      <c r="I710" t="s">
        <v>3821</v>
      </c>
      <c r="J710" t="s">
        <v>3827</v>
      </c>
      <c r="K710" t="s">
        <v>1218</v>
      </c>
      <c r="L710" s="13">
        <v>44460</v>
      </c>
      <c r="M710">
        <v>2</v>
      </c>
      <c r="N710" t="s">
        <v>101</v>
      </c>
      <c r="O710" t="s">
        <v>3850</v>
      </c>
      <c r="P710" t="s">
        <v>76</v>
      </c>
      <c r="Q710" t="s">
        <v>76</v>
      </c>
      <c r="R710" t="s">
        <v>76</v>
      </c>
      <c r="S710" t="s">
        <v>76</v>
      </c>
      <c r="T710" t="s">
        <v>76</v>
      </c>
      <c r="U710">
        <v>1</v>
      </c>
      <c r="V710" s="13">
        <v>45175</v>
      </c>
      <c r="W710">
        <v>1</v>
      </c>
      <c r="X710">
        <v>1</v>
      </c>
      <c r="Y710" t="s">
        <v>3696</v>
      </c>
      <c r="AC710">
        <v>2701</v>
      </c>
      <c r="AD710" t="e" vm="702">
        <v>#VALUE!</v>
      </c>
    </row>
    <row r="711" spans="2:30" x14ac:dyDescent="0.25">
      <c r="B711">
        <v>2702</v>
      </c>
      <c r="C711" t="s">
        <v>3684</v>
      </c>
      <c r="D711" t="s">
        <v>3695</v>
      </c>
      <c r="E711" t="s">
        <v>3838</v>
      </c>
      <c r="F711" t="s">
        <v>97</v>
      </c>
      <c r="G711" t="s">
        <v>102</v>
      </c>
      <c r="H711" t="s">
        <v>3808</v>
      </c>
      <c r="I711" t="s">
        <v>3821</v>
      </c>
      <c r="J711" t="s">
        <v>3827</v>
      </c>
      <c r="K711" t="s">
        <v>1218</v>
      </c>
      <c r="L711" s="13">
        <v>44498</v>
      </c>
      <c r="M711">
        <v>2</v>
      </c>
      <c r="N711" t="s">
        <v>101</v>
      </c>
      <c r="O711" t="s">
        <v>3850</v>
      </c>
      <c r="P711" t="s">
        <v>76</v>
      </c>
      <c r="Q711" t="s">
        <v>76</v>
      </c>
      <c r="R711" t="s">
        <v>76</v>
      </c>
      <c r="S711" t="s">
        <v>76</v>
      </c>
      <c r="T711" t="s">
        <v>76</v>
      </c>
      <c r="U711">
        <v>1</v>
      </c>
      <c r="V711" s="13">
        <v>45175</v>
      </c>
      <c r="W711">
        <v>1</v>
      </c>
      <c r="X711">
        <v>1</v>
      </c>
      <c r="Y711" t="s">
        <v>3696</v>
      </c>
      <c r="AC711">
        <v>2702</v>
      </c>
      <c r="AD711" t="e" vm="703">
        <v>#VALUE!</v>
      </c>
    </row>
    <row r="712" spans="2:30" x14ac:dyDescent="0.25">
      <c r="B712">
        <v>2703</v>
      </c>
      <c r="C712" t="s">
        <v>3684</v>
      </c>
      <c r="D712" t="s">
        <v>3695</v>
      </c>
      <c r="E712" t="s">
        <v>3838</v>
      </c>
      <c r="F712" t="s">
        <v>97</v>
      </c>
      <c r="G712" t="s">
        <v>102</v>
      </c>
      <c r="H712" t="s">
        <v>3808</v>
      </c>
      <c r="I712" t="s">
        <v>3821</v>
      </c>
      <c r="J712" t="s">
        <v>3827</v>
      </c>
      <c r="K712" t="s">
        <v>1218</v>
      </c>
      <c r="L712" s="13">
        <v>44498</v>
      </c>
      <c r="M712">
        <v>2</v>
      </c>
      <c r="N712" t="s">
        <v>101</v>
      </c>
      <c r="O712" t="s">
        <v>3850</v>
      </c>
      <c r="P712" t="s">
        <v>76</v>
      </c>
      <c r="Q712" t="s">
        <v>76</v>
      </c>
      <c r="R712" t="s">
        <v>76</v>
      </c>
      <c r="S712" t="s">
        <v>76</v>
      </c>
      <c r="T712" t="s">
        <v>76</v>
      </c>
      <c r="U712">
        <v>1</v>
      </c>
      <c r="V712" s="13">
        <v>45175</v>
      </c>
      <c r="W712">
        <v>1</v>
      </c>
      <c r="X712">
        <v>1</v>
      </c>
      <c r="Y712" t="s">
        <v>3696</v>
      </c>
      <c r="AC712">
        <v>2703</v>
      </c>
      <c r="AD712" t="e" vm="704">
        <v>#VALUE!</v>
      </c>
    </row>
    <row r="713" spans="2:30" x14ac:dyDescent="0.25">
      <c r="B713">
        <v>2704</v>
      </c>
      <c r="C713" t="s">
        <v>3684</v>
      </c>
      <c r="D713" t="s">
        <v>3695</v>
      </c>
      <c r="E713" t="s">
        <v>3838</v>
      </c>
      <c r="F713" t="s">
        <v>97</v>
      </c>
      <c r="G713" t="s">
        <v>102</v>
      </c>
      <c r="H713" t="s">
        <v>3808</v>
      </c>
      <c r="I713" t="s">
        <v>3821</v>
      </c>
      <c r="J713" t="s">
        <v>3827</v>
      </c>
      <c r="K713" t="s">
        <v>1218</v>
      </c>
      <c r="L713" s="13">
        <v>44537</v>
      </c>
      <c r="M713">
        <v>2</v>
      </c>
      <c r="N713" t="s">
        <v>101</v>
      </c>
      <c r="O713" t="s">
        <v>3850</v>
      </c>
      <c r="P713" t="s">
        <v>76</v>
      </c>
      <c r="Q713" t="s">
        <v>76</v>
      </c>
      <c r="R713" t="s">
        <v>76</v>
      </c>
      <c r="S713" t="s">
        <v>76</v>
      </c>
      <c r="T713" t="s">
        <v>76</v>
      </c>
      <c r="U713">
        <v>1</v>
      </c>
      <c r="V713" s="13">
        <v>45175</v>
      </c>
      <c r="W713">
        <v>1</v>
      </c>
      <c r="X713">
        <v>1</v>
      </c>
      <c r="Y713" t="s">
        <v>3696</v>
      </c>
      <c r="AC713">
        <v>2704</v>
      </c>
      <c r="AD713" t="e" vm="705">
        <v>#VALUE!</v>
      </c>
    </row>
    <row r="714" spans="2:30" x14ac:dyDescent="0.25">
      <c r="B714">
        <v>2705</v>
      </c>
      <c r="C714" t="s">
        <v>3684</v>
      </c>
      <c r="D714" t="s">
        <v>3695</v>
      </c>
      <c r="E714" t="s">
        <v>3838</v>
      </c>
      <c r="F714" t="s">
        <v>97</v>
      </c>
      <c r="G714" t="s">
        <v>102</v>
      </c>
      <c r="H714" t="s">
        <v>3808</v>
      </c>
      <c r="I714" t="s">
        <v>3821</v>
      </c>
      <c r="J714" t="s">
        <v>3827</v>
      </c>
      <c r="K714" t="s">
        <v>1218</v>
      </c>
      <c r="L714" s="13">
        <v>44515</v>
      </c>
      <c r="M714">
        <v>2</v>
      </c>
      <c r="N714" t="s">
        <v>101</v>
      </c>
      <c r="O714" t="s">
        <v>3850</v>
      </c>
      <c r="P714" t="s">
        <v>76</v>
      </c>
      <c r="Q714" t="s">
        <v>76</v>
      </c>
      <c r="R714" t="s">
        <v>76</v>
      </c>
      <c r="S714" t="s">
        <v>76</v>
      </c>
      <c r="T714" t="s">
        <v>76</v>
      </c>
      <c r="U714">
        <v>1</v>
      </c>
      <c r="V714" s="13">
        <v>45175</v>
      </c>
      <c r="W714">
        <v>1</v>
      </c>
      <c r="X714">
        <v>1</v>
      </c>
      <c r="Y714" t="s">
        <v>3696</v>
      </c>
      <c r="AC714">
        <v>2705</v>
      </c>
      <c r="AD714" t="e" vm="706">
        <v>#VALUE!</v>
      </c>
    </row>
    <row r="715" spans="2:30" x14ac:dyDescent="0.25">
      <c r="B715">
        <v>2706</v>
      </c>
      <c r="C715" t="s">
        <v>3684</v>
      </c>
      <c r="D715" t="s">
        <v>3695</v>
      </c>
      <c r="E715" t="s">
        <v>3838</v>
      </c>
      <c r="F715" t="s">
        <v>97</v>
      </c>
      <c r="G715" t="s">
        <v>102</v>
      </c>
      <c r="H715" t="s">
        <v>3808</v>
      </c>
      <c r="I715" t="s">
        <v>3821</v>
      </c>
      <c r="J715" t="s">
        <v>3827</v>
      </c>
      <c r="K715" t="s">
        <v>1218</v>
      </c>
      <c r="L715" s="13">
        <v>44544</v>
      </c>
      <c r="M715">
        <v>2</v>
      </c>
      <c r="N715" t="s">
        <v>101</v>
      </c>
      <c r="O715" t="s">
        <v>3850</v>
      </c>
      <c r="P715" t="s">
        <v>76</v>
      </c>
      <c r="Q715" t="s">
        <v>76</v>
      </c>
      <c r="R715" t="s">
        <v>76</v>
      </c>
      <c r="S715" t="s">
        <v>76</v>
      </c>
      <c r="T715" t="s">
        <v>76</v>
      </c>
      <c r="U715">
        <v>1</v>
      </c>
      <c r="V715" s="13">
        <v>45175</v>
      </c>
      <c r="W715">
        <v>1</v>
      </c>
      <c r="X715">
        <v>1</v>
      </c>
      <c r="Y715" t="s">
        <v>3696</v>
      </c>
      <c r="AC715">
        <v>2706</v>
      </c>
      <c r="AD715" t="e" vm="707">
        <v>#VALUE!</v>
      </c>
    </row>
    <row r="716" spans="2:30" x14ac:dyDescent="0.25">
      <c r="B716">
        <v>2707</v>
      </c>
      <c r="C716" t="s">
        <v>3684</v>
      </c>
      <c r="D716" t="s">
        <v>3695</v>
      </c>
      <c r="E716" t="s">
        <v>3838</v>
      </c>
      <c r="F716" t="s">
        <v>97</v>
      </c>
      <c r="G716" t="s">
        <v>102</v>
      </c>
      <c r="H716" t="s">
        <v>3808</v>
      </c>
      <c r="I716" t="s">
        <v>3821</v>
      </c>
      <c r="J716" t="s">
        <v>3827</v>
      </c>
      <c r="K716" t="s">
        <v>1218</v>
      </c>
      <c r="L716" s="13">
        <v>44544</v>
      </c>
      <c r="M716">
        <v>2</v>
      </c>
      <c r="N716" t="s">
        <v>101</v>
      </c>
      <c r="O716" t="s">
        <v>3850</v>
      </c>
      <c r="P716" t="s">
        <v>76</v>
      </c>
      <c r="Q716" t="s">
        <v>76</v>
      </c>
      <c r="R716" t="s">
        <v>76</v>
      </c>
      <c r="S716" t="s">
        <v>76</v>
      </c>
      <c r="T716" t="s">
        <v>76</v>
      </c>
      <c r="U716">
        <v>1</v>
      </c>
      <c r="V716" s="13">
        <v>45175</v>
      </c>
      <c r="W716">
        <v>1</v>
      </c>
      <c r="X716">
        <v>1</v>
      </c>
      <c r="Y716" t="s">
        <v>3696</v>
      </c>
      <c r="AC716">
        <v>2707</v>
      </c>
      <c r="AD716" t="e" vm="708">
        <v>#VALUE!</v>
      </c>
    </row>
    <row r="717" spans="2:30" x14ac:dyDescent="0.25">
      <c r="B717">
        <v>2708</v>
      </c>
      <c r="C717" t="s">
        <v>3684</v>
      </c>
      <c r="D717" t="s">
        <v>3695</v>
      </c>
      <c r="E717" t="s">
        <v>3838</v>
      </c>
      <c r="F717" t="s">
        <v>97</v>
      </c>
      <c r="G717" t="s">
        <v>102</v>
      </c>
      <c r="H717" t="s">
        <v>3808</v>
      </c>
      <c r="I717" t="s">
        <v>3821</v>
      </c>
      <c r="J717" t="s">
        <v>3827</v>
      </c>
      <c r="K717" t="s">
        <v>1218</v>
      </c>
      <c r="L717" s="13">
        <v>44498</v>
      </c>
      <c r="M717">
        <v>2</v>
      </c>
      <c r="N717" t="s">
        <v>101</v>
      </c>
      <c r="O717" t="s">
        <v>3850</v>
      </c>
      <c r="P717" t="s">
        <v>76</v>
      </c>
      <c r="Q717" t="s">
        <v>76</v>
      </c>
      <c r="R717" t="s">
        <v>76</v>
      </c>
      <c r="S717" t="s">
        <v>76</v>
      </c>
      <c r="T717" t="s">
        <v>76</v>
      </c>
      <c r="U717">
        <v>1</v>
      </c>
      <c r="V717" s="13">
        <v>45175</v>
      </c>
      <c r="W717">
        <v>1</v>
      </c>
      <c r="X717">
        <v>1</v>
      </c>
      <c r="Y717" t="s">
        <v>3696</v>
      </c>
      <c r="AC717">
        <v>2708</v>
      </c>
      <c r="AD717" t="e" vm="709">
        <v>#VALUE!</v>
      </c>
    </row>
    <row r="718" spans="2:30" x14ac:dyDescent="0.25">
      <c r="B718">
        <v>2709</v>
      </c>
      <c r="C718" t="s">
        <v>3684</v>
      </c>
      <c r="D718" t="s">
        <v>3695</v>
      </c>
      <c r="E718" t="s">
        <v>3838</v>
      </c>
      <c r="F718" t="s">
        <v>97</v>
      </c>
      <c r="G718" t="s">
        <v>102</v>
      </c>
      <c r="H718" t="s">
        <v>3808</v>
      </c>
      <c r="I718" t="s">
        <v>3821</v>
      </c>
      <c r="J718" t="s">
        <v>3827</v>
      </c>
      <c r="K718" t="s">
        <v>1218</v>
      </c>
      <c r="L718" s="13">
        <v>44481</v>
      </c>
      <c r="M718">
        <v>2</v>
      </c>
      <c r="N718" t="s">
        <v>101</v>
      </c>
      <c r="O718" t="s">
        <v>3850</v>
      </c>
      <c r="P718" t="s">
        <v>76</v>
      </c>
      <c r="Q718" t="s">
        <v>76</v>
      </c>
      <c r="R718" t="s">
        <v>76</v>
      </c>
      <c r="S718" t="s">
        <v>76</v>
      </c>
      <c r="T718" t="s">
        <v>76</v>
      </c>
      <c r="U718">
        <v>1</v>
      </c>
      <c r="V718" s="13">
        <v>45175</v>
      </c>
      <c r="W718">
        <v>1</v>
      </c>
      <c r="X718">
        <v>1</v>
      </c>
      <c r="Y718" t="s">
        <v>3696</v>
      </c>
      <c r="AC718">
        <v>2709</v>
      </c>
      <c r="AD718" t="e" vm="710">
        <v>#VALUE!</v>
      </c>
    </row>
    <row r="719" spans="2:30" x14ac:dyDescent="0.25">
      <c r="B719">
        <v>2710</v>
      </c>
      <c r="C719" t="s">
        <v>3684</v>
      </c>
      <c r="D719" t="s">
        <v>3695</v>
      </c>
      <c r="E719" t="s">
        <v>3838</v>
      </c>
      <c r="F719" t="s">
        <v>97</v>
      </c>
      <c r="G719" t="s">
        <v>102</v>
      </c>
      <c r="H719" t="s">
        <v>3808</v>
      </c>
      <c r="I719" t="s">
        <v>3821</v>
      </c>
      <c r="J719" t="s">
        <v>3827</v>
      </c>
      <c r="K719" t="s">
        <v>1218</v>
      </c>
      <c r="L719" s="13">
        <v>44490</v>
      </c>
      <c r="M719">
        <v>2</v>
      </c>
      <c r="N719" t="s">
        <v>101</v>
      </c>
      <c r="O719" t="s">
        <v>3850</v>
      </c>
      <c r="P719" t="s">
        <v>76</v>
      </c>
      <c r="Q719" t="s">
        <v>76</v>
      </c>
      <c r="R719" t="s">
        <v>76</v>
      </c>
      <c r="S719" t="s">
        <v>76</v>
      </c>
      <c r="T719" t="s">
        <v>76</v>
      </c>
      <c r="U719">
        <v>1</v>
      </c>
      <c r="V719" s="13">
        <v>45175</v>
      </c>
      <c r="W719">
        <v>1</v>
      </c>
      <c r="X719">
        <v>1</v>
      </c>
      <c r="Y719" t="s">
        <v>3696</v>
      </c>
      <c r="AC719">
        <v>2710</v>
      </c>
      <c r="AD719" t="e" vm="711">
        <v>#VALUE!</v>
      </c>
    </row>
    <row r="720" spans="2:30" x14ac:dyDescent="0.25">
      <c r="B720">
        <v>2711</v>
      </c>
      <c r="C720" t="s">
        <v>3684</v>
      </c>
      <c r="D720" t="s">
        <v>3695</v>
      </c>
      <c r="E720" t="s">
        <v>3838</v>
      </c>
      <c r="F720" t="s">
        <v>97</v>
      </c>
      <c r="G720" t="s">
        <v>102</v>
      </c>
      <c r="H720" t="s">
        <v>3808</v>
      </c>
      <c r="I720" t="s">
        <v>3821</v>
      </c>
      <c r="J720" t="s">
        <v>3827</v>
      </c>
      <c r="K720" t="s">
        <v>1218</v>
      </c>
      <c r="L720" s="13">
        <v>44544</v>
      </c>
      <c r="M720">
        <v>2</v>
      </c>
      <c r="N720" t="s">
        <v>101</v>
      </c>
      <c r="O720" t="s">
        <v>3850</v>
      </c>
      <c r="P720" t="s">
        <v>76</v>
      </c>
      <c r="Q720" t="s">
        <v>76</v>
      </c>
      <c r="R720" t="s">
        <v>76</v>
      </c>
      <c r="S720" t="s">
        <v>76</v>
      </c>
      <c r="T720" t="s">
        <v>76</v>
      </c>
      <c r="U720">
        <v>1</v>
      </c>
      <c r="V720" s="13">
        <v>45175</v>
      </c>
      <c r="W720">
        <v>1</v>
      </c>
      <c r="X720">
        <v>1</v>
      </c>
      <c r="Y720" t="s">
        <v>3696</v>
      </c>
      <c r="AC720">
        <v>2711</v>
      </c>
      <c r="AD720" t="e" vm="712">
        <v>#VALUE!</v>
      </c>
    </row>
    <row r="721" spans="2:30" x14ac:dyDescent="0.25">
      <c r="B721">
        <v>2712</v>
      </c>
      <c r="C721" t="s">
        <v>3684</v>
      </c>
      <c r="D721" t="s">
        <v>3695</v>
      </c>
      <c r="E721" t="s">
        <v>3838</v>
      </c>
      <c r="F721" t="s">
        <v>97</v>
      </c>
      <c r="G721" t="s">
        <v>102</v>
      </c>
      <c r="H721" t="s">
        <v>3808</v>
      </c>
      <c r="I721" t="s">
        <v>3821</v>
      </c>
      <c r="J721" t="s">
        <v>3827</v>
      </c>
      <c r="K721" t="s">
        <v>1218</v>
      </c>
      <c r="L721" s="13">
        <v>44490</v>
      </c>
      <c r="M721">
        <v>2</v>
      </c>
      <c r="N721" t="s">
        <v>101</v>
      </c>
      <c r="O721" t="s">
        <v>3850</v>
      </c>
      <c r="P721" t="s">
        <v>76</v>
      </c>
      <c r="Q721" t="s">
        <v>76</v>
      </c>
      <c r="R721" t="s">
        <v>76</v>
      </c>
      <c r="S721" t="s">
        <v>76</v>
      </c>
      <c r="T721" t="s">
        <v>76</v>
      </c>
      <c r="U721">
        <v>1</v>
      </c>
      <c r="V721" s="13">
        <v>45175</v>
      </c>
      <c r="W721">
        <v>1</v>
      </c>
      <c r="X721">
        <v>1</v>
      </c>
      <c r="Y721" t="s">
        <v>3696</v>
      </c>
      <c r="AC721">
        <v>2712</v>
      </c>
      <c r="AD721" t="e" vm="713">
        <v>#VALUE!</v>
      </c>
    </row>
    <row r="722" spans="2:30" x14ac:dyDescent="0.25">
      <c r="B722">
        <v>2713</v>
      </c>
      <c r="C722" t="s">
        <v>3684</v>
      </c>
      <c r="D722" t="s">
        <v>3709</v>
      </c>
      <c r="E722" t="s">
        <v>3848</v>
      </c>
      <c r="F722" t="s">
        <v>110</v>
      </c>
      <c r="G722" t="s">
        <v>112</v>
      </c>
      <c r="H722" t="s">
        <v>3808</v>
      </c>
      <c r="I722" t="s">
        <v>3821</v>
      </c>
      <c r="J722" t="s">
        <v>3827</v>
      </c>
      <c r="K722" t="s">
        <v>1218</v>
      </c>
      <c r="L722" s="13">
        <v>44544</v>
      </c>
      <c r="M722">
        <v>2</v>
      </c>
      <c r="N722" t="s">
        <v>101</v>
      </c>
      <c r="O722" t="s">
        <v>3850</v>
      </c>
      <c r="P722" t="s">
        <v>76</v>
      </c>
      <c r="Q722" t="s">
        <v>76</v>
      </c>
      <c r="R722" t="s">
        <v>76</v>
      </c>
      <c r="S722" t="s">
        <v>76</v>
      </c>
      <c r="T722" t="s">
        <v>76</v>
      </c>
      <c r="U722">
        <v>1</v>
      </c>
      <c r="V722" s="13">
        <v>45175</v>
      </c>
      <c r="W722">
        <v>1</v>
      </c>
      <c r="X722">
        <v>1</v>
      </c>
      <c r="Y722" t="s">
        <v>3710</v>
      </c>
      <c r="AC722">
        <v>2713</v>
      </c>
      <c r="AD722" t="e" vm="714">
        <v>#VALUE!</v>
      </c>
    </row>
    <row r="723" spans="2:30" x14ac:dyDescent="0.25">
      <c r="B723">
        <v>2714</v>
      </c>
      <c r="C723" t="s">
        <v>3684</v>
      </c>
      <c r="D723" t="s">
        <v>3709</v>
      </c>
      <c r="E723" t="s">
        <v>3848</v>
      </c>
      <c r="F723" t="s">
        <v>110</v>
      </c>
      <c r="G723" t="s">
        <v>112</v>
      </c>
      <c r="H723" t="s">
        <v>3808</v>
      </c>
      <c r="I723" t="s">
        <v>3821</v>
      </c>
      <c r="J723" t="s">
        <v>3827</v>
      </c>
      <c r="K723" t="s">
        <v>1218</v>
      </c>
      <c r="L723" s="13">
        <v>44434</v>
      </c>
      <c r="M723">
        <v>2</v>
      </c>
      <c r="N723" t="s">
        <v>101</v>
      </c>
      <c r="O723" t="s">
        <v>3850</v>
      </c>
      <c r="P723" t="s">
        <v>76</v>
      </c>
      <c r="Q723" t="s">
        <v>76</v>
      </c>
      <c r="R723" t="s">
        <v>76</v>
      </c>
      <c r="S723" t="s">
        <v>76</v>
      </c>
      <c r="T723" t="s">
        <v>76</v>
      </c>
      <c r="U723">
        <v>1</v>
      </c>
      <c r="V723" s="13">
        <v>45175</v>
      </c>
      <c r="W723">
        <v>1</v>
      </c>
      <c r="X723">
        <v>1</v>
      </c>
      <c r="Y723" t="s">
        <v>3710</v>
      </c>
      <c r="AC723">
        <v>2714</v>
      </c>
      <c r="AD723" t="e" vm="715">
        <v>#VALUE!</v>
      </c>
    </row>
    <row r="724" spans="2:30" x14ac:dyDescent="0.25">
      <c r="B724">
        <v>2715</v>
      </c>
      <c r="C724" t="s">
        <v>3684</v>
      </c>
      <c r="D724" t="s">
        <v>3709</v>
      </c>
      <c r="E724" t="s">
        <v>3848</v>
      </c>
      <c r="F724" t="s">
        <v>110</v>
      </c>
      <c r="G724" t="s">
        <v>112</v>
      </c>
      <c r="H724" t="s">
        <v>3808</v>
      </c>
      <c r="I724" t="s">
        <v>3821</v>
      </c>
      <c r="J724" t="s">
        <v>3827</v>
      </c>
      <c r="K724" t="s">
        <v>1218</v>
      </c>
      <c r="L724" s="13">
        <v>44587</v>
      </c>
      <c r="M724">
        <v>2</v>
      </c>
      <c r="N724" t="s">
        <v>101</v>
      </c>
      <c r="O724" t="s">
        <v>3850</v>
      </c>
      <c r="P724" t="s">
        <v>76</v>
      </c>
      <c r="Q724" t="s">
        <v>76</v>
      </c>
      <c r="R724" t="s">
        <v>76</v>
      </c>
      <c r="S724" t="s">
        <v>76</v>
      </c>
      <c r="T724" t="s">
        <v>76</v>
      </c>
      <c r="U724">
        <v>1</v>
      </c>
      <c r="V724" s="13">
        <v>45175</v>
      </c>
      <c r="W724">
        <v>1</v>
      </c>
      <c r="X724">
        <v>1</v>
      </c>
      <c r="Y724" t="s">
        <v>3710</v>
      </c>
      <c r="AC724">
        <v>2715</v>
      </c>
      <c r="AD724" t="e" vm="716">
        <v>#VALUE!</v>
      </c>
    </row>
    <row r="725" spans="2:30" x14ac:dyDescent="0.25">
      <c r="B725">
        <v>2716</v>
      </c>
      <c r="C725" t="s">
        <v>3684</v>
      </c>
      <c r="D725" t="s">
        <v>3709</v>
      </c>
      <c r="E725" t="s">
        <v>3848</v>
      </c>
      <c r="F725" t="s">
        <v>110</v>
      </c>
      <c r="G725" t="s">
        <v>112</v>
      </c>
      <c r="H725" t="s">
        <v>3808</v>
      </c>
      <c r="I725" t="s">
        <v>3821</v>
      </c>
      <c r="J725" t="s">
        <v>3827</v>
      </c>
      <c r="K725" t="s">
        <v>1218</v>
      </c>
      <c r="L725" s="13">
        <v>44544</v>
      </c>
      <c r="M725">
        <v>2</v>
      </c>
      <c r="N725" t="s">
        <v>101</v>
      </c>
      <c r="O725" t="s">
        <v>3850</v>
      </c>
      <c r="P725" t="s">
        <v>76</v>
      </c>
      <c r="Q725" t="s">
        <v>76</v>
      </c>
      <c r="R725" t="s">
        <v>76</v>
      </c>
      <c r="S725" t="s">
        <v>76</v>
      </c>
      <c r="T725" t="s">
        <v>76</v>
      </c>
      <c r="U725">
        <v>1</v>
      </c>
      <c r="V725" s="13">
        <v>45175</v>
      </c>
      <c r="W725">
        <v>1</v>
      </c>
      <c r="X725">
        <v>1</v>
      </c>
      <c r="Y725" t="s">
        <v>3710</v>
      </c>
      <c r="AC725">
        <v>2716</v>
      </c>
      <c r="AD725" t="e" vm="717">
        <v>#VALUE!</v>
      </c>
    </row>
    <row r="726" spans="2:30" x14ac:dyDescent="0.25">
      <c r="B726">
        <v>2717</v>
      </c>
      <c r="C726" t="s">
        <v>3684</v>
      </c>
      <c r="D726" t="s">
        <v>3709</v>
      </c>
      <c r="E726" t="s">
        <v>3848</v>
      </c>
      <c r="F726" t="s">
        <v>110</v>
      </c>
      <c r="G726" t="s">
        <v>112</v>
      </c>
      <c r="H726" t="s">
        <v>3808</v>
      </c>
      <c r="I726" t="s">
        <v>3821</v>
      </c>
      <c r="J726" t="s">
        <v>3827</v>
      </c>
      <c r="K726" t="s">
        <v>1218</v>
      </c>
      <c r="L726" s="13">
        <v>44434</v>
      </c>
      <c r="M726">
        <v>2</v>
      </c>
      <c r="N726" t="s">
        <v>101</v>
      </c>
      <c r="O726" t="s">
        <v>3850</v>
      </c>
      <c r="P726" t="s">
        <v>76</v>
      </c>
      <c r="Q726" t="s">
        <v>76</v>
      </c>
      <c r="R726" t="s">
        <v>76</v>
      </c>
      <c r="S726" t="s">
        <v>76</v>
      </c>
      <c r="T726" t="s">
        <v>76</v>
      </c>
      <c r="U726">
        <v>1</v>
      </c>
      <c r="V726" s="13">
        <v>45175</v>
      </c>
      <c r="W726">
        <v>1</v>
      </c>
      <c r="X726">
        <v>1</v>
      </c>
      <c r="Y726" t="s">
        <v>3710</v>
      </c>
      <c r="AC726">
        <v>2717</v>
      </c>
      <c r="AD726" t="e" vm="718">
        <v>#VALUE!</v>
      </c>
    </row>
    <row r="727" spans="2:30" x14ac:dyDescent="0.25">
      <c r="B727">
        <v>2718</v>
      </c>
      <c r="C727" t="s">
        <v>3684</v>
      </c>
      <c r="D727" t="s">
        <v>3709</v>
      </c>
      <c r="E727" t="s">
        <v>3848</v>
      </c>
      <c r="F727" t="s">
        <v>110</v>
      </c>
      <c r="G727" t="s">
        <v>112</v>
      </c>
      <c r="H727" t="s">
        <v>3808</v>
      </c>
      <c r="I727" t="s">
        <v>3821</v>
      </c>
      <c r="J727" t="s">
        <v>3827</v>
      </c>
      <c r="K727" t="s">
        <v>1218</v>
      </c>
      <c r="L727" s="13">
        <v>44434</v>
      </c>
      <c r="M727">
        <v>2</v>
      </c>
      <c r="N727" t="s">
        <v>101</v>
      </c>
      <c r="O727" t="s">
        <v>3850</v>
      </c>
      <c r="P727" t="s">
        <v>76</v>
      </c>
      <c r="Q727" t="s">
        <v>76</v>
      </c>
      <c r="R727" t="s">
        <v>76</v>
      </c>
      <c r="S727" t="s">
        <v>76</v>
      </c>
      <c r="T727" t="s">
        <v>76</v>
      </c>
      <c r="U727">
        <v>1</v>
      </c>
      <c r="V727" s="13">
        <v>45175</v>
      </c>
      <c r="W727">
        <v>1</v>
      </c>
      <c r="X727">
        <v>1</v>
      </c>
      <c r="Y727" t="s">
        <v>3710</v>
      </c>
      <c r="AC727">
        <v>2718</v>
      </c>
      <c r="AD727" t="e" vm="719">
        <v>#VALUE!</v>
      </c>
    </row>
    <row r="728" spans="2:30" x14ac:dyDescent="0.25">
      <c r="B728">
        <v>2719</v>
      </c>
      <c r="C728" t="s">
        <v>3684</v>
      </c>
      <c r="D728" t="s">
        <v>3709</v>
      </c>
      <c r="E728" t="s">
        <v>3848</v>
      </c>
      <c r="F728" t="s">
        <v>110</v>
      </c>
      <c r="G728" t="s">
        <v>112</v>
      </c>
      <c r="H728" t="s">
        <v>3808</v>
      </c>
      <c r="I728" t="s">
        <v>3821</v>
      </c>
      <c r="J728" t="s">
        <v>3827</v>
      </c>
      <c r="K728" t="s">
        <v>1218</v>
      </c>
      <c r="L728" s="13">
        <v>44448</v>
      </c>
      <c r="M728">
        <v>2</v>
      </c>
      <c r="N728" t="s">
        <v>101</v>
      </c>
      <c r="O728" t="s">
        <v>3850</v>
      </c>
      <c r="P728" t="s">
        <v>76</v>
      </c>
      <c r="Q728" t="s">
        <v>76</v>
      </c>
      <c r="R728" t="s">
        <v>76</v>
      </c>
      <c r="S728" t="s">
        <v>76</v>
      </c>
      <c r="T728" t="s">
        <v>76</v>
      </c>
      <c r="U728">
        <v>1</v>
      </c>
      <c r="V728" s="13">
        <v>45175</v>
      </c>
      <c r="W728">
        <v>1</v>
      </c>
      <c r="X728">
        <v>1</v>
      </c>
      <c r="Y728" t="s">
        <v>3710</v>
      </c>
      <c r="AC728">
        <v>2719</v>
      </c>
      <c r="AD728" t="e" vm="720">
        <v>#VALUE!</v>
      </c>
    </row>
    <row r="729" spans="2:30" x14ac:dyDescent="0.25">
      <c r="B729">
        <v>2720</v>
      </c>
      <c r="C729" t="s">
        <v>3684</v>
      </c>
      <c r="D729" t="s">
        <v>3709</v>
      </c>
      <c r="E729" t="s">
        <v>3848</v>
      </c>
      <c r="F729" t="s">
        <v>110</v>
      </c>
      <c r="G729" t="s">
        <v>112</v>
      </c>
      <c r="H729" t="s">
        <v>3808</v>
      </c>
      <c r="I729" t="s">
        <v>3821</v>
      </c>
      <c r="J729" t="s">
        <v>3827</v>
      </c>
      <c r="K729" t="s">
        <v>1218</v>
      </c>
      <c r="L729" s="13">
        <v>44460</v>
      </c>
      <c r="M729">
        <v>2</v>
      </c>
      <c r="N729" t="s">
        <v>101</v>
      </c>
      <c r="O729" t="s">
        <v>3850</v>
      </c>
      <c r="P729" t="s">
        <v>76</v>
      </c>
      <c r="Q729" t="s">
        <v>76</v>
      </c>
      <c r="R729" t="s">
        <v>76</v>
      </c>
      <c r="S729" t="s">
        <v>76</v>
      </c>
      <c r="T729" t="s">
        <v>76</v>
      </c>
      <c r="U729">
        <v>1</v>
      </c>
      <c r="V729" s="13">
        <v>45175</v>
      </c>
      <c r="W729">
        <v>1</v>
      </c>
      <c r="X729">
        <v>1</v>
      </c>
      <c r="Y729" t="s">
        <v>3710</v>
      </c>
      <c r="AC729">
        <v>2720</v>
      </c>
      <c r="AD729" t="e" vm="721">
        <v>#VALUE!</v>
      </c>
    </row>
    <row r="730" spans="2:30" x14ac:dyDescent="0.25">
      <c r="B730">
        <v>2721</v>
      </c>
      <c r="C730" t="s">
        <v>3684</v>
      </c>
      <c r="D730" t="s">
        <v>3709</v>
      </c>
      <c r="E730" t="s">
        <v>3848</v>
      </c>
      <c r="F730" t="s">
        <v>110</v>
      </c>
      <c r="G730" t="s">
        <v>112</v>
      </c>
      <c r="H730" t="s">
        <v>3808</v>
      </c>
      <c r="I730" t="s">
        <v>3821</v>
      </c>
      <c r="J730" t="s">
        <v>3827</v>
      </c>
      <c r="K730" t="s">
        <v>1218</v>
      </c>
      <c r="L730" s="13">
        <v>44460</v>
      </c>
      <c r="M730">
        <v>2</v>
      </c>
      <c r="N730" t="s">
        <v>101</v>
      </c>
      <c r="O730" t="s">
        <v>3850</v>
      </c>
      <c r="P730" t="s">
        <v>76</v>
      </c>
      <c r="Q730" t="s">
        <v>76</v>
      </c>
      <c r="R730" t="s">
        <v>76</v>
      </c>
      <c r="S730" t="s">
        <v>76</v>
      </c>
      <c r="T730" t="s">
        <v>76</v>
      </c>
      <c r="U730">
        <v>1</v>
      </c>
      <c r="V730" s="13">
        <v>45175</v>
      </c>
      <c r="W730">
        <v>1</v>
      </c>
      <c r="X730">
        <v>1</v>
      </c>
      <c r="Y730" t="s">
        <v>3710</v>
      </c>
      <c r="AC730">
        <v>2721</v>
      </c>
      <c r="AD730" t="e" vm="722">
        <v>#VALUE!</v>
      </c>
    </row>
    <row r="731" spans="2:30" x14ac:dyDescent="0.25">
      <c r="B731">
        <v>2722</v>
      </c>
      <c r="C731" t="s">
        <v>3684</v>
      </c>
      <c r="D731" t="s">
        <v>3709</v>
      </c>
      <c r="E731" t="s">
        <v>3848</v>
      </c>
      <c r="F731" t="s">
        <v>110</v>
      </c>
      <c r="G731" t="s">
        <v>112</v>
      </c>
      <c r="H731" t="s">
        <v>3808</v>
      </c>
      <c r="I731" t="s">
        <v>3821</v>
      </c>
      <c r="J731" t="s">
        <v>3827</v>
      </c>
      <c r="K731" t="s">
        <v>1218</v>
      </c>
      <c r="L731" s="13">
        <v>44544</v>
      </c>
      <c r="M731">
        <v>2</v>
      </c>
      <c r="N731" t="s">
        <v>101</v>
      </c>
      <c r="O731" t="s">
        <v>3850</v>
      </c>
      <c r="P731" t="s">
        <v>76</v>
      </c>
      <c r="Q731" t="s">
        <v>76</v>
      </c>
      <c r="R731" t="s">
        <v>76</v>
      </c>
      <c r="S731" t="s">
        <v>76</v>
      </c>
      <c r="T731" t="s">
        <v>76</v>
      </c>
      <c r="U731">
        <v>1</v>
      </c>
      <c r="V731" s="13">
        <v>45175</v>
      </c>
      <c r="W731">
        <v>1</v>
      </c>
      <c r="X731">
        <v>1</v>
      </c>
      <c r="Y731" t="s">
        <v>3710</v>
      </c>
      <c r="AC731">
        <v>2722</v>
      </c>
      <c r="AD731" t="e" vm="723">
        <v>#VALUE!</v>
      </c>
    </row>
    <row r="732" spans="2:30" x14ac:dyDescent="0.25">
      <c r="B732">
        <v>2723</v>
      </c>
      <c r="C732" t="s">
        <v>3684</v>
      </c>
      <c r="D732" t="s">
        <v>3709</v>
      </c>
      <c r="E732" t="s">
        <v>3848</v>
      </c>
      <c r="F732" t="s">
        <v>110</v>
      </c>
      <c r="G732" t="s">
        <v>112</v>
      </c>
      <c r="H732" t="s">
        <v>3808</v>
      </c>
      <c r="I732" t="s">
        <v>3821</v>
      </c>
      <c r="J732" t="s">
        <v>3827</v>
      </c>
      <c r="K732" t="s">
        <v>1218</v>
      </c>
      <c r="L732" s="13">
        <v>44515</v>
      </c>
      <c r="M732">
        <v>2</v>
      </c>
      <c r="N732" t="s">
        <v>101</v>
      </c>
      <c r="O732" t="s">
        <v>3850</v>
      </c>
      <c r="P732" t="s">
        <v>76</v>
      </c>
      <c r="Q732" t="s">
        <v>76</v>
      </c>
      <c r="R732" t="s">
        <v>76</v>
      </c>
      <c r="S732" t="s">
        <v>76</v>
      </c>
      <c r="T732" t="s">
        <v>76</v>
      </c>
      <c r="U732">
        <v>1</v>
      </c>
      <c r="V732" s="13">
        <v>45175</v>
      </c>
      <c r="W732">
        <v>1</v>
      </c>
      <c r="X732">
        <v>1</v>
      </c>
      <c r="Y732" t="s">
        <v>3710</v>
      </c>
      <c r="AC732">
        <v>2723</v>
      </c>
      <c r="AD732" t="e" vm="724">
        <v>#VALUE!</v>
      </c>
    </row>
    <row r="733" spans="2:30" x14ac:dyDescent="0.25">
      <c r="B733">
        <v>2724</v>
      </c>
      <c r="C733" t="s">
        <v>3684</v>
      </c>
      <c r="D733" t="s">
        <v>3709</v>
      </c>
      <c r="E733" t="s">
        <v>3848</v>
      </c>
      <c r="F733" t="s">
        <v>110</v>
      </c>
      <c r="G733" t="s">
        <v>112</v>
      </c>
      <c r="H733" t="s">
        <v>3808</v>
      </c>
      <c r="I733" t="s">
        <v>3821</v>
      </c>
      <c r="J733" t="s">
        <v>3827</v>
      </c>
      <c r="K733" t="s">
        <v>1218</v>
      </c>
      <c r="L733" s="13">
        <v>44580</v>
      </c>
      <c r="M733">
        <v>2</v>
      </c>
      <c r="N733" t="s">
        <v>101</v>
      </c>
      <c r="O733" t="s">
        <v>3850</v>
      </c>
      <c r="P733" t="s">
        <v>76</v>
      </c>
      <c r="Q733" t="s">
        <v>76</v>
      </c>
      <c r="R733" t="s">
        <v>76</v>
      </c>
      <c r="S733" t="s">
        <v>76</v>
      </c>
      <c r="T733" t="s">
        <v>76</v>
      </c>
      <c r="U733">
        <v>1</v>
      </c>
      <c r="V733" s="13">
        <v>45175</v>
      </c>
      <c r="W733">
        <v>1</v>
      </c>
      <c r="X733">
        <v>1</v>
      </c>
      <c r="Y733" t="s">
        <v>3710</v>
      </c>
      <c r="AC733">
        <v>2724</v>
      </c>
      <c r="AD733" t="e" vm="725">
        <v>#VALUE!</v>
      </c>
    </row>
    <row r="734" spans="2:30" x14ac:dyDescent="0.25">
      <c r="B734">
        <v>2725</v>
      </c>
      <c r="C734" t="s">
        <v>3684</v>
      </c>
      <c r="D734" t="s">
        <v>3709</v>
      </c>
      <c r="E734" t="s">
        <v>3848</v>
      </c>
      <c r="F734" t="s">
        <v>110</v>
      </c>
      <c r="G734" t="s">
        <v>112</v>
      </c>
      <c r="H734" t="s">
        <v>3808</v>
      </c>
      <c r="I734" t="s">
        <v>3821</v>
      </c>
      <c r="J734" t="s">
        <v>3827</v>
      </c>
      <c r="K734" t="s">
        <v>1218</v>
      </c>
      <c r="L734" s="13">
        <v>44544</v>
      </c>
      <c r="M734">
        <v>2</v>
      </c>
      <c r="N734" t="s">
        <v>101</v>
      </c>
      <c r="O734" t="s">
        <v>3850</v>
      </c>
      <c r="P734" t="s">
        <v>76</v>
      </c>
      <c r="Q734" t="s">
        <v>76</v>
      </c>
      <c r="R734" t="s">
        <v>76</v>
      </c>
      <c r="S734" t="s">
        <v>76</v>
      </c>
      <c r="T734" t="s">
        <v>76</v>
      </c>
      <c r="U734">
        <v>1</v>
      </c>
      <c r="V734" s="13">
        <v>45175</v>
      </c>
      <c r="W734">
        <v>1</v>
      </c>
      <c r="X734">
        <v>1</v>
      </c>
      <c r="Y734" t="s">
        <v>3710</v>
      </c>
      <c r="AC734">
        <v>2725</v>
      </c>
      <c r="AD734" t="e" vm="726">
        <v>#VALUE!</v>
      </c>
    </row>
    <row r="735" spans="2:30" x14ac:dyDescent="0.25">
      <c r="B735">
        <v>2726</v>
      </c>
      <c r="C735" t="s">
        <v>3684</v>
      </c>
      <c r="D735" t="s">
        <v>3709</v>
      </c>
      <c r="E735" t="s">
        <v>3848</v>
      </c>
      <c r="F735" t="s">
        <v>110</v>
      </c>
      <c r="G735" t="s">
        <v>112</v>
      </c>
      <c r="H735" t="s">
        <v>3808</v>
      </c>
      <c r="I735" t="s">
        <v>3821</v>
      </c>
      <c r="J735" t="s">
        <v>3827</v>
      </c>
      <c r="K735" t="s">
        <v>1218</v>
      </c>
      <c r="L735" s="13">
        <v>44574</v>
      </c>
      <c r="M735">
        <v>2</v>
      </c>
      <c r="N735" t="s">
        <v>101</v>
      </c>
      <c r="O735" t="s">
        <v>3850</v>
      </c>
      <c r="P735" t="s">
        <v>76</v>
      </c>
      <c r="Q735" t="s">
        <v>76</v>
      </c>
      <c r="R735" t="s">
        <v>76</v>
      </c>
      <c r="S735" t="s">
        <v>76</v>
      </c>
      <c r="T735" t="s">
        <v>76</v>
      </c>
      <c r="U735">
        <v>1</v>
      </c>
      <c r="V735" s="13">
        <v>45175</v>
      </c>
      <c r="W735">
        <v>1</v>
      </c>
      <c r="X735">
        <v>1</v>
      </c>
      <c r="Y735" t="s">
        <v>3710</v>
      </c>
      <c r="AC735">
        <v>2726</v>
      </c>
      <c r="AD735" t="e" vm="727">
        <v>#VALUE!</v>
      </c>
    </row>
    <row r="736" spans="2:30" x14ac:dyDescent="0.25">
      <c r="B736">
        <v>2727</v>
      </c>
      <c r="C736" t="s">
        <v>3684</v>
      </c>
      <c r="D736" t="s">
        <v>3709</v>
      </c>
      <c r="E736" t="s">
        <v>3848</v>
      </c>
      <c r="F736" t="s">
        <v>110</v>
      </c>
      <c r="G736" t="s">
        <v>112</v>
      </c>
      <c r="H736" t="s">
        <v>3808</v>
      </c>
      <c r="I736" t="s">
        <v>3821</v>
      </c>
      <c r="J736" t="s">
        <v>3827</v>
      </c>
      <c r="K736" t="s">
        <v>1218</v>
      </c>
      <c r="L736" s="13">
        <v>44544</v>
      </c>
      <c r="M736">
        <v>2</v>
      </c>
      <c r="N736" t="s">
        <v>101</v>
      </c>
      <c r="O736" t="s">
        <v>3850</v>
      </c>
      <c r="P736" t="s">
        <v>76</v>
      </c>
      <c r="Q736" t="s">
        <v>76</v>
      </c>
      <c r="R736" t="s">
        <v>76</v>
      </c>
      <c r="S736" t="s">
        <v>76</v>
      </c>
      <c r="T736" t="s">
        <v>76</v>
      </c>
      <c r="U736">
        <v>1</v>
      </c>
      <c r="V736" s="13">
        <v>45175</v>
      </c>
      <c r="W736">
        <v>1</v>
      </c>
      <c r="X736">
        <v>1</v>
      </c>
      <c r="Y736" t="s">
        <v>3710</v>
      </c>
      <c r="AC736">
        <v>2727</v>
      </c>
      <c r="AD736" t="e" vm="728">
        <v>#VALUE!</v>
      </c>
    </row>
    <row r="737" spans="2:30" x14ac:dyDescent="0.25">
      <c r="B737">
        <v>2728</v>
      </c>
      <c r="C737" t="s">
        <v>3684</v>
      </c>
      <c r="D737" t="s">
        <v>3709</v>
      </c>
      <c r="E737" t="s">
        <v>3848</v>
      </c>
      <c r="F737" t="s">
        <v>110</v>
      </c>
      <c r="G737" t="s">
        <v>112</v>
      </c>
      <c r="H737" t="s">
        <v>3808</v>
      </c>
      <c r="I737" t="s">
        <v>3821</v>
      </c>
      <c r="J737" t="s">
        <v>3827</v>
      </c>
      <c r="K737" t="s">
        <v>1218</v>
      </c>
      <c r="L737" s="13">
        <v>44551</v>
      </c>
      <c r="M737">
        <v>2</v>
      </c>
      <c r="N737" t="s">
        <v>101</v>
      </c>
      <c r="O737" t="s">
        <v>3850</v>
      </c>
      <c r="P737" t="s">
        <v>76</v>
      </c>
      <c r="Q737" t="s">
        <v>76</v>
      </c>
      <c r="R737" t="s">
        <v>76</v>
      </c>
      <c r="S737" t="s">
        <v>76</v>
      </c>
      <c r="T737" t="s">
        <v>76</v>
      </c>
      <c r="U737">
        <v>1</v>
      </c>
      <c r="V737" s="13">
        <v>45175</v>
      </c>
      <c r="W737">
        <v>1</v>
      </c>
      <c r="X737">
        <v>1</v>
      </c>
      <c r="Y737" t="s">
        <v>3710</v>
      </c>
      <c r="AC737">
        <v>2728</v>
      </c>
      <c r="AD737" t="e" vm="729">
        <v>#VALUE!</v>
      </c>
    </row>
    <row r="738" spans="2:30" x14ac:dyDescent="0.25">
      <c r="B738">
        <v>2729</v>
      </c>
      <c r="C738" t="s">
        <v>3684</v>
      </c>
      <c r="D738" t="s">
        <v>3709</v>
      </c>
      <c r="E738" t="s">
        <v>3848</v>
      </c>
      <c r="F738" t="s">
        <v>110</v>
      </c>
      <c r="G738" t="s">
        <v>112</v>
      </c>
      <c r="H738" t="s">
        <v>3808</v>
      </c>
      <c r="I738" t="s">
        <v>3821</v>
      </c>
      <c r="J738" t="s">
        <v>3827</v>
      </c>
      <c r="K738" t="s">
        <v>1218</v>
      </c>
      <c r="L738" s="13">
        <v>44551</v>
      </c>
      <c r="M738">
        <v>2</v>
      </c>
      <c r="N738" t="s">
        <v>101</v>
      </c>
      <c r="O738" t="s">
        <v>3850</v>
      </c>
      <c r="P738" t="s">
        <v>76</v>
      </c>
      <c r="Q738" t="s">
        <v>76</v>
      </c>
      <c r="R738" t="s">
        <v>76</v>
      </c>
      <c r="S738" t="s">
        <v>76</v>
      </c>
      <c r="T738" t="s">
        <v>76</v>
      </c>
      <c r="U738">
        <v>1</v>
      </c>
      <c r="V738" s="13">
        <v>45175</v>
      </c>
      <c r="W738">
        <v>1</v>
      </c>
      <c r="X738">
        <v>1</v>
      </c>
      <c r="Y738" t="s">
        <v>3710</v>
      </c>
      <c r="AC738">
        <v>2729</v>
      </c>
      <c r="AD738" t="e" vm="730">
        <v>#VALUE!</v>
      </c>
    </row>
    <row r="739" spans="2:30" x14ac:dyDescent="0.25">
      <c r="B739">
        <v>2730</v>
      </c>
      <c r="C739" t="s">
        <v>3684</v>
      </c>
      <c r="D739" t="s">
        <v>3709</v>
      </c>
      <c r="E739" t="s">
        <v>3848</v>
      </c>
      <c r="F739" t="s">
        <v>110</v>
      </c>
      <c r="G739" t="s">
        <v>112</v>
      </c>
      <c r="H739" t="s">
        <v>3808</v>
      </c>
      <c r="I739" t="s">
        <v>3821</v>
      </c>
      <c r="J739" t="s">
        <v>3827</v>
      </c>
      <c r="K739" t="s">
        <v>1218</v>
      </c>
      <c r="L739" s="13">
        <v>44551</v>
      </c>
      <c r="M739">
        <v>2</v>
      </c>
      <c r="N739" t="s">
        <v>101</v>
      </c>
      <c r="O739" t="s">
        <v>3850</v>
      </c>
      <c r="P739" t="s">
        <v>76</v>
      </c>
      <c r="Q739" t="s">
        <v>76</v>
      </c>
      <c r="R739" t="s">
        <v>76</v>
      </c>
      <c r="S739" t="s">
        <v>76</v>
      </c>
      <c r="T739" t="s">
        <v>76</v>
      </c>
      <c r="U739">
        <v>1</v>
      </c>
      <c r="V739" s="13">
        <v>45175</v>
      </c>
      <c r="W739">
        <v>1</v>
      </c>
      <c r="X739">
        <v>1</v>
      </c>
      <c r="Y739" t="s">
        <v>3710</v>
      </c>
      <c r="AC739">
        <v>2730</v>
      </c>
      <c r="AD739" t="e" vm="731">
        <v>#VALUE!</v>
      </c>
    </row>
    <row r="740" spans="2:30" x14ac:dyDescent="0.25">
      <c r="B740">
        <v>2731</v>
      </c>
      <c r="C740" t="s">
        <v>3684</v>
      </c>
      <c r="D740" t="s">
        <v>3709</v>
      </c>
      <c r="E740" t="s">
        <v>3848</v>
      </c>
      <c r="F740" t="s">
        <v>110</v>
      </c>
      <c r="G740" t="s">
        <v>112</v>
      </c>
      <c r="H740" t="s">
        <v>3808</v>
      </c>
      <c r="I740" t="s">
        <v>3821</v>
      </c>
      <c r="J740" t="s">
        <v>3827</v>
      </c>
      <c r="K740" t="s">
        <v>1218</v>
      </c>
      <c r="L740" s="13">
        <v>44600</v>
      </c>
      <c r="M740">
        <v>2</v>
      </c>
      <c r="N740" t="s">
        <v>101</v>
      </c>
      <c r="O740" t="s">
        <v>3850</v>
      </c>
      <c r="P740" t="s">
        <v>76</v>
      </c>
      <c r="Q740" t="s">
        <v>76</v>
      </c>
      <c r="R740" t="s">
        <v>76</v>
      </c>
      <c r="S740" t="s">
        <v>76</v>
      </c>
      <c r="T740" t="s">
        <v>76</v>
      </c>
      <c r="U740">
        <v>1</v>
      </c>
      <c r="V740" s="13">
        <v>45175</v>
      </c>
      <c r="W740">
        <v>1</v>
      </c>
      <c r="X740">
        <v>1</v>
      </c>
      <c r="Y740" t="s">
        <v>3710</v>
      </c>
      <c r="AC740">
        <v>2731</v>
      </c>
      <c r="AD740" t="e" vm="732">
        <v>#VALUE!</v>
      </c>
    </row>
    <row r="741" spans="2:30" x14ac:dyDescent="0.25">
      <c r="B741">
        <v>2732</v>
      </c>
      <c r="C741" t="s">
        <v>3684</v>
      </c>
      <c r="D741" t="s">
        <v>3709</v>
      </c>
      <c r="E741" t="s">
        <v>3848</v>
      </c>
      <c r="F741" t="s">
        <v>110</v>
      </c>
      <c r="G741" t="s">
        <v>112</v>
      </c>
      <c r="H741" t="s">
        <v>3808</v>
      </c>
      <c r="I741" t="s">
        <v>3821</v>
      </c>
      <c r="J741" t="s">
        <v>3827</v>
      </c>
      <c r="K741" t="s">
        <v>1218</v>
      </c>
      <c r="L741" s="13">
        <v>44574</v>
      </c>
      <c r="M741">
        <v>2</v>
      </c>
      <c r="N741" t="s">
        <v>101</v>
      </c>
      <c r="O741" t="s">
        <v>3850</v>
      </c>
      <c r="P741" t="s">
        <v>76</v>
      </c>
      <c r="Q741" t="s">
        <v>76</v>
      </c>
      <c r="R741" t="s">
        <v>76</v>
      </c>
      <c r="S741" t="s">
        <v>76</v>
      </c>
      <c r="T741" t="s">
        <v>76</v>
      </c>
      <c r="U741">
        <v>1</v>
      </c>
      <c r="V741" s="13">
        <v>45175</v>
      </c>
      <c r="W741">
        <v>1</v>
      </c>
      <c r="X741">
        <v>1</v>
      </c>
      <c r="Y741" t="s">
        <v>3710</v>
      </c>
      <c r="AC741">
        <v>2732</v>
      </c>
      <c r="AD741" t="e" vm="733">
        <v>#VALUE!</v>
      </c>
    </row>
    <row r="742" spans="2:30" x14ac:dyDescent="0.25">
      <c r="B742">
        <v>2733</v>
      </c>
      <c r="C742" t="s">
        <v>3684</v>
      </c>
      <c r="D742" t="s">
        <v>3709</v>
      </c>
      <c r="E742" t="s">
        <v>3848</v>
      </c>
      <c r="F742" t="s">
        <v>110</v>
      </c>
      <c r="G742" t="s">
        <v>112</v>
      </c>
      <c r="H742" t="s">
        <v>3808</v>
      </c>
      <c r="I742" t="s">
        <v>3821</v>
      </c>
      <c r="J742" t="s">
        <v>3827</v>
      </c>
      <c r="K742" t="s">
        <v>1218</v>
      </c>
      <c r="L742" s="13">
        <v>44550</v>
      </c>
      <c r="M742">
        <v>2</v>
      </c>
      <c r="N742" t="s">
        <v>101</v>
      </c>
      <c r="O742" t="s">
        <v>3850</v>
      </c>
      <c r="P742" t="s">
        <v>76</v>
      </c>
      <c r="Q742" t="s">
        <v>76</v>
      </c>
      <c r="R742" t="s">
        <v>76</v>
      </c>
      <c r="S742" t="s">
        <v>76</v>
      </c>
      <c r="T742" t="s">
        <v>76</v>
      </c>
      <c r="U742">
        <v>1</v>
      </c>
      <c r="V742" s="13">
        <v>45175</v>
      </c>
      <c r="W742">
        <v>1</v>
      </c>
      <c r="X742">
        <v>1</v>
      </c>
      <c r="Y742" t="s">
        <v>3710</v>
      </c>
      <c r="AC742">
        <v>2733</v>
      </c>
      <c r="AD742" t="e" vm="734">
        <v>#VALUE!</v>
      </c>
    </row>
    <row r="743" spans="2:30" x14ac:dyDescent="0.25">
      <c r="B743">
        <v>2734</v>
      </c>
      <c r="C743" t="s">
        <v>3684</v>
      </c>
      <c r="D743" t="s">
        <v>3709</v>
      </c>
      <c r="E743" t="s">
        <v>3848</v>
      </c>
      <c r="F743" t="s">
        <v>110</v>
      </c>
      <c r="G743" t="s">
        <v>112</v>
      </c>
      <c r="H743" t="s">
        <v>3808</v>
      </c>
      <c r="I743" t="s">
        <v>3821</v>
      </c>
      <c r="J743" t="s">
        <v>3827</v>
      </c>
      <c r="K743" t="s">
        <v>1218</v>
      </c>
      <c r="L743" s="13">
        <v>44586</v>
      </c>
      <c r="M743">
        <v>2</v>
      </c>
      <c r="N743" t="s">
        <v>101</v>
      </c>
      <c r="O743" t="s">
        <v>3850</v>
      </c>
      <c r="P743" t="s">
        <v>76</v>
      </c>
      <c r="Q743" t="s">
        <v>76</v>
      </c>
      <c r="R743" t="s">
        <v>76</v>
      </c>
      <c r="S743" t="s">
        <v>76</v>
      </c>
      <c r="T743" t="s">
        <v>76</v>
      </c>
      <c r="U743">
        <v>1</v>
      </c>
      <c r="V743" s="13">
        <v>45175</v>
      </c>
      <c r="W743">
        <v>1</v>
      </c>
      <c r="X743">
        <v>1</v>
      </c>
      <c r="Y743" t="s">
        <v>3710</v>
      </c>
      <c r="AC743">
        <v>2734</v>
      </c>
      <c r="AD743" t="e" vm="735">
        <v>#VALUE!</v>
      </c>
    </row>
    <row r="744" spans="2:30" x14ac:dyDescent="0.25">
      <c r="B744">
        <v>2735</v>
      </c>
      <c r="C744" t="s">
        <v>3684</v>
      </c>
      <c r="D744" t="s">
        <v>3709</v>
      </c>
      <c r="E744" t="s">
        <v>3848</v>
      </c>
      <c r="F744" t="s">
        <v>110</v>
      </c>
      <c r="G744" t="s">
        <v>112</v>
      </c>
      <c r="H744" t="s">
        <v>3808</v>
      </c>
      <c r="I744" t="s">
        <v>3821</v>
      </c>
      <c r="J744" t="s">
        <v>3827</v>
      </c>
      <c r="K744" t="s">
        <v>1218</v>
      </c>
      <c r="L744" s="13">
        <v>44594</v>
      </c>
      <c r="M744">
        <v>2</v>
      </c>
      <c r="N744" t="s">
        <v>101</v>
      </c>
      <c r="O744" t="s">
        <v>3850</v>
      </c>
      <c r="P744" t="s">
        <v>76</v>
      </c>
      <c r="Q744" t="s">
        <v>76</v>
      </c>
      <c r="R744" t="s">
        <v>76</v>
      </c>
      <c r="S744" t="s">
        <v>76</v>
      </c>
      <c r="T744" t="s">
        <v>76</v>
      </c>
      <c r="U744">
        <v>1</v>
      </c>
      <c r="V744" s="13">
        <v>45175</v>
      </c>
      <c r="W744">
        <v>1</v>
      </c>
      <c r="X744">
        <v>1</v>
      </c>
      <c r="Y744" t="s">
        <v>3710</v>
      </c>
      <c r="AC744">
        <v>2735</v>
      </c>
      <c r="AD744" t="e" vm="736">
        <v>#VALUE!</v>
      </c>
    </row>
    <row r="745" spans="2:30" x14ac:dyDescent="0.25">
      <c r="B745">
        <v>2736</v>
      </c>
      <c r="C745" t="s">
        <v>3684</v>
      </c>
      <c r="D745" t="s">
        <v>3709</v>
      </c>
      <c r="E745" t="s">
        <v>3848</v>
      </c>
      <c r="F745" t="s">
        <v>110</v>
      </c>
      <c r="G745" t="s">
        <v>112</v>
      </c>
      <c r="H745" t="s">
        <v>3808</v>
      </c>
      <c r="I745" t="s">
        <v>3821</v>
      </c>
      <c r="J745" t="s">
        <v>3827</v>
      </c>
      <c r="K745" t="s">
        <v>1218</v>
      </c>
      <c r="L745" s="13">
        <v>44581</v>
      </c>
      <c r="M745">
        <v>2</v>
      </c>
      <c r="N745" t="s">
        <v>101</v>
      </c>
      <c r="O745" t="s">
        <v>3850</v>
      </c>
      <c r="P745" t="s">
        <v>76</v>
      </c>
      <c r="Q745" t="s">
        <v>76</v>
      </c>
      <c r="R745" t="s">
        <v>76</v>
      </c>
      <c r="S745" t="s">
        <v>76</v>
      </c>
      <c r="T745" t="s">
        <v>76</v>
      </c>
      <c r="U745">
        <v>1</v>
      </c>
      <c r="V745" s="13">
        <v>45175</v>
      </c>
      <c r="W745">
        <v>1</v>
      </c>
      <c r="X745">
        <v>1</v>
      </c>
      <c r="Y745" t="s">
        <v>3710</v>
      </c>
      <c r="AC745">
        <v>2736</v>
      </c>
      <c r="AD745" t="e" vm="737">
        <v>#VALUE!</v>
      </c>
    </row>
    <row r="746" spans="2:30" x14ac:dyDescent="0.25">
      <c r="B746">
        <v>2737</v>
      </c>
      <c r="C746" t="s">
        <v>3684</v>
      </c>
      <c r="D746" t="s">
        <v>3709</v>
      </c>
      <c r="E746" t="s">
        <v>3848</v>
      </c>
      <c r="F746" t="s">
        <v>110</v>
      </c>
      <c r="G746" t="s">
        <v>112</v>
      </c>
      <c r="H746" t="s">
        <v>3808</v>
      </c>
      <c r="I746" t="s">
        <v>3821</v>
      </c>
      <c r="J746" t="s">
        <v>3827</v>
      </c>
      <c r="K746" t="s">
        <v>1218</v>
      </c>
      <c r="L746" s="13">
        <v>44579</v>
      </c>
      <c r="M746">
        <v>2</v>
      </c>
      <c r="N746" t="s">
        <v>101</v>
      </c>
      <c r="O746" t="s">
        <v>3850</v>
      </c>
      <c r="P746" t="s">
        <v>76</v>
      </c>
      <c r="Q746" t="s">
        <v>76</v>
      </c>
      <c r="R746" t="s">
        <v>76</v>
      </c>
      <c r="S746" t="s">
        <v>76</v>
      </c>
      <c r="T746" t="s">
        <v>76</v>
      </c>
      <c r="U746">
        <v>1</v>
      </c>
      <c r="V746" s="13">
        <v>45175</v>
      </c>
      <c r="W746">
        <v>1</v>
      </c>
      <c r="X746">
        <v>1</v>
      </c>
      <c r="Y746" t="s">
        <v>3710</v>
      </c>
      <c r="AC746">
        <v>2737</v>
      </c>
      <c r="AD746" t="e" vm="738">
        <v>#VALUE!</v>
      </c>
    </row>
    <row r="747" spans="2:30" x14ac:dyDescent="0.25">
      <c r="B747">
        <v>2738</v>
      </c>
      <c r="C747" t="s">
        <v>3684</v>
      </c>
      <c r="D747" t="s">
        <v>3709</v>
      </c>
      <c r="E747" t="s">
        <v>3848</v>
      </c>
      <c r="F747" t="s">
        <v>110</v>
      </c>
      <c r="G747" t="s">
        <v>112</v>
      </c>
      <c r="H747" t="s">
        <v>3808</v>
      </c>
      <c r="I747" t="s">
        <v>3821</v>
      </c>
      <c r="J747" t="s">
        <v>3827</v>
      </c>
      <c r="K747" t="s">
        <v>1218</v>
      </c>
      <c r="L747" s="13">
        <v>44574</v>
      </c>
      <c r="M747">
        <v>2</v>
      </c>
      <c r="N747" t="s">
        <v>101</v>
      </c>
      <c r="O747" t="s">
        <v>3850</v>
      </c>
      <c r="P747" t="s">
        <v>76</v>
      </c>
      <c r="Q747" t="s">
        <v>76</v>
      </c>
      <c r="R747" t="s">
        <v>76</v>
      </c>
      <c r="S747" t="s">
        <v>76</v>
      </c>
      <c r="T747" t="s">
        <v>76</v>
      </c>
      <c r="U747">
        <v>1</v>
      </c>
      <c r="V747" s="13">
        <v>45175</v>
      </c>
      <c r="W747">
        <v>1</v>
      </c>
      <c r="X747">
        <v>1</v>
      </c>
      <c r="Y747" t="s">
        <v>3710</v>
      </c>
      <c r="AC747">
        <v>2738</v>
      </c>
      <c r="AD747" t="e" vm="739">
        <v>#VALUE!</v>
      </c>
    </row>
    <row r="748" spans="2:30" x14ac:dyDescent="0.25">
      <c r="B748">
        <v>2739</v>
      </c>
      <c r="C748" t="s">
        <v>3684</v>
      </c>
      <c r="D748" t="s">
        <v>3709</v>
      </c>
      <c r="E748" t="s">
        <v>3848</v>
      </c>
      <c r="F748" t="s">
        <v>110</v>
      </c>
      <c r="G748" t="s">
        <v>112</v>
      </c>
      <c r="H748" t="s">
        <v>3808</v>
      </c>
      <c r="I748" t="s">
        <v>3821</v>
      </c>
      <c r="J748" t="s">
        <v>3827</v>
      </c>
      <c r="K748" t="s">
        <v>1218</v>
      </c>
      <c r="L748" s="13">
        <v>44600</v>
      </c>
      <c r="M748">
        <v>2</v>
      </c>
      <c r="N748" t="s">
        <v>101</v>
      </c>
      <c r="O748" t="s">
        <v>3850</v>
      </c>
      <c r="P748" t="s">
        <v>76</v>
      </c>
      <c r="Q748" t="s">
        <v>76</v>
      </c>
      <c r="R748" t="s">
        <v>76</v>
      </c>
      <c r="S748" t="s">
        <v>76</v>
      </c>
      <c r="T748" t="s">
        <v>76</v>
      </c>
      <c r="U748">
        <v>1</v>
      </c>
      <c r="V748" s="13">
        <v>45175</v>
      </c>
      <c r="W748">
        <v>1</v>
      </c>
      <c r="X748">
        <v>1</v>
      </c>
      <c r="Y748" t="s">
        <v>3710</v>
      </c>
      <c r="AC748">
        <v>2739</v>
      </c>
      <c r="AD748" t="e" vm="740">
        <v>#VALUE!</v>
      </c>
    </row>
    <row r="749" spans="2:30" x14ac:dyDescent="0.25">
      <c r="B749">
        <v>2740</v>
      </c>
      <c r="C749" t="s">
        <v>3684</v>
      </c>
      <c r="D749" t="s">
        <v>3709</v>
      </c>
      <c r="E749" t="s">
        <v>3848</v>
      </c>
      <c r="F749" t="s">
        <v>110</v>
      </c>
      <c r="G749" t="s">
        <v>112</v>
      </c>
      <c r="H749" t="s">
        <v>3808</v>
      </c>
      <c r="I749" t="s">
        <v>3821</v>
      </c>
      <c r="J749" t="s">
        <v>3827</v>
      </c>
      <c r="K749" t="s">
        <v>1218</v>
      </c>
      <c r="L749" s="13">
        <v>44601</v>
      </c>
      <c r="M749">
        <v>2</v>
      </c>
      <c r="N749" t="s">
        <v>101</v>
      </c>
      <c r="O749" t="s">
        <v>3850</v>
      </c>
      <c r="P749" t="s">
        <v>76</v>
      </c>
      <c r="Q749" t="s">
        <v>76</v>
      </c>
      <c r="R749" t="s">
        <v>76</v>
      </c>
      <c r="S749" t="s">
        <v>76</v>
      </c>
      <c r="T749" t="s">
        <v>76</v>
      </c>
      <c r="U749">
        <v>1</v>
      </c>
      <c r="V749" s="13">
        <v>45175</v>
      </c>
      <c r="W749">
        <v>1</v>
      </c>
      <c r="X749">
        <v>1</v>
      </c>
      <c r="Y749" t="s">
        <v>3710</v>
      </c>
      <c r="AC749">
        <v>2740</v>
      </c>
      <c r="AD749" t="e" vm="741">
        <v>#VALUE!</v>
      </c>
    </row>
    <row r="750" spans="2:30" x14ac:dyDescent="0.25">
      <c r="B750">
        <v>2741</v>
      </c>
      <c r="C750" t="s">
        <v>3684</v>
      </c>
      <c r="D750" t="s">
        <v>3709</v>
      </c>
      <c r="E750" t="s">
        <v>3848</v>
      </c>
      <c r="F750" t="s">
        <v>110</v>
      </c>
      <c r="G750" t="s">
        <v>112</v>
      </c>
      <c r="H750" t="s">
        <v>3808</v>
      </c>
      <c r="I750" t="s">
        <v>3821</v>
      </c>
      <c r="J750" t="s">
        <v>3827</v>
      </c>
      <c r="K750" t="s">
        <v>1218</v>
      </c>
      <c r="L750" s="13">
        <v>44610</v>
      </c>
      <c r="M750">
        <v>2</v>
      </c>
      <c r="N750" t="s">
        <v>101</v>
      </c>
      <c r="O750" t="s">
        <v>3850</v>
      </c>
      <c r="P750" t="s">
        <v>76</v>
      </c>
      <c r="Q750" t="s">
        <v>76</v>
      </c>
      <c r="R750" t="s">
        <v>76</v>
      </c>
      <c r="S750" t="s">
        <v>76</v>
      </c>
      <c r="T750" t="s">
        <v>76</v>
      </c>
      <c r="U750">
        <v>1</v>
      </c>
      <c r="V750" s="13">
        <v>45175</v>
      </c>
      <c r="W750">
        <v>1</v>
      </c>
      <c r="X750">
        <v>1</v>
      </c>
      <c r="Y750" t="s">
        <v>3710</v>
      </c>
      <c r="AC750">
        <v>2741</v>
      </c>
      <c r="AD750" t="e" vm="742">
        <v>#VALUE!</v>
      </c>
    </row>
    <row r="751" spans="2:30" x14ac:dyDescent="0.25">
      <c r="B751">
        <v>2742</v>
      </c>
      <c r="C751" t="s">
        <v>3684</v>
      </c>
      <c r="D751" t="s">
        <v>3685</v>
      </c>
      <c r="E751" t="s">
        <v>3829</v>
      </c>
      <c r="F751" t="s">
        <v>105</v>
      </c>
      <c r="G751" t="s">
        <v>108</v>
      </c>
      <c r="H751" t="s">
        <v>3808</v>
      </c>
      <c r="I751" t="s">
        <v>3821</v>
      </c>
      <c r="J751" t="s">
        <v>3827</v>
      </c>
      <c r="K751" t="s">
        <v>1218</v>
      </c>
      <c r="L751" s="13">
        <v>44586</v>
      </c>
      <c r="M751">
        <v>2</v>
      </c>
      <c r="N751" t="s">
        <v>101</v>
      </c>
      <c r="O751" t="s">
        <v>3850</v>
      </c>
      <c r="P751" t="s">
        <v>76</v>
      </c>
      <c r="Q751" t="s">
        <v>76</v>
      </c>
      <c r="R751" t="s">
        <v>76</v>
      </c>
      <c r="S751" t="s">
        <v>76</v>
      </c>
      <c r="T751" t="s">
        <v>76</v>
      </c>
      <c r="U751">
        <v>1</v>
      </c>
      <c r="V751" s="13">
        <v>45175</v>
      </c>
      <c r="W751">
        <v>1</v>
      </c>
      <c r="X751">
        <v>1</v>
      </c>
      <c r="Y751" t="s">
        <v>3686</v>
      </c>
      <c r="AC751">
        <v>2742</v>
      </c>
      <c r="AD751" t="e" vm="743">
        <v>#VALUE!</v>
      </c>
    </row>
    <row r="752" spans="2:30" x14ac:dyDescent="0.25">
      <c r="B752">
        <v>2743</v>
      </c>
      <c r="C752" t="s">
        <v>3684</v>
      </c>
      <c r="D752" t="s">
        <v>3685</v>
      </c>
      <c r="E752" t="s">
        <v>3829</v>
      </c>
      <c r="F752" t="s">
        <v>105</v>
      </c>
      <c r="G752" t="s">
        <v>108</v>
      </c>
      <c r="H752" t="s">
        <v>3808</v>
      </c>
      <c r="I752" t="s">
        <v>3821</v>
      </c>
      <c r="J752" t="s">
        <v>3827</v>
      </c>
      <c r="K752" t="s">
        <v>1218</v>
      </c>
      <c r="L752" s="13">
        <v>44627</v>
      </c>
      <c r="M752">
        <v>2</v>
      </c>
      <c r="N752" t="s">
        <v>101</v>
      </c>
      <c r="O752" t="s">
        <v>3850</v>
      </c>
      <c r="P752" t="s">
        <v>76</v>
      </c>
      <c r="Q752" t="s">
        <v>76</v>
      </c>
      <c r="R752" t="s">
        <v>76</v>
      </c>
      <c r="S752" t="s">
        <v>76</v>
      </c>
      <c r="T752" t="s">
        <v>76</v>
      </c>
      <c r="U752">
        <v>1</v>
      </c>
      <c r="V752" s="13">
        <v>45175</v>
      </c>
      <c r="W752">
        <v>1</v>
      </c>
      <c r="X752">
        <v>1</v>
      </c>
      <c r="Y752" t="s">
        <v>3686</v>
      </c>
      <c r="AC752">
        <v>2743</v>
      </c>
      <c r="AD752" t="e" vm="744">
        <v>#VALUE!</v>
      </c>
    </row>
    <row r="753" spans="2:30" x14ac:dyDescent="0.25">
      <c r="B753">
        <v>2744</v>
      </c>
      <c r="C753" t="s">
        <v>3684</v>
      </c>
      <c r="D753" t="s">
        <v>3685</v>
      </c>
      <c r="E753" t="s">
        <v>3829</v>
      </c>
      <c r="F753" t="s">
        <v>105</v>
      </c>
      <c r="G753" t="s">
        <v>108</v>
      </c>
      <c r="H753" t="s">
        <v>3808</v>
      </c>
      <c r="I753" t="s">
        <v>3821</v>
      </c>
      <c r="J753" t="s">
        <v>3827</v>
      </c>
      <c r="K753" t="s">
        <v>1218</v>
      </c>
      <c r="L753" s="13">
        <v>44640</v>
      </c>
      <c r="M753">
        <v>1</v>
      </c>
      <c r="N753" t="s">
        <v>101</v>
      </c>
      <c r="O753" t="s">
        <v>3850</v>
      </c>
      <c r="P753" t="s">
        <v>76</v>
      </c>
      <c r="Q753" t="s">
        <v>76</v>
      </c>
      <c r="R753" t="s">
        <v>76</v>
      </c>
      <c r="S753" t="s">
        <v>76</v>
      </c>
      <c r="T753" t="s">
        <v>76</v>
      </c>
      <c r="U753">
        <v>1</v>
      </c>
      <c r="V753" s="13">
        <v>45175</v>
      </c>
      <c r="W753">
        <v>1</v>
      </c>
      <c r="X753">
        <v>1</v>
      </c>
      <c r="Y753" t="s">
        <v>3686</v>
      </c>
      <c r="AC753">
        <v>2744</v>
      </c>
      <c r="AD753" t="e" vm="745">
        <v>#VALUE!</v>
      </c>
    </row>
    <row r="754" spans="2:30" x14ac:dyDescent="0.25">
      <c r="B754">
        <v>2745</v>
      </c>
      <c r="C754" t="s">
        <v>3684</v>
      </c>
      <c r="D754" t="s">
        <v>3685</v>
      </c>
      <c r="E754" t="s">
        <v>3829</v>
      </c>
      <c r="F754" t="s">
        <v>105</v>
      </c>
      <c r="G754" t="s">
        <v>108</v>
      </c>
      <c r="H754" t="s">
        <v>3808</v>
      </c>
      <c r="I754" t="s">
        <v>3821</v>
      </c>
      <c r="J754" t="s">
        <v>3827</v>
      </c>
      <c r="K754" t="s">
        <v>1218</v>
      </c>
      <c r="L754" s="13">
        <v>44600</v>
      </c>
      <c r="M754">
        <v>2</v>
      </c>
      <c r="N754" t="s">
        <v>101</v>
      </c>
      <c r="O754" t="s">
        <v>3850</v>
      </c>
      <c r="P754" t="s">
        <v>76</v>
      </c>
      <c r="Q754" t="s">
        <v>76</v>
      </c>
      <c r="R754" t="s">
        <v>76</v>
      </c>
      <c r="S754" t="s">
        <v>76</v>
      </c>
      <c r="T754" t="s">
        <v>76</v>
      </c>
      <c r="U754">
        <v>1</v>
      </c>
      <c r="V754" s="13">
        <v>45175</v>
      </c>
      <c r="W754">
        <v>1</v>
      </c>
      <c r="X754">
        <v>1</v>
      </c>
      <c r="Y754" t="s">
        <v>3686</v>
      </c>
      <c r="AC754">
        <v>2745</v>
      </c>
      <c r="AD754" t="e" vm="746">
        <v>#VALUE!</v>
      </c>
    </row>
    <row r="755" spans="2:30" x14ac:dyDescent="0.25">
      <c r="B755">
        <v>2746</v>
      </c>
      <c r="C755" t="s">
        <v>3684</v>
      </c>
      <c r="D755" t="s">
        <v>3685</v>
      </c>
      <c r="E755" t="s">
        <v>3829</v>
      </c>
      <c r="F755" t="s">
        <v>105</v>
      </c>
      <c r="G755" t="s">
        <v>108</v>
      </c>
      <c r="H755" t="s">
        <v>3808</v>
      </c>
      <c r="I755" t="s">
        <v>3821</v>
      </c>
      <c r="J755" t="s">
        <v>3827</v>
      </c>
      <c r="K755" t="s">
        <v>1218</v>
      </c>
      <c r="L755" s="13">
        <v>44644</v>
      </c>
      <c r="M755">
        <v>1</v>
      </c>
      <c r="N755" t="s">
        <v>101</v>
      </c>
      <c r="O755" t="s">
        <v>3850</v>
      </c>
      <c r="P755" t="s">
        <v>76</v>
      </c>
      <c r="Q755" t="s">
        <v>76</v>
      </c>
      <c r="R755" t="s">
        <v>76</v>
      </c>
      <c r="S755" t="s">
        <v>76</v>
      </c>
      <c r="T755" t="s">
        <v>76</v>
      </c>
      <c r="U755">
        <v>1</v>
      </c>
      <c r="V755" s="13">
        <v>45175</v>
      </c>
      <c r="W755">
        <v>1</v>
      </c>
      <c r="X755">
        <v>1</v>
      </c>
      <c r="Y755" t="s">
        <v>3686</v>
      </c>
      <c r="AC755">
        <v>2746</v>
      </c>
      <c r="AD755" t="e" vm="747">
        <v>#VALUE!</v>
      </c>
    </row>
    <row r="756" spans="2:30" x14ac:dyDescent="0.25">
      <c r="B756">
        <v>2747</v>
      </c>
      <c r="C756" t="s">
        <v>3684</v>
      </c>
      <c r="D756" t="s">
        <v>3691</v>
      </c>
      <c r="E756" t="s">
        <v>3833</v>
      </c>
      <c r="F756" t="s">
        <v>93</v>
      </c>
      <c r="G756" t="s">
        <v>91</v>
      </c>
      <c r="H756" t="s">
        <v>3808</v>
      </c>
      <c r="I756" t="s">
        <v>3821</v>
      </c>
      <c r="J756" t="s">
        <v>3827</v>
      </c>
      <c r="K756" t="s">
        <v>1218</v>
      </c>
      <c r="L756" s="13">
        <v>44589</v>
      </c>
      <c r="M756">
        <v>2</v>
      </c>
      <c r="N756" t="s">
        <v>101</v>
      </c>
      <c r="O756" t="s">
        <v>3850</v>
      </c>
      <c r="P756" t="s">
        <v>76</v>
      </c>
      <c r="Q756" t="s">
        <v>76</v>
      </c>
      <c r="R756" t="s">
        <v>76</v>
      </c>
      <c r="S756" t="s">
        <v>76</v>
      </c>
      <c r="T756" t="s">
        <v>76</v>
      </c>
      <c r="U756">
        <v>1</v>
      </c>
      <c r="V756" s="13">
        <v>45175</v>
      </c>
      <c r="W756">
        <v>1</v>
      </c>
      <c r="X756">
        <v>1</v>
      </c>
      <c r="Y756" t="s">
        <v>3692</v>
      </c>
      <c r="AC756">
        <v>2747</v>
      </c>
      <c r="AD756" t="e" vm="748">
        <v>#VALUE!</v>
      </c>
    </row>
    <row r="757" spans="2:30" x14ac:dyDescent="0.25">
      <c r="B757">
        <v>2748</v>
      </c>
      <c r="C757" t="s">
        <v>3684</v>
      </c>
      <c r="D757" t="s">
        <v>3691</v>
      </c>
      <c r="E757" t="s">
        <v>3833</v>
      </c>
      <c r="F757" t="s">
        <v>93</v>
      </c>
      <c r="G757" t="s">
        <v>91</v>
      </c>
      <c r="H757" t="s">
        <v>3808</v>
      </c>
      <c r="I757" t="s">
        <v>3821</v>
      </c>
      <c r="J757" t="s">
        <v>3827</v>
      </c>
      <c r="K757" t="s">
        <v>1218</v>
      </c>
      <c r="L757" s="13">
        <v>44600</v>
      </c>
      <c r="M757">
        <v>2</v>
      </c>
      <c r="N757" t="s">
        <v>101</v>
      </c>
      <c r="O757" t="s">
        <v>3850</v>
      </c>
      <c r="P757" t="s">
        <v>76</v>
      </c>
      <c r="Q757" t="s">
        <v>76</v>
      </c>
      <c r="R757" t="s">
        <v>76</v>
      </c>
      <c r="S757" t="s">
        <v>76</v>
      </c>
      <c r="T757" t="s">
        <v>76</v>
      </c>
      <c r="U757">
        <v>1</v>
      </c>
      <c r="V757" s="13">
        <v>45175</v>
      </c>
      <c r="W757">
        <v>1</v>
      </c>
      <c r="X757">
        <v>1</v>
      </c>
      <c r="Y757" t="s">
        <v>3692</v>
      </c>
      <c r="AC757">
        <v>2748</v>
      </c>
      <c r="AD757" t="e" vm="749">
        <v>#VALUE!</v>
      </c>
    </row>
    <row r="758" spans="2:30" x14ac:dyDescent="0.25">
      <c r="B758">
        <v>2749</v>
      </c>
      <c r="C758" t="s">
        <v>3684</v>
      </c>
      <c r="D758" t="s">
        <v>3691</v>
      </c>
      <c r="E758" t="s">
        <v>3833</v>
      </c>
      <c r="F758" t="s">
        <v>93</v>
      </c>
      <c r="G758" t="s">
        <v>91</v>
      </c>
      <c r="H758" t="s">
        <v>3808</v>
      </c>
      <c r="I758" t="s">
        <v>3821</v>
      </c>
      <c r="J758" t="s">
        <v>3827</v>
      </c>
      <c r="K758" t="s">
        <v>1218</v>
      </c>
      <c r="L758" s="13">
        <v>44627</v>
      </c>
      <c r="M758">
        <v>2</v>
      </c>
      <c r="N758" t="s">
        <v>101</v>
      </c>
      <c r="O758" t="s">
        <v>3850</v>
      </c>
      <c r="P758" t="s">
        <v>76</v>
      </c>
      <c r="Q758" t="s">
        <v>76</v>
      </c>
      <c r="R758" t="s">
        <v>76</v>
      </c>
      <c r="S758" t="s">
        <v>76</v>
      </c>
      <c r="T758" t="s">
        <v>76</v>
      </c>
      <c r="U758">
        <v>1</v>
      </c>
      <c r="V758" s="13">
        <v>45175</v>
      </c>
      <c r="W758">
        <v>1</v>
      </c>
      <c r="X758">
        <v>1</v>
      </c>
      <c r="Y758" t="s">
        <v>3692</v>
      </c>
      <c r="AC758">
        <v>2749</v>
      </c>
      <c r="AD758" t="e" vm="750">
        <v>#VALUE!</v>
      </c>
    </row>
    <row r="759" spans="2:30" x14ac:dyDescent="0.25">
      <c r="B759">
        <v>2750</v>
      </c>
      <c r="C759" t="s">
        <v>3684</v>
      </c>
      <c r="D759" t="s">
        <v>3691</v>
      </c>
      <c r="E759" t="s">
        <v>3833</v>
      </c>
      <c r="F759" t="s">
        <v>93</v>
      </c>
      <c r="G759" t="s">
        <v>91</v>
      </c>
      <c r="H759" t="s">
        <v>3808</v>
      </c>
      <c r="I759" t="s">
        <v>3821</v>
      </c>
      <c r="J759" t="s">
        <v>3827</v>
      </c>
      <c r="K759" t="s">
        <v>1218</v>
      </c>
      <c r="L759" s="13">
        <v>44627</v>
      </c>
      <c r="M759">
        <v>2</v>
      </c>
      <c r="N759" t="s">
        <v>101</v>
      </c>
      <c r="O759" t="s">
        <v>3850</v>
      </c>
      <c r="P759" t="s">
        <v>76</v>
      </c>
      <c r="Q759" t="s">
        <v>76</v>
      </c>
      <c r="R759" t="s">
        <v>76</v>
      </c>
      <c r="S759" t="s">
        <v>76</v>
      </c>
      <c r="T759" t="s">
        <v>76</v>
      </c>
      <c r="U759">
        <v>1</v>
      </c>
      <c r="V759" s="13">
        <v>45175</v>
      </c>
      <c r="W759">
        <v>1</v>
      </c>
      <c r="X759">
        <v>1</v>
      </c>
      <c r="Y759" t="s">
        <v>3692</v>
      </c>
      <c r="AC759">
        <v>2750</v>
      </c>
      <c r="AD759" t="e" vm="751">
        <v>#VALUE!</v>
      </c>
    </row>
    <row r="760" spans="2:30" x14ac:dyDescent="0.25">
      <c r="B760">
        <v>2751</v>
      </c>
      <c r="C760" t="s">
        <v>3646</v>
      </c>
      <c r="D760" t="s">
        <v>3649</v>
      </c>
      <c r="E760" t="s">
        <v>3812</v>
      </c>
      <c r="F760" t="s">
        <v>85</v>
      </c>
      <c r="G760" t="s">
        <v>112</v>
      </c>
      <c r="H760" t="s">
        <v>3808</v>
      </c>
      <c r="I760" t="s">
        <v>3821</v>
      </c>
      <c r="J760" t="s">
        <v>3827</v>
      </c>
      <c r="K760" t="s">
        <v>1218</v>
      </c>
      <c r="L760" s="13">
        <v>44749</v>
      </c>
      <c r="M760">
        <v>1</v>
      </c>
      <c r="N760" t="s">
        <v>90</v>
      </c>
      <c r="O760" t="s">
        <v>3851</v>
      </c>
      <c r="P760" t="s">
        <v>76</v>
      </c>
      <c r="Q760" t="s">
        <v>76</v>
      </c>
      <c r="R760" t="s">
        <v>76</v>
      </c>
      <c r="S760" t="s">
        <v>76</v>
      </c>
      <c r="T760" t="s">
        <v>76</v>
      </c>
      <c r="U760">
        <v>1</v>
      </c>
      <c r="V760" s="13">
        <v>45175</v>
      </c>
      <c r="W760">
        <v>1</v>
      </c>
      <c r="X760">
        <v>1</v>
      </c>
      <c r="Y760" t="s">
        <v>3650</v>
      </c>
      <c r="AC760">
        <v>2751</v>
      </c>
      <c r="AD760" t="e" vm="752">
        <v>#VALUE!</v>
      </c>
    </row>
    <row r="761" spans="2:30" x14ac:dyDescent="0.25">
      <c r="B761">
        <v>2752</v>
      </c>
      <c r="C761" t="s">
        <v>3646</v>
      </c>
      <c r="D761" t="s">
        <v>3649</v>
      </c>
      <c r="E761" t="s">
        <v>3812</v>
      </c>
      <c r="F761" t="s">
        <v>85</v>
      </c>
      <c r="G761" t="s">
        <v>112</v>
      </c>
      <c r="H761" t="s">
        <v>3808</v>
      </c>
      <c r="I761" t="s">
        <v>3821</v>
      </c>
      <c r="J761" t="s">
        <v>3827</v>
      </c>
      <c r="K761" t="s">
        <v>1218</v>
      </c>
      <c r="L761" s="13">
        <v>44755</v>
      </c>
      <c r="M761">
        <v>1</v>
      </c>
      <c r="N761" t="s">
        <v>90</v>
      </c>
      <c r="O761" t="s">
        <v>3851</v>
      </c>
      <c r="P761" t="s">
        <v>76</v>
      </c>
      <c r="Q761" t="s">
        <v>76</v>
      </c>
      <c r="R761" t="s">
        <v>76</v>
      </c>
      <c r="S761" t="s">
        <v>76</v>
      </c>
      <c r="T761" t="s">
        <v>76</v>
      </c>
      <c r="U761">
        <v>1</v>
      </c>
      <c r="V761" s="13">
        <v>45175</v>
      </c>
      <c r="W761">
        <v>1</v>
      </c>
      <c r="X761">
        <v>1</v>
      </c>
      <c r="Y761" t="s">
        <v>3650</v>
      </c>
      <c r="AC761">
        <v>2752</v>
      </c>
      <c r="AD761" t="e" vm="753">
        <v>#VALUE!</v>
      </c>
    </row>
    <row r="762" spans="2:30" x14ac:dyDescent="0.25">
      <c r="B762">
        <v>2753</v>
      </c>
      <c r="C762" t="s">
        <v>3646</v>
      </c>
      <c r="D762" t="s">
        <v>3649</v>
      </c>
      <c r="E762" t="s">
        <v>3812</v>
      </c>
      <c r="F762" t="s">
        <v>85</v>
      </c>
      <c r="G762" t="s">
        <v>112</v>
      </c>
      <c r="H762" t="s">
        <v>3808</v>
      </c>
      <c r="I762" t="s">
        <v>3821</v>
      </c>
      <c r="J762" t="s">
        <v>3827</v>
      </c>
      <c r="K762" t="s">
        <v>1218</v>
      </c>
      <c r="L762" s="13">
        <v>44740</v>
      </c>
      <c r="M762">
        <v>1</v>
      </c>
      <c r="N762" t="s">
        <v>90</v>
      </c>
      <c r="O762" t="s">
        <v>3851</v>
      </c>
      <c r="P762" t="s">
        <v>76</v>
      </c>
      <c r="Q762" t="s">
        <v>76</v>
      </c>
      <c r="R762" t="s">
        <v>76</v>
      </c>
      <c r="S762" t="s">
        <v>76</v>
      </c>
      <c r="T762" t="s">
        <v>76</v>
      </c>
      <c r="U762">
        <v>1</v>
      </c>
      <c r="V762" s="13">
        <v>45175</v>
      </c>
      <c r="W762">
        <v>1</v>
      </c>
      <c r="X762">
        <v>1</v>
      </c>
      <c r="Y762" t="s">
        <v>3650</v>
      </c>
      <c r="AC762">
        <v>2753</v>
      </c>
      <c r="AD762" t="e" vm="754">
        <v>#VALUE!</v>
      </c>
    </row>
    <row r="763" spans="2:30" x14ac:dyDescent="0.25">
      <c r="B763">
        <v>2754</v>
      </c>
      <c r="C763" t="s">
        <v>3646</v>
      </c>
      <c r="D763" t="s">
        <v>3649</v>
      </c>
      <c r="E763" t="s">
        <v>3812</v>
      </c>
      <c r="F763" t="s">
        <v>85</v>
      </c>
      <c r="G763" t="s">
        <v>112</v>
      </c>
      <c r="H763" t="s">
        <v>3808</v>
      </c>
      <c r="I763" t="s">
        <v>3821</v>
      </c>
      <c r="J763" t="s">
        <v>3827</v>
      </c>
      <c r="K763" t="s">
        <v>1218</v>
      </c>
      <c r="L763" s="13">
        <v>44740</v>
      </c>
      <c r="M763">
        <v>1</v>
      </c>
      <c r="N763" t="s">
        <v>90</v>
      </c>
      <c r="O763" t="s">
        <v>3851</v>
      </c>
      <c r="P763" t="s">
        <v>76</v>
      </c>
      <c r="Q763" t="s">
        <v>76</v>
      </c>
      <c r="R763" t="s">
        <v>76</v>
      </c>
      <c r="S763" t="s">
        <v>76</v>
      </c>
      <c r="T763" t="s">
        <v>76</v>
      </c>
      <c r="U763">
        <v>1</v>
      </c>
      <c r="V763" s="13">
        <v>45175</v>
      </c>
      <c r="W763">
        <v>1</v>
      </c>
      <c r="X763">
        <v>1</v>
      </c>
      <c r="Y763" t="s">
        <v>3650</v>
      </c>
      <c r="AC763">
        <v>2754</v>
      </c>
      <c r="AD763" t="e" vm="755">
        <v>#VALUE!</v>
      </c>
    </row>
    <row r="764" spans="2:30" x14ac:dyDescent="0.25">
      <c r="B764">
        <v>2755</v>
      </c>
      <c r="C764" t="s">
        <v>3646</v>
      </c>
      <c r="D764" t="s">
        <v>3649</v>
      </c>
      <c r="E764" t="s">
        <v>3812</v>
      </c>
      <c r="F764" t="s">
        <v>85</v>
      </c>
      <c r="G764" t="s">
        <v>112</v>
      </c>
      <c r="H764" t="s">
        <v>3808</v>
      </c>
      <c r="I764" t="s">
        <v>3821</v>
      </c>
      <c r="J764" t="s">
        <v>3827</v>
      </c>
      <c r="K764" t="s">
        <v>1218</v>
      </c>
      <c r="L764" s="13">
        <v>44741</v>
      </c>
      <c r="M764">
        <v>1</v>
      </c>
      <c r="N764" t="s">
        <v>90</v>
      </c>
      <c r="O764" t="s">
        <v>3851</v>
      </c>
      <c r="P764" t="s">
        <v>76</v>
      </c>
      <c r="Q764" t="s">
        <v>76</v>
      </c>
      <c r="R764" t="s">
        <v>76</v>
      </c>
      <c r="S764" t="s">
        <v>76</v>
      </c>
      <c r="T764" t="s">
        <v>76</v>
      </c>
      <c r="U764">
        <v>1</v>
      </c>
      <c r="V764" s="13">
        <v>45175</v>
      </c>
      <c r="W764">
        <v>1</v>
      </c>
      <c r="X764">
        <v>1</v>
      </c>
      <c r="Y764" t="s">
        <v>3650</v>
      </c>
      <c r="AC764">
        <v>2755</v>
      </c>
      <c r="AD764" t="e" vm="756">
        <v>#VALUE!</v>
      </c>
    </row>
    <row r="765" spans="2:30" x14ac:dyDescent="0.25">
      <c r="B765">
        <v>2756</v>
      </c>
      <c r="C765" t="s">
        <v>3646</v>
      </c>
      <c r="D765" t="s">
        <v>3649</v>
      </c>
      <c r="E765" t="s">
        <v>3812</v>
      </c>
      <c r="F765" t="s">
        <v>85</v>
      </c>
      <c r="G765" t="s">
        <v>112</v>
      </c>
      <c r="H765" t="s">
        <v>3808</v>
      </c>
      <c r="I765" t="s">
        <v>3821</v>
      </c>
      <c r="J765" t="s">
        <v>3827</v>
      </c>
      <c r="K765" t="s">
        <v>1218</v>
      </c>
      <c r="L765" s="13">
        <v>44824</v>
      </c>
      <c r="M765">
        <v>1</v>
      </c>
      <c r="N765" t="s">
        <v>90</v>
      </c>
      <c r="O765" t="s">
        <v>3851</v>
      </c>
      <c r="P765" t="s">
        <v>76</v>
      </c>
      <c r="Q765" t="s">
        <v>76</v>
      </c>
      <c r="R765" t="s">
        <v>76</v>
      </c>
      <c r="S765" t="s">
        <v>76</v>
      </c>
      <c r="T765" t="s">
        <v>76</v>
      </c>
      <c r="U765">
        <v>1</v>
      </c>
      <c r="V765" s="13">
        <v>45175</v>
      </c>
      <c r="W765">
        <v>1</v>
      </c>
      <c r="X765">
        <v>1</v>
      </c>
      <c r="Y765" t="s">
        <v>3650</v>
      </c>
      <c r="AC765">
        <v>2756</v>
      </c>
      <c r="AD765" t="e" vm="757">
        <v>#VALUE!</v>
      </c>
    </row>
    <row r="766" spans="2:30" x14ac:dyDescent="0.25">
      <c r="B766">
        <v>2757</v>
      </c>
      <c r="C766" t="s">
        <v>3646</v>
      </c>
      <c r="D766" t="s">
        <v>3649</v>
      </c>
      <c r="E766" t="s">
        <v>3812</v>
      </c>
      <c r="F766" t="s">
        <v>85</v>
      </c>
      <c r="G766" t="s">
        <v>112</v>
      </c>
      <c r="H766" t="s">
        <v>3808</v>
      </c>
      <c r="I766" t="s">
        <v>3821</v>
      </c>
      <c r="J766" t="s">
        <v>3827</v>
      </c>
      <c r="K766" t="s">
        <v>1218</v>
      </c>
      <c r="L766" s="13">
        <v>44749</v>
      </c>
      <c r="M766">
        <v>1</v>
      </c>
      <c r="N766" t="s">
        <v>90</v>
      </c>
      <c r="O766" t="s">
        <v>3851</v>
      </c>
      <c r="P766" t="s">
        <v>76</v>
      </c>
      <c r="Q766" t="s">
        <v>76</v>
      </c>
      <c r="R766" t="s">
        <v>76</v>
      </c>
      <c r="S766" t="s">
        <v>76</v>
      </c>
      <c r="T766" t="s">
        <v>76</v>
      </c>
      <c r="U766">
        <v>1</v>
      </c>
      <c r="V766" s="13">
        <v>45175</v>
      </c>
      <c r="W766">
        <v>1</v>
      </c>
      <c r="X766">
        <v>1</v>
      </c>
      <c r="Y766" t="s">
        <v>3650</v>
      </c>
      <c r="AC766">
        <v>2757</v>
      </c>
      <c r="AD766" t="e" vm="758">
        <v>#VALUE!</v>
      </c>
    </row>
    <row r="767" spans="2:30" x14ac:dyDescent="0.25">
      <c r="B767">
        <v>2758</v>
      </c>
      <c r="C767" t="s">
        <v>3646</v>
      </c>
      <c r="D767" t="s">
        <v>3649</v>
      </c>
      <c r="E767" t="s">
        <v>3812</v>
      </c>
      <c r="F767" t="s">
        <v>85</v>
      </c>
      <c r="G767" t="s">
        <v>112</v>
      </c>
      <c r="H767" t="s">
        <v>3808</v>
      </c>
      <c r="I767" t="s">
        <v>3821</v>
      </c>
      <c r="J767" t="s">
        <v>3827</v>
      </c>
      <c r="K767" t="s">
        <v>1218</v>
      </c>
      <c r="L767" s="13">
        <v>44824</v>
      </c>
      <c r="M767">
        <v>1</v>
      </c>
      <c r="N767" t="s">
        <v>90</v>
      </c>
      <c r="O767" t="s">
        <v>3851</v>
      </c>
      <c r="P767" t="s">
        <v>76</v>
      </c>
      <c r="Q767" t="s">
        <v>76</v>
      </c>
      <c r="R767" t="s">
        <v>76</v>
      </c>
      <c r="S767" t="s">
        <v>76</v>
      </c>
      <c r="T767" t="s">
        <v>76</v>
      </c>
      <c r="U767">
        <v>1</v>
      </c>
      <c r="V767" s="13">
        <v>45175</v>
      </c>
      <c r="W767">
        <v>1</v>
      </c>
      <c r="X767">
        <v>1</v>
      </c>
      <c r="Y767" t="s">
        <v>3650</v>
      </c>
      <c r="AC767">
        <v>2758</v>
      </c>
      <c r="AD767" t="e" vm="759">
        <v>#VALUE!</v>
      </c>
    </row>
    <row r="768" spans="2:30" x14ac:dyDescent="0.25">
      <c r="B768">
        <v>2759</v>
      </c>
      <c r="C768" t="s">
        <v>3646</v>
      </c>
      <c r="D768" t="s">
        <v>3649</v>
      </c>
      <c r="E768" t="s">
        <v>3812</v>
      </c>
      <c r="F768" t="s">
        <v>85</v>
      </c>
      <c r="G768" t="s">
        <v>112</v>
      </c>
      <c r="H768" t="s">
        <v>3808</v>
      </c>
      <c r="I768" t="s">
        <v>3821</v>
      </c>
      <c r="J768" t="s">
        <v>3827</v>
      </c>
      <c r="K768" t="s">
        <v>1218</v>
      </c>
      <c r="L768" s="13">
        <v>44819</v>
      </c>
      <c r="M768">
        <v>1</v>
      </c>
      <c r="N768" t="s">
        <v>90</v>
      </c>
      <c r="O768" t="s">
        <v>3851</v>
      </c>
      <c r="P768" t="s">
        <v>76</v>
      </c>
      <c r="Q768" t="s">
        <v>76</v>
      </c>
      <c r="R768" t="s">
        <v>76</v>
      </c>
      <c r="S768" t="s">
        <v>76</v>
      </c>
      <c r="T768" t="s">
        <v>76</v>
      </c>
      <c r="U768">
        <v>1</v>
      </c>
      <c r="V768" s="13">
        <v>45175</v>
      </c>
      <c r="W768">
        <v>1</v>
      </c>
      <c r="X768">
        <v>1</v>
      </c>
      <c r="Y768" t="s">
        <v>3650</v>
      </c>
      <c r="AC768">
        <v>2759</v>
      </c>
      <c r="AD768" t="e" vm="760">
        <v>#VALUE!</v>
      </c>
    </row>
    <row r="769" spans="2:30" x14ac:dyDescent="0.25">
      <c r="B769">
        <v>2760</v>
      </c>
      <c r="C769" t="s">
        <v>3646</v>
      </c>
      <c r="D769" t="s">
        <v>3711</v>
      </c>
      <c r="E769" t="s">
        <v>3849</v>
      </c>
      <c r="F769" t="s">
        <v>83</v>
      </c>
      <c r="G769" t="s">
        <v>103</v>
      </c>
      <c r="H769" t="s">
        <v>3808</v>
      </c>
      <c r="I769" t="s">
        <v>3821</v>
      </c>
      <c r="J769" t="s">
        <v>3827</v>
      </c>
      <c r="K769" t="s">
        <v>1218</v>
      </c>
      <c r="L769" s="13">
        <v>44824</v>
      </c>
      <c r="M769">
        <v>1</v>
      </c>
      <c r="N769" t="s">
        <v>90</v>
      </c>
      <c r="O769" t="s">
        <v>3851</v>
      </c>
      <c r="P769" t="s">
        <v>76</v>
      </c>
      <c r="Q769" t="s">
        <v>76</v>
      </c>
      <c r="R769" t="s">
        <v>76</v>
      </c>
      <c r="S769" t="s">
        <v>76</v>
      </c>
      <c r="T769" t="s">
        <v>76</v>
      </c>
      <c r="U769">
        <v>1</v>
      </c>
      <c r="V769" s="13">
        <v>45175</v>
      </c>
      <c r="W769">
        <v>1</v>
      </c>
      <c r="X769">
        <v>1</v>
      </c>
      <c r="Y769" t="s">
        <v>3712</v>
      </c>
      <c r="AC769">
        <v>2760</v>
      </c>
      <c r="AD769" t="e" vm="761">
        <v>#VALUE!</v>
      </c>
    </row>
    <row r="770" spans="2:30" x14ac:dyDescent="0.25">
      <c r="B770">
        <v>2761</v>
      </c>
      <c r="C770" t="s">
        <v>3646</v>
      </c>
      <c r="D770" t="s">
        <v>3711</v>
      </c>
      <c r="E770" t="s">
        <v>3849</v>
      </c>
      <c r="F770" t="s">
        <v>83</v>
      </c>
      <c r="G770" t="s">
        <v>103</v>
      </c>
      <c r="H770" t="s">
        <v>3808</v>
      </c>
      <c r="I770" t="s">
        <v>3821</v>
      </c>
      <c r="J770" t="s">
        <v>3827</v>
      </c>
      <c r="K770" t="s">
        <v>1218</v>
      </c>
      <c r="L770" s="13">
        <v>44756</v>
      </c>
      <c r="M770">
        <v>1</v>
      </c>
      <c r="N770" t="s">
        <v>90</v>
      </c>
      <c r="O770" t="s">
        <v>3851</v>
      </c>
      <c r="P770" t="s">
        <v>76</v>
      </c>
      <c r="Q770" t="s">
        <v>76</v>
      </c>
      <c r="R770" t="s">
        <v>76</v>
      </c>
      <c r="S770" t="s">
        <v>76</v>
      </c>
      <c r="T770" t="s">
        <v>76</v>
      </c>
      <c r="U770">
        <v>1</v>
      </c>
      <c r="V770" s="13">
        <v>45175</v>
      </c>
      <c r="W770">
        <v>1</v>
      </c>
      <c r="X770">
        <v>1</v>
      </c>
      <c r="Y770" t="s">
        <v>3712</v>
      </c>
      <c r="AC770">
        <v>2761</v>
      </c>
      <c r="AD770" t="e" vm="762">
        <v>#VALUE!</v>
      </c>
    </row>
    <row r="771" spans="2:30" x14ac:dyDescent="0.25">
      <c r="B771">
        <v>2762</v>
      </c>
      <c r="C771" t="s">
        <v>3646</v>
      </c>
      <c r="D771" t="s">
        <v>3711</v>
      </c>
      <c r="E771" t="s">
        <v>3849</v>
      </c>
      <c r="F771" t="s">
        <v>83</v>
      </c>
      <c r="G771" t="s">
        <v>103</v>
      </c>
      <c r="H771" t="s">
        <v>3808</v>
      </c>
      <c r="I771" t="s">
        <v>3821</v>
      </c>
      <c r="J771" t="s">
        <v>3827</v>
      </c>
      <c r="K771" t="s">
        <v>1218</v>
      </c>
      <c r="L771" s="13">
        <v>44824</v>
      </c>
      <c r="M771">
        <v>1</v>
      </c>
      <c r="N771" t="s">
        <v>90</v>
      </c>
      <c r="O771" t="s">
        <v>3851</v>
      </c>
      <c r="P771" t="s">
        <v>76</v>
      </c>
      <c r="Q771" t="s">
        <v>76</v>
      </c>
      <c r="R771" t="s">
        <v>76</v>
      </c>
      <c r="S771" t="s">
        <v>76</v>
      </c>
      <c r="T771" t="s">
        <v>76</v>
      </c>
      <c r="U771">
        <v>1</v>
      </c>
      <c r="V771" s="13">
        <v>45175</v>
      </c>
      <c r="W771">
        <v>1</v>
      </c>
      <c r="X771">
        <v>1</v>
      </c>
      <c r="Y771" t="s">
        <v>3712</v>
      </c>
      <c r="AC771">
        <v>2762</v>
      </c>
      <c r="AD771" t="e" vm="763">
        <v>#VALUE!</v>
      </c>
    </row>
    <row r="772" spans="2:30" x14ac:dyDescent="0.25">
      <c r="B772">
        <v>2763</v>
      </c>
      <c r="C772" t="s">
        <v>3646</v>
      </c>
      <c r="D772" t="s">
        <v>3711</v>
      </c>
      <c r="E772" t="s">
        <v>3849</v>
      </c>
      <c r="F772" t="s">
        <v>83</v>
      </c>
      <c r="G772" t="s">
        <v>103</v>
      </c>
      <c r="H772" t="s">
        <v>3808</v>
      </c>
      <c r="I772" t="s">
        <v>3821</v>
      </c>
      <c r="J772" t="s">
        <v>3827</v>
      </c>
      <c r="K772" t="s">
        <v>1218</v>
      </c>
      <c r="L772" s="13">
        <v>44819</v>
      </c>
      <c r="M772">
        <v>1</v>
      </c>
      <c r="N772" t="s">
        <v>90</v>
      </c>
      <c r="O772" t="s">
        <v>3851</v>
      </c>
      <c r="P772" t="s">
        <v>76</v>
      </c>
      <c r="Q772" t="s">
        <v>76</v>
      </c>
      <c r="R772" t="s">
        <v>76</v>
      </c>
      <c r="S772" t="s">
        <v>76</v>
      </c>
      <c r="T772" t="s">
        <v>76</v>
      </c>
      <c r="U772">
        <v>1</v>
      </c>
      <c r="V772" s="13">
        <v>45175</v>
      </c>
      <c r="W772">
        <v>1</v>
      </c>
      <c r="X772">
        <v>1</v>
      </c>
      <c r="Y772" t="s">
        <v>3712</v>
      </c>
      <c r="AC772">
        <v>2763</v>
      </c>
      <c r="AD772" t="e" vm="764">
        <v>#VALUE!</v>
      </c>
    </row>
    <row r="773" spans="2:30" x14ac:dyDescent="0.25">
      <c r="B773">
        <v>2764</v>
      </c>
      <c r="C773" t="s">
        <v>3646</v>
      </c>
      <c r="D773" t="s">
        <v>3711</v>
      </c>
      <c r="E773" t="s">
        <v>3849</v>
      </c>
      <c r="F773" t="s">
        <v>83</v>
      </c>
      <c r="G773" t="s">
        <v>103</v>
      </c>
      <c r="H773" t="s">
        <v>3808</v>
      </c>
      <c r="I773" t="s">
        <v>3821</v>
      </c>
      <c r="J773" t="s">
        <v>3827</v>
      </c>
      <c r="K773" t="s">
        <v>1218</v>
      </c>
      <c r="L773" s="13">
        <v>44846</v>
      </c>
      <c r="M773">
        <v>1</v>
      </c>
      <c r="N773" t="s">
        <v>90</v>
      </c>
      <c r="O773" t="s">
        <v>3851</v>
      </c>
      <c r="P773" t="s">
        <v>76</v>
      </c>
      <c r="Q773" t="s">
        <v>76</v>
      </c>
      <c r="R773" t="s">
        <v>76</v>
      </c>
      <c r="S773" t="s">
        <v>76</v>
      </c>
      <c r="T773" t="s">
        <v>76</v>
      </c>
      <c r="U773">
        <v>1</v>
      </c>
      <c r="V773" s="13">
        <v>45175</v>
      </c>
      <c r="W773">
        <v>1</v>
      </c>
      <c r="X773">
        <v>1</v>
      </c>
      <c r="Y773" t="s">
        <v>3712</v>
      </c>
      <c r="AC773">
        <v>2764</v>
      </c>
      <c r="AD773" t="e" vm="765">
        <v>#VALUE!</v>
      </c>
    </row>
    <row r="774" spans="2:30" x14ac:dyDescent="0.25">
      <c r="B774">
        <v>2765</v>
      </c>
      <c r="C774" t="s">
        <v>3646</v>
      </c>
      <c r="D774" t="s">
        <v>3711</v>
      </c>
      <c r="E774" t="s">
        <v>3849</v>
      </c>
      <c r="F774" t="s">
        <v>83</v>
      </c>
      <c r="G774" t="s">
        <v>103</v>
      </c>
      <c r="H774" t="s">
        <v>3808</v>
      </c>
      <c r="I774" t="s">
        <v>3821</v>
      </c>
      <c r="J774" t="s">
        <v>3827</v>
      </c>
      <c r="K774" t="s">
        <v>1218</v>
      </c>
      <c r="L774" s="13">
        <v>44819</v>
      </c>
      <c r="M774">
        <v>1</v>
      </c>
      <c r="N774" t="s">
        <v>90</v>
      </c>
      <c r="O774" t="s">
        <v>3851</v>
      </c>
      <c r="P774" t="s">
        <v>76</v>
      </c>
      <c r="Q774" t="s">
        <v>76</v>
      </c>
      <c r="R774" t="s">
        <v>76</v>
      </c>
      <c r="S774" t="s">
        <v>76</v>
      </c>
      <c r="T774" t="s">
        <v>76</v>
      </c>
      <c r="U774">
        <v>1</v>
      </c>
      <c r="V774" s="13">
        <v>45175</v>
      </c>
      <c r="W774">
        <v>1</v>
      </c>
      <c r="X774">
        <v>1</v>
      </c>
      <c r="Y774" t="s">
        <v>3712</v>
      </c>
      <c r="AC774">
        <v>2765</v>
      </c>
      <c r="AD774" t="e" vm="766">
        <v>#VALUE!</v>
      </c>
    </row>
    <row r="775" spans="2:30" x14ac:dyDescent="0.25">
      <c r="B775">
        <v>2766</v>
      </c>
      <c r="C775" t="s">
        <v>3646</v>
      </c>
      <c r="D775" t="s">
        <v>3711</v>
      </c>
      <c r="E775" t="s">
        <v>3849</v>
      </c>
      <c r="F775" t="s">
        <v>83</v>
      </c>
      <c r="G775" t="s">
        <v>103</v>
      </c>
      <c r="H775" t="s">
        <v>3808</v>
      </c>
      <c r="I775" t="s">
        <v>3821</v>
      </c>
      <c r="J775" t="s">
        <v>3827</v>
      </c>
      <c r="K775" t="s">
        <v>1218</v>
      </c>
      <c r="L775" s="13">
        <v>44824</v>
      </c>
      <c r="M775">
        <v>1</v>
      </c>
      <c r="N775" t="s">
        <v>90</v>
      </c>
      <c r="O775" t="s">
        <v>3851</v>
      </c>
      <c r="P775" t="s">
        <v>76</v>
      </c>
      <c r="Q775" t="s">
        <v>76</v>
      </c>
      <c r="R775" t="s">
        <v>76</v>
      </c>
      <c r="S775" t="s">
        <v>76</v>
      </c>
      <c r="T775" t="s">
        <v>76</v>
      </c>
      <c r="U775">
        <v>1</v>
      </c>
      <c r="V775" s="13">
        <v>45175</v>
      </c>
      <c r="W775">
        <v>1</v>
      </c>
      <c r="X775">
        <v>1</v>
      </c>
      <c r="Y775" t="s">
        <v>3712</v>
      </c>
      <c r="AC775">
        <v>2766</v>
      </c>
      <c r="AD775" t="e" vm="767">
        <v>#VALUE!</v>
      </c>
    </row>
    <row r="776" spans="2:30" x14ac:dyDescent="0.25">
      <c r="B776">
        <v>2767</v>
      </c>
      <c r="C776" t="s">
        <v>3646</v>
      </c>
      <c r="D776" t="s">
        <v>3711</v>
      </c>
      <c r="E776" t="s">
        <v>3849</v>
      </c>
      <c r="F776" t="s">
        <v>83</v>
      </c>
      <c r="G776" t="s">
        <v>103</v>
      </c>
      <c r="H776" t="s">
        <v>3808</v>
      </c>
      <c r="I776" t="s">
        <v>3821</v>
      </c>
      <c r="J776" t="s">
        <v>3827</v>
      </c>
      <c r="K776" t="s">
        <v>1218</v>
      </c>
      <c r="L776" s="13">
        <v>44824</v>
      </c>
      <c r="M776">
        <v>1</v>
      </c>
      <c r="N776" t="s">
        <v>90</v>
      </c>
      <c r="O776" t="s">
        <v>3851</v>
      </c>
      <c r="P776" t="s">
        <v>76</v>
      </c>
      <c r="Q776" t="s">
        <v>76</v>
      </c>
      <c r="R776" t="s">
        <v>76</v>
      </c>
      <c r="S776" t="s">
        <v>76</v>
      </c>
      <c r="T776" t="s">
        <v>76</v>
      </c>
      <c r="U776">
        <v>1</v>
      </c>
      <c r="V776" s="13">
        <v>45175</v>
      </c>
      <c r="W776">
        <v>1</v>
      </c>
      <c r="X776">
        <v>1</v>
      </c>
      <c r="Y776" t="s">
        <v>3712</v>
      </c>
      <c r="AC776">
        <v>2767</v>
      </c>
      <c r="AD776" t="e" vm="768">
        <v>#VALUE!</v>
      </c>
    </row>
    <row r="777" spans="2:30" x14ac:dyDescent="0.25">
      <c r="B777">
        <v>2768</v>
      </c>
      <c r="C777" t="s">
        <v>3646</v>
      </c>
      <c r="D777" t="s">
        <v>3711</v>
      </c>
      <c r="E777" t="s">
        <v>3849</v>
      </c>
      <c r="F777" t="s">
        <v>83</v>
      </c>
      <c r="G777" t="s">
        <v>103</v>
      </c>
      <c r="H777" t="s">
        <v>3808</v>
      </c>
      <c r="I777" t="s">
        <v>3821</v>
      </c>
      <c r="J777" t="s">
        <v>3827</v>
      </c>
      <c r="K777" t="s">
        <v>1218</v>
      </c>
      <c r="L777" s="13">
        <v>44846</v>
      </c>
      <c r="M777">
        <v>1</v>
      </c>
      <c r="N777" t="s">
        <v>90</v>
      </c>
      <c r="O777" t="s">
        <v>3851</v>
      </c>
      <c r="P777" t="s">
        <v>76</v>
      </c>
      <c r="Q777" t="s">
        <v>76</v>
      </c>
      <c r="R777" t="s">
        <v>76</v>
      </c>
      <c r="S777" t="s">
        <v>76</v>
      </c>
      <c r="T777" t="s">
        <v>76</v>
      </c>
      <c r="U777">
        <v>1</v>
      </c>
      <c r="V777" s="13">
        <v>45175</v>
      </c>
      <c r="W777">
        <v>1</v>
      </c>
      <c r="X777">
        <v>1</v>
      </c>
      <c r="Y777" t="s">
        <v>3712</v>
      </c>
      <c r="AC777">
        <v>2768</v>
      </c>
      <c r="AD777" t="e" vm="769">
        <v>#VALUE!</v>
      </c>
    </row>
    <row r="778" spans="2:30" x14ac:dyDescent="0.25">
      <c r="B778">
        <v>2769</v>
      </c>
      <c r="C778" t="s">
        <v>3646</v>
      </c>
      <c r="D778" t="s">
        <v>3711</v>
      </c>
      <c r="E778" t="s">
        <v>3849</v>
      </c>
      <c r="F778" t="s">
        <v>83</v>
      </c>
      <c r="G778" t="s">
        <v>103</v>
      </c>
      <c r="H778" t="s">
        <v>3808</v>
      </c>
      <c r="I778" t="s">
        <v>3821</v>
      </c>
      <c r="J778" t="s">
        <v>3827</v>
      </c>
      <c r="K778" t="s">
        <v>1218</v>
      </c>
      <c r="L778" s="13">
        <v>44888</v>
      </c>
      <c r="M778">
        <v>1</v>
      </c>
      <c r="N778" t="s">
        <v>90</v>
      </c>
      <c r="O778" t="s">
        <v>3851</v>
      </c>
      <c r="P778" t="s">
        <v>76</v>
      </c>
      <c r="Q778" t="s">
        <v>76</v>
      </c>
      <c r="R778" t="s">
        <v>76</v>
      </c>
      <c r="S778" t="s">
        <v>76</v>
      </c>
      <c r="T778" t="s">
        <v>76</v>
      </c>
      <c r="U778">
        <v>1</v>
      </c>
      <c r="V778" s="13">
        <v>45175</v>
      </c>
      <c r="W778">
        <v>1</v>
      </c>
      <c r="X778">
        <v>1</v>
      </c>
      <c r="Y778" t="s">
        <v>3712</v>
      </c>
      <c r="AC778">
        <v>2769</v>
      </c>
      <c r="AD778" t="e" vm="770">
        <v>#VALUE!</v>
      </c>
    </row>
    <row r="779" spans="2:30" x14ac:dyDescent="0.25">
      <c r="B779">
        <v>2770</v>
      </c>
      <c r="C779" t="s">
        <v>3646</v>
      </c>
      <c r="D779" t="s">
        <v>3711</v>
      </c>
      <c r="E779" t="s">
        <v>3849</v>
      </c>
      <c r="F779" t="s">
        <v>83</v>
      </c>
      <c r="G779" t="s">
        <v>103</v>
      </c>
      <c r="H779" t="s">
        <v>3808</v>
      </c>
      <c r="I779" t="s">
        <v>3821</v>
      </c>
      <c r="J779" t="s">
        <v>3827</v>
      </c>
      <c r="K779" t="s">
        <v>1218</v>
      </c>
      <c r="L779" s="13">
        <v>44852</v>
      </c>
      <c r="M779">
        <v>1</v>
      </c>
      <c r="N779" t="s">
        <v>90</v>
      </c>
      <c r="O779" t="s">
        <v>3851</v>
      </c>
      <c r="P779" t="s">
        <v>76</v>
      </c>
      <c r="Q779" t="s">
        <v>76</v>
      </c>
      <c r="R779" t="s">
        <v>76</v>
      </c>
      <c r="S779" t="s">
        <v>76</v>
      </c>
      <c r="T779" t="s">
        <v>76</v>
      </c>
      <c r="U779">
        <v>1</v>
      </c>
      <c r="V779" s="13">
        <v>45175</v>
      </c>
      <c r="W779">
        <v>1</v>
      </c>
      <c r="X779">
        <v>1</v>
      </c>
      <c r="Y779" t="s">
        <v>3712</v>
      </c>
      <c r="AC779">
        <v>2770</v>
      </c>
      <c r="AD779" t="e" vm="771">
        <v>#VALUE!</v>
      </c>
    </row>
    <row r="780" spans="2:30" x14ac:dyDescent="0.25">
      <c r="B780">
        <v>2771</v>
      </c>
      <c r="C780" t="s">
        <v>3646</v>
      </c>
      <c r="D780" t="s">
        <v>3711</v>
      </c>
      <c r="E780" t="s">
        <v>3849</v>
      </c>
      <c r="F780" t="s">
        <v>83</v>
      </c>
      <c r="G780" t="s">
        <v>103</v>
      </c>
      <c r="H780" t="s">
        <v>3808</v>
      </c>
      <c r="I780" t="s">
        <v>3821</v>
      </c>
      <c r="J780" t="s">
        <v>3827</v>
      </c>
      <c r="K780" t="s">
        <v>1218</v>
      </c>
      <c r="L780" s="13">
        <v>44846</v>
      </c>
      <c r="M780">
        <v>1</v>
      </c>
      <c r="N780" t="s">
        <v>90</v>
      </c>
      <c r="O780" t="s">
        <v>3851</v>
      </c>
      <c r="P780" t="s">
        <v>76</v>
      </c>
      <c r="Q780" t="s">
        <v>76</v>
      </c>
      <c r="R780" t="s">
        <v>76</v>
      </c>
      <c r="S780" t="s">
        <v>76</v>
      </c>
      <c r="T780" t="s">
        <v>76</v>
      </c>
      <c r="U780">
        <v>1</v>
      </c>
      <c r="V780" s="13">
        <v>45175</v>
      </c>
      <c r="W780">
        <v>1</v>
      </c>
      <c r="X780">
        <v>1</v>
      </c>
      <c r="Y780" t="s">
        <v>3712</v>
      </c>
      <c r="AC780">
        <v>2771</v>
      </c>
      <c r="AD780" t="e" vm="772">
        <v>#VALUE!</v>
      </c>
    </row>
    <row r="781" spans="2:30" x14ac:dyDescent="0.25">
      <c r="B781">
        <v>2772</v>
      </c>
      <c r="C781" t="s">
        <v>3646</v>
      </c>
      <c r="D781" t="s">
        <v>3711</v>
      </c>
      <c r="E781" t="s">
        <v>3849</v>
      </c>
      <c r="F781" t="s">
        <v>83</v>
      </c>
      <c r="G781" t="s">
        <v>103</v>
      </c>
      <c r="H781" t="s">
        <v>3808</v>
      </c>
      <c r="I781" t="s">
        <v>3821</v>
      </c>
      <c r="J781" t="s">
        <v>3827</v>
      </c>
      <c r="K781" t="s">
        <v>1218</v>
      </c>
      <c r="L781" s="13">
        <v>44846</v>
      </c>
      <c r="M781">
        <v>1</v>
      </c>
      <c r="N781" t="s">
        <v>90</v>
      </c>
      <c r="O781" t="s">
        <v>3851</v>
      </c>
      <c r="P781" t="s">
        <v>76</v>
      </c>
      <c r="Q781" t="s">
        <v>76</v>
      </c>
      <c r="R781" t="s">
        <v>76</v>
      </c>
      <c r="S781" t="s">
        <v>76</v>
      </c>
      <c r="T781" t="s">
        <v>76</v>
      </c>
      <c r="U781">
        <v>1</v>
      </c>
      <c r="V781" s="13">
        <v>45175</v>
      </c>
      <c r="W781">
        <v>1</v>
      </c>
      <c r="X781">
        <v>1</v>
      </c>
      <c r="Y781" t="s">
        <v>3712</v>
      </c>
      <c r="AC781">
        <v>2772</v>
      </c>
      <c r="AD781" t="e" vm="773">
        <v>#VALUE!</v>
      </c>
    </row>
    <row r="782" spans="2:30" x14ac:dyDescent="0.25">
      <c r="B782">
        <v>2773</v>
      </c>
      <c r="C782" t="s">
        <v>3646</v>
      </c>
      <c r="D782" t="s">
        <v>3711</v>
      </c>
      <c r="E782" t="s">
        <v>3849</v>
      </c>
      <c r="F782" t="s">
        <v>83</v>
      </c>
      <c r="G782" t="s">
        <v>103</v>
      </c>
      <c r="H782" t="s">
        <v>3808</v>
      </c>
      <c r="I782" t="s">
        <v>3821</v>
      </c>
      <c r="J782" t="s">
        <v>3827</v>
      </c>
      <c r="K782" t="s">
        <v>1218</v>
      </c>
      <c r="L782" s="13">
        <v>44850</v>
      </c>
      <c r="M782">
        <v>1</v>
      </c>
      <c r="N782" t="s">
        <v>90</v>
      </c>
      <c r="O782" t="s">
        <v>3851</v>
      </c>
      <c r="P782" t="s">
        <v>76</v>
      </c>
      <c r="Q782" t="s">
        <v>76</v>
      </c>
      <c r="R782" t="s">
        <v>76</v>
      </c>
      <c r="S782" t="s">
        <v>76</v>
      </c>
      <c r="T782" t="s">
        <v>76</v>
      </c>
      <c r="U782">
        <v>1</v>
      </c>
      <c r="V782" s="13">
        <v>45175</v>
      </c>
      <c r="W782">
        <v>1</v>
      </c>
      <c r="X782">
        <v>1</v>
      </c>
      <c r="Y782" t="s">
        <v>3712</v>
      </c>
      <c r="AC782">
        <v>2773</v>
      </c>
      <c r="AD782" t="e" vm="774">
        <v>#VALUE!</v>
      </c>
    </row>
    <row r="783" spans="2:30" x14ac:dyDescent="0.25">
      <c r="B783">
        <v>2774</v>
      </c>
      <c r="C783" t="s">
        <v>3646</v>
      </c>
      <c r="D783" t="s">
        <v>3711</v>
      </c>
      <c r="E783" t="s">
        <v>3849</v>
      </c>
      <c r="F783" t="s">
        <v>83</v>
      </c>
      <c r="G783" t="s">
        <v>103</v>
      </c>
      <c r="H783" t="s">
        <v>3808</v>
      </c>
      <c r="I783" t="s">
        <v>3821</v>
      </c>
      <c r="J783" t="s">
        <v>3827</v>
      </c>
      <c r="K783" t="s">
        <v>1218</v>
      </c>
      <c r="L783" s="13">
        <v>44846</v>
      </c>
      <c r="M783">
        <v>1</v>
      </c>
      <c r="N783" t="s">
        <v>90</v>
      </c>
      <c r="O783" t="s">
        <v>3851</v>
      </c>
      <c r="P783" t="s">
        <v>76</v>
      </c>
      <c r="Q783" t="s">
        <v>76</v>
      </c>
      <c r="R783" t="s">
        <v>76</v>
      </c>
      <c r="S783" t="s">
        <v>76</v>
      </c>
      <c r="T783" t="s">
        <v>76</v>
      </c>
      <c r="U783">
        <v>1</v>
      </c>
      <c r="V783" s="13">
        <v>45175</v>
      </c>
      <c r="W783">
        <v>1</v>
      </c>
      <c r="X783">
        <v>1</v>
      </c>
      <c r="Y783" t="s">
        <v>3712</v>
      </c>
      <c r="AC783">
        <v>2774</v>
      </c>
      <c r="AD783" t="e" vm="775">
        <v>#VALUE!</v>
      </c>
    </row>
    <row r="784" spans="2:30" x14ac:dyDescent="0.25">
      <c r="B784">
        <v>2775</v>
      </c>
      <c r="C784" t="s">
        <v>3646</v>
      </c>
      <c r="D784" t="s">
        <v>3711</v>
      </c>
      <c r="E784" t="s">
        <v>3849</v>
      </c>
      <c r="F784" t="s">
        <v>83</v>
      </c>
      <c r="G784" t="s">
        <v>103</v>
      </c>
      <c r="H784" t="s">
        <v>3808</v>
      </c>
      <c r="I784" t="s">
        <v>3821</v>
      </c>
      <c r="J784" t="s">
        <v>3827</v>
      </c>
      <c r="K784" t="s">
        <v>1218</v>
      </c>
      <c r="L784" s="13">
        <v>44867</v>
      </c>
      <c r="M784">
        <v>1</v>
      </c>
      <c r="N784" t="s">
        <v>90</v>
      </c>
      <c r="O784" t="s">
        <v>3851</v>
      </c>
      <c r="P784" t="s">
        <v>76</v>
      </c>
      <c r="Q784" t="s">
        <v>76</v>
      </c>
      <c r="R784" t="s">
        <v>76</v>
      </c>
      <c r="S784" t="s">
        <v>76</v>
      </c>
      <c r="T784" t="s">
        <v>76</v>
      </c>
      <c r="U784">
        <v>1</v>
      </c>
      <c r="V784" s="13">
        <v>45175</v>
      </c>
      <c r="W784">
        <v>1</v>
      </c>
      <c r="X784">
        <v>1</v>
      </c>
      <c r="Y784" t="s">
        <v>3712</v>
      </c>
      <c r="AC784">
        <v>2775</v>
      </c>
      <c r="AD784" t="e" vm="776">
        <v>#VALUE!</v>
      </c>
    </row>
    <row r="785" spans="2:30" x14ac:dyDescent="0.25">
      <c r="B785">
        <v>2776</v>
      </c>
      <c r="C785" t="s">
        <v>3646</v>
      </c>
      <c r="D785" t="s">
        <v>3711</v>
      </c>
      <c r="E785" t="s">
        <v>3849</v>
      </c>
      <c r="F785" t="s">
        <v>83</v>
      </c>
      <c r="G785" t="s">
        <v>103</v>
      </c>
      <c r="H785" t="s">
        <v>3808</v>
      </c>
      <c r="I785" t="s">
        <v>3821</v>
      </c>
      <c r="J785" t="s">
        <v>3827</v>
      </c>
      <c r="K785" t="s">
        <v>1218</v>
      </c>
      <c r="L785" s="13">
        <v>44846</v>
      </c>
      <c r="M785">
        <v>1</v>
      </c>
      <c r="N785" t="s">
        <v>90</v>
      </c>
      <c r="O785" t="s">
        <v>3851</v>
      </c>
      <c r="P785" t="s">
        <v>76</v>
      </c>
      <c r="Q785" t="s">
        <v>76</v>
      </c>
      <c r="R785" t="s">
        <v>76</v>
      </c>
      <c r="S785" t="s">
        <v>76</v>
      </c>
      <c r="T785" t="s">
        <v>76</v>
      </c>
      <c r="U785">
        <v>1</v>
      </c>
      <c r="V785" s="13">
        <v>45175</v>
      </c>
      <c r="W785">
        <v>1</v>
      </c>
      <c r="X785">
        <v>1</v>
      </c>
      <c r="Y785" t="s">
        <v>3712</v>
      </c>
      <c r="AC785">
        <v>2776</v>
      </c>
      <c r="AD785" t="e" vm="777">
        <v>#VALUE!</v>
      </c>
    </row>
    <row r="786" spans="2:30" x14ac:dyDescent="0.25">
      <c r="B786">
        <v>2777</v>
      </c>
      <c r="C786" t="s">
        <v>3646</v>
      </c>
      <c r="D786" t="s">
        <v>3711</v>
      </c>
      <c r="E786" t="s">
        <v>3849</v>
      </c>
      <c r="F786" t="s">
        <v>83</v>
      </c>
      <c r="G786" t="s">
        <v>103</v>
      </c>
      <c r="H786" t="s">
        <v>3808</v>
      </c>
      <c r="I786" t="s">
        <v>3821</v>
      </c>
      <c r="J786" t="s">
        <v>3827</v>
      </c>
      <c r="K786" t="s">
        <v>1218</v>
      </c>
      <c r="L786" s="13">
        <v>44846</v>
      </c>
      <c r="M786">
        <v>1</v>
      </c>
      <c r="N786" t="s">
        <v>90</v>
      </c>
      <c r="O786" t="s">
        <v>3851</v>
      </c>
      <c r="P786" t="s">
        <v>76</v>
      </c>
      <c r="Q786" t="s">
        <v>76</v>
      </c>
      <c r="R786" t="s">
        <v>76</v>
      </c>
      <c r="S786" t="s">
        <v>76</v>
      </c>
      <c r="T786" t="s">
        <v>76</v>
      </c>
      <c r="U786">
        <v>1</v>
      </c>
      <c r="V786" s="13">
        <v>45175</v>
      </c>
      <c r="W786">
        <v>1</v>
      </c>
      <c r="X786">
        <v>1</v>
      </c>
      <c r="Y786" t="s">
        <v>3712</v>
      </c>
      <c r="AC786">
        <v>2777</v>
      </c>
      <c r="AD786" t="e" vm="778">
        <v>#VALUE!</v>
      </c>
    </row>
    <row r="787" spans="2:30" x14ac:dyDescent="0.25">
      <c r="B787">
        <v>2778</v>
      </c>
      <c r="C787" t="s">
        <v>3646</v>
      </c>
      <c r="D787" t="s">
        <v>3711</v>
      </c>
      <c r="E787" t="s">
        <v>3849</v>
      </c>
      <c r="F787" t="s">
        <v>83</v>
      </c>
      <c r="G787" t="s">
        <v>103</v>
      </c>
      <c r="H787" t="s">
        <v>3808</v>
      </c>
      <c r="I787" t="s">
        <v>3821</v>
      </c>
      <c r="J787" t="s">
        <v>3827</v>
      </c>
      <c r="K787" t="s">
        <v>1218</v>
      </c>
      <c r="L787" s="13">
        <v>44852</v>
      </c>
      <c r="M787">
        <v>1</v>
      </c>
      <c r="N787" t="s">
        <v>90</v>
      </c>
      <c r="O787" t="s">
        <v>3851</v>
      </c>
      <c r="P787" t="s">
        <v>76</v>
      </c>
      <c r="Q787" t="s">
        <v>76</v>
      </c>
      <c r="R787" t="s">
        <v>76</v>
      </c>
      <c r="S787" t="s">
        <v>76</v>
      </c>
      <c r="T787" t="s">
        <v>76</v>
      </c>
      <c r="U787">
        <v>1</v>
      </c>
      <c r="V787" s="13">
        <v>45175</v>
      </c>
      <c r="W787">
        <v>1</v>
      </c>
      <c r="X787">
        <v>1</v>
      </c>
      <c r="Y787" t="s">
        <v>3712</v>
      </c>
      <c r="AC787">
        <v>2778</v>
      </c>
      <c r="AD787" t="e" vm="779">
        <v>#VALUE!</v>
      </c>
    </row>
    <row r="788" spans="2:30" x14ac:dyDescent="0.25">
      <c r="B788">
        <v>2779</v>
      </c>
      <c r="C788" t="s">
        <v>3646</v>
      </c>
      <c r="D788" t="s">
        <v>3711</v>
      </c>
      <c r="E788" t="s">
        <v>3849</v>
      </c>
      <c r="F788" t="s">
        <v>83</v>
      </c>
      <c r="G788" t="s">
        <v>103</v>
      </c>
      <c r="H788" t="s">
        <v>3808</v>
      </c>
      <c r="I788" t="s">
        <v>3821</v>
      </c>
      <c r="J788" t="s">
        <v>3827</v>
      </c>
      <c r="K788" t="s">
        <v>1218</v>
      </c>
      <c r="L788" s="13">
        <v>44867</v>
      </c>
      <c r="M788">
        <v>1</v>
      </c>
      <c r="N788" t="s">
        <v>90</v>
      </c>
      <c r="O788" t="s">
        <v>3851</v>
      </c>
      <c r="P788" t="s">
        <v>76</v>
      </c>
      <c r="Q788" t="s">
        <v>76</v>
      </c>
      <c r="R788" t="s">
        <v>76</v>
      </c>
      <c r="S788" t="s">
        <v>76</v>
      </c>
      <c r="T788" t="s">
        <v>76</v>
      </c>
      <c r="U788">
        <v>1</v>
      </c>
      <c r="V788" s="13">
        <v>45175</v>
      </c>
      <c r="W788">
        <v>1</v>
      </c>
      <c r="X788">
        <v>1</v>
      </c>
      <c r="Y788" t="s">
        <v>3712</v>
      </c>
      <c r="AC788">
        <v>2779</v>
      </c>
      <c r="AD788" t="e" vm="780">
        <v>#VALUE!</v>
      </c>
    </row>
    <row r="789" spans="2:30" x14ac:dyDescent="0.25">
      <c r="B789">
        <v>2780</v>
      </c>
      <c r="C789" t="s">
        <v>3646</v>
      </c>
      <c r="D789" t="s">
        <v>3711</v>
      </c>
      <c r="E789" t="s">
        <v>3849</v>
      </c>
      <c r="F789" t="s">
        <v>83</v>
      </c>
      <c r="G789" t="s">
        <v>103</v>
      </c>
      <c r="H789" t="s">
        <v>3808</v>
      </c>
      <c r="I789" t="s">
        <v>3821</v>
      </c>
      <c r="J789" t="s">
        <v>3827</v>
      </c>
      <c r="K789" t="s">
        <v>1218</v>
      </c>
      <c r="L789" s="13">
        <v>44909</v>
      </c>
      <c r="M789">
        <v>1</v>
      </c>
      <c r="N789" t="s">
        <v>90</v>
      </c>
      <c r="O789" t="s">
        <v>3851</v>
      </c>
      <c r="P789" t="s">
        <v>76</v>
      </c>
      <c r="Q789" t="s">
        <v>76</v>
      </c>
      <c r="R789" t="s">
        <v>76</v>
      </c>
      <c r="S789" t="s">
        <v>76</v>
      </c>
      <c r="T789" t="s">
        <v>76</v>
      </c>
      <c r="U789">
        <v>1</v>
      </c>
      <c r="V789" s="13">
        <v>45175</v>
      </c>
      <c r="W789">
        <v>1</v>
      </c>
      <c r="X789">
        <v>1</v>
      </c>
      <c r="Y789" t="s">
        <v>3712</v>
      </c>
      <c r="AC789">
        <v>2780</v>
      </c>
      <c r="AD789" t="e" vm="781">
        <v>#VALUE!</v>
      </c>
    </row>
    <row r="790" spans="2:30" x14ac:dyDescent="0.25">
      <c r="B790">
        <v>2781</v>
      </c>
      <c r="C790" t="s">
        <v>3684</v>
      </c>
      <c r="D790" t="s">
        <v>3695</v>
      </c>
      <c r="E790" t="s">
        <v>3838</v>
      </c>
      <c r="F790" t="s">
        <v>97</v>
      </c>
      <c r="G790" t="s">
        <v>102</v>
      </c>
      <c r="H790" t="s">
        <v>3808</v>
      </c>
      <c r="I790" t="s">
        <v>3821</v>
      </c>
      <c r="J790" t="s">
        <v>3827</v>
      </c>
      <c r="K790" t="s">
        <v>1218</v>
      </c>
      <c r="L790" s="13">
        <v>44979</v>
      </c>
      <c r="M790">
        <v>1</v>
      </c>
      <c r="N790" t="s">
        <v>101</v>
      </c>
      <c r="O790" t="s">
        <v>3852</v>
      </c>
      <c r="P790" t="s">
        <v>76</v>
      </c>
      <c r="Q790" t="s">
        <v>76</v>
      </c>
      <c r="R790" t="s">
        <v>76</v>
      </c>
      <c r="S790" t="s">
        <v>76</v>
      </c>
      <c r="T790" t="s">
        <v>76</v>
      </c>
      <c r="U790">
        <v>1</v>
      </c>
      <c r="V790" s="13">
        <v>45175</v>
      </c>
      <c r="W790">
        <v>1</v>
      </c>
      <c r="X790">
        <v>1</v>
      </c>
      <c r="Y790" t="s">
        <v>3696</v>
      </c>
      <c r="AC790">
        <v>2781</v>
      </c>
      <c r="AD790" t="e" vm="782">
        <v>#VALUE!</v>
      </c>
    </row>
    <row r="791" spans="2:30" x14ac:dyDescent="0.25">
      <c r="B791">
        <v>2782</v>
      </c>
      <c r="C791" t="s">
        <v>3684</v>
      </c>
      <c r="D791" t="s">
        <v>3695</v>
      </c>
      <c r="E791" t="s">
        <v>3838</v>
      </c>
      <c r="F791" t="s">
        <v>97</v>
      </c>
      <c r="G791" t="s">
        <v>102</v>
      </c>
      <c r="H791" t="s">
        <v>3808</v>
      </c>
      <c r="I791" t="s">
        <v>3821</v>
      </c>
      <c r="J791" t="s">
        <v>3827</v>
      </c>
      <c r="K791" t="s">
        <v>1218</v>
      </c>
      <c r="L791" s="13">
        <v>44930</v>
      </c>
      <c r="M791">
        <v>1</v>
      </c>
      <c r="N791" t="s">
        <v>101</v>
      </c>
      <c r="O791" t="s">
        <v>3852</v>
      </c>
      <c r="P791" t="s">
        <v>76</v>
      </c>
      <c r="Q791" t="s">
        <v>76</v>
      </c>
      <c r="R791" t="s">
        <v>76</v>
      </c>
      <c r="S791" t="s">
        <v>76</v>
      </c>
      <c r="T791" t="s">
        <v>76</v>
      </c>
      <c r="U791">
        <v>1</v>
      </c>
      <c r="V791" s="13">
        <v>45175</v>
      </c>
      <c r="W791">
        <v>1</v>
      </c>
      <c r="X791">
        <v>1</v>
      </c>
      <c r="Y791" t="s">
        <v>3696</v>
      </c>
      <c r="AC791">
        <v>2782</v>
      </c>
      <c r="AD791" t="e" vm="783">
        <v>#VALUE!</v>
      </c>
    </row>
    <row r="792" spans="2:30" x14ac:dyDescent="0.25">
      <c r="B792">
        <v>2783</v>
      </c>
      <c r="C792" t="s">
        <v>3684</v>
      </c>
      <c r="D792" t="s">
        <v>3695</v>
      </c>
      <c r="E792" t="s">
        <v>3838</v>
      </c>
      <c r="F792" t="s">
        <v>97</v>
      </c>
      <c r="G792" t="s">
        <v>102</v>
      </c>
      <c r="H792" t="s">
        <v>3808</v>
      </c>
      <c r="I792" t="s">
        <v>3821</v>
      </c>
      <c r="J792" t="s">
        <v>3827</v>
      </c>
      <c r="K792" t="s">
        <v>1218</v>
      </c>
      <c r="L792" s="13">
        <v>44862</v>
      </c>
      <c r="M792">
        <v>1</v>
      </c>
      <c r="N792" t="s">
        <v>101</v>
      </c>
      <c r="O792" t="s">
        <v>3852</v>
      </c>
      <c r="P792" t="s">
        <v>76</v>
      </c>
      <c r="Q792" t="s">
        <v>76</v>
      </c>
      <c r="R792" t="s">
        <v>76</v>
      </c>
      <c r="S792" t="s">
        <v>76</v>
      </c>
      <c r="T792" t="s">
        <v>76</v>
      </c>
      <c r="U792">
        <v>1</v>
      </c>
      <c r="V792" s="13">
        <v>45175</v>
      </c>
      <c r="W792">
        <v>1</v>
      </c>
      <c r="X792">
        <v>1</v>
      </c>
      <c r="Y792" t="s">
        <v>3696</v>
      </c>
      <c r="AC792">
        <v>2783</v>
      </c>
      <c r="AD792" t="e" vm="784">
        <v>#VALUE!</v>
      </c>
    </row>
    <row r="793" spans="2:30" x14ac:dyDescent="0.25">
      <c r="B793">
        <v>2784</v>
      </c>
      <c r="C793" t="s">
        <v>3684</v>
      </c>
      <c r="D793" t="s">
        <v>3695</v>
      </c>
      <c r="E793" t="s">
        <v>3838</v>
      </c>
      <c r="F793" t="s">
        <v>97</v>
      </c>
      <c r="G793" t="s">
        <v>102</v>
      </c>
      <c r="H793" t="s">
        <v>3808</v>
      </c>
      <c r="I793" t="s">
        <v>3821</v>
      </c>
      <c r="J793" t="s">
        <v>3827</v>
      </c>
      <c r="K793" t="s">
        <v>1218</v>
      </c>
      <c r="L793" s="13">
        <v>44999</v>
      </c>
      <c r="M793">
        <v>1</v>
      </c>
      <c r="N793" t="s">
        <v>101</v>
      </c>
      <c r="O793" t="s">
        <v>3852</v>
      </c>
      <c r="P793" t="s">
        <v>76</v>
      </c>
      <c r="Q793" t="s">
        <v>76</v>
      </c>
      <c r="R793" t="s">
        <v>76</v>
      </c>
      <c r="S793" t="s">
        <v>76</v>
      </c>
      <c r="T793" t="s">
        <v>76</v>
      </c>
      <c r="U793">
        <v>1</v>
      </c>
      <c r="V793" s="13">
        <v>45175</v>
      </c>
      <c r="W793">
        <v>1</v>
      </c>
      <c r="X793">
        <v>1</v>
      </c>
      <c r="Y793" t="s">
        <v>3696</v>
      </c>
      <c r="AC793">
        <v>2784</v>
      </c>
      <c r="AD793" t="e" vm="785">
        <v>#VALUE!</v>
      </c>
    </row>
    <row r="794" spans="2:30" x14ac:dyDescent="0.25">
      <c r="B794">
        <v>2785</v>
      </c>
      <c r="C794" t="s">
        <v>3684</v>
      </c>
      <c r="D794" t="s">
        <v>3695</v>
      </c>
      <c r="E794" t="s">
        <v>3838</v>
      </c>
      <c r="F794" t="s">
        <v>97</v>
      </c>
      <c r="G794" t="s">
        <v>102</v>
      </c>
      <c r="H794" t="s">
        <v>3808</v>
      </c>
      <c r="I794" t="s">
        <v>3821</v>
      </c>
      <c r="J794" t="s">
        <v>3827</v>
      </c>
      <c r="K794" t="s">
        <v>1218</v>
      </c>
      <c r="L794" s="13">
        <v>45006</v>
      </c>
      <c r="M794">
        <v>0</v>
      </c>
      <c r="N794" t="s">
        <v>101</v>
      </c>
      <c r="O794" t="s">
        <v>3852</v>
      </c>
      <c r="P794" t="s">
        <v>76</v>
      </c>
      <c r="Q794" t="s">
        <v>76</v>
      </c>
      <c r="R794" t="s">
        <v>76</v>
      </c>
      <c r="S794" t="s">
        <v>76</v>
      </c>
      <c r="T794" t="s">
        <v>76</v>
      </c>
      <c r="U794">
        <v>1</v>
      </c>
      <c r="V794" s="13">
        <v>45175</v>
      </c>
      <c r="W794">
        <v>1</v>
      </c>
      <c r="X794">
        <v>1</v>
      </c>
      <c r="Y794" t="s">
        <v>3696</v>
      </c>
      <c r="AC794">
        <v>2785</v>
      </c>
      <c r="AD794" t="e" vm="786">
        <v>#VALUE!</v>
      </c>
    </row>
    <row r="795" spans="2:30" x14ac:dyDescent="0.25">
      <c r="B795">
        <v>2786</v>
      </c>
      <c r="C795" t="s">
        <v>3684</v>
      </c>
      <c r="D795" t="s">
        <v>3695</v>
      </c>
      <c r="E795" t="s">
        <v>3838</v>
      </c>
      <c r="F795" t="s">
        <v>97</v>
      </c>
      <c r="G795" t="s">
        <v>102</v>
      </c>
      <c r="H795" t="s">
        <v>3808</v>
      </c>
      <c r="I795" t="s">
        <v>3821</v>
      </c>
      <c r="J795" t="s">
        <v>3827</v>
      </c>
      <c r="K795" t="s">
        <v>1218</v>
      </c>
      <c r="L795" s="13">
        <v>45023</v>
      </c>
      <c r="M795">
        <v>0</v>
      </c>
      <c r="N795" t="s">
        <v>101</v>
      </c>
      <c r="O795" t="s">
        <v>3852</v>
      </c>
      <c r="P795" t="s">
        <v>76</v>
      </c>
      <c r="Q795" t="s">
        <v>76</v>
      </c>
      <c r="R795" t="s">
        <v>76</v>
      </c>
      <c r="S795" t="s">
        <v>76</v>
      </c>
      <c r="T795" t="s">
        <v>76</v>
      </c>
      <c r="U795">
        <v>1</v>
      </c>
      <c r="V795" s="13">
        <v>45175</v>
      </c>
      <c r="W795">
        <v>1</v>
      </c>
      <c r="X795">
        <v>1</v>
      </c>
      <c r="Y795" t="s">
        <v>3696</v>
      </c>
      <c r="AC795">
        <v>2786</v>
      </c>
      <c r="AD795" t="e" vm="787">
        <v>#VALUE!</v>
      </c>
    </row>
    <row r="796" spans="2:30" x14ac:dyDescent="0.25">
      <c r="B796">
        <v>2787</v>
      </c>
      <c r="C796" t="s">
        <v>3684</v>
      </c>
      <c r="D796" t="s">
        <v>3695</v>
      </c>
      <c r="E796" t="s">
        <v>3838</v>
      </c>
      <c r="F796" t="s">
        <v>97</v>
      </c>
      <c r="G796" t="s">
        <v>102</v>
      </c>
      <c r="H796" t="s">
        <v>3808</v>
      </c>
      <c r="I796" t="s">
        <v>3821</v>
      </c>
      <c r="J796" t="s">
        <v>3827</v>
      </c>
      <c r="K796" t="s">
        <v>1218</v>
      </c>
      <c r="L796" s="13">
        <v>45016</v>
      </c>
      <c r="M796">
        <v>0</v>
      </c>
      <c r="N796" t="s">
        <v>101</v>
      </c>
      <c r="O796" t="s">
        <v>3852</v>
      </c>
      <c r="P796" t="s">
        <v>76</v>
      </c>
      <c r="Q796" t="s">
        <v>76</v>
      </c>
      <c r="R796" t="s">
        <v>76</v>
      </c>
      <c r="S796" t="s">
        <v>76</v>
      </c>
      <c r="T796" t="s">
        <v>76</v>
      </c>
      <c r="U796">
        <v>1</v>
      </c>
      <c r="V796" s="13">
        <v>45175</v>
      </c>
      <c r="W796">
        <v>1</v>
      </c>
      <c r="X796">
        <v>1</v>
      </c>
      <c r="Y796" t="s">
        <v>3696</v>
      </c>
      <c r="AC796">
        <v>2787</v>
      </c>
      <c r="AD796" t="e" vm="788">
        <v>#VALUE!</v>
      </c>
    </row>
    <row r="797" spans="2:30" x14ac:dyDescent="0.25">
      <c r="B797">
        <v>2788</v>
      </c>
      <c r="C797" t="s">
        <v>3684</v>
      </c>
      <c r="D797" t="s">
        <v>3695</v>
      </c>
      <c r="E797" t="s">
        <v>3838</v>
      </c>
      <c r="F797" t="s">
        <v>97</v>
      </c>
      <c r="G797" t="s">
        <v>102</v>
      </c>
      <c r="H797" t="s">
        <v>3808</v>
      </c>
      <c r="I797" t="s">
        <v>3821</v>
      </c>
      <c r="J797" t="s">
        <v>3827</v>
      </c>
      <c r="K797" t="s">
        <v>1218</v>
      </c>
      <c r="L797" s="13">
        <v>44977</v>
      </c>
      <c r="M797">
        <v>1</v>
      </c>
      <c r="N797" t="s">
        <v>101</v>
      </c>
      <c r="O797" t="s">
        <v>3852</v>
      </c>
      <c r="P797" t="s">
        <v>76</v>
      </c>
      <c r="Q797" t="s">
        <v>76</v>
      </c>
      <c r="R797" t="s">
        <v>76</v>
      </c>
      <c r="S797" t="s">
        <v>76</v>
      </c>
      <c r="T797" t="s">
        <v>76</v>
      </c>
      <c r="U797">
        <v>1</v>
      </c>
      <c r="V797" s="13">
        <v>45175</v>
      </c>
      <c r="W797">
        <v>1</v>
      </c>
      <c r="X797">
        <v>1</v>
      </c>
      <c r="Y797" t="s">
        <v>3696</v>
      </c>
      <c r="AC797">
        <v>2788</v>
      </c>
      <c r="AD797" t="e" vm="789">
        <v>#VALUE!</v>
      </c>
    </row>
    <row r="798" spans="2:30" x14ac:dyDescent="0.25">
      <c r="B798">
        <v>2789</v>
      </c>
      <c r="C798" t="s">
        <v>3684</v>
      </c>
      <c r="D798" t="s">
        <v>3695</v>
      </c>
      <c r="E798" t="s">
        <v>3838</v>
      </c>
      <c r="F798" t="s">
        <v>97</v>
      </c>
      <c r="G798" t="s">
        <v>102</v>
      </c>
      <c r="H798" t="s">
        <v>3808</v>
      </c>
      <c r="I798" t="s">
        <v>3821</v>
      </c>
      <c r="J798" t="s">
        <v>3827</v>
      </c>
      <c r="K798" t="s">
        <v>1218</v>
      </c>
      <c r="L798" s="13">
        <v>44909</v>
      </c>
      <c r="M798">
        <v>1</v>
      </c>
      <c r="N798" t="s">
        <v>101</v>
      </c>
      <c r="O798" t="s">
        <v>3852</v>
      </c>
      <c r="P798" t="s">
        <v>76</v>
      </c>
      <c r="Q798" t="s">
        <v>76</v>
      </c>
      <c r="R798" t="s">
        <v>76</v>
      </c>
      <c r="S798" t="s">
        <v>76</v>
      </c>
      <c r="T798" t="s">
        <v>76</v>
      </c>
      <c r="U798">
        <v>1</v>
      </c>
      <c r="V798" s="13">
        <v>45175</v>
      </c>
      <c r="W798">
        <v>1</v>
      </c>
      <c r="X798">
        <v>1</v>
      </c>
      <c r="Y798" t="s">
        <v>3696</v>
      </c>
      <c r="AC798">
        <v>2789</v>
      </c>
      <c r="AD798" t="e" vm="790">
        <v>#VALUE!</v>
      </c>
    </row>
    <row r="799" spans="2:30" x14ac:dyDescent="0.25">
      <c r="B799">
        <v>2790</v>
      </c>
      <c r="C799" t="s">
        <v>3684</v>
      </c>
      <c r="D799" t="s">
        <v>3695</v>
      </c>
      <c r="E799" t="s">
        <v>3838</v>
      </c>
      <c r="F799" t="s">
        <v>97</v>
      </c>
      <c r="G799" t="s">
        <v>102</v>
      </c>
      <c r="H799" t="s">
        <v>3808</v>
      </c>
      <c r="I799" t="s">
        <v>3821</v>
      </c>
      <c r="J799" t="s">
        <v>3827</v>
      </c>
      <c r="K799" t="s">
        <v>1218</v>
      </c>
      <c r="L799" s="13">
        <v>44930</v>
      </c>
      <c r="M799">
        <v>1</v>
      </c>
      <c r="N799" t="s">
        <v>101</v>
      </c>
      <c r="O799" t="s">
        <v>3852</v>
      </c>
      <c r="P799" t="s">
        <v>76</v>
      </c>
      <c r="Q799" t="s">
        <v>76</v>
      </c>
      <c r="R799" t="s">
        <v>76</v>
      </c>
      <c r="S799" t="s">
        <v>76</v>
      </c>
      <c r="T799" t="s">
        <v>76</v>
      </c>
      <c r="U799">
        <v>1</v>
      </c>
      <c r="V799" s="13">
        <v>45175</v>
      </c>
      <c r="W799">
        <v>1</v>
      </c>
      <c r="X799">
        <v>1</v>
      </c>
      <c r="Y799" t="s">
        <v>3696</v>
      </c>
      <c r="AC799">
        <v>2790</v>
      </c>
      <c r="AD799" t="e" vm="791">
        <v>#VALUE!</v>
      </c>
    </row>
    <row r="800" spans="2:30" x14ac:dyDescent="0.25">
      <c r="B800">
        <v>2791</v>
      </c>
      <c r="C800" t="s">
        <v>3684</v>
      </c>
      <c r="D800" t="s">
        <v>3695</v>
      </c>
      <c r="E800" t="s">
        <v>3838</v>
      </c>
      <c r="F800" t="s">
        <v>97</v>
      </c>
      <c r="G800" t="s">
        <v>102</v>
      </c>
      <c r="H800" t="s">
        <v>3808</v>
      </c>
      <c r="I800" t="s">
        <v>3821</v>
      </c>
      <c r="J800" t="s">
        <v>3827</v>
      </c>
      <c r="K800" t="s">
        <v>1218</v>
      </c>
      <c r="L800" s="13">
        <v>44911</v>
      </c>
      <c r="M800">
        <v>1</v>
      </c>
      <c r="N800" t="s">
        <v>101</v>
      </c>
      <c r="O800" t="s">
        <v>3852</v>
      </c>
      <c r="P800" t="s">
        <v>76</v>
      </c>
      <c r="Q800" t="s">
        <v>76</v>
      </c>
      <c r="R800" t="s">
        <v>76</v>
      </c>
      <c r="S800" t="s">
        <v>76</v>
      </c>
      <c r="T800" t="s">
        <v>76</v>
      </c>
      <c r="U800">
        <v>1</v>
      </c>
      <c r="V800" s="13">
        <v>45175</v>
      </c>
      <c r="W800">
        <v>1</v>
      </c>
      <c r="X800">
        <v>1</v>
      </c>
      <c r="Y800" t="s">
        <v>3696</v>
      </c>
      <c r="AC800">
        <v>2791</v>
      </c>
      <c r="AD800" t="e" vm="792">
        <v>#VALUE!</v>
      </c>
    </row>
    <row r="801" spans="2:30" x14ac:dyDescent="0.25">
      <c r="B801">
        <v>2792</v>
      </c>
      <c r="C801" t="s">
        <v>3684</v>
      </c>
      <c r="D801" t="s">
        <v>3695</v>
      </c>
      <c r="E801" t="s">
        <v>3838</v>
      </c>
      <c r="F801" t="s">
        <v>97</v>
      </c>
      <c r="G801" t="s">
        <v>102</v>
      </c>
      <c r="H801" t="s">
        <v>3808</v>
      </c>
      <c r="I801" t="s">
        <v>3821</v>
      </c>
      <c r="J801" t="s">
        <v>3827</v>
      </c>
      <c r="K801" t="s">
        <v>1218</v>
      </c>
      <c r="L801" s="13">
        <v>44930</v>
      </c>
      <c r="M801">
        <v>1</v>
      </c>
      <c r="N801" t="s">
        <v>101</v>
      </c>
      <c r="O801" t="s">
        <v>3852</v>
      </c>
      <c r="P801" t="s">
        <v>76</v>
      </c>
      <c r="Q801" t="s">
        <v>76</v>
      </c>
      <c r="R801" t="s">
        <v>76</v>
      </c>
      <c r="S801" t="s">
        <v>76</v>
      </c>
      <c r="T801" t="s">
        <v>76</v>
      </c>
      <c r="U801">
        <v>1</v>
      </c>
      <c r="V801" s="13">
        <v>45175</v>
      </c>
      <c r="W801">
        <v>1</v>
      </c>
      <c r="X801">
        <v>1</v>
      </c>
      <c r="Y801" t="s">
        <v>3696</v>
      </c>
      <c r="AC801">
        <v>2792</v>
      </c>
      <c r="AD801" t="e" vm="793">
        <v>#VALUE!</v>
      </c>
    </row>
    <row r="802" spans="2:30" x14ac:dyDescent="0.25">
      <c r="B802">
        <v>2793</v>
      </c>
      <c r="C802" t="s">
        <v>3684</v>
      </c>
      <c r="D802" t="s">
        <v>3695</v>
      </c>
      <c r="E802" t="s">
        <v>3838</v>
      </c>
      <c r="F802" t="s">
        <v>97</v>
      </c>
      <c r="G802" t="s">
        <v>102</v>
      </c>
      <c r="H802" t="s">
        <v>3808</v>
      </c>
      <c r="I802" t="s">
        <v>3821</v>
      </c>
      <c r="J802" t="s">
        <v>3827</v>
      </c>
      <c r="K802" t="s">
        <v>1218</v>
      </c>
      <c r="L802" s="13">
        <v>44967</v>
      </c>
      <c r="M802">
        <v>1</v>
      </c>
      <c r="N802" t="s">
        <v>101</v>
      </c>
      <c r="O802" t="s">
        <v>3852</v>
      </c>
      <c r="P802" t="s">
        <v>76</v>
      </c>
      <c r="Q802" t="s">
        <v>76</v>
      </c>
      <c r="R802" t="s">
        <v>76</v>
      </c>
      <c r="S802" t="s">
        <v>76</v>
      </c>
      <c r="T802" t="s">
        <v>76</v>
      </c>
      <c r="U802">
        <v>1</v>
      </c>
      <c r="V802" s="13">
        <v>45175</v>
      </c>
      <c r="W802">
        <v>1</v>
      </c>
      <c r="X802">
        <v>1</v>
      </c>
      <c r="Y802" t="s">
        <v>3696</v>
      </c>
      <c r="AC802">
        <v>2793</v>
      </c>
      <c r="AD802" t="e" vm="794">
        <v>#VALUE!</v>
      </c>
    </row>
    <row r="803" spans="2:30" x14ac:dyDescent="0.25">
      <c r="B803">
        <v>2794</v>
      </c>
      <c r="C803" t="s">
        <v>3684</v>
      </c>
      <c r="D803" t="s">
        <v>3695</v>
      </c>
      <c r="E803" t="s">
        <v>3838</v>
      </c>
      <c r="F803" t="s">
        <v>97</v>
      </c>
      <c r="G803" t="s">
        <v>102</v>
      </c>
      <c r="H803" t="s">
        <v>3808</v>
      </c>
      <c r="I803" t="s">
        <v>3821</v>
      </c>
      <c r="J803" t="s">
        <v>3827</v>
      </c>
      <c r="K803" t="s">
        <v>1218</v>
      </c>
      <c r="L803" s="13">
        <v>44964</v>
      </c>
      <c r="M803">
        <v>1</v>
      </c>
      <c r="N803" t="s">
        <v>101</v>
      </c>
      <c r="O803" t="s">
        <v>3852</v>
      </c>
      <c r="P803" t="s">
        <v>76</v>
      </c>
      <c r="Q803" t="s">
        <v>76</v>
      </c>
      <c r="R803" t="s">
        <v>76</v>
      </c>
      <c r="S803" t="s">
        <v>76</v>
      </c>
      <c r="T803" t="s">
        <v>76</v>
      </c>
      <c r="U803">
        <v>1</v>
      </c>
      <c r="V803" s="13">
        <v>45175</v>
      </c>
      <c r="W803">
        <v>1</v>
      </c>
      <c r="X803">
        <v>1</v>
      </c>
      <c r="Y803" t="s">
        <v>3696</v>
      </c>
      <c r="AC803">
        <v>2794</v>
      </c>
      <c r="AD803" t="e" vm="795">
        <v>#VALUE!</v>
      </c>
    </row>
    <row r="804" spans="2:30" x14ac:dyDescent="0.25">
      <c r="B804">
        <v>2795</v>
      </c>
      <c r="C804" t="s">
        <v>3646</v>
      </c>
      <c r="D804" t="s">
        <v>3695</v>
      </c>
      <c r="E804" t="s">
        <v>3838</v>
      </c>
      <c r="F804" t="s">
        <v>97</v>
      </c>
      <c r="G804" t="s">
        <v>102</v>
      </c>
      <c r="H804" t="s">
        <v>3808</v>
      </c>
      <c r="I804" t="s">
        <v>3821</v>
      </c>
      <c r="J804" t="s">
        <v>3827</v>
      </c>
      <c r="K804" t="s">
        <v>1218</v>
      </c>
      <c r="L804" s="13">
        <v>45083</v>
      </c>
      <c r="M804">
        <v>0</v>
      </c>
      <c r="N804" t="s">
        <v>90</v>
      </c>
      <c r="O804" t="s">
        <v>3852</v>
      </c>
      <c r="P804" t="s">
        <v>76</v>
      </c>
      <c r="Q804" t="s">
        <v>76</v>
      </c>
      <c r="R804" t="s">
        <v>76</v>
      </c>
      <c r="S804" t="s">
        <v>76</v>
      </c>
      <c r="T804" t="s">
        <v>76</v>
      </c>
      <c r="U804">
        <v>1</v>
      </c>
      <c r="V804" s="13">
        <v>45175</v>
      </c>
      <c r="W804">
        <v>1</v>
      </c>
      <c r="X804">
        <v>1</v>
      </c>
      <c r="Y804" t="s">
        <v>3715</v>
      </c>
      <c r="AC804">
        <v>2795</v>
      </c>
      <c r="AD804" t="e" vm="796">
        <v>#VALUE!</v>
      </c>
    </row>
    <row r="805" spans="2:30" x14ac:dyDescent="0.25">
      <c r="B805">
        <v>2796</v>
      </c>
      <c r="C805" t="s">
        <v>3684</v>
      </c>
      <c r="D805" t="s">
        <v>3695</v>
      </c>
      <c r="E805" t="s">
        <v>3838</v>
      </c>
      <c r="F805" t="s">
        <v>97</v>
      </c>
      <c r="G805" t="s">
        <v>102</v>
      </c>
      <c r="H805" t="s">
        <v>3808</v>
      </c>
      <c r="I805" t="s">
        <v>3821</v>
      </c>
      <c r="J805" t="s">
        <v>3827</v>
      </c>
      <c r="K805" t="s">
        <v>1218</v>
      </c>
      <c r="L805" s="13">
        <v>45041</v>
      </c>
      <c r="M805">
        <v>0</v>
      </c>
      <c r="N805" t="s">
        <v>101</v>
      </c>
      <c r="O805" t="s">
        <v>3852</v>
      </c>
      <c r="P805" t="s">
        <v>76</v>
      </c>
      <c r="Q805" t="s">
        <v>76</v>
      </c>
      <c r="R805" t="s">
        <v>76</v>
      </c>
      <c r="S805" t="s">
        <v>76</v>
      </c>
      <c r="T805" t="s">
        <v>76</v>
      </c>
      <c r="U805">
        <v>1</v>
      </c>
      <c r="V805" s="13">
        <v>45175</v>
      </c>
      <c r="W805">
        <v>1</v>
      </c>
      <c r="X805">
        <v>1</v>
      </c>
      <c r="Y805" t="s">
        <v>3696</v>
      </c>
      <c r="AC805">
        <v>2796</v>
      </c>
      <c r="AD805" t="e" vm="797">
        <v>#VALUE!</v>
      </c>
    </row>
    <row r="806" spans="2:30" x14ac:dyDescent="0.25">
      <c r="B806">
        <v>2797</v>
      </c>
      <c r="C806" t="s">
        <v>3662</v>
      </c>
      <c r="D806" t="s">
        <v>3716</v>
      </c>
      <c r="E806" t="s">
        <v>3853</v>
      </c>
      <c r="F806" t="s">
        <v>78</v>
      </c>
      <c r="G806" t="s">
        <v>77</v>
      </c>
      <c r="H806" t="s">
        <v>3808</v>
      </c>
      <c r="I806" t="s">
        <v>3821</v>
      </c>
      <c r="J806" t="s">
        <v>3827</v>
      </c>
      <c r="K806" t="s">
        <v>1218</v>
      </c>
      <c r="L806" s="13">
        <v>45006</v>
      </c>
      <c r="M806">
        <v>0</v>
      </c>
      <c r="N806" t="s">
        <v>79</v>
      </c>
      <c r="O806" t="s">
        <v>3852</v>
      </c>
      <c r="P806" t="s">
        <v>76</v>
      </c>
      <c r="Q806" t="s">
        <v>76</v>
      </c>
      <c r="R806" t="s">
        <v>76</v>
      </c>
      <c r="S806" t="s">
        <v>76</v>
      </c>
      <c r="T806" t="s">
        <v>76</v>
      </c>
      <c r="U806">
        <v>1</v>
      </c>
      <c r="V806" s="13">
        <v>45175</v>
      </c>
      <c r="W806">
        <v>1</v>
      </c>
      <c r="X806">
        <v>1</v>
      </c>
      <c r="Y806" t="s">
        <v>3717</v>
      </c>
      <c r="AC806">
        <v>2797</v>
      </c>
      <c r="AD806" t="e" vm="798">
        <v>#VALUE!</v>
      </c>
    </row>
    <row r="807" spans="2:30" x14ac:dyDescent="0.25">
      <c r="B807">
        <v>2798</v>
      </c>
      <c r="C807" t="s">
        <v>3662</v>
      </c>
      <c r="D807" t="s">
        <v>73</v>
      </c>
      <c r="E807" t="s">
        <v>73</v>
      </c>
      <c r="F807" t="s">
        <v>3816</v>
      </c>
      <c r="G807" t="s">
        <v>3816</v>
      </c>
      <c r="H807" t="s">
        <v>3808</v>
      </c>
      <c r="I807" t="s">
        <v>3821</v>
      </c>
      <c r="J807" t="s">
        <v>3827</v>
      </c>
      <c r="K807" t="s">
        <v>1218</v>
      </c>
      <c r="L807" s="13">
        <v>45112</v>
      </c>
      <c r="M807">
        <v>0</v>
      </c>
      <c r="N807" t="s">
        <v>79</v>
      </c>
      <c r="O807" t="s">
        <v>3852</v>
      </c>
      <c r="P807" t="s">
        <v>76</v>
      </c>
      <c r="Q807" t="s">
        <v>76</v>
      </c>
      <c r="R807" t="s">
        <v>76</v>
      </c>
      <c r="S807" t="s">
        <v>76</v>
      </c>
      <c r="T807" t="s">
        <v>76</v>
      </c>
      <c r="U807">
        <v>1</v>
      </c>
      <c r="V807" s="13">
        <v>45175</v>
      </c>
      <c r="W807">
        <v>1</v>
      </c>
      <c r="X807">
        <v>1</v>
      </c>
      <c r="Y807" t="s">
        <v>3681</v>
      </c>
      <c r="AC807">
        <v>2798</v>
      </c>
      <c r="AD807" t="e" vm="799">
        <v>#VALUE!</v>
      </c>
    </row>
    <row r="808" spans="2:30" x14ac:dyDescent="0.25">
      <c r="B808">
        <v>2799</v>
      </c>
      <c r="C808" t="s">
        <v>3646</v>
      </c>
      <c r="D808" t="s">
        <v>3649</v>
      </c>
      <c r="E808" t="s">
        <v>3812</v>
      </c>
      <c r="F808" t="s">
        <v>85</v>
      </c>
      <c r="G808" t="s">
        <v>112</v>
      </c>
      <c r="H808" t="s">
        <v>3808</v>
      </c>
      <c r="I808" t="s">
        <v>3821</v>
      </c>
      <c r="J808" t="s">
        <v>3827</v>
      </c>
      <c r="K808" t="s">
        <v>1218</v>
      </c>
      <c r="L808" s="13">
        <v>44973</v>
      </c>
      <c r="M808">
        <v>1</v>
      </c>
      <c r="N808" t="s">
        <v>90</v>
      </c>
      <c r="O808" t="s">
        <v>3852</v>
      </c>
      <c r="P808" t="s">
        <v>76</v>
      </c>
      <c r="Q808" t="s">
        <v>76</v>
      </c>
      <c r="R808" t="s">
        <v>76</v>
      </c>
      <c r="S808" t="s">
        <v>76</v>
      </c>
      <c r="T808" t="s">
        <v>76</v>
      </c>
      <c r="U808">
        <v>1</v>
      </c>
      <c r="V808" s="13">
        <v>45175</v>
      </c>
      <c r="W808">
        <v>1</v>
      </c>
      <c r="X808">
        <v>1</v>
      </c>
      <c r="Y808" t="s">
        <v>3650</v>
      </c>
      <c r="AC808">
        <v>2799</v>
      </c>
      <c r="AD808" t="e" vm="800">
        <v>#VALUE!</v>
      </c>
    </row>
    <row r="809" spans="2:30" x14ac:dyDescent="0.25">
      <c r="B809">
        <v>2800</v>
      </c>
      <c r="C809" t="s">
        <v>3646</v>
      </c>
      <c r="D809" t="s">
        <v>3649</v>
      </c>
      <c r="E809" t="s">
        <v>3812</v>
      </c>
      <c r="F809" t="s">
        <v>85</v>
      </c>
      <c r="G809" t="s">
        <v>112</v>
      </c>
      <c r="H809" t="s">
        <v>3808</v>
      </c>
      <c r="I809" t="s">
        <v>3821</v>
      </c>
      <c r="J809" t="s">
        <v>3827</v>
      </c>
      <c r="K809" t="s">
        <v>1218</v>
      </c>
      <c r="L809" s="13">
        <v>44973</v>
      </c>
      <c r="M809">
        <v>1</v>
      </c>
      <c r="N809" t="s">
        <v>90</v>
      </c>
      <c r="O809" t="s">
        <v>3852</v>
      </c>
      <c r="P809" t="s">
        <v>76</v>
      </c>
      <c r="Q809" t="s">
        <v>76</v>
      </c>
      <c r="R809" t="s">
        <v>76</v>
      </c>
      <c r="S809" t="s">
        <v>76</v>
      </c>
      <c r="T809" t="s">
        <v>76</v>
      </c>
      <c r="U809">
        <v>1</v>
      </c>
      <c r="V809" s="13">
        <v>45175</v>
      </c>
      <c r="W809">
        <v>1</v>
      </c>
      <c r="X809">
        <v>1</v>
      </c>
      <c r="Y809" t="s">
        <v>3650</v>
      </c>
      <c r="AC809">
        <v>2800</v>
      </c>
      <c r="AD809" t="e" vm="801">
        <v>#VALUE!</v>
      </c>
    </row>
    <row r="810" spans="2:30" x14ac:dyDescent="0.25">
      <c r="B810">
        <v>2801</v>
      </c>
      <c r="C810" t="s">
        <v>3646</v>
      </c>
      <c r="D810" t="s">
        <v>3649</v>
      </c>
      <c r="E810" t="s">
        <v>3812</v>
      </c>
      <c r="F810" t="s">
        <v>85</v>
      </c>
      <c r="G810" t="s">
        <v>112</v>
      </c>
      <c r="H810" t="s">
        <v>3808</v>
      </c>
      <c r="I810" t="s">
        <v>3821</v>
      </c>
      <c r="J810" t="s">
        <v>3827</v>
      </c>
      <c r="K810" t="s">
        <v>1218</v>
      </c>
      <c r="L810" s="13">
        <v>45006</v>
      </c>
      <c r="M810">
        <v>0</v>
      </c>
      <c r="N810" t="s">
        <v>90</v>
      </c>
      <c r="O810" t="s">
        <v>3852</v>
      </c>
      <c r="P810" t="s">
        <v>76</v>
      </c>
      <c r="Q810" t="s">
        <v>76</v>
      </c>
      <c r="R810" t="s">
        <v>76</v>
      </c>
      <c r="S810" t="s">
        <v>76</v>
      </c>
      <c r="T810" t="s">
        <v>76</v>
      </c>
      <c r="U810">
        <v>1</v>
      </c>
      <c r="V810" s="13">
        <v>45175</v>
      </c>
      <c r="W810">
        <v>1</v>
      </c>
      <c r="X810">
        <v>1</v>
      </c>
      <c r="Y810" t="s">
        <v>3650</v>
      </c>
      <c r="AC810">
        <v>2801</v>
      </c>
      <c r="AD810" t="e" vm="802">
        <v>#VALUE!</v>
      </c>
    </row>
    <row r="811" spans="2:30" x14ac:dyDescent="0.25">
      <c r="B811">
        <v>2802</v>
      </c>
      <c r="C811" t="s">
        <v>3646</v>
      </c>
      <c r="D811" t="s">
        <v>3649</v>
      </c>
      <c r="E811" t="s">
        <v>3812</v>
      </c>
      <c r="F811" t="s">
        <v>85</v>
      </c>
      <c r="G811" t="s">
        <v>112</v>
      </c>
      <c r="H811" t="s">
        <v>3808</v>
      </c>
      <c r="I811" t="s">
        <v>3821</v>
      </c>
      <c r="J811" t="s">
        <v>3827</v>
      </c>
      <c r="K811" t="s">
        <v>1218</v>
      </c>
      <c r="L811" s="13">
        <v>44977</v>
      </c>
      <c r="M811">
        <v>1</v>
      </c>
      <c r="N811" t="s">
        <v>90</v>
      </c>
      <c r="O811" t="s">
        <v>3852</v>
      </c>
      <c r="P811" t="s">
        <v>76</v>
      </c>
      <c r="Q811" t="s">
        <v>76</v>
      </c>
      <c r="R811" t="s">
        <v>76</v>
      </c>
      <c r="S811" t="s">
        <v>76</v>
      </c>
      <c r="T811" t="s">
        <v>76</v>
      </c>
      <c r="U811">
        <v>1</v>
      </c>
      <c r="V811" s="13">
        <v>45175</v>
      </c>
      <c r="W811">
        <v>1</v>
      </c>
      <c r="X811">
        <v>1</v>
      </c>
      <c r="Y811" t="s">
        <v>3650</v>
      </c>
      <c r="AC811">
        <v>2802</v>
      </c>
      <c r="AD811" t="e" vm="803">
        <v>#VALUE!</v>
      </c>
    </row>
    <row r="812" spans="2:30" x14ac:dyDescent="0.25">
      <c r="B812">
        <v>2803</v>
      </c>
      <c r="C812" t="s">
        <v>3646</v>
      </c>
      <c r="D812" t="s">
        <v>3649</v>
      </c>
      <c r="E812" t="s">
        <v>3812</v>
      </c>
      <c r="F812" t="s">
        <v>85</v>
      </c>
      <c r="G812" t="s">
        <v>112</v>
      </c>
      <c r="H812" t="s">
        <v>3808</v>
      </c>
      <c r="I812" t="s">
        <v>3821</v>
      </c>
      <c r="J812" t="s">
        <v>3827</v>
      </c>
      <c r="K812" t="s">
        <v>1218</v>
      </c>
      <c r="L812" s="13">
        <v>45084</v>
      </c>
      <c r="M812">
        <v>0</v>
      </c>
      <c r="N812" t="s">
        <v>90</v>
      </c>
      <c r="O812" t="s">
        <v>3852</v>
      </c>
      <c r="P812" t="s">
        <v>76</v>
      </c>
      <c r="Q812" t="s">
        <v>76</v>
      </c>
      <c r="R812" t="s">
        <v>76</v>
      </c>
      <c r="S812" t="s">
        <v>76</v>
      </c>
      <c r="T812" t="s">
        <v>76</v>
      </c>
      <c r="U812">
        <v>1</v>
      </c>
      <c r="V812" s="13">
        <v>45175</v>
      </c>
      <c r="W812">
        <v>1</v>
      </c>
      <c r="X812">
        <v>1</v>
      </c>
      <c r="Y812" t="s">
        <v>3650</v>
      </c>
      <c r="AC812">
        <v>2803</v>
      </c>
      <c r="AD812" t="e" vm="804">
        <v>#VALUE!</v>
      </c>
    </row>
    <row r="813" spans="2:30" x14ac:dyDescent="0.25">
      <c r="B813">
        <v>2804</v>
      </c>
      <c r="C813" t="s">
        <v>3646</v>
      </c>
      <c r="D813" t="s">
        <v>3660</v>
      </c>
      <c r="E813" t="s">
        <v>3813</v>
      </c>
      <c r="F813" t="s">
        <v>83</v>
      </c>
      <c r="G813" t="s">
        <v>103</v>
      </c>
      <c r="H813" t="s">
        <v>3808</v>
      </c>
      <c r="I813" t="s">
        <v>3821</v>
      </c>
      <c r="J813" t="s">
        <v>3827</v>
      </c>
      <c r="K813" t="s">
        <v>1218</v>
      </c>
      <c r="L813" s="13">
        <v>45027</v>
      </c>
      <c r="M813">
        <v>0</v>
      </c>
      <c r="N813" t="s">
        <v>90</v>
      </c>
      <c r="O813" t="s">
        <v>3852</v>
      </c>
      <c r="P813" t="s">
        <v>76</v>
      </c>
      <c r="Q813" t="s">
        <v>76</v>
      </c>
      <c r="R813" t="s">
        <v>76</v>
      </c>
      <c r="S813" t="s">
        <v>76</v>
      </c>
      <c r="T813" t="s">
        <v>76</v>
      </c>
      <c r="U813">
        <v>1</v>
      </c>
      <c r="V813" s="13">
        <v>45175</v>
      </c>
      <c r="W813">
        <v>1</v>
      </c>
      <c r="X813">
        <v>1</v>
      </c>
      <c r="Y813" t="s">
        <v>3718</v>
      </c>
      <c r="AC813">
        <v>2804</v>
      </c>
      <c r="AD813" t="e" vm="805">
        <v>#VALUE!</v>
      </c>
    </row>
    <row r="814" spans="2:30" x14ac:dyDescent="0.25">
      <c r="B814">
        <v>2805</v>
      </c>
      <c r="C814" t="s">
        <v>3646</v>
      </c>
      <c r="D814" t="s">
        <v>3649</v>
      </c>
      <c r="E814" t="s">
        <v>3812</v>
      </c>
      <c r="F814" t="s">
        <v>85</v>
      </c>
      <c r="G814" t="s">
        <v>112</v>
      </c>
      <c r="H814" t="s">
        <v>3808</v>
      </c>
      <c r="I814" t="s">
        <v>3821</v>
      </c>
      <c r="J814" t="s">
        <v>3827</v>
      </c>
      <c r="K814" t="s">
        <v>1218</v>
      </c>
      <c r="L814" s="13">
        <v>45083</v>
      </c>
      <c r="M814">
        <v>0</v>
      </c>
      <c r="N814" t="s">
        <v>90</v>
      </c>
      <c r="O814" t="s">
        <v>3852</v>
      </c>
      <c r="P814" t="s">
        <v>76</v>
      </c>
      <c r="Q814" t="s">
        <v>76</v>
      </c>
      <c r="R814" t="s">
        <v>76</v>
      </c>
      <c r="S814" t="s">
        <v>76</v>
      </c>
      <c r="T814" t="s">
        <v>76</v>
      </c>
      <c r="U814">
        <v>1</v>
      </c>
      <c r="V814" s="13">
        <v>45175</v>
      </c>
      <c r="W814">
        <v>1</v>
      </c>
      <c r="X814">
        <v>1</v>
      </c>
      <c r="Y814" t="s">
        <v>3650</v>
      </c>
      <c r="AC814">
        <v>2805</v>
      </c>
      <c r="AD814" t="e" vm="806">
        <v>#VALUE!</v>
      </c>
    </row>
    <row r="815" spans="2:30" x14ac:dyDescent="0.25">
      <c r="B815">
        <v>2806</v>
      </c>
      <c r="C815" t="s">
        <v>3646</v>
      </c>
      <c r="D815" t="s">
        <v>73</v>
      </c>
      <c r="E815" t="s">
        <v>73</v>
      </c>
      <c r="F815" t="s">
        <v>3816</v>
      </c>
      <c r="G815" t="s">
        <v>3816</v>
      </c>
      <c r="H815" t="s">
        <v>3808</v>
      </c>
      <c r="I815" t="s">
        <v>3821</v>
      </c>
      <c r="J815" t="s">
        <v>3827</v>
      </c>
      <c r="K815" t="s">
        <v>1218</v>
      </c>
      <c r="L815" s="13">
        <v>45162</v>
      </c>
      <c r="M815">
        <v>0</v>
      </c>
      <c r="N815" t="s">
        <v>90</v>
      </c>
      <c r="O815" t="s">
        <v>3852</v>
      </c>
      <c r="P815" t="s">
        <v>76</v>
      </c>
      <c r="Q815" t="s">
        <v>76</v>
      </c>
      <c r="R815" t="s">
        <v>76</v>
      </c>
      <c r="S815" t="s">
        <v>76</v>
      </c>
      <c r="T815" t="s">
        <v>76</v>
      </c>
      <c r="U815">
        <v>1</v>
      </c>
      <c r="V815" s="13">
        <v>45175</v>
      </c>
      <c r="W815">
        <v>1</v>
      </c>
      <c r="X815">
        <v>1</v>
      </c>
      <c r="Y815" t="s">
        <v>3667</v>
      </c>
      <c r="AC815">
        <v>2806</v>
      </c>
      <c r="AD815" t="e" vm="807">
        <v>#VALUE!</v>
      </c>
    </row>
    <row r="816" spans="2:30" x14ac:dyDescent="0.25">
      <c r="B816">
        <v>2807</v>
      </c>
      <c r="C816" t="s">
        <v>3646</v>
      </c>
      <c r="D816" t="s">
        <v>3649</v>
      </c>
      <c r="E816" t="s">
        <v>3812</v>
      </c>
      <c r="F816" t="s">
        <v>85</v>
      </c>
      <c r="G816" t="s">
        <v>112</v>
      </c>
      <c r="H816" t="s">
        <v>3808</v>
      </c>
      <c r="I816" t="s">
        <v>3821</v>
      </c>
      <c r="J816" t="s">
        <v>3827</v>
      </c>
      <c r="K816" t="s">
        <v>1218</v>
      </c>
      <c r="L816" s="13">
        <v>44909</v>
      </c>
      <c r="M816">
        <v>1</v>
      </c>
      <c r="N816" t="s">
        <v>90</v>
      </c>
      <c r="O816" t="s">
        <v>3852</v>
      </c>
      <c r="P816" t="s">
        <v>76</v>
      </c>
      <c r="Q816" t="s">
        <v>76</v>
      </c>
      <c r="R816" t="s">
        <v>76</v>
      </c>
      <c r="S816" t="s">
        <v>76</v>
      </c>
      <c r="T816" t="s">
        <v>76</v>
      </c>
      <c r="U816">
        <v>1</v>
      </c>
      <c r="V816" s="13">
        <v>45175</v>
      </c>
      <c r="W816">
        <v>1</v>
      </c>
      <c r="X816">
        <v>1</v>
      </c>
      <c r="Y816" t="s">
        <v>3650</v>
      </c>
      <c r="AC816">
        <v>2807</v>
      </c>
      <c r="AD816" t="e" vm="808">
        <v>#VALUE!</v>
      </c>
    </row>
    <row r="817" spans="2:30" x14ac:dyDescent="0.25">
      <c r="B817">
        <v>2808</v>
      </c>
      <c r="C817" t="s">
        <v>3646</v>
      </c>
      <c r="D817" t="s">
        <v>3649</v>
      </c>
      <c r="E817" t="s">
        <v>3812</v>
      </c>
      <c r="F817" t="s">
        <v>85</v>
      </c>
      <c r="G817" t="s">
        <v>112</v>
      </c>
      <c r="H817" t="s">
        <v>3808</v>
      </c>
      <c r="I817" t="s">
        <v>3821</v>
      </c>
      <c r="J817" t="s">
        <v>3827</v>
      </c>
      <c r="K817" t="s">
        <v>1218</v>
      </c>
      <c r="L817" s="13">
        <v>44909</v>
      </c>
      <c r="M817">
        <v>1</v>
      </c>
      <c r="N817" t="s">
        <v>90</v>
      </c>
      <c r="O817" t="s">
        <v>3852</v>
      </c>
      <c r="P817" t="s">
        <v>76</v>
      </c>
      <c r="Q817" t="s">
        <v>76</v>
      </c>
      <c r="R817" t="s">
        <v>76</v>
      </c>
      <c r="S817" t="s">
        <v>76</v>
      </c>
      <c r="T817" t="s">
        <v>76</v>
      </c>
      <c r="U817">
        <v>1</v>
      </c>
      <c r="V817" s="13">
        <v>45175</v>
      </c>
      <c r="W817">
        <v>1</v>
      </c>
      <c r="X817">
        <v>1</v>
      </c>
      <c r="Y817" t="s">
        <v>3650</v>
      </c>
      <c r="AC817">
        <v>2808</v>
      </c>
      <c r="AD817" t="e" vm="809">
        <v>#VALUE!</v>
      </c>
    </row>
    <row r="818" spans="2:30" x14ac:dyDescent="0.25">
      <c r="B818">
        <v>2809</v>
      </c>
      <c r="C818" t="s">
        <v>3646</v>
      </c>
      <c r="D818" t="s">
        <v>3649</v>
      </c>
      <c r="E818" t="s">
        <v>3812</v>
      </c>
      <c r="F818" t="s">
        <v>85</v>
      </c>
      <c r="G818" t="s">
        <v>112</v>
      </c>
      <c r="H818" t="s">
        <v>3808</v>
      </c>
      <c r="I818" t="s">
        <v>3821</v>
      </c>
      <c r="J818" t="s">
        <v>3827</v>
      </c>
      <c r="K818" t="s">
        <v>1218</v>
      </c>
      <c r="L818" s="13">
        <v>44911</v>
      </c>
      <c r="M818">
        <v>1</v>
      </c>
      <c r="N818" t="s">
        <v>90</v>
      </c>
      <c r="O818" t="s">
        <v>3852</v>
      </c>
      <c r="P818" t="s">
        <v>76</v>
      </c>
      <c r="Q818" t="s">
        <v>76</v>
      </c>
      <c r="R818" t="s">
        <v>76</v>
      </c>
      <c r="S818" t="s">
        <v>76</v>
      </c>
      <c r="T818" t="s">
        <v>76</v>
      </c>
      <c r="U818">
        <v>1</v>
      </c>
      <c r="V818" s="13">
        <v>45175</v>
      </c>
      <c r="W818">
        <v>1</v>
      </c>
      <c r="X818">
        <v>1</v>
      </c>
      <c r="Y818" t="s">
        <v>3650</v>
      </c>
      <c r="AC818">
        <v>2809</v>
      </c>
      <c r="AD818" t="e" vm="810">
        <v>#VALUE!</v>
      </c>
    </row>
    <row r="819" spans="2:30" x14ac:dyDescent="0.25">
      <c r="B819">
        <v>2810</v>
      </c>
      <c r="C819" t="s">
        <v>3646</v>
      </c>
      <c r="D819" t="s">
        <v>3649</v>
      </c>
      <c r="E819" t="s">
        <v>3812</v>
      </c>
      <c r="F819" t="s">
        <v>85</v>
      </c>
      <c r="G819" t="s">
        <v>112</v>
      </c>
      <c r="H819" t="s">
        <v>3808</v>
      </c>
      <c r="I819" t="s">
        <v>3821</v>
      </c>
      <c r="J819" t="s">
        <v>3827</v>
      </c>
      <c r="K819" t="s">
        <v>1218</v>
      </c>
      <c r="L819" s="13">
        <v>44911</v>
      </c>
      <c r="M819">
        <v>1</v>
      </c>
      <c r="N819" t="s">
        <v>90</v>
      </c>
      <c r="O819" t="s">
        <v>3852</v>
      </c>
      <c r="P819" t="s">
        <v>76</v>
      </c>
      <c r="Q819" t="s">
        <v>76</v>
      </c>
      <c r="R819" t="s">
        <v>76</v>
      </c>
      <c r="S819" t="s">
        <v>76</v>
      </c>
      <c r="T819" t="s">
        <v>76</v>
      </c>
      <c r="U819">
        <v>1</v>
      </c>
      <c r="V819" s="13">
        <v>45175</v>
      </c>
      <c r="W819">
        <v>1</v>
      </c>
      <c r="X819">
        <v>1</v>
      </c>
      <c r="Y819" t="s">
        <v>3650</v>
      </c>
      <c r="AC819">
        <v>2810</v>
      </c>
      <c r="AD819" t="e" vm="811">
        <v>#VALUE!</v>
      </c>
    </row>
    <row r="820" spans="2:30" x14ac:dyDescent="0.25">
      <c r="B820">
        <v>2811</v>
      </c>
      <c r="C820" t="s">
        <v>3659</v>
      </c>
      <c r="D820" t="s">
        <v>3660</v>
      </c>
      <c r="E820" t="s">
        <v>3813</v>
      </c>
      <c r="F820" t="s">
        <v>83</v>
      </c>
      <c r="G820" t="s">
        <v>103</v>
      </c>
      <c r="H820" t="s">
        <v>3808</v>
      </c>
      <c r="I820" t="s">
        <v>3821</v>
      </c>
      <c r="J820" t="s">
        <v>3827</v>
      </c>
      <c r="K820" t="s">
        <v>1218</v>
      </c>
      <c r="L820" s="13">
        <v>44958</v>
      </c>
      <c r="M820">
        <v>1</v>
      </c>
      <c r="N820" t="s">
        <v>88</v>
      </c>
      <c r="O820" t="s">
        <v>3852</v>
      </c>
      <c r="P820" t="s">
        <v>76</v>
      </c>
      <c r="Q820" t="s">
        <v>76</v>
      </c>
      <c r="R820" t="s">
        <v>76</v>
      </c>
      <c r="S820" t="s">
        <v>76</v>
      </c>
      <c r="T820" t="s">
        <v>76</v>
      </c>
      <c r="U820">
        <v>1</v>
      </c>
      <c r="V820" s="13">
        <v>45175</v>
      </c>
      <c r="W820">
        <v>1</v>
      </c>
      <c r="X820">
        <v>1</v>
      </c>
      <c r="Y820" t="s">
        <v>3661</v>
      </c>
      <c r="AC820">
        <v>2811</v>
      </c>
      <c r="AD820" t="e" vm="812">
        <v>#VALUE!</v>
      </c>
    </row>
    <row r="821" spans="2:30" x14ac:dyDescent="0.25">
      <c r="B821">
        <v>2812</v>
      </c>
      <c r="C821" t="s">
        <v>3659</v>
      </c>
      <c r="D821" t="s">
        <v>3660</v>
      </c>
      <c r="E821" t="s">
        <v>3813</v>
      </c>
      <c r="F821" t="s">
        <v>83</v>
      </c>
      <c r="G821" t="s">
        <v>103</v>
      </c>
      <c r="H821" t="s">
        <v>3808</v>
      </c>
      <c r="I821" t="s">
        <v>3821</v>
      </c>
      <c r="J821" t="s">
        <v>3827</v>
      </c>
      <c r="K821" t="s">
        <v>1218</v>
      </c>
      <c r="L821" s="13">
        <v>44958</v>
      </c>
      <c r="M821">
        <v>1</v>
      </c>
      <c r="N821" t="s">
        <v>88</v>
      </c>
      <c r="O821" t="s">
        <v>3852</v>
      </c>
      <c r="P821" t="s">
        <v>76</v>
      </c>
      <c r="Q821" t="s">
        <v>76</v>
      </c>
      <c r="R821" t="s">
        <v>76</v>
      </c>
      <c r="S821" t="s">
        <v>76</v>
      </c>
      <c r="T821" t="s">
        <v>76</v>
      </c>
      <c r="U821">
        <v>1</v>
      </c>
      <c r="V821" s="13">
        <v>45175</v>
      </c>
      <c r="W821">
        <v>1</v>
      </c>
      <c r="X821">
        <v>1</v>
      </c>
      <c r="Y821" t="s">
        <v>3661</v>
      </c>
      <c r="AC821">
        <v>2812</v>
      </c>
      <c r="AD821" t="e" vm="813">
        <v>#VALUE!</v>
      </c>
    </row>
    <row r="822" spans="2:30" x14ac:dyDescent="0.25">
      <c r="B822">
        <v>2813</v>
      </c>
      <c r="C822" t="s">
        <v>3659</v>
      </c>
      <c r="D822" t="s">
        <v>3660</v>
      </c>
      <c r="E822" t="s">
        <v>3813</v>
      </c>
      <c r="F822" t="s">
        <v>83</v>
      </c>
      <c r="G822" t="s">
        <v>103</v>
      </c>
      <c r="H822" t="s">
        <v>3808</v>
      </c>
      <c r="I822" t="s">
        <v>3821</v>
      </c>
      <c r="J822" t="s">
        <v>3827</v>
      </c>
      <c r="K822" t="s">
        <v>1218</v>
      </c>
      <c r="L822" s="13">
        <v>44911</v>
      </c>
      <c r="M822">
        <v>1</v>
      </c>
      <c r="N822" t="s">
        <v>88</v>
      </c>
      <c r="O822" t="s">
        <v>3852</v>
      </c>
      <c r="P822" t="s">
        <v>76</v>
      </c>
      <c r="Q822" t="s">
        <v>76</v>
      </c>
      <c r="R822" t="s">
        <v>76</v>
      </c>
      <c r="S822" t="s">
        <v>76</v>
      </c>
      <c r="T822" t="s">
        <v>76</v>
      </c>
      <c r="U822">
        <v>1</v>
      </c>
      <c r="V822" s="13">
        <v>45175</v>
      </c>
      <c r="W822">
        <v>1</v>
      </c>
      <c r="X822">
        <v>1</v>
      </c>
      <c r="Y822" t="s">
        <v>3661</v>
      </c>
      <c r="AC822">
        <v>2813</v>
      </c>
      <c r="AD822" t="e" vm="814">
        <v>#VALUE!</v>
      </c>
    </row>
    <row r="823" spans="2:30" x14ac:dyDescent="0.25">
      <c r="B823">
        <v>2814</v>
      </c>
      <c r="C823" t="s">
        <v>3659</v>
      </c>
      <c r="D823" t="s">
        <v>3660</v>
      </c>
      <c r="E823" t="s">
        <v>3813</v>
      </c>
      <c r="F823" t="s">
        <v>83</v>
      </c>
      <c r="G823" t="s">
        <v>103</v>
      </c>
      <c r="H823" t="s">
        <v>3808</v>
      </c>
      <c r="I823" t="s">
        <v>3821</v>
      </c>
      <c r="J823" t="s">
        <v>3827</v>
      </c>
      <c r="K823" t="s">
        <v>1218</v>
      </c>
      <c r="L823" s="13">
        <v>44917</v>
      </c>
      <c r="M823">
        <v>1</v>
      </c>
      <c r="N823" t="s">
        <v>88</v>
      </c>
      <c r="O823" t="s">
        <v>3852</v>
      </c>
      <c r="P823" t="s">
        <v>76</v>
      </c>
      <c r="Q823" t="s">
        <v>76</v>
      </c>
      <c r="R823" t="s">
        <v>76</v>
      </c>
      <c r="S823" t="s">
        <v>76</v>
      </c>
      <c r="T823" t="s">
        <v>76</v>
      </c>
      <c r="U823">
        <v>1</v>
      </c>
      <c r="V823" s="13">
        <v>45175</v>
      </c>
      <c r="W823">
        <v>1</v>
      </c>
      <c r="X823">
        <v>1</v>
      </c>
      <c r="Y823" t="s">
        <v>3661</v>
      </c>
      <c r="AC823">
        <v>2814</v>
      </c>
      <c r="AD823" t="e" vm="815">
        <v>#VALUE!</v>
      </c>
    </row>
    <row r="824" spans="2:30" x14ac:dyDescent="0.25">
      <c r="B824">
        <v>2815</v>
      </c>
      <c r="C824" t="s">
        <v>3659</v>
      </c>
      <c r="D824" t="s">
        <v>3660</v>
      </c>
      <c r="E824" t="s">
        <v>3813</v>
      </c>
      <c r="F824" t="s">
        <v>83</v>
      </c>
      <c r="G824" t="s">
        <v>103</v>
      </c>
      <c r="H824" t="s">
        <v>3808</v>
      </c>
      <c r="I824" t="s">
        <v>3821</v>
      </c>
      <c r="J824" t="s">
        <v>3827</v>
      </c>
      <c r="K824" t="s">
        <v>1218</v>
      </c>
      <c r="L824" s="13">
        <v>44930</v>
      </c>
      <c r="M824">
        <v>1</v>
      </c>
      <c r="N824" t="s">
        <v>88</v>
      </c>
      <c r="O824" t="s">
        <v>3852</v>
      </c>
      <c r="P824" t="s">
        <v>76</v>
      </c>
      <c r="Q824" t="s">
        <v>76</v>
      </c>
      <c r="R824" t="s">
        <v>76</v>
      </c>
      <c r="S824" t="s">
        <v>76</v>
      </c>
      <c r="T824" t="s">
        <v>76</v>
      </c>
      <c r="U824">
        <v>1</v>
      </c>
      <c r="V824" s="13">
        <v>45175</v>
      </c>
      <c r="W824">
        <v>1</v>
      </c>
      <c r="X824">
        <v>1</v>
      </c>
      <c r="Y824" t="s">
        <v>3661</v>
      </c>
      <c r="AC824">
        <v>2815</v>
      </c>
      <c r="AD824" t="e" vm="816">
        <v>#VALUE!</v>
      </c>
    </row>
    <row r="825" spans="2:30" x14ac:dyDescent="0.25">
      <c r="B825">
        <v>2816</v>
      </c>
      <c r="C825" t="s">
        <v>3659</v>
      </c>
      <c r="D825" t="s">
        <v>3660</v>
      </c>
      <c r="E825" t="s">
        <v>3813</v>
      </c>
      <c r="F825" t="s">
        <v>83</v>
      </c>
      <c r="G825" t="s">
        <v>103</v>
      </c>
      <c r="H825" t="s">
        <v>3808</v>
      </c>
      <c r="I825" t="s">
        <v>3821</v>
      </c>
      <c r="J825" t="s">
        <v>3827</v>
      </c>
      <c r="K825" t="s">
        <v>1218</v>
      </c>
      <c r="L825" s="13">
        <v>44946</v>
      </c>
      <c r="M825">
        <v>1</v>
      </c>
      <c r="N825" t="s">
        <v>88</v>
      </c>
      <c r="O825" t="s">
        <v>3852</v>
      </c>
      <c r="P825" t="s">
        <v>76</v>
      </c>
      <c r="Q825" t="s">
        <v>76</v>
      </c>
      <c r="R825" t="s">
        <v>76</v>
      </c>
      <c r="S825" t="s">
        <v>76</v>
      </c>
      <c r="T825" t="s">
        <v>76</v>
      </c>
      <c r="U825">
        <v>1</v>
      </c>
      <c r="V825" s="13">
        <v>45175</v>
      </c>
      <c r="W825">
        <v>1</v>
      </c>
      <c r="X825">
        <v>1</v>
      </c>
      <c r="Y825" t="s">
        <v>3661</v>
      </c>
      <c r="AC825">
        <v>2816</v>
      </c>
      <c r="AD825" t="e" vm="817">
        <v>#VALUE!</v>
      </c>
    </row>
    <row r="826" spans="2:30" x14ac:dyDescent="0.25">
      <c r="B826">
        <v>2817</v>
      </c>
      <c r="C826" t="s">
        <v>3659</v>
      </c>
      <c r="D826" t="s">
        <v>3660</v>
      </c>
      <c r="E826" t="s">
        <v>3813</v>
      </c>
      <c r="F826" t="s">
        <v>83</v>
      </c>
      <c r="G826" t="s">
        <v>103</v>
      </c>
      <c r="H826" t="s">
        <v>3808</v>
      </c>
      <c r="I826" t="s">
        <v>3821</v>
      </c>
      <c r="J826" t="s">
        <v>3827</v>
      </c>
      <c r="K826" t="s">
        <v>1218</v>
      </c>
      <c r="L826" s="13">
        <v>45048</v>
      </c>
      <c r="M826">
        <v>0</v>
      </c>
      <c r="N826" t="s">
        <v>88</v>
      </c>
      <c r="O826" t="s">
        <v>3852</v>
      </c>
      <c r="P826" t="s">
        <v>76</v>
      </c>
      <c r="Q826" t="s">
        <v>76</v>
      </c>
      <c r="R826" t="s">
        <v>76</v>
      </c>
      <c r="S826" t="s">
        <v>76</v>
      </c>
      <c r="T826" t="s">
        <v>76</v>
      </c>
      <c r="U826">
        <v>1</v>
      </c>
      <c r="V826" s="13">
        <v>45175</v>
      </c>
      <c r="W826">
        <v>1</v>
      </c>
      <c r="X826">
        <v>1</v>
      </c>
      <c r="Y826" t="s">
        <v>3661</v>
      </c>
      <c r="AC826">
        <v>2817</v>
      </c>
      <c r="AD826" t="e" vm="818">
        <v>#VALUE!</v>
      </c>
    </row>
    <row r="827" spans="2:30" x14ac:dyDescent="0.25">
      <c r="B827">
        <v>2818</v>
      </c>
      <c r="C827" t="s">
        <v>3659</v>
      </c>
      <c r="D827" t="s">
        <v>3660</v>
      </c>
      <c r="E827" t="s">
        <v>3813</v>
      </c>
      <c r="F827" t="s">
        <v>83</v>
      </c>
      <c r="G827" t="s">
        <v>103</v>
      </c>
      <c r="H827" t="s">
        <v>3808</v>
      </c>
      <c r="I827" t="s">
        <v>3821</v>
      </c>
      <c r="J827" t="s">
        <v>3827</v>
      </c>
      <c r="K827" t="s">
        <v>1218</v>
      </c>
      <c r="L827" s="13">
        <v>44946</v>
      </c>
      <c r="M827">
        <v>1</v>
      </c>
      <c r="N827" t="s">
        <v>88</v>
      </c>
      <c r="O827" t="s">
        <v>3852</v>
      </c>
      <c r="P827" t="s">
        <v>76</v>
      </c>
      <c r="Q827" t="s">
        <v>76</v>
      </c>
      <c r="R827" t="s">
        <v>76</v>
      </c>
      <c r="S827" t="s">
        <v>76</v>
      </c>
      <c r="T827" t="s">
        <v>76</v>
      </c>
      <c r="U827">
        <v>1</v>
      </c>
      <c r="V827" s="13">
        <v>45175</v>
      </c>
      <c r="W827">
        <v>1</v>
      </c>
      <c r="X827">
        <v>1</v>
      </c>
      <c r="Y827" t="s">
        <v>3661</v>
      </c>
      <c r="AC827">
        <v>2818</v>
      </c>
      <c r="AD827" t="e" vm="819">
        <v>#VALUE!</v>
      </c>
    </row>
    <row r="828" spans="2:30" x14ac:dyDescent="0.25">
      <c r="B828">
        <v>2819</v>
      </c>
      <c r="C828" t="s">
        <v>3659</v>
      </c>
      <c r="D828" t="s">
        <v>3660</v>
      </c>
      <c r="E828" t="s">
        <v>3813</v>
      </c>
      <c r="F828" t="s">
        <v>83</v>
      </c>
      <c r="G828" t="s">
        <v>103</v>
      </c>
      <c r="H828" t="s">
        <v>3808</v>
      </c>
      <c r="I828" t="s">
        <v>3821</v>
      </c>
      <c r="J828" t="s">
        <v>3827</v>
      </c>
      <c r="K828" t="s">
        <v>1218</v>
      </c>
      <c r="L828" s="13">
        <v>44930</v>
      </c>
      <c r="M828">
        <v>1</v>
      </c>
      <c r="N828" t="s">
        <v>88</v>
      </c>
      <c r="O828" t="s">
        <v>3852</v>
      </c>
      <c r="P828" t="s">
        <v>76</v>
      </c>
      <c r="Q828" t="s">
        <v>76</v>
      </c>
      <c r="R828" t="s">
        <v>76</v>
      </c>
      <c r="S828" t="s">
        <v>76</v>
      </c>
      <c r="T828" t="s">
        <v>76</v>
      </c>
      <c r="U828">
        <v>1</v>
      </c>
      <c r="V828" s="13">
        <v>45175</v>
      </c>
      <c r="W828">
        <v>1</v>
      </c>
      <c r="X828">
        <v>1</v>
      </c>
      <c r="Y828" t="s">
        <v>3661</v>
      </c>
      <c r="AC828">
        <v>2819</v>
      </c>
      <c r="AD828" t="e" vm="820">
        <v>#VALUE!</v>
      </c>
    </row>
    <row r="829" spans="2:30" x14ac:dyDescent="0.25">
      <c r="B829">
        <v>2820</v>
      </c>
      <c r="C829" t="s">
        <v>3659</v>
      </c>
      <c r="D829" t="s">
        <v>3660</v>
      </c>
      <c r="E829" t="s">
        <v>3813</v>
      </c>
      <c r="F829" t="s">
        <v>83</v>
      </c>
      <c r="G829" t="s">
        <v>103</v>
      </c>
      <c r="H829" t="s">
        <v>3808</v>
      </c>
      <c r="I829" t="s">
        <v>3821</v>
      </c>
      <c r="J829" t="s">
        <v>3827</v>
      </c>
      <c r="K829" t="s">
        <v>1218</v>
      </c>
      <c r="L829" s="13">
        <v>44917</v>
      </c>
      <c r="M829">
        <v>1</v>
      </c>
      <c r="N829" t="s">
        <v>88</v>
      </c>
      <c r="O829" t="s">
        <v>3852</v>
      </c>
      <c r="P829" t="s">
        <v>76</v>
      </c>
      <c r="Q829" t="s">
        <v>76</v>
      </c>
      <c r="R829" t="s">
        <v>76</v>
      </c>
      <c r="S829" t="s">
        <v>76</v>
      </c>
      <c r="T829" t="s">
        <v>76</v>
      </c>
      <c r="U829">
        <v>1</v>
      </c>
      <c r="V829" s="13">
        <v>45175</v>
      </c>
      <c r="W829">
        <v>1</v>
      </c>
      <c r="X829">
        <v>1</v>
      </c>
      <c r="Y829" t="s">
        <v>3661</v>
      </c>
      <c r="AC829">
        <v>2820</v>
      </c>
      <c r="AD829" t="e" vm="821">
        <v>#VALUE!</v>
      </c>
    </row>
    <row r="830" spans="2:30" x14ac:dyDescent="0.25">
      <c r="B830">
        <v>2821</v>
      </c>
      <c r="C830" t="s">
        <v>3659</v>
      </c>
      <c r="D830" t="s">
        <v>73</v>
      </c>
      <c r="E830" t="s">
        <v>73</v>
      </c>
      <c r="F830" t="s">
        <v>3816</v>
      </c>
      <c r="G830" t="s">
        <v>3816</v>
      </c>
      <c r="H830" t="s">
        <v>3808</v>
      </c>
      <c r="I830" t="s">
        <v>3821</v>
      </c>
      <c r="J830" t="s">
        <v>3827</v>
      </c>
      <c r="K830" t="s">
        <v>1218</v>
      </c>
      <c r="L830" s="13">
        <v>45114</v>
      </c>
      <c r="M830">
        <v>0</v>
      </c>
      <c r="N830" t="s">
        <v>88</v>
      </c>
      <c r="O830" t="s">
        <v>3854</v>
      </c>
      <c r="P830" t="s">
        <v>76</v>
      </c>
      <c r="Q830" t="s">
        <v>76</v>
      </c>
      <c r="R830" t="s">
        <v>76</v>
      </c>
      <c r="S830" t="s">
        <v>76</v>
      </c>
      <c r="T830" t="s">
        <v>76</v>
      </c>
      <c r="U830">
        <v>1</v>
      </c>
      <c r="V830" s="13">
        <v>45175</v>
      </c>
      <c r="W830">
        <v>1</v>
      </c>
      <c r="X830">
        <v>1</v>
      </c>
      <c r="Y830" t="s">
        <v>3719</v>
      </c>
      <c r="AC830">
        <v>2821</v>
      </c>
      <c r="AD830" t="e" vm="822">
        <v>#VALUE!</v>
      </c>
    </row>
    <row r="831" spans="2:30" x14ac:dyDescent="0.25">
      <c r="B831">
        <v>2822</v>
      </c>
      <c r="C831" t="s">
        <v>3659</v>
      </c>
      <c r="D831" t="s">
        <v>3660</v>
      </c>
      <c r="E831" t="s">
        <v>3813</v>
      </c>
      <c r="F831" t="s">
        <v>83</v>
      </c>
      <c r="G831" t="s">
        <v>103</v>
      </c>
      <c r="H831" t="s">
        <v>3808</v>
      </c>
      <c r="I831" t="s">
        <v>3821</v>
      </c>
      <c r="J831" t="s">
        <v>3827</v>
      </c>
      <c r="K831" t="s">
        <v>1218</v>
      </c>
      <c r="L831" s="13">
        <v>45027</v>
      </c>
      <c r="M831">
        <v>0</v>
      </c>
      <c r="N831" t="s">
        <v>88</v>
      </c>
      <c r="O831" t="s">
        <v>3854</v>
      </c>
      <c r="P831" t="s">
        <v>76</v>
      </c>
      <c r="Q831" t="s">
        <v>76</v>
      </c>
      <c r="R831" t="s">
        <v>76</v>
      </c>
      <c r="S831" t="s">
        <v>76</v>
      </c>
      <c r="T831" t="s">
        <v>76</v>
      </c>
      <c r="U831">
        <v>1</v>
      </c>
      <c r="V831" s="13">
        <v>45175</v>
      </c>
      <c r="W831">
        <v>1</v>
      </c>
      <c r="X831">
        <v>1</v>
      </c>
      <c r="Y831" t="s">
        <v>3661</v>
      </c>
      <c r="AC831">
        <v>2822</v>
      </c>
      <c r="AD831" t="e" vm="823">
        <v>#VALUE!</v>
      </c>
    </row>
    <row r="832" spans="2:30" x14ac:dyDescent="0.25">
      <c r="B832">
        <v>2823</v>
      </c>
      <c r="C832" t="s">
        <v>3659</v>
      </c>
      <c r="D832" t="s">
        <v>3660</v>
      </c>
      <c r="E832" t="s">
        <v>3813</v>
      </c>
      <c r="F832" t="s">
        <v>83</v>
      </c>
      <c r="G832" t="s">
        <v>103</v>
      </c>
      <c r="H832" t="s">
        <v>3808</v>
      </c>
      <c r="I832" t="s">
        <v>3821</v>
      </c>
      <c r="J832" t="s">
        <v>3827</v>
      </c>
      <c r="K832" t="s">
        <v>1218</v>
      </c>
      <c r="L832" s="13">
        <v>45112</v>
      </c>
      <c r="M832">
        <v>0</v>
      </c>
      <c r="N832" t="s">
        <v>88</v>
      </c>
      <c r="O832" t="s">
        <v>3854</v>
      </c>
      <c r="P832" t="s">
        <v>76</v>
      </c>
      <c r="Q832" t="s">
        <v>76</v>
      </c>
      <c r="R832" t="s">
        <v>76</v>
      </c>
      <c r="S832" t="s">
        <v>76</v>
      </c>
      <c r="T832" t="s">
        <v>76</v>
      </c>
      <c r="U832">
        <v>1</v>
      </c>
      <c r="V832" s="13">
        <v>45175</v>
      </c>
      <c r="W832">
        <v>1</v>
      </c>
      <c r="X832">
        <v>1</v>
      </c>
      <c r="Y832" t="s">
        <v>3661</v>
      </c>
      <c r="AC832">
        <v>2823</v>
      </c>
      <c r="AD832" t="e" vm="824">
        <v>#VALUE!</v>
      </c>
    </row>
    <row r="833" spans="2:30" x14ac:dyDescent="0.25">
      <c r="B833">
        <v>2824</v>
      </c>
      <c r="C833" t="s">
        <v>3659</v>
      </c>
      <c r="D833" t="s">
        <v>3660</v>
      </c>
      <c r="E833" t="s">
        <v>3813</v>
      </c>
      <c r="F833" t="s">
        <v>83</v>
      </c>
      <c r="G833" t="s">
        <v>103</v>
      </c>
      <c r="H833" t="s">
        <v>3808</v>
      </c>
      <c r="I833" t="s">
        <v>3821</v>
      </c>
      <c r="J833" t="s">
        <v>3827</v>
      </c>
      <c r="K833" t="s">
        <v>1218</v>
      </c>
      <c r="L833" s="13">
        <v>45084</v>
      </c>
      <c r="M833">
        <v>0</v>
      </c>
      <c r="N833" t="s">
        <v>88</v>
      </c>
      <c r="O833" t="s">
        <v>3854</v>
      </c>
      <c r="P833" t="s">
        <v>76</v>
      </c>
      <c r="Q833" t="s">
        <v>76</v>
      </c>
      <c r="R833" t="s">
        <v>76</v>
      </c>
      <c r="S833" t="s">
        <v>76</v>
      </c>
      <c r="T833" t="s">
        <v>76</v>
      </c>
      <c r="U833">
        <v>1</v>
      </c>
      <c r="V833" s="13">
        <v>45175</v>
      </c>
      <c r="W833">
        <v>1</v>
      </c>
      <c r="X833">
        <v>1</v>
      </c>
      <c r="Y833" t="s">
        <v>3661</v>
      </c>
      <c r="AC833">
        <v>2824</v>
      </c>
      <c r="AD833" t="e" vm="825">
        <v>#VALUE!</v>
      </c>
    </row>
    <row r="834" spans="2:30" x14ac:dyDescent="0.25">
      <c r="B834">
        <v>2825</v>
      </c>
      <c r="C834" t="s">
        <v>3659</v>
      </c>
      <c r="D834" t="s">
        <v>3660</v>
      </c>
      <c r="E834" t="s">
        <v>3813</v>
      </c>
      <c r="F834" t="s">
        <v>83</v>
      </c>
      <c r="G834" t="s">
        <v>103</v>
      </c>
      <c r="H834" t="s">
        <v>3808</v>
      </c>
      <c r="I834" t="s">
        <v>3821</v>
      </c>
      <c r="J834" t="s">
        <v>3827</v>
      </c>
      <c r="K834" t="s">
        <v>1218</v>
      </c>
      <c r="L834" s="13">
        <v>45112</v>
      </c>
      <c r="M834">
        <v>0</v>
      </c>
      <c r="N834" t="s">
        <v>88</v>
      </c>
      <c r="O834" t="s">
        <v>3854</v>
      </c>
      <c r="P834" t="s">
        <v>76</v>
      </c>
      <c r="Q834" t="s">
        <v>76</v>
      </c>
      <c r="R834" t="s">
        <v>76</v>
      </c>
      <c r="S834" t="s">
        <v>76</v>
      </c>
      <c r="T834" t="s">
        <v>76</v>
      </c>
      <c r="U834">
        <v>1</v>
      </c>
      <c r="V834" s="13">
        <v>45175</v>
      </c>
      <c r="W834">
        <v>1</v>
      </c>
      <c r="X834">
        <v>1</v>
      </c>
      <c r="Y834" t="s">
        <v>3661</v>
      </c>
      <c r="AC834">
        <v>2825</v>
      </c>
      <c r="AD834" t="e" vm="826">
        <v>#VALUE!</v>
      </c>
    </row>
    <row r="835" spans="2:30" x14ac:dyDescent="0.25">
      <c r="B835">
        <v>2826</v>
      </c>
      <c r="C835" t="s">
        <v>3659</v>
      </c>
      <c r="D835" t="s">
        <v>3660</v>
      </c>
      <c r="E835" t="s">
        <v>3813</v>
      </c>
      <c r="F835" t="s">
        <v>83</v>
      </c>
      <c r="G835" t="s">
        <v>103</v>
      </c>
      <c r="H835" t="s">
        <v>3808</v>
      </c>
      <c r="I835" t="s">
        <v>3821</v>
      </c>
      <c r="J835" t="s">
        <v>3827</v>
      </c>
      <c r="K835" t="s">
        <v>1218</v>
      </c>
      <c r="L835" s="13">
        <v>45041</v>
      </c>
      <c r="M835">
        <v>0</v>
      </c>
      <c r="N835" t="s">
        <v>88</v>
      </c>
      <c r="O835" t="s">
        <v>3854</v>
      </c>
      <c r="P835" t="s">
        <v>76</v>
      </c>
      <c r="Q835" t="s">
        <v>76</v>
      </c>
      <c r="R835" t="s">
        <v>76</v>
      </c>
      <c r="S835" t="s">
        <v>76</v>
      </c>
      <c r="T835" t="s">
        <v>76</v>
      </c>
      <c r="U835">
        <v>1</v>
      </c>
      <c r="V835" s="13">
        <v>45175</v>
      </c>
      <c r="W835">
        <v>1</v>
      </c>
      <c r="X835">
        <v>1</v>
      </c>
      <c r="Y835" t="s">
        <v>3661</v>
      </c>
      <c r="AC835">
        <v>2826</v>
      </c>
      <c r="AD835" t="e" vm="827">
        <v>#VALUE!</v>
      </c>
    </row>
    <row r="836" spans="2:30" x14ac:dyDescent="0.25">
      <c r="B836">
        <v>2827</v>
      </c>
      <c r="C836" t="s">
        <v>3659</v>
      </c>
      <c r="D836" t="s">
        <v>3660</v>
      </c>
      <c r="E836" t="s">
        <v>3813</v>
      </c>
      <c r="F836" t="s">
        <v>83</v>
      </c>
      <c r="G836" t="s">
        <v>103</v>
      </c>
      <c r="H836" t="s">
        <v>3808</v>
      </c>
      <c r="I836" t="s">
        <v>3821</v>
      </c>
      <c r="J836" t="s">
        <v>3827</v>
      </c>
      <c r="K836" t="s">
        <v>1218</v>
      </c>
      <c r="L836" s="13">
        <v>45027</v>
      </c>
      <c r="M836">
        <v>0</v>
      </c>
      <c r="N836" t="s">
        <v>88</v>
      </c>
      <c r="O836" t="s">
        <v>3854</v>
      </c>
      <c r="P836" t="s">
        <v>76</v>
      </c>
      <c r="Q836" t="s">
        <v>76</v>
      </c>
      <c r="R836" t="s">
        <v>76</v>
      </c>
      <c r="S836" t="s">
        <v>76</v>
      </c>
      <c r="T836" t="s">
        <v>76</v>
      </c>
      <c r="U836">
        <v>1</v>
      </c>
      <c r="V836" s="13">
        <v>45175</v>
      </c>
      <c r="W836">
        <v>1</v>
      </c>
      <c r="X836">
        <v>1</v>
      </c>
      <c r="Y836" t="s">
        <v>3661</v>
      </c>
      <c r="AC836">
        <v>2827</v>
      </c>
      <c r="AD836" t="e" vm="828">
        <v>#VALUE!</v>
      </c>
    </row>
    <row r="837" spans="2:30" x14ac:dyDescent="0.25">
      <c r="B837">
        <v>2828</v>
      </c>
      <c r="C837" t="s">
        <v>3659</v>
      </c>
      <c r="D837" t="s">
        <v>3660</v>
      </c>
      <c r="E837" t="s">
        <v>3813</v>
      </c>
      <c r="F837" t="s">
        <v>83</v>
      </c>
      <c r="G837" t="s">
        <v>103</v>
      </c>
      <c r="H837" t="s">
        <v>3808</v>
      </c>
      <c r="I837" t="s">
        <v>3821</v>
      </c>
      <c r="J837" t="s">
        <v>3827</v>
      </c>
      <c r="K837" t="s">
        <v>1218</v>
      </c>
      <c r="L837" s="13">
        <v>45089</v>
      </c>
      <c r="M837">
        <v>0</v>
      </c>
      <c r="N837" t="s">
        <v>88</v>
      </c>
      <c r="O837" t="s">
        <v>3854</v>
      </c>
      <c r="P837" t="s">
        <v>76</v>
      </c>
      <c r="Q837" t="s">
        <v>76</v>
      </c>
      <c r="R837" t="s">
        <v>76</v>
      </c>
      <c r="S837" t="s">
        <v>76</v>
      </c>
      <c r="T837" t="s">
        <v>76</v>
      </c>
      <c r="U837">
        <v>1</v>
      </c>
      <c r="V837" s="13">
        <v>45175</v>
      </c>
      <c r="W837">
        <v>1</v>
      </c>
      <c r="X837">
        <v>1</v>
      </c>
      <c r="Y837" t="s">
        <v>3661</v>
      </c>
      <c r="AC837">
        <v>2828</v>
      </c>
      <c r="AD837" t="e" vm="829">
        <v>#VALUE!</v>
      </c>
    </row>
    <row r="838" spans="2:30" x14ac:dyDescent="0.25">
      <c r="B838">
        <v>2829</v>
      </c>
      <c r="C838" t="s">
        <v>3659</v>
      </c>
      <c r="D838" t="s">
        <v>3660</v>
      </c>
      <c r="E838" t="s">
        <v>3813</v>
      </c>
      <c r="F838" t="s">
        <v>83</v>
      </c>
      <c r="G838" t="s">
        <v>103</v>
      </c>
      <c r="H838" t="s">
        <v>3808</v>
      </c>
      <c r="I838" t="s">
        <v>3821</v>
      </c>
      <c r="J838" t="s">
        <v>3827</v>
      </c>
      <c r="K838" t="s">
        <v>1218</v>
      </c>
      <c r="L838" s="13">
        <v>45083</v>
      </c>
      <c r="M838">
        <v>0</v>
      </c>
      <c r="N838" t="s">
        <v>88</v>
      </c>
      <c r="O838" t="s">
        <v>3854</v>
      </c>
      <c r="P838" t="s">
        <v>76</v>
      </c>
      <c r="Q838" t="s">
        <v>76</v>
      </c>
      <c r="R838" t="s">
        <v>76</v>
      </c>
      <c r="S838" t="s">
        <v>76</v>
      </c>
      <c r="T838" t="s">
        <v>76</v>
      </c>
      <c r="U838">
        <v>1</v>
      </c>
      <c r="V838" s="13">
        <v>45175</v>
      </c>
      <c r="W838">
        <v>1</v>
      </c>
      <c r="X838">
        <v>1</v>
      </c>
      <c r="Y838" t="s">
        <v>3661</v>
      </c>
      <c r="AC838">
        <v>2829</v>
      </c>
      <c r="AD838" t="e" vm="830">
        <v>#VALUE!</v>
      </c>
    </row>
    <row r="839" spans="2:30" x14ac:dyDescent="0.25">
      <c r="B839">
        <v>2830</v>
      </c>
      <c r="C839" t="s">
        <v>3659</v>
      </c>
      <c r="D839" t="s">
        <v>3660</v>
      </c>
      <c r="E839" t="s">
        <v>3813</v>
      </c>
      <c r="F839" t="s">
        <v>83</v>
      </c>
      <c r="G839" t="s">
        <v>103</v>
      </c>
      <c r="H839" t="s">
        <v>3808</v>
      </c>
      <c r="I839" t="s">
        <v>3821</v>
      </c>
      <c r="J839" t="s">
        <v>3827</v>
      </c>
      <c r="K839" t="s">
        <v>1218</v>
      </c>
      <c r="L839" s="13">
        <v>45068</v>
      </c>
      <c r="M839">
        <v>0</v>
      </c>
      <c r="N839" t="s">
        <v>88</v>
      </c>
      <c r="O839" t="s">
        <v>3854</v>
      </c>
      <c r="P839" t="s">
        <v>76</v>
      </c>
      <c r="Q839" t="s">
        <v>76</v>
      </c>
      <c r="R839" t="s">
        <v>76</v>
      </c>
      <c r="S839" t="s">
        <v>76</v>
      </c>
      <c r="T839" t="s">
        <v>76</v>
      </c>
      <c r="U839">
        <v>1</v>
      </c>
      <c r="V839" s="13">
        <v>45175</v>
      </c>
      <c r="W839">
        <v>1</v>
      </c>
      <c r="X839">
        <v>1</v>
      </c>
      <c r="Y839" t="s">
        <v>3661</v>
      </c>
      <c r="AC839">
        <v>2830</v>
      </c>
      <c r="AD839" t="e" vm="831">
        <v>#VALUE!</v>
      </c>
    </row>
    <row r="840" spans="2:30" x14ac:dyDescent="0.25">
      <c r="B840">
        <v>2831</v>
      </c>
      <c r="C840" t="s">
        <v>3659</v>
      </c>
      <c r="D840" t="s">
        <v>3660</v>
      </c>
      <c r="E840" t="s">
        <v>3813</v>
      </c>
      <c r="F840" t="s">
        <v>83</v>
      </c>
      <c r="G840" t="s">
        <v>103</v>
      </c>
      <c r="H840" t="s">
        <v>3808</v>
      </c>
      <c r="I840" t="s">
        <v>3821</v>
      </c>
      <c r="J840" t="s">
        <v>3827</v>
      </c>
      <c r="K840" t="s">
        <v>1218</v>
      </c>
      <c r="L840" s="13">
        <v>45068</v>
      </c>
      <c r="M840">
        <v>0</v>
      </c>
      <c r="N840" t="s">
        <v>88</v>
      </c>
      <c r="O840" t="s">
        <v>3854</v>
      </c>
      <c r="P840" t="s">
        <v>76</v>
      </c>
      <c r="Q840" t="s">
        <v>76</v>
      </c>
      <c r="R840" t="s">
        <v>76</v>
      </c>
      <c r="S840" t="s">
        <v>76</v>
      </c>
      <c r="T840" t="s">
        <v>76</v>
      </c>
      <c r="U840">
        <v>1</v>
      </c>
      <c r="V840" s="13">
        <v>45175</v>
      </c>
      <c r="W840">
        <v>1</v>
      </c>
      <c r="X840">
        <v>1</v>
      </c>
      <c r="Y840" t="s">
        <v>3661</v>
      </c>
      <c r="AC840">
        <v>2831</v>
      </c>
      <c r="AD840" t="e" vm="832">
        <v>#VALUE!</v>
      </c>
    </row>
    <row r="841" spans="2:30" x14ac:dyDescent="0.25">
      <c r="B841">
        <v>2832</v>
      </c>
      <c r="C841" t="s">
        <v>3659</v>
      </c>
      <c r="D841" t="s">
        <v>3660</v>
      </c>
      <c r="E841" t="s">
        <v>3813</v>
      </c>
      <c r="F841" t="s">
        <v>83</v>
      </c>
      <c r="G841" t="s">
        <v>103</v>
      </c>
      <c r="H841" t="s">
        <v>3808</v>
      </c>
      <c r="I841" t="s">
        <v>3821</v>
      </c>
      <c r="J841" t="s">
        <v>3827</v>
      </c>
      <c r="K841" t="s">
        <v>1218</v>
      </c>
      <c r="L841" s="13">
        <v>45089</v>
      </c>
      <c r="M841">
        <v>0</v>
      </c>
      <c r="N841" t="s">
        <v>88</v>
      </c>
      <c r="O841" t="s">
        <v>3854</v>
      </c>
      <c r="P841" t="s">
        <v>76</v>
      </c>
      <c r="Q841" t="s">
        <v>76</v>
      </c>
      <c r="R841" t="s">
        <v>76</v>
      </c>
      <c r="S841" t="s">
        <v>76</v>
      </c>
      <c r="T841" t="s">
        <v>76</v>
      </c>
      <c r="U841">
        <v>1</v>
      </c>
      <c r="V841" s="13">
        <v>45175</v>
      </c>
      <c r="W841">
        <v>1</v>
      </c>
      <c r="X841">
        <v>1</v>
      </c>
      <c r="Y841" t="s">
        <v>3661</v>
      </c>
      <c r="AC841">
        <v>2832</v>
      </c>
      <c r="AD841" t="e" vm="833">
        <v>#VALUE!</v>
      </c>
    </row>
    <row r="842" spans="2:30" x14ac:dyDescent="0.25">
      <c r="B842">
        <v>2833</v>
      </c>
      <c r="C842" t="s">
        <v>3659</v>
      </c>
      <c r="D842" t="s">
        <v>3660</v>
      </c>
      <c r="E842" t="s">
        <v>3813</v>
      </c>
      <c r="F842" t="s">
        <v>83</v>
      </c>
      <c r="G842" t="s">
        <v>103</v>
      </c>
      <c r="H842" t="s">
        <v>3808</v>
      </c>
      <c r="I842" t="s">
        <v>3821</v>
      </c>
      <c r="J842" t="s">
        <v>3827</v>
      </c>
      <c r="K842" t="s">
        <v>1218</v>
      </c>
      <c r="L842" s="13">
        <v>45058</v>
      </c>
      <c r="M842">
        <v>0</v>
      </c>
      <c r="N842" t="s">
        <v>88</v>
      </c>
      <c r="O842" t="s">
        <v>3854</v>
      </c>
      <c r="P842" t="s">
        <v>76</v>
      </c>
      <c r="Q842" t="s">
        <v>76</v>
      </c>
      <c r="R842" t="s">
        <v>76</v>
      </c>
      <c r="S842" t="s">
        <v>76</v>
      </c>
      <c r="T842" t="s">
        <v>76</v>
      </c>
      <c r="U842">
        <v>1</v>
      </c>
      <c r="V842" s="13">
        <v>45175</v>
      </c>
      <c r="W842">
        <v>1</v>
      </c>
      <c r="X842">
        <v>1</v>
      </c>
      <c r="Y842" t="s">
        <v>3661</v>
      </c>
      <c r="AC842">
        <v>2833</v>
      </c>
      <c r="AD842" t="e" vm="834">
        <v>#VALUE!</v>
      </c>
    </row>
    <row r="843" spans="2:30" x14ac:dyDescent="0.25">
      <c r="B843">
        <v>2834</v>
      </c>
      <c r="C843" t="s">
        <v>3659</v>
      </c>
      <c r="D843" t="s">
        <v>3660</v>
      </c>
      <c r="E843" t="s">
        <v>3813</v>
      </c>
      <c r="F843" t="s">
        <v>83</v>
      </c>
      <c r="G843" t="s">
        <v>103</v>
      </c>
      <c r="H843" t="s">
        <v>3808</v>
      </c>
      <c r="I843" t="s">
        <v>3821</v>
      </c>
      <c r="J843" t="s">
        <v>3827</v>
      </c>
      <c r="K843" t="s">
        <v>1218</v>
      </c>
      <c r="L843" s="13">
        <v>45084</v>
      </c>
      <c r="M843">
        <v>0</v>
      </c>
      <c r="N843" t="s">
        <v>88</v>
      </c>
      <c r="O843" t="s">
        <v>3854</v>
      </c>
      <c r="P843" t="s">
        <v>76</v>
      </c>
      <c r="Q843" t="s">
        <v>76</v>
      </c>
      <c r="R843" t="s">
        <v>76</v>
      </c>
      <c r="S843" t="s">
        <v>76</v>
      </c>
      <c r="T843" t="s">
        <v>76</v>
      </c>
      <c r="U843">
        <v>1</v>
      </c>
      <c r="V843" s="13">
        <v>45175</v>
      </c>
      <c r="W843">
        <v>1</v>
      </c>
      <c r="X843">
        <v>1</v>
      </c>
      <c r="Y843" t="s">
        <v>3661</v>
      </c>
      <c r="AC843">
        <v>2834</v>
      </c>
      <c r="AD843" t="e" vm="835">
        <v>#VALUE!</v>
      </c>
    </row>
    <row r="844" spans="2:30" x14ac:dyDescent="0.25">
      <c r="B844">
        <v>2835</v>
      </c>
      <c r="C844" t="s">
        <v>75</v>
      </c>
      <c r="D844" t="s">
        <v>73</v>
      </c>
      <c r="E844" t="s">
        <v>73</v>
      </c>
      <c r="F844" t="s">
        <v>3816</v>
      </c>
      <c r="G844" t="s">
        <v>3816</v>
      </c>
      <c r="H844" t="s">
        <v>3808</v>
      </c>
      <c r="I844" t="s">
        <v>3821</v>
      </c>
      <c r="J844" t="s">
        <v>3827</v>
      </c>
      <c r="K844" t="s">
        <v>1218</v>
      </c>
      <c r="L844" s="13">
        <v>401768</v>
      </c>
      <c r="N844" t="s">
        <v>74</v>
      </c>
      <c r="O844" t="s">
        <v>3854</v>
      </c>
      <c r="P844" t="s">
        <v>76</v>
      </c>
      <c r="Q844" t="s">
        <v>76</v>
      </c>
      <c r="R844" t="s">
        <v>76</v>
      </c>
      <c r="S844" t="s">
        <v>76</v>
      </c>
      <c r="T844" t="s">
        <v>76</v>
      </c>
      <c r="U844">
        <v>1</v>
      </c>
      <c r="V844" s="13">
        <v>45175</v>
      </c>
      <c r="W844">
        <v>1</v>
      </c>
      <c r="X844">
        <v>1</v>
      </c>
      <c r="Y844" t="s">
        <v>3720</v>
      </c>
      <c r="AC844">
        <v>2835</v>
      </c>
      <c r="AD844" t="e" vm="836">
        <v>#VALUE!</v>
      </c>
    </row>
    <row r="845" spans="2:30" x14ac:dyDescent="0.25">
      <c r="B845">
        <v>2836</v>
      </c>
      <c r="C845" t="s">
        <v>75</v>
      </c>
      <c r="D845" t="s">
        <v>73</v>
      </c>
      <c r="E845" t="s">
        <v>73</v>
      </c>
      <c r="F845" t="s">
        <v>3816</v>
      </c>
      <c r="G845" t="s">
        <v>3816</v>
      </c>
      <c r="H845" t="s">
        <v>3808</v>
      </c>
      <c r="I845" t="s">
        <v>3821</v>
      </c>
      <c r="J845" t="s">
        <v>3827</v>
      </c>
      <c r="K845" t="s">
        <v>1218</v>
      </c>
      <c r="L845" s="13">
        <v>401768</v>
      </c>
      <c r="N845" t="s">
        <v>74</v>
      </c>
      <c r="O845" t="s">
        <v>3854</v>
      </c>
      <c r="P845" t="s">
        <v>76</v>
      </c>
      <c r="Q845" t="s">
        <v>76</v>
      </c>
      <c r="R845" t="s">
        <v>76</v>
      </c>
      <c r="S845" t="s">
        <v>76</v>
      </c>
      <c r="T845" t="s">
        <v>76</v>
      </c>
      <c r="U845">
        <v>1</v>
      </c>
      <c r="V845" s="13">
        <v>45175</v>
      </c>
      <c r="W845">
        <v>1</v>
      </c>
      <c r="X845">
        <v>1</v>
      </c>
      <c r="Y845" t="s">
        <v>3720</v>
      </c>
      <c r="AC845">
        <v>2836</v>
      </c>
      <c r="AD845" t="e" vm="837">
        <v>#VALUE!</v>
      </c>
    </row>
    <row r="846" spans="2:30" x14ac:dyDescent="0.25">
      <c r="B846">
        <v>2837</v>
      </c>
      <c r="C846" t="s">
        <v>3646</v>
      </c>
      <c r="D846" t="s">
        <v>3649</v>
      </c>
      <c r="E846" t="s">
        <v>3812</v>
      </c>
      <c r="F846" t="s">
        <v>85</v>
      </c>
      <c r="G846" t="s">
        <v>112</v>
      </c>
      <c r="H846" t="s">
        <v>3808</v>
      </c>
      <c r="I846" t="s">
        <v>3821</v>
      </c>
      <c r="J846" t="s">
        <v>3827</v>
      </c>
      <c r="K846" t="s">
        <v>1218</v>
      </c>
      <c r="L846" s="13">
        <v>45103</v>
      </c>
      <c r="M846">
        <v>0</v>
      </c>
      <c r="N846" t="s">
        <v>90</v>
      </c>
      <c r="O846" t="s">
        <v>3854</v>
      </c>
      <c r="P846" t="s">
        <v>76</v>
      </c>
      <c r="Q846" t="s">
        <v>76</v>
      </c>
      <c r="R846" t="s">
        <v>76</v>
      </c>
      <c r="S846" t="s">
        <v>76</v>
      </c>
      <c r="T846" t="s">
        <v>76</v>
      </c>
      <c r="U846">
        <v>1</v>
      </c>
      <c r="V846" s="13">
        <v>45175</v>
      </c>
      <c r="W846">
        <v>1</v>
      </c>
      <c r="X846">
        <v>1</v>
      </c>
      <c r="Y846" t="s">
        <v>3650</v>
      </c>
      <c r="AC846">
        <v>2837</v>
      </c>
      <c r="AD846" t="e" vm="838">
        <v>#VALUE!</v>
      </c>
    </row>
    <row r="847" spans="2:30" x14ac:dyDescent="0.25">
      <c r="B847">
        <v>2838</v>
      </c>
      <c r="C847" t="s">
        <v>3646</v>
      </c>
      <c r="D847" t="s">
        <v>73</v>
      </c>
      <c r="E847" t="s">
        <v>73</v>
      </c>
      <c r="F847" t="s">
        <v>3816</v>
      </c>
      <c r="G847" t="s">
        <v>3816</v>
      </c>
      <c r="H847" t="s">
        <v>3808</v>
      </c>
      <c r="I847" t="s">
        <v>3821</v>
      </c>
      <c r="J847" t="s">
        <v>3827</v>
      </c>
      <c r="K847" t="s">
        <v>1218</v>
      </c>
      <c r="L847" s="13">
        <v>45114</v>
      </c>
      <c r="M847">
        <v>0</v>
      </c>
      <c r="N847" t="s">
        <v>90</v>
      </c>
      <c r="O847" t="s">
        <v>3854</v>
      </c>
      <c r="P847" t="s">
        <v>76</v>
      </c>
      <c r="Q847" t="s">
        <v>76</v>
      </c>
      <c r="R847" t="s">
        <v>76</v>
      </c>
      <c r="S847" t="s">
        <v>76</v>
      </c>
      <c r="T847" t="s">
        <v>76</v>
      </c>
      <c r="U847">
        <v>1</v>
      </c>
      <c r="V847" s="13">
        <v>45175</v>
      </c>
      <c r="W847">
        <v>1</v>
      </c>
      <c r="X847">
        <v>1</v>
      </c>
      <c r="Y847" t="s">
        <v>3667</v>
      </c>
      <c r="AC847">
        <v>2838</v>
      </c>
      <c r="AD847" t="e" vm="839">
        <v>#VALUE!</v>
      </c>
    </row>
    <row r="848" spans="2:30" x14ac:dyDescent="0.25">
      <c r="B848">
        <v>2839</v>
      </c>
      <c r="C848" t="s">
        <v>3646</v>
      </c>
      <c r="D848" t="s">
        <v>3649</v>
      </c>
      <c r="E848" t="s">
        <v>3812</v>
      </c>
      <c r="F848" t="s">
        <v>85</v>
      </c>
      <c r="G848" t="s">
        <v>112</v>
      </c>
      <c r="H848" t="s">
        <v>3808</v>
      </c>
      <c r="I848" t="s">
        <v>3821</v>
      </c>
      <c r="J848" t="s">
        <v>3827</v>
      </c>
      <c r="K848" t="s">
        <v>1218</v>
      </c>
      <c r="L848" s="13">
        <v>45114</v>
      </c>
      <c r="M848">
        <v>0</v>
      </c>
      <c r="N848" t="s">
        <v>90</v>
      </c>
      <c r="O848" t="s">
        <v>3854</v>
      </c>
      <c r="P848" t="s">
        <v>76</v>
      </c>
      <c r="Q848" t="s">
        <v>76</v>
      </c>
      <c r="R848" t="s">
        <v>76</v>
      </c>
      <c r="S848" t="s">
        <v>76</v>
      </c>
      <c r="T848" t="s">
        <v>76</v>
      </c>
      <c r="U848">
        <v>1</v>
      </c>
      <c r="V848" s="13">
        <v>45175</v>
      </c>
      <c r="W848">
        <v>1</v>
      </c>
      <c r="X848">
        <v>1</v>
      </c>
      <c r="Y848" t="s">
        <v>3650</v>
      </c>
      <c r="AC848">
        <v>2839</v>
      </c>
      <c r="AD848" t="e" vm="840">
        <v>#VALUE!</v>
      </c>
    </row>
    <row r="849" spans="2:30" x14ac:dyDescent="0.25">
      <c r="B849">
        <v>2840</v>
      </c>
      <c r="C849" t="s">
        <v>3646</v>
      </c>
      <c r="D849" t="s">
        <v>3649</v>
      </c>
      <c r="E849" t="s">
        <v>3812</v>
      </c>
      <c r="F849" t="s">
        <v>85</v>
      </c>
      <c r="G849" t="s">
        <v>112</v>
      </c>
      <c r="H849" t="s">
        <v>3808</v>
      </c>
      <c r="I849" t="s">
        <v>3821</v>
      </c>
      <c r="J849" t="s">
        <v>3827</v>
      </c>
      <c r="K849" t="s">
        <v>1218</v>
      </c>
      <c r="L849" s="13">
        <v>45120</v>
      </c>
      <c r="M849">
        <v>0</v>
      </c>
      <c r="N849" t="s">
        <v>90</v>
      </c>
      <c r="O849" t="s">
        <v>3854</v>
      </c>
      <c r="P849" t="s">
        <v>76</v>
      </c>
      <c r="Q849" t="s">
        <v>76</v>
      </c>
      <c r="R849" t="s">
        <v>76</v>
      </c>
      <c r="S849" t="s">
        <v>76</v>
      </c>
      <c r="T849" t="s">
        <v>76</v>
      </c>
      <c r="U849">
        <v>1</v>
      </c>
      <c r="V849" s="13">
        <v>45175</v>
      </c>
      <c r="W849">
        <v>1</v>
      </c>
      <c r="X849">
        <v>1</v>
      </c>
      <c r="Y849" t="s">
        <v>3650</v>
      </c>
      <c r="AC849">
        <v>2840</v>
      </c>
      <c r="AD849" t="e" vm="841">
        <v>#VALUE!</v>
      </c>
    </row>
    <row r="850" spans="2:30" x14ac:dyDescent="0.25">
      <c r="B850">
        <v>2841</v>
      </c>
      <c r="C850" t="s">
        <v>3646</v>
      </c>
      <c r="D850" t="s">
        <v>3649</v>
      </c>
      <c r="E850" t="s">
        <v>3812</v>
      </c>
      <c r="F850" t="s">
        <v>85</v>
      </c>
      <c r="G850" t="s">
        <v>112</v>
      </c>
      <c r="H850" t="s">
        <v>3808</v>
      </c>
      <c r="I850" t="s">
        <v>3821</v>
      </c>
      <c r="J850" t="s">
        <v>3827</v>
      </c>
      <c r="K850" t="s">
        <v>1218</v>
      </c>
      <c r="L850" s="13">
        <v>45072</v>
      </c>
      <c r="M850">
        <v>0</v>
      </c>
      <c r="N850" t="s">
        <v>90</v>
      </c>
      <c r="O850" t="s">
        <v>3854</v>
      </c>
      <c r="P850" t="s">
        <v>76</v>
      </c>
      <c r="Q850" t="s">
        <v>76</v>
      </c>
      <c r="R850" t="s">
        <v>76</v>
      </c>
      <c r="S850" t="s">
        <v>76</v>
      </c>
      <c r="T850" t="s">
        <v>76</v>
      </c>
      <c r="U850">
        <v>1</v>
      </c>
      <c r="V850" s="13">
        <v>45175</v>
      </c>
      <c r="W850">
        <v>1</v>
      </c>
      <c r="X850">
        <v>1</v>
      </c>
      <c r="Y850" t="s">
        <v>3650</v>
      </c>
      <c r="AC850">
        <v>2841</v>
      </c>
      <c r="AD850" t="e" vm="842">
        <v>#VALUE!</v>
      </c>
    </row>
    <row r="851" spans="2:30" x14ac:dyDescent="0.25">
      <c r="B851">
        <v>2842</v>
      </c>
      <c r="C851" t="s">
        <v>3646</v>
      </c>
      <c r="D851" t="s">
        <v>73</v>
      </c>
      <c r="E851" t="s">
        <v>73</v>
      </c>
      <c r="F851" t="s">
        <v>3816</v>
      </c>
      <c r="G851" t="s">
        <v>3816</v>
      </c>
      <c r="H851" t="s">
        <v>3808</v>
      </c>
      <c r="I851" t="s">
        <v>3821</v>
      </c>
      <c r="J851" t="s">
        <v>3827</v>
      </c>
      <c r="K851" t="s">
        <v>1218</v>
      </c>
      <c r="L851" s="13">
        <v>45162</v>
      </c>
      <c r="M851">
        <v>0</v>
      </c>
      <c r="N851" t="s">
        <v>90</v>
      </c>
      <c r="O851" t="s">
        <v>3854</v>
      </c>
      <c r="P851" t="s">
        <v>76</v>
      </c>
      <c r="Q851" t="s">
        <v>76</v>
      </c>
      <c r="R851" t="s">
        <v>76</v>
      </c>
      <c r="S851" t="s">
        <v>76</v>
      </c>
      <c r="T851" t="s">
        <v>76</v>
      </c>
      <c r="U851">
        <v>1</v>
      </c>
      <c r="V851" s="13">
        <v>45175</v>
      </c>
      <c r="W851">
        <v>1</v>
      </c>
      <c r="X851">
        <v>1</v>
      </c>
      <c r="Y851" t="s">
        <v>3667</v>
      </c>
      <c r="AC851">
        <v>2842</v>
      </c>
      <c r="AD851" t="e" vm="843">
        <v>#VALUE!</v>
      </c>
    </row>
    <row r="852" spans="2:30" x14ac:dyDescent="0.25">
      <c r="B852">
        <v>2843</v>
      </c>
      <c r="C852" t="s">
        <v>75</v>
      </c>
      <c r="D852" t="s">
        <v>73</v>
      </c>
      <c r="E852" t="s">
        <v>73</v>
      </c>
      <c r="F852" t="s">
        <v>3816</v>
      </c>
      <c r="G852" t="s">
        <v>3816</v>
      </c>
      <c r="H852" t="s">
        <v>3808</v>
      </c>
      <c r="I852" t="s">
        <v>3821</v>
      </c>
      <c r="J852" t="s">
        <v>3827</v>
      </c>
      <c r="K852" t="s">
        <v>1218</v>
      </c>
      <c r="L852" s="13">
        <v>401768</v>
      </c>
      <c r="N852" t="s">
        <v>74</v>
      </c>
      <c r="O852" t="s">
        <v>3854</v>
      </c>
      <c r="P852" t="s">
        <v>76</v>
      </c>
      <c r="Q852" t="s">
        <v>76</v>
      </c>
      <c r="R852" t="s">
        <v>76</v>
      </c>
      <c r="S852" t="s">
        <v>76</v>
      </c>
      <c r="T852" t="s">
        <v>76</v>
      </c>
      <c r="U852">
        <v>1</v>
      </c>
      <c r="V852" s="13">
        <v>45175</v>
      </c>
      <c r="W852">
        <v>1</v>
      </c>
      <c r="X852">
        <v>1</v>
      </c>
      <c r="Y852" t="s">
        <v>3720</v>
      </c>
      <c r="AC852">
        <v>2843</v>
      </c>
      <c r="AD852" t="e" vm="844">
        <v>#VALUE!</v>
      </c>
    </row>
    <row r="853" spans="2:30" x14ac:dyDescent="0.25">
      <c r="B853">
        <v>2844</v>
      </c>
      <c r="C853" t="s">
        <v>75</v>
      </c>
      <c r="D853" t="s">
        <v>73</v>
      </c>
      <c r="E853" t="s">
        <v>73</v>
      </c>
      <c r="F853" t="s">
        <v>3816</v>
      </c>
      <c r="G853" t="s">
        <v>3816</v>
      </c>
      <c r="H853" t="s">
        <v>3808</v>
      </c>
      <c r="I853" t="s">
        <v>3821</v>
      </c>
      <c r="J853" t="s">
        <v>3827</v>
      </c>
      <c r="K853" t="s">
        <v>1218</v>
      </c>
      <c r="L853" s="13">
        <v>401768</v>
      </c>
      <c r="N853" t="s">
        <v>74</v>
      </c>
      <c r="O853" t="s">
        <v>3854</v>
      </c>
      <c r="P853" t="s">
        <v>76</v>
      </c>
      <c r="Q853" t="s">
        <v>76</v>
      </c>
      <c r="R853" t="s">
        <v>76</v>
      </c>
      <c r="S853" t="s">
        <v>76</v>
      </c>
      <c r="T853" t="s">
        <v>76</v>
      </c>
      <c r="U853">
        <v>1</v>
      </c>
      <c r="V853" s="13">
        <v>45175</v>
      </c>
      <c r="W853">
        <v>1</v>
      </c>
      <c r="X853">
        <v>1</v>
      </c>
      <c r="Y853" t="s">
        <v>3720</v>
      </c>
      <c r="AC853">
        <v>2844</v>
      </c>
      <c r="AD853" t="e" vm="845">
        <v>#VALUE!</v>
      </c>
    </row>
    <row r="854" spans="2:30" x14ac:dyDescent="0.25">
      <c r="B854">
        <v>2845</v>
      </c>
      <c r="C854" t="s">
        <v>75</v>
      </c>
      <c r="D854" t="s">
        <v>73</v>
      </c>
      <c r="E854" t="s">
        <v>73</v>
      </c>
      <c r="F854" t="s">
        <v>3816</v>
      </c>
      <c r="G854" t="s">
        <v>3816</v>
      </c>
      <c r="H854" t="s">
        <v>3808</v>
      </c>
      <c r="I854" t="s">
        <v>3821</v>
      </c>
      <c r="J854" t="s">
        <v>3827</v>
      </c>
      <c r="K854" t="s">
        <v>1218</v>
      </c>
      <c r="L854" s="13">
        <v>401768</v>
      </c>
      <c r="N854" t="s">
        <v>74</v>
      </c>
      <c r="O854" t="s">
        <v>3854</v>
      </c>
      <c r="P854" t="s">
        <v>76</v>
      </c>
      <c r="Q854" t="s">
        <v>76</v>
      </c>
      <c r="R854" t="s">
        <v>76</v>
      </c>
      <c r="S854" t="s">
        <v>76</v>
      </c>
      <c r="T854" t="s">
        <v>76</v>
      </c>
      <c r="U854">
        <v>1</v>
      </c>
      <c r="V854" s="13">
        <v>45175</v>
      </c>
      <c r="W854">
        <v>1</v>
      </c>
      <c r="X854">
        <v>1</v>
      </c>
      <c r="Y854" t="s">
        <v>3720</v>
      </c>
      <c r="AC854">
        <v>2845</v>
      </c>
      <c r="AD854" t="e" vm="846">
        <v>#VALUE!</v>
      </c>
    </row>
    <row r="855" spans="2:30" x14ac:dyDescent="0.25">
      <c r="B855">
        <v>2846</v>
      </c>
      <c r="C855" t="s">
        <v>75</v>
      </c>
      <c r="D855" t="s">
        <v>73</v>
      </c>
      <c r="E855" t="s">
        <v>73</v>
      </c>
      <c r="F855" t="s">
        <v>3816</v>
      </c>
      <c r="G855" t="s">
        <v>3816</v>
      </c>
      <c r="H855" t="s">
        <v>3808</v>
      </c>
      <c r="I855" t="s">
        <v>3821</v>
      </c>
      <c r="J855" t="s">
        <v>3827</v>
      </c>
      <c r="K855" t="s">
        <v>1218</v>
      </c>
      <c r="L855" s="13">
        <v>401768</v>
      </c>
      <c r="N855" t="s">
        <v>74</v>
      </c>
      <c r="O855" t="s">
        <v>3854</v>
      </c>
      <c r="P855" t="s">
        <v>76</v>
      </c>
      <c r="Q855" t="s">
        <v>76</v>
      </c>
      <c r="R855" t="s">
        <v>76</v>
      </c>
      <c r="S855" t="s">
        <v>76</v>
      </c>
      <c r="T855" t="s">
        <v>76</v>
      </c>
      <c r="U855">
        <v>1</v>
      </c>
      <c r="V855" s="13">
        <v>45175</v>
      </c>
      <c r="W855">
        <v>1</v>
      </c>
      <c r="X855">
        <v>1</v>
      </c>
      <c r="Y855" t="s">
        <v>3720</v>
      </c>
      <c r="AC855">
        <v>2846</v>
      </c>
      <c r="AD855" t="e" vm="847">
        <v>#VALUE!</v>
      </c>
    </row>
    <row r="856" spans="2:30" x14ac:dyDescent="0.25">
      <c r="B856">
        <v>2847</v>
      </c>
      <c r="C856" t="s">
        <v>75</v>
      </c>
      <c r="D856" t="s">
        <v>73</v>
      </c>
      <c r="E856" t="s">
        <v>73</v>
      </c>
      <c r="F856" t="s">
        <v>3816</v>
      </c>
      <c r="G856" t="s">
        <v>3816</v>
      </c>
      <c r="H856" t="s">
        <v>3808</v>
      </c>
      <c r="I856" t="s">
        <v>3821</v>
      </c>
      <c r="J856" t="s">
        <v>3827</v>
      </c>
      <c r="K856" t="s">
        <v>1218</v>
      </c>
      <c r="L856" s="13">
        <v>401768</v>
      </c>
      <c r="N856" t="s">
        <v>74</v>
      </c>
      <c r="O856" t="s">
        <v>3854</v>
      </c>
      <c r="P856" t="s">
        <v>76</v>
      </c>
      <c r="Q856" t="s">
        <v>76</v>
      </c>
      <c r="R856" t="s">
        <v>76</v>
      </c>
      <c r="S856" t="s">
        <v>76</v>
      </c>
      <c r="T856" t="s">
        <v>76</v>
      </c>
      <c r="U856">
        <v>1</v>
      </c>
      <c r="V856" s="13">
        <v>45175</v>
      </c>
      <c r="W856">
        <v>1</v>
      </c>
      <c r="X856">
        <v>1</v>
      </c>
      <c r="Y856" t="s">
        <v>3720</v>
      </c>
      <c r="AC856">
        <v>2847</v>
      </c>
      <c r="AD856" t="e" vm="848">
        <v>#VALUE!</v>
      </c>
    </row>
    <row r="857" spans="2:30" x14ac:dyDescent="0.25">
      <c r="B857">
        <v>2848</v>
      </c>
      <c r="C857" t="s">
        <v>75</v>
      </c>
      <c r="D857" t="s">
        <v>73</v>
      </c>
      <c r="E857" t="s">
        <v>73</v>
      </c>
      <c r="F857" t="s">
        <v>3816</v>
      </c>
      <c r="G857" t="s">
        <v>3816</v>
      </c>
      <c r="H857" t="s">
        <v>3808</v>
      </c>
      <c r="I857" t="s">
        <v>3821</v>
      </c>
      <c r="J857" t="s">
        <v>3827</v>
      </c>
      <c r="K857" t="s">
        <v>1218</v>
      </c>
      <c r="L857" s="13">
        <v>401768</v>
      </c>
      <c r="N857" t="s">
        <v>74</v>
      </c>
      <c r="O857" t="s">
        <v>3854</v>
      </c>
      <c r="P857" t="s">
        <v>76</v>
      </c>
      <c r="Q857" t="s">
        <v>76</v>
      </c>
      <c r="R857" t="s">
        <v>76</v>
      </c>
      <c r="S857" t="s">
        <v>76</v>
      </c>
      <c r="T857" t="s">
        <v>76</v>
      </c>
      <c r="U857">
        <v>1</v>
      </c>
      <c r="V857" s="13">
        <v>45175</v>
      </c>
      <c r="W857">
        <v>1</v>
      </c>
      <c r="X857">
        <v>1</v>
      </c>
      <c r="Y857" t="s">
        <v>3720</v>
      </c>
      <c r="AC857">
        <v>2848</v>
      </c>
      <c r="AD857" t="e" vm="849">
        <v>#VALUE!</v>
      </c>
    </row>
    <row r="858" spans="2:30" x14ac:dyDescent="0.25">
      <c r="B858">
        <v>2849</v>
      </c>
      <c r="C858" t="s">
        <v>75</v>
      </c>
      <c r="D858" t="s">
        <v>73</v>
      </c>
      <c r="E858" t="s">
        <v>73</v>
      </c>
      <c r="F858" t="s">
        <v>3816</v>
      </c>
      <c r="G858" t="s">
        <v>3816</v>
      </c>
      <c r="H858" t="s">
        <v>3808</v>
      </c>
      <c r="I858" t="s">
        <v>3821</v>
      </c>
      <c r="J858" t="s">
        <v>3827</v>
      </c>
      <c r="K858" t="s">
        <v>1218</v>
      </c>
      <c r="L858" s="13">
        <v>401768</v>
      </c>
      <c r="N858" t="s">
        <v>74</v>
      </c>
      <c r="O858" t="s">
        <v>3854</v>
      </c>
      <c r="P858" t="s">
        <v>76</v>
      </c>
      <c r="Q858" t="s">
        <v>76</v>
      </c>
      <c r="R858" t="s">
        <v>76</v>
      </c>
      <c r="S858" t="s">
        <v>76</v>
      </c>
      <c r="T858" t="s">
        <v>76</v>
      </c>
      <c r="U858">
        <v>1</v>
      </c>
      <c r="V858" s="13">
        <v>45175</v>
      </c>
      <c r="W858">
        <v>1</v>
      </c>
      <c r="X858">
        <v>1</v>
      </c>
      <c r="Y858" t="s">
        <v>3720</v>
      </c>
      <c r="AC858">
        <v>2849</v>
      </c>
      <c r="AD858" t="e" vm="850">
        <v>#VALUE!</v>
      </c>
    </row>
    <row r="859" spans="2:30" x14ac:dyDescent="0.25">
      <c r="B859">
        <v>2850</v>
      </c>
      <c r="C859" t="s">
        <v>75</v>
      </c>
      <c r="D859" t="s">
        <v>73</v>
      </c>
      <c r="E859" t="s">
        <v>73</v>
      </c>
      <c r="F859" t="s">
        <v>3816</v>
      </c>
      <c r="G859" t="s">
        <v>3816</v>
      </c>
      <c r="H859" t="s">
        <v>3808</v>
      </c>
      <c r="I859" t="s">
        <v>3821</v>
      </c>
      <c r="J859" t="s">
        <v>3827</v>
      </c>
      <c r="K859" t="s">
        <v>1218</v>
      </c>
      <c r="L859" s="13">
        <v>401768</v>
      </c>
      <c r="N859" t="s">
        <v>74</v>
      </c>
      <c r="O859" t="s">
        <v>3854</v>
      </c>
      <c r="P859" t="s">
        <v>76</v>
      </c>
      <c r="Q859" t="s">
        <v>76</v>
      </c>
      <c r="R859" t="s">
        <v>76</v>
      </c>
      <c r="S859" t="s">
        <v>76</v>
      </c>
      <c r="T859" t="s">
        <v>76</v>
      </c>
      <c r="U859">
        <v>1</v>
      </c>
      <c r="V859" s="13">
        <v>45175</v>
      </c>
      <c r="W859">
        <v>1</v>
      </c>
      <c r="X859">
        <v>1</v>
      </c>
      <c r="Y859" t="s">
        <v>3720</v>
      </c>
      <c r="AC859">
        <v>2850</v>
      </c>
      <c r="AD859" t="e" vm="851">
        <v>#VALUE!</v>
      </c>
    </row>
    <row r="860" spans="2:30" x14ac:dyDescent="0.25">
      <c r="B860">
        <v>2851</v>
      </c>
      <c r="C860" t="s">
        <v>75</v>
      </c>
      <c r="D860" t="s">
        <v>73</v>
      </c>
      <c r="E860" t="s">
        <v>73</v>
      </c>
      <c r="F860" t="s">
        <v>3816</v>
      </c>
      <c r="G860" t="s">
        <v>3816</v>
      </c>
      <c r="H860" t="s">
        <v>3808</v>
      </c>
      <c r="I860" t="s">
        <v>3821</v>
      </c>
      <c r="J860" t="s">
        <v>3827</v>
      </c>
      <c r="K860" t="s">
        <v>1218</v>
      </c>
      <c r="L860" s="13">
        <v>401768</v>
      </c>
      <c r="N860" t="s">
        <v>74</v>
      </c>
      <c r="O860" t="s">
        <v>3854</v>
      </c>
      <c r="P860" t="s">
        <v>76</v>
      </c>
      <c r="Q860" t="s">
        <v>76</v>
      </c>
      <c r="R860" t="s">
        <v>76</v>
      </c>
      <c r="S860" t="s">
        <v>76</v>
      </c>
      <c r="T860" t="s">
        <v>76</v>
      </c>
      <c r="U860">
        <v>1</v>
      </c>
      <c r="V860" s="13">
        <v>45175</v>
      </c>
      <c r="W860">
        <v>1</v>
      </c>
      <c r="X860">
        <v>1</v>
      </c>
      <c r="Y860" t="s">
        <v>3720</v>
      </c>
      <c r="AC860">
        <v>2851</v>
      </c>
      <c r="AD860" t="e" vm="852">
        <v>#VALUE!</v>
      </c>
    </row>
    <row r="861" spans="2:30" x14ac:dyDescent="0.25">
      <c r="B861">
        <v>2852</v>
      </c>
      <c r="C861" t="s">
        <v>75</v>
      </c>
      <c r="D861" t="s">
        <v>73</v>
      </c>
      <c r="E861" t="s">
        <v>73</v>
      </c>
      <c r="F861" t="s">
        <v>3816</v>
      </c>
      <c r="G861" t="s">
        <v>3816</v>
      </c>
      <c r="H861" t="s">
        <v>3808</v>
      </c>
      <c r="I861" t="s">
        <v>3821</v>
      </c>
      <c r="J861" t="s">
        <v>3827</v>
      </c>
      <c r="K861" t="s">
        <v>1218</v>
      </c>
      <c r="L861" s="13">
        <v>401768</v>
      </c>
      <c r="N861" t="s">
        <v>74</v>
      </c>
      <c r="O861" t="s">
        <v>3854</v>
      </c>
      <c r="P861" t="s">
        <v>76</v>
      </c>
      <c r="Q861" t="s">
        <v>76</v>
      </c>
      <c r="R861" t="s">
        <v>76</v>
      </c>
      <c r="S861" t="s">
        <v>76</v>
      </c>
      <c r="T861" t="s">
        <v>76</v>
      </c>
      <c r="U861">
        <v>1</v>
      </c>
      <c r="V861" s="13">
        <v>45175</v>
      </c>
      <c r="W861">
        <v>1</v>
      </c>
      <c r="X861">
        <v>1</v>
      </c>
      <c r="Y861" t="s">
        <v>3720</v>
      </c>
      <c r="AC861">
        <v>2852</v>
      </c>
      <c r="AD861" t="e" vm="853">
        <v>#VALUE!</v>
      </c>
    </row>
    <row r="862" spans="2:30" x14ac:dyDescent="0.25">
      <c r="B862">
        <v>2853</v>
      </c>
      <c r="C862" t="s">
        <v>75</v>
      </c>
      <c r="D862" t="s">
        <v>73</v>
      </c>
      <c r="E862" t="s">
        <v>73</v>
      </c>
      <c r="F862" t="s">
        <v>3816</v>
      </c>
      <c r="G862" t="s">
        <v>3816</v>
      </c>
      <c r="H862" t="s">
        <v>3808</v>
      </c>
      <c r="I862" t="s">
        <v>3821</v>
      </c>
      <c r="J862" t="s">
        <v>3827</v>
      </c>
      <c r="K862" t="s">
        <v>1218</v>
      </c>
      <c r="L862" s="13">
        <v>401768</v>
      </c>
      <c r="N862" t="s">
        <v>74</v>
      </c>
      <c r="O862" t="s">
        <v>3854</v>
      </c>
      <c r="P862" t="s">
        <v>76</v>
      </c>
      <c r="Q862" t="s">
        <v>76</v>
      </c>
      <c r="R862" t="s">
        <v>76</v>
      </c>
      <c r="S862" t="s">
        <v>76</v>
      </c>
      <c r="T862" t="s">
        <v>76</v>
      </c>
      <c r="U862">
        <v>1</v>
      </c>
      <c r="V862" s="13">
        <v>45175</v>
      </c>
      <c r="W862">
        <v>1</v>
      </c>
      <c r="X862">
        <v>1</v>
      </c>
      <c r="Y862" t="s">
        <v>3720</v>
      </c>
      <c r="AC862">
        <v>2853</v>
      </c>
      <c r="AD862" t="e" vm="854">
        <v>#VALUE!</v>
      </c>
    </row>
    <row r="863" spans="2:30" x14ac:dyDescent="0.25">
      <c r="B863">
        <v>2854</v>
      </c>
      <c r="C863" t="s">
        <v>75</v>
      </c>
      <c r="D863" t="s">
        <v>73</v>
      </c>
      <c r="E863" t="s">
        <v>73</v>
      </c>
      <c r="F863" t="s">
        <v>3816</v>
      </c>
      <c r="G863" t="s">
        <v>3816</v>
      </c>
      <c r="H863" t="s">
        <v>3808</v>
      </c>
      <c r="I863" t="s">
        <v>3821</v>
      </c>
      <c r="J863" t="s">
        <v>3827</v>
      </c>
      <c r="K863" t="s">
        <v>1218</v>
      </c>
      <c r="L863" s="13">
        <v>401768</v>
      </c>
      <c r="N863" t="s">
        <v>74</v>
      </c>
      <c r="O863" t="s">
        <v>3854</v>
      </c>
      <c r="P863" t="s">
        <v>76</v>
      </c>
      <c r="Q863" t="s">
        <v>76</v>
      </c>
      <c r="R863" t="s">
        <v>76</v>
      </c>
      <c r="S863" t="s">
        <v>76</v>
      </c>
      <c r="T863" t="s">
        <v>76</v>
      </c>
      <c r="U863">
        <v>1</v>
      </c>
      <c r="V863" s="13">
        <v>45175</v>
      </c>
      <c r="W863">
        <v>1</v>
      </c>
      <c r="X863">
        <v>1</v>
      </c>
      <c r="Y863" t="s">
        <v>3720</v>
      </c>
      <c r="AC863">
        <v>2854</v>
      </c>
      <c r="AD863" t="e" vm="855">
        <v>#VALUE!</v>
      </c>
    </row>
    <row r="864" spans="2:30" x14ac:dyDescent="0.25">
      <c r="B864">
        <v>2855</v>
      </c>
      <c r="C864" t="s">
        <v>75</v>
      </c>
      <c r="D864" t="s">
        <v>73</v>
      </c>
      <c r="E864" t="s">
        <v>73</v>
      </c>
      <c r="F864" t="s">
        <v>3816</v>
      </c>
      <c r="G864" t="s">
        <v>3816</v>
      </c>
      <c r="H864" t="s">
        <v>3808</v>
      </c>
      <c r="I864" t="s">
        <v>3821</v>
      </c>
      <c r="J864" t="s">
        <v>3827</v>
      </c>
      <c r="K864" t="s">
        <v>1218</v>
      </c>
      <c r="L864" s="13">
        <v>401768</v>
      </c>
      <c r="N864" t="s">
        <v>74</v>
      </c>
      <c r="O864" t="s">
        <v>3854</v>
      </c>
      <c r="P864" t="s">
        <v>76</v>
      </c>
      <c r="Q864" t="s">
        <v>76</v>
      </c>
      <c r="R864" t="s">
        <v>76</v>
      </c>
      <c r="S864" t="s">
        <v>76</v>
      </c>
      <c r="T864" t="s">
        <v>76</v>
      </c>
      <c r="U864">
        <v>1</v>
      </c>
      <c r="V864" s="13">
        <v>45175</v>
      </c>
      <c r="W864">
        <v>1</v>
      </c>
      <c r="X864">
        <v>1</v>
      </c>
      <c r="Y864" t="s">
        <v>3720</v>
      </c>
      <c r="AC864">
        <v>2855</v>
      </c>
      <c r="AD864" t="e" vm="856">
        <v>#VALUE!</v>
      </c>
    </row>
    <row r="865" spans="2:30" x14ac:dyDescent="0.25">
      <c r="B865">
        <v>2856</v>
      </c>
      <c r="C865" t="s">
        <v>75</v>
      </c>
      <c r="D865" t="s">
        <v>73</v>
      </c>
      <c r="E865" t="s">
        <v>73</v>
      </c>
      <c r="F865" t="s">
        <v>3816</v>
      </c>
      <c r="G865" t="s">
        <v>3816</v>
      </c>
      <c r="H865" t="s">
        <v>3808</v>
      </c>
      <c r="I865" t="s">
        <v>3821</v>
      </c>
      <c r="J865" t="s">
        <v>3827</v>
      </c>
      <c r="K865" t="s">
        <v>1218</v>
      </c>
      <c r="L865" s="13">
        <v>401768</v>
      </c>
      <c r="N865" t="s">
        <v>74</v>
      </c>
      <c r="O865" t="s">
        <v>3854</v>
      </c>
      <c r="P865" t="s">
        <v>76</v>
      </c>
      <c r="Q865" t="s">
        <v>76</v>
      </c>
      <c r="R865" t="s">
        <v>76</v>
      </c>
      <c r="S865" t="s">
        <v>76</v>
      </c>
      <c r="T865" t="s">
        <v>76</v>
      </c>
      <c r="U865">
        <v>1</v>
      </c>
      <c r="V865" s="13">
        <v>45175</v>
      </c>
      <c r="W865">
        <v>1</v>
      </c>
      <c r="X865">
        <v>1</v>
      </c>
      <c r="Y865" t="s">
        <v>3720</v>
      </c>
      <c r="AC865">
        <v>2856</v>
      </c>
      <c r="AD865" t="e" vm="857">
        <v>#VALUE!</v>
      </c>
    </row>
    <row r="866" spans="2:30" x14ac:dyDescent="0.25">
      <c r="B866">
        <v>2857</v>
      </c>
      <c r="C866" t="s">
        <v>75</v>
      </c>
      <c r="D866" t="s">
        <v>73</v>
      </c>
      <c r="E866" t="s">
        <v>73</v>
      </c>
      <c r="F866" t="s">
        <v>3816</v>
      </c>
      <c r="G866" t="s">
        <v>3816</v>
      </c>
      <c r="H866" t="s">
        <v>3808</v>
      </c>
      <c r="I866" t="s">
        <v>3821</v>
      </c>
      <c r="J866" t="s">
        <v>3827</v>
      </c>
      <c r="K866" t="s">
        <v>1218</v>
      </c>
      <c r="L866" s="13">
        <v>401768</v>
      </c>
      <c r="N866" t="s">
        <v>74</v>
      </c>
      <c r="O866" t="s">
        <v>3854</v>
      </c>
      <c r="P866" t="s">
        <v>76</v>
      </c>
      <c r="Q866" t="s">
        <v>76</v>
      </c>
      <c r="R866" t="s">
        <v>76</v>
      </c>
      <c r="S866" t="s">
        <v>76</v>
      </c>
      <c r="T866" t="s">
        <v>76</v>
      </c>
      <c r="U866">
        <v>1</v>
      </c>
      <c r="V866" s="13">
        <v>45175</v>
      </c>
      <c r="W866">
        <v>1</v>
      </c>
      <c r="X866">
        <v>1</v>
      </c>
      <c r="Y866" t="s">
        <v>3720</v>
      </c>
      <c r="AC866">
        <v>2857</v>
      </c>
      <c r="AD866" t="e" vm="858">
        <v>#VALUE!</v>
      </c>
    </row>
    <row r="867" spans="2:30" x14ac:dyDescent="0.25">
      <c r="B867">
        <v>2858</v>
      </c>
      <c r="C867" t="s">
        <v>75</v>
      </c>
      <c r="D867" t="s">
        <v>73</v>
      </c>
      <c r="E867" t="s">
        <v>73</v>
      </c>
      <c r="F867" t="s">
        <v>3816</v>
      </c>
      <c r="G867" t="s">
        <v>3816</v>
      </c>
      <c r="H867" t="s">
        <v>3808</v>
      </c>
      <c r="I867" t="s">
        <v>3821</v>
      </c>
      <c r="J867" t="s">
        <v>3827</v>
      </c>
      <c r="K867" t="s">
        <v>1218</v>
      </c>
      <c r="L867" s="13">
        <v>401768</v>
      </c>
      <c r="N867" t="s">
        <v>74</v>
      </c>
      <c r="O867" t="s">
        <v>3854</v>
      </c>
      <c r="P867" t="s">
        <v>76</v>
      </c>
      <c r="Q867" t="s">
        <v>76</v>
      </c>
      <c r="R867" t="s">
        <v>76</v>
      </c>
      <c r="S867" t="s">
        <v>76</v>
      </c>
      <c r="T867" t="s">
        <v>76</v>
      </c>
      <c r="U867">
        <v>1</v>
      </c>
      <c r="V867" s="13">
        <v>45175</v>
      </c>
      <c r="W867">
        <v>1</v>
      </c>
      <c r="X867">
        <v>1</v>
      </c>
      <c r="Y867" t="s">
        <v>3720</v>
      </c>
      <c r="AC867">
        <v>2858</v>
      </c>
      <c r="AD867" t="e" vm="859">
        <v>#VALUE!</v>
      </c>
    </row>
    <row r="868" spans="2:30" x14ac:dyDescent="0.25">
      <c r="B868">
        <v>2859</v>
      </c>
      <c r="C868" t="s">
        <v>75</v>
      </c>
      <c r="D868" t="s">
        <v>73</v>
      </c>
      <c r="E868" t="s">
        <v>73</v>
      </c>
      <c r="F868" t="s">
        <v>3816</v>
      </c>
      <c r="G868" t="s">
        <v>3816</v>
      </c>
      <c r="H868" t="s">
        <v>3808</v>
      </c>
      <c r="I868" t="s">
        <v>3821</v>
      </c>
      <c r="J868" t="s">
        <v>3827</v>
      </c>
      <c r="K868" t="s">
        <v>1218</v>
      </c>
      <c r="L868" s="13">
        <v>401768</v>
      </c>
      <c r="N868" t="s">
        <v>74</v>
      </c>
      <c r="O868" t="s">
        <v>3854</v>
      </c>
      <c r="P868" t="s">
        <v>76</v>
      </c>
      <c r="Q868" t="s">
        <v>76</v>
      </c>
      <c r="R868" t="s">
        <v>76</v>
      </c>
      <c r="S868" t="s">
        <v>76</v>
      </c>
      <c r="T868" t="s">
        <v>76</v>
      </c>
      <c r="U868">
        <v>1</v>
      </c>
      <c r="V868" s="13">
        <v>45175</v>
      </c>
      <c r="W868">
        <v>1</v>
      </c>
      <c r="X868">
        <v>1</v>
      </c>
      <c r="Y868" t="s">
        <v>3720</v>
      </c>
      <c r="AC868">
        <v>2859</v>
      </c>
      <c r="AD868" t="e" vm="860">
        <v>#VALUE!</v>
      </c>
    </row>
    <row r="869" spans="2:30" x14ac:dyDescent="0.25">
      <c r="B869">
        <v>2860</v>
      </c>
      <c r="C869" t="s">
        <v>75</v>
      </c>
      <c r="D869" t="s">
        <v>73</v>
      </c>
      <c r="E869" t="s">
        <v>73</v>
      </c>
      <c r="F869" t="s">
        <v>3816</v>
      </c>
      <c r="G869" t="s">
        <v>3816</v>
      </c>
      <c r="H869" t="s">
        <v>3808</v>
      </c>
      <c r="I869" t="s">
        <v>3821</v>
      </c>
      <c r="J869" t="s">
        <v>3827</v>
      </c>
      <c r="K869" t="s">
        <v>1218</v>
      </c>
      <c r="L869" s="13">
        <v>401768</v>
      </c>
      <c r="N869" t="s">
        <v>74</v>
      </c>
      <c r="O869" t="s">
        <v>3854</v>
      </c>
      <c r="P869" t="s">
        <v>76</v>
      </c>
      <c r="Q869" t="s">
        <v>76</v>
      </c>
      <c r="R869" t="s">
        <v>76</v>
      </c>
      <c r="S869" t="s">
        <v>76</v>
      </c>
      <c r="T869" t="s">
        <v>76</v>
      </c>
      <c r="U869">
        <v>1</v>
      </c>
      <c r="V869" s="13">
        <v>45175</v>
      </c>
      <c r="W869">
        <v>1</v>
      </c>
      <c r="X869">
        <v>1</v>
      </c>
      <c r="Y869" t="s">
        <v>3720</v>
      </c>
      <c r="AC869">
        <v>2860</v>
      </c>
      <c r="AD869" t="e" vm="861">
        <v>#VALUE!</v>
      </c>
    </row>
    <row r="870" spans="2:30" x14ac:dyDescent="0.25">
      <c r="B870">
        <v>2861</v>
      </c>
      <c r="C870" t="s">
        <v>75</v>
      </c>
      <c r="D870" t="s">
        <v>73</v>
      </c>
      <c r="E870" t="s">
        <v>73</v>
      </c>
      <c r="F870" t="s">
        <v>3816</v>
      </c>
      <c r="G870" t="s">
        <v>3816</v>
      </c>
      <c r="H870" t="s">
        <v>3808</v>
      </c>
      <c r="I870" t="s">
        <v>3821</v>
      </c>
      <c r="J870" t="s">
        <v>3827</v>
      </c>
      <c r="K870" t="s">
        <v>1218</v>
      </c>
      <c r="L870" s="13">
        <v>401768</v>
      </c>
      <c r="N870" t="s">
        <v>74</v>
      </c>
      <c r="O870" t="s">
        <v>3854</v>
      </c>
      <c r="P870" t="s">
        <v>76</v>
      </c>
      <c r="Q870" t="s">
        <v>76</v>
      </c>
      <c r="R870" t="s">
        <v>76</v>
      </c>
      <c r="S870" t="s">
        <v>76</v>
      </c>
      <c r="T870" t="s">
        <v>76</v>
      </c>
      <c r="U870">
        <v>1</v>
      </c>
      <c r="V870" s="13">
        <v>45175</v>
      </c>
      <c r="W870">
        <v>1</v>
      </c>
      <c r="X870">
        <v>1</v>
      </c>
      <c r="Y870" t="s">
        <v>3720</v>
      </c>
      <c r="AC870">
        <v>2861</v>
      </c>
      <c r="AD870" t="e" vm="862">
        <v>#VALUE!</v>
      </c>
    </row>
    <row r="871" spans="2:30" x14ac:dyDescent="0.25">
      <c r="B871">
        <v>2862</v>
      </c>
      <c r="C871" t="s">
        <v>75</v>
      </c>
      <c r="D871" t="s">
        <v>73</v>
      </c>
      <c r="E871" t="s">
        <v>73</v>
      </c>
      <c r="F871" t="s">
        <v>3816</v>
      </c>
      <c r="G871" t="s">
        <v>3816</v>
      </c>
      <c r="H871" t="s">
        <v>3808</v>
      </c>
      <c r="I871" t="s">
        <v>3821</v>
      </c>
      <c r="J871" t="s">
        <v>3827</v>
      </c>
      <c r="K871" t="s">
        <v>1218</v>
      </c>
      <c r="L871" s="13">
        <v>401768</v>
      </c>
      <c r="N871" t="s">
        <v>74</v>
      </c>
      <c r="O871" t="s">
        <v>3854</v>
      </c>
      <c r="P871" t="s">
        <v>76</v>
      </c>
      <c r="Q871" t="s">
        <v>76</v>
      </c>
      <c r="R871" t="s">
        <v>76</v>
      </c>
      <c r="S871" t="s">
        <v>76</v>
      </c>
      <c r="T871" t="s">
        <v>76</v>
      </c>
      <c r="U871">
        <v>1</v>
      </c>
      <c r="V871" s="13">
        <v>45175</v>
      </c>
      <c r="W871">
        <v>1</v>
      </c>
      <c r="X871">
        <v>1</v>
      </c>
      <c r="Y871" t="s">
        <v>3720</v>
      </c>
      <c r="AC871">
        <v>2862</v>
      </c>
      <c r="AD871" t="e" vm="863">
        <v>#VALUE!</v>
      </c>
    </row>
    <row r="872" spans="2:30" x14ac:dyDescent="0.25">
      <c r="B872">
        <v>2863</v>
      </c>
      <c r="C872" t="s">
        <v>75</v>
      </c>
      <c r="D872" t="s">
        <v>73</v>
      </c>
      <c r="E872" t="s">
        <v>73</v>
      </c>
      <c r="F872" t="s">
        <v>3816</v>
      </c>
      <c r="G872" t="s">
        <v>3816</v>
      </c>
      <c r="H872" t="s">
        <v>3808</v>
      </c>
      <c r="I872" t="s">
        <v>3821</v>
      </c>
      <c r="J872" t="s">
        <v>3827</v>
      </c>
      <c r="K872" t="s">
        <v>1218</v>
      </c>
      <c r="L872" s="13">
        <v>401768</v>
      </c>
      <c r="N872" t="s">
        <v>74</v>
      </c>
      <c r="O872" t="s">
        <v>3854</v>
      </c>
      <c r="P872" t="s">
        <v>76</v>
      </c>
      <c r="Q872" t="s">
        <v>76</v>
      </c>
      <c r="R872" t="s">
        <v>76</v>
      </c>
      <c r="S872" t="s">
        <v>76</v>
      </c>
      <c r="T872" t="s">
        <v>76</v>
      </c>
      <c r="U872">
        <v>1</v>
      </c>
      <c r="V872" s="13">
        <v>45175</v>
      </c>
      <c r="W872">
        <v>1</v>
      </c>
      <c r="X872">
        <v>1</v>
      </c>
      <c r="Y872" t="s">
        <v>3720</v>
      </c>
      <c r="AC872">
        <v>2863</v>
      </c>
      <c r="AD872" t="e" vm="864">
        <v>#VALUE!</v>
      </c>
    </row>
    <row r="873" spans="2:30" x14ac:dyDescent="0.25">
      <c r="B873">
        <v>2864</v>
      </c>
      <c r="C873" t="s">
        <v>75</v>
      </c>
      <c r="D873" t="s">
        <v>73</v>
      </c>
      <c r="E873" t="s">
        <v>73</v>
      </c>
      <c r="F873" t="s">
        <v>3816</v>
      </c>
      <c r="G873" t="s">
        <v>3816</v>
      </c>
      <c r="H873" t="s">
        <v>3808</v>
      </c>
      <c r="I873" t="s">
        <v>3821</v>
      </c>
      <c r="J873" t="s">
        <v>3827</v>
      </c>
      <c r="K873" t="s">
        <v>1218</v>
      </c>
      <c r="L873" s="13">
        <v>401768</v>
      </c>
      <c r="N873" t="s">
        <v>74</v>
      </c>
      <c r="O873" t="s">
        <v>3854</v>
      </c>
      <c r="P873" t="s">
        <v>76</v>
      </c>
      <c r="Q873" t="s">
        <v>76</v>
      </c>
      <c r="R873" t="s">
        <v>76</v>
      </c>
      <c r="S873" t="s">
        <v>76</v>
      </c>
      <c r="T873" t="s">
        <v>76</v>
      </c>
      <c r="U873">
        <v>1</v>
      </c>
      <c r="V873" s="13">
        <v>45175</v>
      </c>
      <c r="W873">
        <v>1</v>
      </c>
      <c r="X873">
        <v>1</v>
      </c>
      <c r="Y873" t="s">
        <v>3720</v>
      </c>
      <c r="AC873">
        <v>2864</v>
      </c>
      <c r="AD873" t="e" vm="865">
        <v>#VALUE!</v>
      </c>
    </row>
    <row r="874" spans="2:30" x14ac:dyDescent="0.25">
      <c r="B874">
        <v>2865</v>
      </c>
      <c r="C874" t="s">
        <v>75</v>
      </c>
      <c r="D874" t="s">
        <v>73</v>
      </c>
      <c r="E874" t="s">
        <v>73</v>
      </c>
      <c r="F874" t="s">
        <v>3816</v>
      </c>
      <c r="G874" t="s">
        <v>3816</v>
      </c>
      <c r="H874" t="s">
        <v>3808</v>
      </c>
      <c r="I874" t="s">
        <v>3843</v>
      </c>
      <c r="J874" t="s">
        <v>3844</v>
      </c>
      <c r="K874" t="s">
        <v>905</v>
      </c>
      <c r="L874" s="13">
        <v>401768</v>
      </c>
      <c r="N874" t="s">
        <v>74</v>
      </c>
      <c r="O874" t="s">
        <v>3855</v>
      </c>
      <c r="P874" t="s">
        <v>76</v>
      </c>
      <c r="Q874" t="s">
        <v>905</v>
      </c>
      <c r="R874" t="s">
        <v>76</v>
      </c>
      <c r="S874" t="s">
        <v>76</v>
      </c>
      <c r="T874" t="s">
        <v>76</v>
      </c>
      <c r="U874">
        <v>1</v>
      </c>
      <c r="V874" s="13">
        <v>45175</v>
      </c>
      <c r="W874">
        <v>1</v>
      </c>
      <c r="X874">
        <v>1</v>
      </c>
      <c r="Y874" t="s">
        <v>3720</v>
      </c>
      <c r="AC874">
        <v>2865</v>
      </c>
      <c r="AD874" t="e" vm="866">
        <v>#VALUE!</v>
      </c>
    </row>
    <row r="875" spans="2:30" x14ac:dyDescent="0.25">
      <c r="B875">
        <v>2866</v>
      </c>
      <c r="C875" t="s">
        <v>75</v>
      </c>
      <c r="D875" t="s">
        <v>73</v>
      </c>
      <c r="E875" t="s">
        <v>73</v>
      </c>
      <c r="F875" t="s">
        <v>3816</v>
      </c>
      <c r="G875" t="s">
        <v>3816</v>
      </c>
      <c r="H875" t="s">
        <v>3808</v>
      </c>
      <c r="I875" t="s">
        <v>3843</v>
      </c>
      <c r="J875" t="s">
        <v>3844</v>
      </c>
      <c r="K875" t="s">
        <v>905</v>
      </c>
      <c r="L875" s="13">
        <v>401768</v>
      </c>
      <c r="N875" t="s">
        <v>74</v>
      </c>
      <c r="O875" t="s">
        <v>3855</v>
      </c>
      <c r="P875" t="s">
        <v>76</v>
      </c>
      <c r="Q875" t="s">
        <v>905</v>
      </c>
      <c r="R875" t="s">
        <v>76</v>
      </c>
      <c r="S875" t="s">
        <v>76</v>
      </c>
      <c r="T875" t="s">
        <v>76</v>
      </c>
      <c r="U875">
        <v>1</v>
      </c>
      <c r="V875" s="13">
        <v>45175</v>
      </c>
      <c r="W875">
        <v>1</v>
      </c>
      <c r="X875">
        <v>1</v>
      </c>
      <c r="Y875" t="s">
        <v>3720</v>
      </c>
      <c r="AC875">
        <v>2866</v>
      </c>
      <c r="AD875" t="e" vm="867">
        <v>#VALUE!</v>
      </c>
    </row>
    <row r="876" spans="2:30" x14ac:dyDescent="0.25">
      <c r="B876">
        <v>2867</v>
      </c>
      <c r="C876" t="s">
        <v>3662</v>
      </c>
      <c r="D876" t="s">
        <v>3716</v>
      </c>
      <c r="E876" t="s">
        <v>3853</v>
      </c>
      <c r="F876" t="s">
        <v>78</v>
      </c>
      <c r="G876" t="s">
        <v>77</v>
      </c>
      <c r="H876" t="s">
        <v>3808</v>
      </c>
      <c r="I876" t="s">
        <v>3843</v>
      </c>
      <c r="J876" t="s">
        <v>3844</v>
      </c>
      <c r="K876" t="s">
        <v>905</v>
      </c>
      <c r="L876" s="13">
        <v>45069</v>
      </c>
      <c r="M876">
        <v>0</v>
      </c>
      <c r="N876" t="s">
        <v>79</v>
      </c>
      <c r="O876" t="s">
        <v>3855</v>
      </c>
      <c r="P876" t="s">
        <v>76</v>
      </c>
      <c r="Q876" t="s">
        <v>905</v>
      </c>
      <c r="R876" t="s">
        <v>76</v>
      </c>
      <c r="S876" t="s">
        <v>76</v>
      </c>
      <c r="T876" t="s">
        <v>76</v>
      </c>
      <c r="U876">
        <v>1</v>
      </c>
      <c r="V876" s="13">
        <v>45175</v>
      </c>
      <c r="W876">
        <v>1</v>
      </c>
      <c r="X876">
        <v>1</v>
      </c>
      <c r="Y876" t="s">
        <v>3717</v>
      </c>
      <c r="AC876">
        <v>2867</v>
      </c>
      <c r="AD876" t="e" vm="868">
        <v>#VALUE!</v>
      </c>
    </row>
    <row r="877" spans="2:30" x14ac:dyDescent="0.25">
      <c r="B877">
        <v>2868</v>
      </c>
      <c r="C877" t="s">
        <v>3662</v>
      </c>
      <c r="D877" t="s">
        <v>73</v>
      </c>
      <c r="E877" t="s">
        <v>73</v>
      </c>
      <c r="F877" t="s">
        <v>3816</v>
      </c>
      <c r="G877" t="s">
        <v>3816</v>
      </c>
      <c r="H877" t="s">
        <v>3808</v>
      </c>
      <c r="I877" t="s">
        <v>3843</v>
      </c>
      <c r="J877" t="s">
        <v>3844</v>
      </c>
      <c r="K877" t="s">
        <v>905</v>
      </c>
      <c r="L877" s="13">
        <v>45113</v>
      </c>
      <c r="M877">
        <v>0</v>
      </c>
      <c r="N877" t="s">
        <v>79</v>
      </c>
      <c r="O877" t="s">
        <v>3855</v>
      </c>
      <c r="P877" t="s">
        <v>76</v>
      </c>
      <c r="Q877" t="s">
        <v>905</v>
      </c>
      <c r="R877" t="s">
        <v>76</v>
      </c>
      <c r="S877" t="s">
        <v>76</v>
      </c>
      <c r="T877" t="s">
        <v>76</v>
      </c>
      <c r="U877">
        <v>1</v>
      </c>
      <c r="V877" s="13">
        <v>45175</v>
      </c>
      <c r="W877">
        <v>1</v>
      </c>
      <c r="X877">
        <v>1</v>
      </c>
      <c r="Y877" t="s">
        <v>3681</v>
      </c>
      <c r="AC877">
        <v>2868</v>
      </c>
      <c r="AD877" t="e" vm="869">
        <v>#VALUE!</v>
      </c>
    </row>
    <row r="878" spans="2:30" x14ac:dyDescent="0.25">
      <c r="B878">
        <v>2869</v>
      </c>
      <c r="C878" t="s">
        <v>3662</v>
      </c>
      <c r="D878" t="s">
        <v>3716</v>
      </c>
      <c r="E878" t="s">
        <v>3853</v>
      </c>
      <c r="F878" t="s">
        <v>78</v>
      </c>
      <c r="G878" t="s">
        <v>77</v>
      </c>
      <c r="H878" t="s">
        <v>3808</v>
      </c>
      <c r="I878" t="s">
        <v>3843</v>
      </c>
      <c r="J878" t="s">
        <v>3844</v>
      </c>
      <c r="K878" t="s">
        <v>905</v>
      </c>
      <c r="L878" s="13">
        <v>45121</v>
      </c>
      <c r="M878">
        <v>0</v>
      </c>
      <c r="N878" t="s">
        <v>79</v>
      </c>
      <c r="O878" t="s">
        <v>3855</v>
      </c>
      <c r="P878" t="s">
        <v>76</v>
      </c>
      <c r="Q878" t="s">
        <v>905</v>
      </c>
      <c r="R878" t="s">
        <v>76</v>
      </c>
      <c r="S878" t="s">
        <v>76</v>
      </c>
      <c r="T878" t="s">
        <v>76</v>
      </c>
      <c r="U878">
        <v>1</v>
      </c>
      <c r="V878" s="13">
        <v>45175</v>
      </c>
      <c r="W878">
        <v>1</v>
      </c>
      <c r="X878">
        <v>1</v>
      </c>
      <c r="Y878" t="s">
        <v>3717</v>
      </c>
      <c r="AC878">
        <v>2869</v>
      </c>
      <c r="AD878" t="e" vm="870">
        <v>#VALUE!</v>
      </c>
    </row>
    <row r="879" spans="2:30" x14ac:dyDescent="0.25">
      <c r="B879">
        <v>2870</v>
      </c>
      <c r="C879" t="s">
        <v>3662</v>
      </c>
      <c r="D879" t="s">
        <v>3716</v>
      </c>
      <c r="E879" t="s">
        <v>3853</v>
      </c>
      <c r="F879" t="s">
        <v>78</v>
      </c>
      <c r="G879" t="s">
        <v>77</v>
      </c>
      <c r="H879" t="s">
        <v>3808</v>
      </c>
      <c r="I879" t="s">
        <v>3843</v>
      </c>
      <c r="J879" t="s">
        <v>3844</v>
      </c>
      <c r="K879" t="s">
        <v>905</v>
      </c>
      <c r="L879" s="13">
        <v>45051</v>
      </c>
      <c r="M879">
        <v>0</v>
      </c>
      <c r="N879" t="s">
        <v>79</v>
      </c>
      <c r="O879" t="s">
        <v>3855</v>
      </c>
      <c r="P879" t="s">
        <v>76</v>
      </c>
      <c r="Q879" t="s">
        <v>905</v>
      </c>
      <c r="R879" t="s">
        <v>76</v>
      </c>
      <c r="S879" t="s">
        <v>76</v>
      </c>
      <c r="T879" t="s">
        <v>76</v>
      </c>
      <c r="U879">
        <v>1</v>
      </c>
      <c r="V879" s="13">
        <v>45175</v>
      </c>
      <c r="W879">
        <v>1</v>
      </c>
      <c r="X879">
        <v>1</v>
      </c>
      <c r="Y879" t="s">
        <v>3717</v>
      </c>
      <c r="AC879">
        <v>2870</v>
      </c>
      <c r="AD879" t="e" vm="871">
        <v>#VALUE!</v>
      </c>
    </row>
    <row r="880" spans="2:30" x14ac:dyDescent="0.25">
      <c r="B880">
        <v>2871</v>
      </c>
      <c r="C880" t="s">
        <v>3662</v>
      </c>
      <c r="D880" t="s">
        <v>3716</v>
      </c>
      <c r="E880" t="s">
        <v>3853</v>
      </c>
      <c r="F880" t="s">
        <v>78</v>
      </c>
      <c r="G880" t="s">
        <v>77</v>
      </c>
      <c r="H880" t="s">
        <v>3808</v>
      </c>
      <c r="I880" t="s">
        <v>3843</v>
      </c>
      <c r="J880" t="s">
        <v>3844</v>
      </c>
      <c r="K880" t="s">
        <v>905</v>
      </c>
      <c r="L880" s="13">
        <v>45069</v>
      </c>
      <c r="M880">
        <v>0</v>
      </c>
      <c r="N880" t="s">
        <v>79</v>
      </c>
      <c r="O880" t="s">
        <v>3855</v>
      </c>
      <c r="P880" t="s">
        <v>76</v>
      </c>
      <c r="Q880" t="s">
        <v>905</v>
      </c>
      <c r="R880" t="s">
        <v>76</v>
      </c>
      <c r="S880" t="s">
        <v>76</v>
      </c>
      <c r="T880" t="s">
        <v>76</v>
      </c>
      <c r="U880">
        <v>1</v>
      </c>
      <c r="V880" s="13">
        <v>45175</v>
      </c>
      <c r="W880">
        <v>1</v>
      </c>
      <c r="X880">
        <v>1</v>
      </c>
      <c r="Y880" t="s">
        <v>3717</v>
      </c>
      <c r="AC880">
        <v>2871</v>
      </c>
      <c r="AD880" t="e" vm="4">
        <v>#VALUE!</v>
      </c>
    </row>
    <row r="881" spans="2:30" x14ac:dyDescent="0.25">
      <c r="B881">
        <v>2872</v>
      </c>
      <c r="C881" t="s">
        <v>3662</v>
      </c>
      <c r="D881" t="s">
        <v>3716</v>
      </c>
      <c r="E881" t="s">
        <v>3853</v>
      </c>
      <c r="F881" t="s">
        <v>78</v>
      </c>
      <c r="G881" t="s">
        <v>77</v>
      </c>
      <c r="H881" t="s">
        <v>3808</v>
      </c>
      <c r="I881" t="s">
        <v>3843</v>
      </c>
      <c r="J881" t="s">
        <v>3844</v>
      </c>
      <c r="K881" t="s">
        <v>905</v>
      </c>
      <c r="L881" s="13">
        <v>45051</v>
      </c>
      <c r="M881">
        <v>0</v>
      </c>
      <c r="N881" t="s">
        <v>79</v>
      </c>
      <c r="O881" t="s">
        <v>3855</v>
      </c>
      <c r="P881" t="s">
        <v>76</v>
      </c>
      <c r="Q881" t="s">
        <v>905</v>
      </c>
      <c r="R881" t="s">
        <v>76</v>
      </c>
      <c r="S881" t="s">
        <v>76</v>
      </c>
      <c r="T881" t="s">
        <v>76</v>
      </c>
      <c r="U881">
        <v>1</v>
      </c>
      <c r="V881" s="13">
        <v>45175</v>
      </c>
      <c r="W881">
        <v>1</v>
      </c>
      <c r="X881">
        <v>1</v>
      </c>
      <c r="Y881" t="s">
        <v>3717</v>
      </c>
      <c r="AC881">
        <v>2872</v>
      </c>
      <c r="AD881" t="e" vm="872">
        <v>#VALUE!</v>
      </c>
    </row>
    <row r="882" spans="2:30" x14ac:dyDescent="0.25">
      <c r="B882">
        <v>2873</v>
      </c>
      <c r="C882" t="s">
        <v>3662</v>
      </c>
      <c r="D882" t="s">
        <v>3716</v>
      </c>
      <c r="E882" t="s">
        <v>3853</v>
      </c>
      <c r="F882" t="s">
        <v>78</v>
      </c>
      <c r="G882" t="s">
        <v>77</v>
      </c>
      <c r="H882" t="s">
        <v>3808</v>
      </c>
      <c r="I882" t="s">
        <v>3843</v>
      </c>
      <c r="J882" t="s">
        <v>3844</v>
      </c>
      <c r="K882" t="s">
        <v>905</v>
      </c>
      <c r="L882" s="13">
        <v>45051</v>
      </c>
      <c r="M882">
        <v>0</v>
      </c>
      <c r="N882" t="s">
        <v>79</v>
      </c>
      <c r="O882" t="s">
        <v>3855</v>
      </c>
      <c r="P882" t="s">
        <v>76</v>
      </c>
      <c r="Q882" t="s">
        <v>905</v>
      </c>
      <c r="R882" t="s">
        <v>76</v>
      </c>
      <c r="S882" t="s">
        <v>76</v>
      </c>
      <c r="T882" t="s">
        <v>76</v>
      </c>
      <c r="U882">
        <v>1</v>
      </c>
      <c r="V882" s="13">
        <v>45175</v>
      </c>
      <c r="W882">
        <v>1</v>
      </c>
      <c r="X882">
        <v>1</v>
      </c>
      <c r="Y882" t="s">
        <v>3717</v>
      </c>
      <c r="AC882">
        <v>2873</v>
      </c>
      <c r="AD882" t="e" vm="873">
        <v>#VALUE!</v>
      </c>
    </row>
    <row r="883" spans="2:30" x14ac:dyDescent="0.25">
      <c r="B883">
        <v>2874</v>
      </c>
      <c r="C883" t="s">
        <v>3662</v>
      </c>
      <c r="D883" t="s">
        <v>3716</v>
      </c>
      <c r="E883" t="s">
        <v>3853</v>
      </c>
      <c r="F883" t="s">
        <v>78</v>
      </c>
      <c r="G883" t="s">
        <v>77</v>
      </c>
      <c r="H883" t="s">
        <v>3808</v>
      </c>
      <c r="I883" t="s">
        <v>3843</v>
      </c>
      <c r="J883" t="s">
        <v>3844</v>
      </c>
      <c r="K883" t="s">
        <v>905</v>
      </c>
      <c r="L883" s="13">
        <v>45069</v>
      </c>
      <c r="M883">
        <v>0</v>
      </c>
      <c r="N883" t="s">
        <v>79</v>
      </c>
      <c r="O883" t="s">
        <v>3855</v>
      </c>
      <c r="P883" t="s">
        <v>76</v>
      </c>
      <c r="Q883" t="s">
        <v>905</v>
      </c>
      <c r="R883" t="s">
        <v>76</v>
      </c>
      <c r="S883" t="s">
        <v>76</v>
      </c>
      <c r="T883" t="s">
        <v>76</v>
      </c>
      <c r="U883">
        <v>1</v>
      </c>
      <c r="V883" s="13">
        <v>45175</v>
      </c>
      <c r="W883">
        <v>1</v>
      </c>
      <c r="X883">
        <v>1</v>
      </c>
      <c r="Y883" t="s">
        <v>3717</v>
      </c>
      <c r="AC883">
        <v>2874</v>
      </c>
      <c r="AD883" t="e" vm="874">
        <v>#VALUE!</v>
      </c>
    </row>
    <row r="884" spans="2:30" x14ac:dyDescent="0.25">
      <c r="B884">
        <v>2875</v>
      </c>
      <c r="C884" t="s">
        <v>75</v>
      </c>
      <c r="D884" t="s">
        <v>73</v>
      </c>
      <c r="E884" t="s">
        <v>73</v>
      </c>
      <c r="F884" t="s">
        <v>3816</v>
      </c>
      <c r="G884" t="s">
        <v>3816</v>
      </c>
      <c r="H884" t="s">
        <v>3808</v>
      </c>
      <c r="I884" t="s">
        <v>3843</v>
      </c>
      <c r="J884" t="s">
        <v>3844</v>
      </c>
      <c r="K884" t="s">
        <v>905</v>
      </c>
      <c r="L884" s="13">
        <v>401768</v>
      </c>
      <c r="N884" t="s">
        <v>74</v>
      </c>
      <c r="O884" t="s">
        <v>3855</v>
      </c>
      <c r="P884" t="s">
        <v>76</v>
      </c>
      <c r="Q884" t="s">
        <v>905</v>
      </c>
      <c r="R884" t="s">
        <v>76</v>
      </c>
      <c r="S884" t="s">
        <v>76</v>
      </c>
      <c r="T884" t="s">
        <v>76</v>
      </c>
      <c r="U884">
        <v>1</v>
      </c>
      <c r="V884" s="13">
        <v>45175</v>
      </c>
      <c r="W884">
        <v>1</v>
      </c>
      <c r="X884">
        <v>1</v>
      </c>
      <c r="Y884" t="s">
        <v>3720</v>
      </c>
      <c r="AC884">
        <v>2875</v>
      </c>
      <c r="AD884" t="e" vm="875">
        <v>#VALUE!</v>
      </c>
    </row>
    <row r="885" spans="2:30" x14ac:dyDescent="0.25">
      <c r="B885">
        <v>2876</v>
      </c>
      <c r="C885" t="s">
        <v>75</v>
      </c>
      <c r="D885" t="s">
        <v>73</v>
      </c>
      <c r="E885" t="s">
        <v>73</v>
      </c>
      <c r="F885" t="s">
        <v>3816</v>
      </c>
      <c r="G885" t="s">
        <v>3816</v>
      </c>
      <c r="H885" t="s">
        <v>3808</v>
      </c>
      <c r="I885" t="s">
        <v>3843</v>
      </c>
      <c r="J885" t="s">
        <v>3844</v>
      </c>
      <c r="K885" t="s">
        <v>905</v>
      </c>
      <c r="L885" s="13">
        <v>401768</v>
      </c>
      <c r="N885" t="s">
        <v>74</v>
      </c>
      <c r="O885" t="s">
        <v>3855</v>
      </c>
      <c r="P885" t="s">
        <v>76</v>
      </c>
      <c r="Q885" t="s">
        <v>905</v>
      </c>
      <c r="R885" t="s">
        <v>76</v>
      </c>
      <c r="S885" t="s">
        <v>76</v>
      </c>
      <c r="T885" t="s">
        <v>76</v>
      </c>
      <c r="U885">
        <v>1</v>
      </c>
      <c r="V885" s="13">
        <v>45175</v>
      </c>
      <c r="W885">
        <v>1</v>
      </c>
      <c r="X885">
        <v>1</v>
      </c>
      <c r="Y885" t="s">
        <v>3720</v>
      </c>
      <c r="AC885">
        <v>2876</v>
      </c>
      <c r="AD885" t="e" vm="876">
        <v>#VALUE!</v>
      </c>
    </row>
    <row r="886" spans="2:30" x14ac:dyDescent="0.25">
      <c r="B886">
        <v>2877</v>
      </c>
      <c r="C886" t="s">
        <v>75</v>
      </c>
      <c r="D886" t="s">
        <v>73</v>
      </c>
      <c r="E886" t="s">
        <v>73</v>
      </c>
      <c r="F886" t="s">
        <v>3816</v>
      </c>
      <c r="G886" t="s">
        <v>3816</v>
      </c>
      <c r="H886" t="s">
        <v>3808</v>
      </c>
      <c r="I886" t="s">
        <v>3843</v>
      </c>
      <c r="J886" t="s">
        <v>3844</v>
      </c>
      <c r="K886" t="s">
        <v>905</v>
      </c>
      <c r="L886" s="13">
        <v>401768</v>
      </c>
      <c r="N886" t="s">
        <v>74</v>
      </c>
      <c r="O886" t="s">
        <v>3855</v>
      </c>
      <c r="P886" t="s">
        <v>76</v>
      </c>
      <c r="Q886" t="s">
        <v>905</v>
      </c>
      <c r="R886" t="s">
        <v>76</v>
      </c>
      <c r="S886" t="s">
        <v>76</v>
      </c>
      <c r="T886" t="s">
        <v>76</v>
      </c>
      <c r="U886">
        <v>1</v>
      </c>
      <c r="V886" s="13">
        <v>45175</v>
      </c>
      <c r="W886">
        <v>1</v>
      </c>
      <c r="X886">
        <v>1</v>
      </c>
      <c r="Y886" t="s">
        <v>3720</v>
      </c>
      <c r="AC886">
        <v>2877</v>
      </c>
      <c r="AD886" t="e" vm="877">
        <v>#VALUE!</v>
      </c>
    </row>
    <row r="887" spans="2:30" x14ac:dyDescent="0.25">
      <c r="B887">
        <v>2878</v>
      </c>
      <c r="C887" t="s">
        <v>75</v>
      </c>
      <c r="D887" t="s">
        <v>73</v>
      </c>
      <c r="E887" t="s">
        <v>73</v>
      </c>
      <c r="F887" t="s">
        <v>3816</v>
      </c>
      <c r="G887" t="s">
        <v>3816</v>
      </c>
      <c r="H887" t="s">
        <v>3808</v>
      </c>
      <c r="I887" t="s">
        <v>3843</v>
      </c>
      <c r="J887" t="s">
        <v>3844</v>
      </c>
      <c r="K887" t="s">
        <v>905</v>
      </c>
      <c r="L887" s="13">
        <v>401768</v>
      </c>
      <c r="N887" t="s">
        <v>74</v>
      </c>
      <c r="O887" t="s">
        <v>3855</v>
      </c>
      <c r="P887" t="s">
        <v>76</v>
      </c>
      <c r="Q887" t="s">
        <v>905</v>
      </c>
      <c r="R887" t="s">
        <v>76</v>
      </c>
      <c r="S887" t="s">
        <v>76</v>
      </c>
      <c r="T887" t="s">
        <v>76</v>
      </c>
      <c r="U887">
        <v>1</v>
      </c>
      <c r="V887" s="13">
        <v>45175</v>
      </c>
      <c r="W887">
        <v>1</v>
      </c>
      <c r="X887">
        <v>1</v>
      </c>
      <c r="Y887" t="s">
        <v>3720</v>
      </c>
      <c r="AC887">
        <v>2878</v>
      </c>
      <c r="AD887" t="e" vm="878">
        <v>#VALUE!</v>
      </c>
    </row>
    <row r="888" spans="2:30" x14ac:dyDescent="0.25">
      <c r="B888">
        <v>2879</v>
      </c>
      <c r="C888" t="s">
        <v>75</v>
      </c>
      <c r="D888" t="s">
        <v>73</v>
      </c>
      <c r="E888" t="s">
        <v>73</v>
      </c>
      <c r="F888" t="s">
        <v>3816</v>
      </c>
      <c r="G888" t="s">
        <v>3816</v>
      </c>
      <c r="H888" t="s">
        <v>3808</v>
      </c>
      <c r="I888" t="s">
        <v>3843</v>
      </c>
      <c r="J888" t="s">
        <v>3844</v>
      </c>
      <c r="K888" t="s">
        <v>905</v>
      </c>
      <c r="L888" s="13">
        <v>401768</v>
      </c>
      <c r="N888" t="s">
        <v>74</v>
      </c>
      <c r="O888" t="s">
        <v>3855</v>
      </c>
      <c r="P888" t="s">
        <v>76</v>
      </c>
      <c r="Q888" t="s">
        <v>905</v>
      </c>
      <c r="R888" t="s">
        <v>76</v>
      </c>
      <c r="S888" t="s">
        <v>76</v>
      </c>
      <c r="T888" t="s">
        <v>76</v>
      </c>
      <c r="U888">
        <v>1</v>
      </c>
      <c r="V888" s="13">
        <v>45175</v>
      </c>
      <c r="W888">
        <v>1</v>
      </c>
      <c r="X888">
        <v>1</v>
      </c>
      <c r="Y888" t="s">
        <v>3720</v>
      </c>
      <c r="AC888">
        <v>2879</v>
      </c>
      <c r="AD888" t="e" vm="879">
        <v>#VALUE!</v>
      </c>
    </row>
    <row r="889" spans="2:30" x14ac:dyDescent="0.25">
      <c r="B889">
        <v>2880</v>
      </c>
      <c r="C889" t="s">
        <v>75</v>
      </c>
      <c r="D889" t="s">
        <v>73</v>
      </c>
      <c r="E889" t="s">
        <v>73</v>
      </c>
      <c r="F889" t="s">
        <v>3816</v>
      </c>
      <c r="G889" t="s">
        <v>3816</v>
      </c>
      <c r="H889" t="s">
        <v>3808</v>
      </c>
      <c r="I889" t="s">
        <v>3843</v>
      </c>
      <c r="J889" t="s">
        <v>3844</v>
      </c>
      <c r="K889" t="s">
        <v>905</v>
      </c>
      <c r="L889" s="13">
        <v>401768</v>
      </c>
      <c r="N889" t="s">
        <v>74</v>
      </c>
      <c r="O889" t="s">
        <v>3855</v>
      </c>
      <c r="P889" t="s">
        <v>76</v>
      </c>
      <c r="Q889" t="s">
        <v>905</v>
      </c>
      <c r="R889" t="s">
        <v>76</v>
      </c>
      <c r="S889" t="s">
        <v>76</v>
      </c>
      <c r="T889" t="s">
        <v>76</v>
      </c>
      <c r="U889">
        <v>1</v>
      </c>
      <c r="V889" s="13">
        <v>45175</v>
      </c>
      <c r="W889">
        <v>1</v>
      </c>
      <c r="X889">
        <v>1</v>
      </c>
      <c r="Y889" t="s">
        <v>3720</v>
      </c>
      <c r="AC889">
        <v>2880</v>
      </c>
      <c r="AD889" t="e" vm="880">
        <v>#VALUE!</v>
      </c>
    </row>
    <row r="890" spans="2:30" x14ac:dyDescent="0.25">
      <c r="B890">
        <v>2881</v>
      </c>
      <c r="C890" t="s">
        <v>75</v>
      </c>
      <c r="D890" t="s">
        <v>73</v>
      </c>
      <c r="E890" t="s">
        <v>73</v>
      </c>
      <c r="F890" t="s">
        <v>3816</v>
      </c>
      <c r="G890" t="s">
        <v>3816</v>
      </c>
      <c r="H890" t="s">
        <v>3808</v>
      </c>
      <c r="I890" t="s">
        <v>3843</v>
      </c>
      <c r="J890" t="s">
        <v>3844</v>
      </c>
      <c r="K890" t="s">
        <v>905</v>
      </c>
      <c r="L890" s="13">
        <v>401768</v>
      </c>
      <c r="N890" t="s">
        <v>74</v>
      </c>
      <c r="O890" t="s">
        <v>3855</v>
      </c>
      <c r="P890" t="s">
        <v>76</v>
      </c>
      <c r="Q890" t="s">
        <v>905</v>
      </c>
      <c r="R890" t="s">
        <v>76</v>
      </c>
      <c r="S890" t="s">
        <v>76</v>
      </c>
      <c r="T890" t="s">
        <v>76</v>
      </c>
      <c r="U890">
        <v>1</v>
      </c>
      <c r="V890" s="13">
        <v>45175</v>
      </c>
      <c r="W890">
        <v>1</v>
      </c>
      <c r="X890">
        <v>1</v>
      </c>
      <c r="Y890" t="s">
        <v>3720</v>
      </c>
      <c r="AC890">
        <v>2881</v>
      </c>
      <c r="AD890" t="e" vm="881">
        <v>#VALUE!</v>
      </c>
    </row>
    <row r="891" spans="2:30" x14ac:dyDescent="0.25">
      <c r="B891">
        <v>2882</v>
      </c>
      <c r="C891" t="s">
        <v>75</v>
      </c>
      <c r="D891" t="s">
        <v>73</v>
      </c>
      <c r="E891" t="s">
        <v>73</v>
      </c>
      <c r="F891" t="s">
        <v>3816</v>
      </c>
      <c r="G891" t="s">
        <v>3816</v>
      </c>
      <c r="H891" t="s">
        <v>3808</v>
      </c>
      <c r="I891" t="s">
        <v>3843</v>
      </c>
      <c r="J891" t="s">
        <v>3844</v>
      </c>
      <c r="K891" t="s">
        <v>905</v>
      </c>
      <c r="L891" s="13">
        <v>401768</v>
      </c>
      <c r="N891" t="s">
        <v>74</v>
      </c>
      <c r="O891" t="s">
        <v>3855</v>
      </c>
      <c r="P891" t="s">
        <v>76</v>
      </c>
      <c r="Q891" t="s">
        <v>905</v>
      </c>
      <c r="R891" t="s">
        <v>76</v>
      </c>
      <c r="S891" t="s">
        <v>76</v>
      </c>
      <c r="T891" t="s">
        <v>76</v>
      </c>
      <c r="U891">
        <v>1</v>
      </c>
      <c r="V891" s="13">
        <v>45175</v>
      </c>
      <c r="W891">
        <v>1</v>
      </c>
      <c r="X891">
        <v>1</v>
      </c>
      <c r="Y891" t="s">
        <v>3720</v>
      </c>
      <c r="AC891">
        <v>2882</v>
      </c>
      <c r="AD891" t="e" vm="882">
        <v>#VALUE!</v>
      </c>
    </row>
    <row r="892" spans="2:30" x14ac:dyDescent="0.25">
      <c r="B892">
        <v>2883</v>
      </c>
      <c r="C892" t="s">
        <v>75</v>
      </c>
      <c r="D892" t="s">
        <v>73</v>
      </c>
      <c r="E892" t="s">
        <v>73</v>
      </c>
      <c r="F892" t="s">
        <v>3816</v>
      </c>
      <c r="G892" t="s">
        <v>3816</v>
      </c>
      <c r="H892" t="s">
        <v>3808</v>
      </c>
      <c r="I892" t="s">
        <v>3843</v>
      </c>
      <c r="J892" t="s">
        <v>3844</v>
      </c>
      <c r="K892" t="s">
        <v>905</v>
      </c>
      <c r="L892" s="13">
        <v>401768</v>
      </c>
      <c r="N892" t="s">
        <v>74</v>
      </c>
      <c r="O892" t="s">
        <v>3855</v>
      </c>
      <c r="P892" t="s">
        <v>76</v>
      </c>
      <c r="Q892" t="s">
        <v>905</v>
      </c>
      <c r="R892" t="s">
        <v>76</v>
      </c>
      <c r="S892" t="s">
        <v>76</v>
      </c>
      <c r="T892" t="s">
        <v>76</v>
      </c>
      <c r="U892">
        <v>1</v>
      </c>
      <c r="V892" s="13">
        <v>45175</v>
      </c>
      <c r="W892">
        <v>1</v>
      </c>
      <c r="X892">
        <v>1</v>
      </c>
      <c r="Y892" t="s">
        <v>3720</v>
      </c>
      <c r="AC892">
        <v>2883</v>
      </c>
      <c r="AD892" t="e" vm="883">
        <v>#VALUE!</v>
      </c>
    </row>
    <row r="893" spans="2:30" x14ac:dyDescent="0.25">
      <c r="B893">
        <v>2884</v>
      </c>
      <c r="C893" t="s">
        <v>75</v>
      </c>
      <c r="D893" t="s">
        <v>73</v>
      </c>
      <c r="E893" t="s">
        <v>73</v>
      </c>
      <c r="F893" t="s">
        <v>3816</v>
      </c>
      <c r="G893" t="s">
        <v>3816</v>
      </c>
      <c r="H893" t="s">
        <v>3808</v>
      </c>
      <c r="I893" t="s">
        <v>3843</v>
      </c>
      <c r="J893" t="s">
        <v>3844</v>
      </c>
      <c r="K893" t="s">
        <v>905</v>
      </c>
      <c r="L893" s="13">
        <v>401768</v>
      </c>
      <c r="N893" t="s">
        <v>74</v>
      </c>
      <c r="O893" t="s">
        <v>3855</v>
      </c>
      <c r="P893" t="s">
        <v>76</v>
      </c>
      <c r="Q893" t="s">
        <v>905</v>
      </c>
      <c r="R893" t="s">
        <v>76</v>
      </c>
      <c r="S893" t="s">
        <v>76</v>
      </c>
      <c r="T893" t="s">
        <v>76</v>
      </c>
      <c r="U893">
        <v>1</v>
      </c>
      <c r="V893" s="13">
        <v>45175</v>
      </c>
      <c r="W893">
        <v>1</v>
      </c>
      <c r="X893">
        <v>1</v>
      </c>
      <c r="Y893" t="s">
        <v>3720</v>
      </c>
      <c r="AC893">
        <v>2884</v>
      </c>
      <c r="AD893" t="e" vm="884">
        <v>#VALUE!</v>
      </c>
    </row>
    <row r="894" spans="2:30" x14ac:dyDescent="0.25">
      <c r="B894">
        <v>2885</v>
      </c>
      <c r="C894" t="s">
        <v>75</v>
      </c>
      <c r="D894" t="s">
        <v>73</v>
      </c>
      <c r="E894" t="s">
        <v>73</v>
      </c>
      <c r="F894" t="s">
        <v>3816</v>
      </c>
      <c r="G894" t="s">
        <v>3816</v>
      </c>
      <c r="H894" t="s">
        <v>3808</v>
      </c>
      <c r="I894" t="s">
        <v>3843</v>
      </c>
      <c r="J894" t="s">
        <v>3844</v>
      </c>
      <c r="K894" t="s">
        <v>905</v>
      </c>
      <c r="L894" s="13">
        <v>401768</v>
      </c>
      <c r="N894" t="s">
        <v>74</v>
      </c>
      <c r="O894" t="s">
        <v>3855</v>
      </c>
      <c r="P894" t="s">
        <v>76</v>
      </c>
      <c r="Q894" t="s">
        <v>905</v>
      </c>
      <c r="R894" t="s">
        <v>76</v>
      </c>
      <c r="S894" t="s">
        <v>76</v>
      </c>
      <c r="T894" t="s">
        <v>76</v>
      </c>
      <c r="U894">
        <v>1</v>
      </c>
      <c r="V894" s="13">
        <v>45175</v>
      </c>
      <c r="W894">
        <v>1</v>
      </c>
      <c r="X894">
        <v>1</v>
      </c>
      <c r="Y894" t="s">
        <v>3720</v>
      </c>
      <c r="AC894">
        <v>2885</v>
      </c>
      <c r="AD894" t="e" vm="885">
        <v>#VALUE!</v>
      </c>
    </row>
    <row r="895" spans="2:30" x14ac:dyDescent="0.25">
      <c r="B895">
        <v>2886</v>
      </c>
      <c r="C895" t="s">
        <v>75</v>
      </c>
      <c r="D895" t="s">
        <v>73</v>
      </c>
      <c r="E895" t="s">
        <v>73</v>
      </c>
      <c r="F895" t="s">
        <v>3816</v>
      </c>
      <c r="G895" t="s">
        <v>3816</v>
      </c>
      <c r="H895" t="s">
        <v>3808</v>
      </c>
      <c r="I895" t="s">
        <v>3843</v>
      </c>
      <c r="J895" t="s">
        <v>3844</v>
      </c>
      <c r="K895" t="s">
        <v>905</v>
      </c>
      <c r="L895" s="13">
        <v>401768</v>
      </c>
      <c r="N895" t="s">
        <v>74</v>
      </c>
      <c r="O895" t="s">
        <v>3855</v>
      </c>
      <c r="P895" t="s">
        <v>76</v>
      </c>
      <c r="Q895" t="s">
        <v>905</v>
      </c>
      <c r="R895" t="s">
        <v>76</v>
      </c>
      <c r="S895" t="s">
        <v>76</v>
      </c>
      <c r="T895" t="s">
        <v>76</v>
      </c>
      <c r="U895">
        <v>1</v>
      </c>
      <c r="V895" s="13">
        <v>45175</v>
      </c>
      <c r="W895">
        <v>1</v>
      </c>
      <c r="X895">
        <v>1</v>
      </c>
      <c r="Y895" t="s">
        <v>3720</v>
      </c>
      <c r="AC895">
        <v>2886</v>
      </c>
      <c r="AD895" t="e" vm="886">
        <v>#VALUE!</v>
      </c>
    </row>
    <row r="896" spans="2:30" x14ac:dyDescent="0.25">
      <c r="B896">
        <v>2887</v>
      </c>
      <c r="C896" t="s">
        <v>75</v>
      </c>
      <c r="D896" t="s">
        <v>73</v>
      </c>
      <c r="E896" t="s">
        <v>73</v>
      </c>
      <c r="F896" t="s">
        <v>3816</v>
      </c>
      <c r="G896" t="s">
        <v>3816</v>
      </c>
      <c r="H896" t="s">
        <v>3808</v>
      </c>
      <c r="I896" t="s">
        <v>3843</v>
      </c>
      <c r="J896" t="s">
        <v>3844</v>
      </c>
      <c r="K896" t="s">
        <v>905</v>
      </c>
      <c r="L896" s="13">
        <v>401768</v>
      </c>
      <c r="N896" t="s">
        <v>74</v>
      </c>
      <c r="O896" t="s">
        <v>3855</v>
      </c>
      <c r="P896" t="s">
        <v>76</v>
      </c>
      <c r="Q896" t="s">
        <v>905</v>
      </c>
      <c r="R896" t="s">
        <v>76</v>
      </c>
      <c r="S896" t="s">
        <v>76</v>
      </c>
      <c r="T896" t="s">
        <v>76</v>
      </c>
      <c r="U896">
        <v>1</v>
      </c>
      <c r="V896" s="13">
        <v>45175</v>
      </c>
      <c r="W896">
        <v>1</v>
      </c>
      <c r="X896">
        <v>1</v>
      </c>
      <c r="Y896" t="s">
        <v>3720</v>
      </c>
      <c r="AC896">
        <v>2887</v>
      </c>
      <c r="AD896" t="e" vm="887">
        <v>#VALUE!</v>
      </c>
    </row>
    <row r="897" spans="2:30" x14ac:dyDescent="0.25">
      <c r="B897">
        <v>2888</v>
      </c>
      <c r="C897" t="s">
        <v>75</v>
      </c>
      <c r="D897" t="s">
        <v>73</v>
      </c>
      <c r="E897" t="s">
        <v>73</v>
      </c>
      <c r="F897" t="s">
        <v>3816</v>
      </c>
      <c r="G897" t="s">
        <v>3816</v>
      </c>
      <c r="H897" t="s">
        <v>3808</v>
      </c>
      <c r="I897" t="s">
        <v>3843</v>
      </c>
      <c r="J897" t="s">
        <v>3844</v>
      </c>
      <c r="K897" t="s">
        <v>905</v>
      </c>
      <c r="L897" s="13">
        <v>401768</v>
      </c>
      <c r="N897" t="s">
        <v>74</v>
      </c>
      <c r="O897" t="s">
        <v>3855</v>
      </c>
      <c r="P897" t="s">
        <v>76</v>
      </c>
      <c r="Q897" t="s">
        <v>905</v>
      </c>
      <c r="R897" t="s">
        <v>76</v>
      </c>
      <c r="S897" t="s">
        <v>76</v>
      </c>
      <c r="T897" t="s">
        <v>76</v>
      </c>
      <c r="U897">
        <v>1</v>
      </c>
      <c r="V897" s="13">
        <v>45175</v>
      </c>
      <c r="W897">
        <v>1</v>
      </c>
      <c r="X897">
        <v>1</v>
      </c>
      <c r="Y897" t="s">
        <v>3720</v>
      </c>
      <c r="AC897">
        <v>2888</v>
      </c>
      <c r="AD897" t="e" vm="888">
        <v>#VALUE!</v>
      </c>
    </row>
    <row r="898" spans="2:30" x14ac:dyDescent="0.25">
      <c r="B898">
        <v>2889</v>
      </c>
      <c r="C898" t="s">
        <v>75</v>
      </c>
      <c r="D898" t="s">
        <v>73</v>
      </c>
      <c r="E898" t="s">
        <v>73</v>
      </c>
      <c r="F898" t="s">
        <v>3816</v>
      </c>
      <c r="G898" t="s">
        <v>3816</v>
      </c>
      <c r="H898" t="s">
        <v>3808</v>
      </c>
      <c r="I898" t="s">
        <v>3843</v>
      </c>
      <c r="J898" t="s">
        <v>3844</v>
      </c>
      <c r="K898" t="s">
        <v>905</v>
      </c>
      <c r="L898" s="13">
        <v>401768</v>
      </c>
      <c r="N898" t="s">
        <v>74</v>
      </c>
      <c r="O898" t="s">
        <v>3855</v>
      </c>
      <c r="P898" t="s">
        <v>76</v>
      </c>
      <c r="Q898" t="s">
        <v>905</v>
      </c>
      <c r="R898" t="s">
        <v>76</v>
      </c>
      <c r="S898" t="s">
        <v>76</v>
      </c>
      <c r="T898" t="s">
        <v>76</v>
      </c>
      <c r="U898">
        <v>1</v>
      </c>
      <c r="V898" s="13">
        <v>45175</v>
      </c>
      <c r="W898">
        <v>1</v>
      </c>
      <c r="X898">
        <v>1</v>
      </c>
      <c r="Y898" t="s">
        <v>3720</v>
      </c>
      <c r="AC898">
        <v>2889</v>
      </c>
      <c r="AD898" t="e" vm="889">
        <v>#VALUE!</v>
      </c>
    </row>
    <row r="899" spans="2:30" x14ac:dyDescent="0.25">
      <c r="B899">
        <v>2890</v>
      </c>
      <c r="C899" t="s">
        <v>75</v>
      </c>
      <c r="D899" t="s">
        <v>73</v>
      </c>
      <c r="E899" t="s">
        <v>73</v>
      </c>
      <c r="F899" t="s">
        <v>3816</v>
      </c>
      <c r="G899" t="s">
        <v>3816</v>
      </c>
      <c r="H899" t="s">
        <v>3808</v>
      </c>
      <c r="I899" t="s">
        <v>3843</v>
      </c>
      <c r="J899" t="s">
        <v>3844</v>
      </c>
      <c r="K899" t="s">
        <v>905</v>
      </c>
      <c r="L899" s="13">
        <v>401768</v>
      </c>
      <c r="N899" t="s">
        <v>74</v>
      </c>
      <c r="O899" t="s">
        <v>3855</v>
      </c>
      <c r="P899" t="s">
        <v>76</v>
      </c>
      <c r="Q899" t="s">
        <v>905</v>
      </c>
      <c r="R899" t="s">
        <v>76</v>
      </c>
      <c r="S899" t="s">
        <v>76</v>
      </c>
      <c r="T899" t="s">
        <v>76</v>
      </c>
      <c r="U899">
        <v>1</v>
      </c>
      <c r="V899" s="13">
        <v>45175</v>
      </c>
      <c r="W899">
        <v>1</v>
      </c>
      <c r="X899">
        <v>1</v>
      </c>
      <c r="Y899" t="s">
        <v>3720</v>
      </c>
      <c r="AC899">
        <v>2890</v>
      </c>
      <c r="AD899" t="e" vm="890">
        <v>#VALUE!</v>
      </c>
    </row>
    <row r="900" spans="2:30" x14ac:dyDescent="0.25">
      <c r="B900">
        <v>2891</v>
      </c>
      <c r="C900" t="s">
        <v>3668</v>
      </c>
      <c r="D900" t="s">
        <v>3669</v>
      </c>
      <c r="E900" t="s">
        <v>3817</v>
      </c>
      <c r="F900" t="s">
        <v>81</v>
      </c>
      <c r="G900" t="s">
        <v>80</v>
      </c>
      <c r="H900" t="s">
        <v>3808</v>
      </c>
      <c r="I900" t="s">
        <v>3843</v>
      </c>
      <c r="J900" t="s">
        <v>3844</v>
      </c>
      <c r="K900" t="s">
        <v>905</v>
      </c>
      <c r="L900" s="13">
        <v>45056</v>
      </c>
      <c r="M900">
        <v>0</v>
      </c>
      <c r="N900" t="s">
        <v>82</v>
      </c>
      <c r="O900" t="s">
        <v>3855</v>
      </c>
      <c r="P900" t="s">
        <v>76</v>
      </c>
      <c r="Q900" t="s">
        <v>905</v>
      </c>
      <c r="R900" t="s">
        <v>76</v>
      </c>
      <c r="S900" t="s">
        <v>76</v>
      </c>
      <c r="T900" t="s">
        <v>76</v>
      </c>
      <c r="U900">
        <v>1</v>
      </c>
      <c r="V900" s="13">
        <v>45175</v>
      </c>
      <c r="W900">
        <v>1</v>
      </c>
      <c r="X900">
        <v>1</v>
      </c>
      <c r="Y900" t="s">
        <v>3670</v>
      </c>
      <c r="AC900">
        <v>2891</v>
      </c>
      <c r="AD900" t="e" vm="891">
        <v>#VALUE!</v>
      </c>
    </row>
    <row r="901" spans="2:30" x14ac:dyDescent="0.25">
      <c r="B901">
        <v>2892</v>
      </c>
      <c r="C901" t="s">
        <v>3668</v>
      </c>
      <c r="D901" t="s">
        <v>3669</v>
      </c>
      <c r="E901" t="s">
        <v>3817</v>
      </c>
      <c r="F901" t="s">
        <v>81</v>
      </c>
      <c r="G901" t="s">
        <v>80</v>
      </c>
      <c r="H901" t="s">
        <v>3808</v>
      </c>
      <c r="I901" t="s">
        <v>3843</v>
      </c>
      <c r="J901" t="s">
        <v>3844</v>
      </c>
      <c r="K901" t="s">
        <v>905</v>
      </c>
      <c r="L901" s="13">
        <v>45084</v>
      </c>
      <c r="M901">
        <v>0</v>
      </c>
      <c r="N901" t="s">
        <v>82</v>
      </c>
      <c r="O901" t="s">
        <v>3855</v>
      </c>
      <c r="P901" t="s">
        <v>76</v>
      </c>
      <c r="Q901" t="s">
        <v>905</v>
      </c>
      <c r="R901" t="s">
        <v>76</v>
      </c>
      <c r="S901" t="s">
        <v>76</v>
      </c>
      <c r="T901" t="s">
        <v>76</v>
      </c>
      <c r="U901">
        <v>1</v>
      </c>
      <c r="V901" s="13">
        <v>45175</v>
      </c>
      <c r="W901">
        <v>1</v>
      </c>
      <c r="X901">
        <v>1</v>
      </c>
      <c r="Y901" t="s">
        <v>3670</v>
      </c>
      <c r="AC901">
        <v>2892</v>
      </c>
      <c r="AD901" t="e" vm="892">
        <v>#VALUE!</v>
      </c>
    </row>
    <row r="902" spans="2:30" x14ac:dyDescent="0.25">
      <c r="B902">
        <v>2893</v>
      </c>
      <c r="C902" t="s">
        <v>3668</v>
      </c>
      <c r="D902" t="s">
        <v>3669</v>
      </c>
      <c r="E902" t="s">
        <v>3817</v>
      </c>
      <c r="F902" t="s">
        <v>81</v>
      </c>
      <c r="G902" t="s">
        <v>80</v>
      </c>
      <c r="H902" t="s">
        <v>3808</v>
      </c>
      <c r="I902" t="s">
        <v>3843</v>
      </c>
      <c r="J902" t="s">
        <v>3844</v>
      </c>
      <c r="K902" t="s">
        <v>905</v>
      </c>
      <c r="L902" s="13">
        <v>45078</v>
      </c>
      <c r="M902">
        <v>0</v>
      </c>
      <c r="N902" t="s">
        <v>82</v>
      </c>
      <c r="O902" t="s">
        <v>3855</v>
      </c>
      <c r="P902" t="s">
        <v>76</v>
      </c>
      <c r="Q902" t="s">
        <v>905</v>
      </c>
      <c r="R902" t="s">
        <v>76</v>
      </c>
      <c r="S902" t="s">
        <v>76</v>
      </c>
      <c r="T902" t="s">
        <v>76</v>
      </c>
      <c r="U902">
        <v>1</v>
      </c>
      <c r="V902" s="13">
        <v>45175</v>
      </c>
      <c r="W902">
        <v>1</v>
      </c>
      <c r="X902">
        <v>1</v>
      </c>
      <c r="Y902" t="s">
        <v>3670</v>
      </c>
      <c r="AC902">
        <v>2893</v>
      </c>
      <c r="AD902" t="e" vm="893">
        <v>#VALUE!</v>
      </c>
    </row>
    <row r="903" spans="2:30" x14ac:dyDescent="0.25">
      <c r="B903">
        <v>2894</v>
      </c>
      <c r="C903" t="s">
        <v>3668</v>
      </c>
      <c r="D903" t="s">
        <v>3669</v>
      </c>
      <c r="E903" t="s">
        <v>3817</v>
      </c>
      <c r="F903" t="s">
        <v>81</v>
      </c>
      <c r="G903" t="s">
        <v>80</v>
      </c>
      <c r="H903" t="s">
        <v>3808</v>
      </c>
      <c r="I903" t="s">
        <v>3843</v>
      </c>
      <c r="J903" t="s">
        <v>3844</v>
      </c>
      <c r="K903" t="s">
        <v>905</v>
      </c>
      <c r="L903" s="13">
        <v>45077</v>
      </c>
      <c r="M903">
        <v>0</v>
      </c>
      <c r="N903" t="s">
        <v>82</v>
      </c>
      <c r="O903" t="s">
        <v>3855</v>
      </c>
      <c r="P903" t="s">
        <v>76</v>
      </c>
      <c r="Q903" t="s">
        <v>905</v>
      </c>
      <c r="R903" t="s">
        <v>76</v>
      </c>
      <c r="S903" t="s">
        <v>76</v>
      </c>
      <c r="T903" t="s">
        <v>76</v>
      </c>
      <c r="U903">
        <v>1</v>
      </c>
      <c r="V903" s="13">
        <v>45175</v>
      </c>
      <c r="W903">
        <v>1</v>
      </c>
      <c r="X903">
        <v>1</v>
      </c>
      <c r="Y903" t="s">
        <v>3670</v>
      </c>
      <c r="AC903">
        <v>2894</v>
      </c>
      <c r="AD903" t="e" vm="894">
        <v>#VALUE!</v>
      </c>
    </row>
    <row r="904" spans="2:30" x14ac:dyDescent="0.25">
      <c r="B904">
        <v>2895</v>
      </c>
      <c r="C904" t="s">
        <v>3668</v>
      </c>
      <c r="D904" t="s">
        <v>3669</v>
      </c>
      <c r="E904" t="s">
        <v>3817</v>
      </c>
      <c r="F904" t="s">
        <v>81</v>
      </c>
      <c r="G904" t="s">
        <v>80</v>
      </c>
      <c r="H904" t="s">
        <v>3808</v>
      </c>
      <c r="I904" t="s">
        <v>3843</v>
      </c>
      <c r="J904" t="s">
        <v>3844</v>
      </c>
      <c r="K904" t="s">
        <v>905</v>
      </c>
      <c r="L904" s="13">
        <v>45098</v>
      </c>
      <c r="M904">
        <v>0</v>
      </c>
      <c r="N904" t="s">
        <v>82</v>
      </c>
      <c r="O904" t="s">
        <v>3855</v>
      </c>
      <c r="P904" t="s">
        <v>76</v>
      </c>
      <c r="Q904" t="s">
        <v>905</v>
      </c>
      <c r="R904" t="s">
        <v>76</v>
      </c>
      <c r="S904" t="s">
        <v>76</v>
      </c>
      <c r="T904" t="s">
        <v>76</v>
      </c>
      <c r="U904">
        <v>1</v>
      </c>
      <c r="V904" s="13">
        <v>45175</v>
      </c>
      <c r="W904">
        <v>1</v>
      </c>
      <c r="X904">
        <v>1</v>
      </c>
      <c r="Y904" t="s">
        <v>3670</v>
      </c>
      <c r="AC904">
        <v>2895</v>
      </c>
      <c r="AD904" t="e" vm="895">
        <v>#VALUE!</v>
      </c>
    </row>
    <row r="905" spans="2:30" x14ac:dyDescent="0.25">
      <c r="B905">
        <v>2896</v>
      </c>
      <c r="C905" t="s">
        <v>3668</v>
      </c>
      <c r="D905" t="s">
        <v>3669</v>
      </c>
      <c r="E905" t="s">
        <v>3817</v>
      </c>
      <c r="F905" t="s">
        <v>81</v>
      </c>
      <c r="G905" t="s">
        <v>80</v>
      </c>
      <c r="H905" t="s">
        <v>3808</v>
      </c>
      <c r="I905" t="s">
        <v>3843</v>
      </c>
      <c r="J905" t="s">
        <v>3844</v>
      </c>
      <c r="K905" t="s">
        <v>905</v>
      </c>
      <c r="L905" s="13">
        <v>45084</v>
      </c>
      <c r="M905">
        <v>0</v>
      </c>
      <c r="N905" t="s">
        <v>82</v>
      </c>
      <c r="O905" t="s">
        <v>3855</v>
      </c>
      <c r="P905" t="s">
        <v>76</v>
      </c>
      <c r="Q905" t="s">
        <v>905</v>
      </c>
      <c r="R905" t="s">
        <v>76</v>
      </c>
      <c r="S905" t="s">
        <v>76</v>
      </c>
      <c r="T905" t="s">
        <v>76</v>
      </c>
      <c r="U905">
        <v>1</v>
      </c>
      <c r="V905" s="13">
        <v>45175</v>
      </c>
      <c r="W905">
        <v>1</v>
      </c>
      <c r="X905">
        <v>1</v>
      </c>
      <c r="Y905" t="s">
        <v>3670</v>
      </c>
      <c r="AC905">
        <v>2896</v>
      </c>
      <c r="AD905" t="e" vm="896">
        <v>#VALUE!</v>
      </c>
    </row>
    <row r="906" spans="2:30" x14ac:dyDescent="0.25">
      <c r="B906">
        <v>2897</v>
      </c>
      <c r="C906" t="s">
        <v>3668</v>
      </c>
      <c r="D906" t="s">
        <v>3669</v>
      </c>
      <c r="E906" t="s">
        <v>3817</v>
      </c>
      <c r="F906" t="s">
        <v>81</v>
      </c>
      <c r="G906" t="s">
        <v>80</v>
      </c>
      <c r="H906" t="s">
        <v>3808</v>
      </c>
      <c r="I906" t="s">
        <v>3843</v>
      </c>
      <c r="J906" t="s">
        <v>3844</v>
      </c>
      <c r="K906" t="s">
        <v>905</v>
      </c>
      <c r="L906" s="13">
        <v>45091</v>
      </c>
      <c r="M906">
        <v>0</v>
      </c>
      <c r="N906" t="s">
        <v>82</v>
      </c>
      <c r="O906" t="s">
        <v>3855</v>
      </c>
      <c r="P906" t="s">
        <v>76</v>
      </c>
      <c r="Q906" t="s">
        <v>905</v>
      </c>
      <c r="R906" t="s">
        <v>76</v>
      </c>
      <c r="S906" t="s">
        <v>76</v>
      </c>
      <c r="T906" t="s">
        <v>76</v>
      </c>
      <c r="U906">
        <v>1</v>
      </c>
      <c r="V906" s="13">
        <v>45175</v>
      </c>
      <c r="W906">
        <v>1</v>
      </c>
      <c r="X906">
        <v>1</v>
      </c>
      <c r="Y906" t="s">
        <v>3670</v>
      </c>
      <c r="AC906">
        <v>2897</v>
      </c>
      <c r="AD906" t="e" vm="897">
        <v>#VALUE!</v>
      </c>
    </row>
    <row r="907" spans="2:30" x14ac:dyDescent="0.25">
      <c r="B907">
        <v>2898</v>
      </c>
      <c r="C907" t="s">
        <v>75</v>
      </c>
      <c r="D907" t="s">
        <v>73</v>
      </c>
      <c r="E907" t="s">
        <v>73</v>
      </c>
      <c r="F907" t="s">
        <v>3816</v>
      </c>
      <c r="G907" t="s">
        <v>3816</v>
      </c>
      <c r="H907" t="s">
        <v>3808</v>
      </c>
      <c r="I907" t="s">
        <v>3843</v>
      </c>
      <c r="J907" t="s">
        <v>3844</v>
      </c>
      <c r="K907" t="s">
        <v>905</v>
      </c>
      <c r="L907" s="13">
        <v>401768</v>
      </c>
      <c r="N907" t="s">
        <v>74</v>
      </c>
      <c r="O907" t="s">
        <v>3855</v>
      </c>
      <c r="P907" t="s">
        <v>76</v>
      </c>
      <c r="Q907" t="s">
        <v>905</v>
      </c>
      <c r="R907" t="s">
        <v>76</v>
      </c>
      <c r="S907" t="s">
        <v>76</v>
      </c>
      <c r="T907" t="s">
        <v>76</v>
      </c>
      <c r="U907">
        <v>1</v>
      </c>
      <c r="V907" s="13">
        <v>45175</v>
      </c>
      <c r="W907">
        <v>1</v>
      </c>
      <c r="X907">
        <v>1</v>
      </c>
      <c r="Y907" t="s">
        <v>3720</v>
      </c>
      <c r="AC907">
        <v>2898</v>
      </c>
      <c r="AD907" t="e" vm="898">
        <v>#VALUE!</v>
      </c>
    </row>
    <row r="908" spans="2:30" x14ac:dyDescent="0.25">
      <c r="B908">
        <v>2899</v>
      </c>
      <c r="C908" t="s">
        <v>3668</v>
      </c>
      <c r="D908" t="s">
        <v>73</v>
      </c>
      <c r="E908" t="s">
        <v>73</v>
      </c>
      <c r="F908" t="s">
        <v>3816</v>
      </c>
      <c r="G908" t="s">
        <v>3816</v>
      </c>
      <c r="H908" t="s">
        <v>3808</v>
      </c>
      <c r="I908" t="s">
        <v>3843</v>
      </c>
      <c r="J908" t="s">
        <v>3844</v>
      </c>
      <c r="K908" t="s">
        <v>905</v>
      </c>
      <c r="L908" s="13">
        <v>45162</v>
      </c>
      <c r="M908">
        <v>0</v>
      </c>
      <c r="N908" t="s">
        <v>82</v>
      </c>
      <c r="O908" t="s">
        <v>3855</v>
      </c>
      <c r="P908" t="s">
        <v>76</v>
      </c>
      <c r="Q908" t="s">
        <v>905</v>
      </c>
      <c r="R908" t="s">
        <v>76</v>
      </c>
      <c r="S908" t="s">
        <v>76</v>
      </c>
      <c r="T908" t="s">
        <v>76</v>
      </c>
      <c r="U908">
        <v>1</v>
      </c>
      <c r="V908" s="13">
        <v>45175</v>
      </c>
      <c r="W908">
        <v>1</v>
      </c>
      <c r="X908">
        <v>1</v>
      </c>
      <c r="Y908" t="s">
        <v>3721</v>
      </c>
      <c r="AC908">
        <v>2899</v>
      </c>
      <c r="AD908" t="e" vm="899">
        <v>#VALUE!</v>
      </c>
    </row>
    <row r="909" spans="2:30" x14ac:dyDescent="0.25">
      <c r="B909">
        <v>2900</v>
      </c>
      <c r="C909" t="s">
        <v>3668</v>
      </c>
      <c r="D909" t="s">
        <v>73</v>
      </c>
      <c r="E909" t="s">
        <v>73</v>
      </c>
      <c r="F909" t="s">
        <v>3816</v>
      </c>
      <c r="G909" t="s">
        <v>3816</v>
      </c>
      <c r="H909" t="s">
        <v>3808</v>
      </c>
      <c r="I909" t="s">
        <v>3843</v>
      </c>
      <c r="J909" t="s">
        <v>3844</v>
      </c>
      <c r="K909" t="s">
        <v>905</v>
      </c>
      <c r="L909" s="13">
        <v>45169</v>
      </c>
      <c r="M909">
        <v>0</v>
      </c>
      <c r="N909" t="s">
        <v>82</v>
      </c>
      <c r="O909" t="s">
        <v>3855</v>
      </c>
      <c r="P909" t="s">
        <v>76</v>
      </c>
      <c r="Q909" t="s">
        <v>905</v>
      </c>
      <c r="R909" t="s">
        <v>76</v>
      </c>
      <c r="S909" t="s">
        <v>76</v>
      </c>
      <c r="T909" t="s">
        <v>76</v>
      </c>
      <c r="U909">
        <v>1</v>
      </c>
      <c r="V909" s="13">
        <v>45175</v>
      </c>
      <c r="W909">
        <v>1</v>
      </c>
      <c r="X909">
        <v>1</v>
      </c>
      <c r="Y909" t="s">
        <v>3721</v>
      </c>
      <c r="AC909">
        <v>2900</v>
      </c>
      <c r="AD909" t="e" vm="900">
        <v>#VALUE!</v>
      </c>
    </row>
    <row r="910" spans="2:30" x14ac:dyDescent="0.25">
      <c r="B910">
        <v>2901</v>
      </c>
      <c r="C910" t="s">
        <v>75</v>
      </c>
      <c r="D910" t="s">
        <v>73</v>
      </c>
      <c r="E910" t="s">
        <v>73</v>
      </c>
      <c r="F910" t="s">
        <v>3816</v>
      </c>
      <c r="G910" t="s">
        <v>3816</v>
      </c>
      <c r="H910" t="s">
        <v>3808</v>
      </c>
      <c r="I910" t="s">
        <v>3843</v>
      </c>
      <c r="J910" t="s">
        <v>3844</v>
      </c>
      <c r="K910" t="s">
        <v>905</v>
      </c>
      <c r="L910" s="13">
        <v>401768</v>
      </c>
      <c r="N910" t="s">
        <v>74</v>
      </c>
      <c r="O910" t="s">
        <v>3856</v>
      </c>
      <c r="P910" t="s">
        <v>76</v>
      </c>
      <c r="Q910" t="s">
        <v>905</v>
      </c>
      <c r="R910" t="s">
        <v>76</v>
      </c>
      <c r="S910" t="s">
        <v>76</v>
      </c>
      <c r="T910" t="s">
        <v>76</v>
      </c>
      <c r="U910">
        <v>1</v>
      </c>
      <c r="V910" s="13">
        <v>45175</v>
      </c>
      <c r="W910">
        <v>1</v>
      </c>
      <c r="X910">
        <v>1</v>
      </c>
      <c r="Y910" t="s">
        <v>3720</v>
      </c>
      <c r="AC910">
        <v>2901</v>
      </c>
      <c r="AD910" t="e" vm="901">
        <v>#VALUE!</v>
      </c>
    </row>
    <row r="911" spans="2:30" x14ac:dyDescent="0.25">
      <c r="B911">
        <v>2902</v>
      </c>
      <c r="C911" t="s">
        <v>75</v>
      </c>
      <c r="D911" t="s">
        <v>73</v>
      </c>
      <c r="E911" t="s">
        <v>73</v>
      </c>
      <c r="F911" t="s">
        <v>3816</v>
      </c>
      <c r="G911" t="s">
        <v>3816</v>
      </c>
      <c r="H911" t="s">
        <v>3808</v>
      </c>
      <c r="I911" t="s">
        <v>3843</v>
      </c>
      <c r="J911" t="s">
        <v>3844</v>
      </c>
      <c r="K911" t="s">
        <v>905</v>
      </c>
      <c r="L911" s="13">
        <v>401768</v>
      </c>
      <c r="N911" t="s">
        <v>74</v>
      </c>
      <c r="O911" t="s">
        <v>3856</v>
      </c>
      <c r="P911" t="s">
        <v>76</v>
      </c>
      <c r="Q911" t="s">
        <v>905</v>
      </c>
      <c r="R911" t="s">
        <v>76</v>
      </c>
      <c r="S911" t="s">
        <v>76</v>
      </c>
      <c r="T911" t="s">
        <v>76</v>
      </c>
      <c r="U911">
        <v>1</v>
      </c>
      <c r="V911" s="13">
        <v>45175</v>
      </c>
      <c r="W911">
        <v>1</v>
      </c>
      <c r="X911">
        <v>1</v>
      </c>
      <c r="Y911" t="s">
        <v>3720</v>
      </c>
      <c r="AC911">
        <v>2902</v>
      </c>
      <c r="AD911" t="e" vm="902">
        <v>#VALUE!</v>
      </c>
    </row>
    <row r="912" spans="2:30" x14ac:dyDescent="0.25">
      <c r="B912">
        <v>2903</v>
      </c>
      <c r="C912" t="s">
        <v>75</v>
      </c>
      <c r="D912" t="s">
        <v>73</v>
      </c>
      <c r="E912" t="s">
        <v>73</v>
      </c>
      <c r="F912" t="s">
        <v>3816</v>
      </c>
      <c r="G912" t="s">
        <v>3816</v>
      </c>
      <c r="H912" t="s">
        <v>3808</v>
      </c>
      <c r="I912" t="s">
        <v>3843</v>
      </c>
      <c r="J912" t="s">
        <v>3844</v>
      </c>
      <c r="K912" t="s">
        <v>905</v>
      </c>
      <c r="L912" s="13">
        <v>401768</v>
      </c>
      <c r="N912" t="s">
        <v>74</v>
      </c>
      <c r="O912" t="s">
        <v>3856</v>
      </c>
      <c r="P912" t="s">
        <v>76</v>
      </c>
      <c r="Q912" t="s">
        <v>905</v>
      </c>
      <c r="R912" t="s">
        <v>76</v>
      </c>
      <c r="S912" t="s">
        <v>76</v>
      </c>
      <c r="T912" t="s">
        <v>76</v>
      </c>
      <c r="U912">
        <v>1</v>
      </c>
      <c r="V912" s="13">
        <v>45175</v>
      </c>
      <c r="W912">
        <v>1</v>
      </c>
      <c r="X912">
        <v>1</v>
      </c>
      <c r="Y912" t="s">
        <v>3720</v>
      </c>
      <c r="AC912">
        <v>2903</v>
      </c>
      <c r="AD912" t="e" vm="903">
        <v>#VALUE!</v>
      </c>
    </row>
    <row r="913" spans="2:30" x14ac:dyDescent="0.25">
      <c r="B913">
        <v>2904</v>
      </c>
      <c r="C913" t="s">
        <v>75</v>
      </c>
      <c r="D913" t="s">
        <v>73</v>
      </c>
      <c r="E913" t="s">
        <v>73</v>
      </c>
      <c r="F913" t="s">
        <v>3816</v>
      </c>
      <c r="G913" t="s">
        <v>3816</v>
      </c>
      <c r="H913" t="s">
        <v>3808</v>
      </c>
      <c r="I913" t="s">
        <v>3843</v>
      </c>
      <c r="J913" t="s">
        <v>3844</v>
      </c>
      <c r="K913" t="s">
        <v>905</v>
      </c>
      <c r="L913" s="13">
        <v>401768</v>
      </c>
      <c r="N913" t="s">
        <v>74</v>
      </c>
      <c r="O913" t="s">
        <v>3856</v>
      </c>
      <c r="P913" t="s">
        <v>76</v>
      </c>
      <c r="Q913" t="s">
        <v>905</v>
      </c>
      <c r="R913" t="s">
        <v>76</v>
      </c>
      <c r="S913" t="s">
        <v>76</v>
      </c>
      <c r="T913" t="s">
        <v>76</v>
      </c>
      <c r="U913">
        <v>1</v>
      </c>
      <c r="V913" s="13">
        <v>45175</v>
      </c>
      <c r="W913">
        <v>1</v>
      </c>
      <c r="X913">
        <v>1</v>
      </c>
      <c r="Y913" t="s">
        <v>3720</v>
      </c>
      <c r="AC913">
        <v>2904</v>
      </c>
      <c r="AD913" t="e" vm="904">
        <v>#VALUE!</v>
      </c>
    </row>
    <row r="914" spans="2:30" x14ac:dyDescent="0.25">
      <c r="B914">
        <v>2905</v>
      </c>
      <c r="C914" t="s">
        <v>75</v>
      </c>
      <c r="D914" t="s">
        <v>73</v>
      </c>
      <c r="E914" t="s">
        <v>73</v>
      </c>
      <c r="F914" t="s">
        <v>3816</v>
      </c>
      <c r="G914" t="s">
        <v>3816</v>
      </c>
      <c r="H914" t="s">
        <v>3808</v>
      </c>
      <c r="I914" t="s">
        <v>3843</v>
      </c>
      <c r="J914" t="s">
        <v>3844</v>
      </c>
      <c r="K914" t="s">
        <v>905</v>
      </c>
      <c r="L914" s="13">
        <v>401768</v>
      </c>
      <c r="N914" t="s">
        <v>74</v>
      </c>
      <c r="O914" t="s">
        <v>3856</v>
      </c>
      <c r="P914" t="s">
        <v>76</v>
      </c>
      <c r="Q914" t="s">
        <v>905</v>
      </c>
      <c r="R914" t="s">
        <v>76</v>
      </c>
      <c r="S914" t="s">
        <v>76</v>
      </c>
      <c r="T914" t="s">
        <v>76</v>
      </c>
      <c r="U914">
        <v>1</v>
      </c>
      <c r="V914" s="13">
        <v>45175</v>
      </c>
      <c r="W914">
        <v>1</v>
      </c>
      <c r="X914">
        <v>1</v>
      </c>
      <c r="Y914" t="s">
        <v>3720</v>
      </c>
      <c r="AC914">
        <v>2905</v>
      </c>
      <c r="AD914" t="e" vm="905">
        <v>#VALUE!</v>
      </c>
    </row>
    <row r="915" spans="2:30" x14ac:dyDescent="0.25">
      <c r="B915">
        <v>2906</v>
      </c>
      <c r="C915" t="s">
        <v>75</v>
      </c>
      <c r="D915" t="s">
        <v>73</v>
      </c>
      <c r="E915" t="s">
        <v>73</v>
      </c>
      <c r="F915" t="s">
        <v>3816</v>
      </c>
      <c r="G915" t="s">
        <v>3816</v>
      </c>
      <c r="H915" t="s">
        <v>3808</v>
      </c>
      <c r="I915" t="s">
        <v>3843</v>
      </c>
      <c r="J915" t="s">
        <v>3844</v>
      </c>
      <c r="K915" t="s">
        <v>905</v>
      </c>
      <c r="L915" s="13">
        <v>401768</v>
      </c>
      <c r="N915" t="s">
        <v>74</v>
      </c>
      <c r="O915" t="s">
        <v>3856</v>
      </c>
      <c r="P915" t="s">
        <v>76</v>
      </c>
      <c r="Q915" t="s">
        <v>905</v>
      </c>
      <c r="R915" t="s">
        <v>76</v>
      </c>
      <c r="S915" t="s">
        <v>76</v>
      </c>
      <c r="T915" t="s">
        <v>76</v>
      </c>
      <c r="U915">
        <v>1</v>
      </c>
      <c r="V915" s="13">
        <v>45175</v>
      </c>
      <c r="W915">
        <v>1</v>
      </c>
      <c r="X915">
        <v>1</v>
      </c>
      <c r="Y915" t="s">
        <v>3720</v>
      </c>
      <c r="AC915">
        <v>2906</v>
      </c>
      <c r="AD915" t="e" vm="906">
        <v>#VALUE!</v>
      </c>
    </row>
    <row r="916" spans="2:30" x14ac:dyDescent="0.25">
      <c r="B916">
        <v>2907</v>
      </c>
      <c r="C916" t="s">
        <v>75</v>
      </c>
      <c r="D916" t="s">
        <v>73</v>
      </c>
      <c r="E916" t="s">
        <v>73</v>
      </c>
      <c r="F916" t="s">
        <v>3816</v>
      </c>
      <c r="G916" t="s">
        <v>3816</v>
      </c>
      <c r="H916" t="s">
        <v>3808</v>
      </c>
      <c r="I916" t="s">
        <v>3843</v>
      </c>
      <c r="J916" t="s">
        <v>3844</v>
      </c>
      <c r="K916" t="s">
        <v>905</v>
      </c>
      <c r="L916" s="13">
        <v>401768</v>
      </c>
      <c r="N916" t="s">
        <v>74</v>
      </c>
      <c r="O916" t="s">
        <v>3856</v>
      </c>
      <c r="P916" t="s">
        <v>76</v>
      </c>
      <c r="Q916" t="s">
        <v>905</v>
      </c>
      <c r="R916" t="s">
        <v>76</v>
      </c>
      <c r="S916" t="s">
        <v>76</v>
      </c>
      <c r="T916" t="s">
        <v>76</v>
      </c>
      <c r="U916">
        <v>1</v>
      </c>
      <c r="V916" s="13">
        <v>45175</v>
      </c>
      <c r="W916">
        <v>1</v>
      </c>
      <c r="X916">
        <v>1</v>
      </c>
      <c r="Y916" t="s">
        <v>3720</v>
      </c>
      <c r="AC916">
        <v>2907</v>
      </c>
      <c r="AD916" t="e" vm="907">
        <v>#VALUE!</v>
      </c>
    </row>
    <row r="917" spans="2:30" x14ac:dyDescent="0.25">
      <c r="B917">
        <v>2908</v>
      </c>
      <c r="C917" t="s">
        <v>75</v>
      </c>
      <c r="D917" t="s">
        <v>73</v>
      </c>
      <c r="E917" t="s">
        <v>73</v>
      </c>
      <c r="F917" t="s">
        <v>3816</v>
      </c>
      <c r="G917" t="s">
        <v>3816</v>
      </c>
      <c r="H917" t="s">
        <v>3808</v>
      </c>
      <c r="I917" t="s">
        <v>3843</v>
      </c>
      <c r="J917" t="s">
        <v>3844</v>
      </c>
      <c r="K917" t="s">
        <v>905</v>
      </c>
      <c r="L917" s="13">
        <v>401768</v>
      </c>
      <c r="N917" t="s">
        <v>74</v>
      </c>
      <c r="O917" t="s">
        <v>3856</v>
      </c>
      <c r="P917" t="s">
        <v>76</v>
      </c>
      <c r="Q917" t="s">
        <v>905</v>
      </c>
      <c r="R917" t="s">
        <v>76</v>
      </c>
      <c r="S917" t="s">
        <v>76</v>
      </c>
      <c r="T917" t="s">
        <v>76</v>
      </c>
      <c r="U917">
        <v>1</v>
      </c>
      <c r="V917" s="13">
        <v>45175</v>
      </c>
      <c r="W917">
        <v>1</v>
      </c>
      <c r="X917">
        <v>1</v>
      </c>
      <c r="Y917" t="s">
        <v>3720</v>
      </c>
      <c r="AC917">
        <v>2908</v>
      </c>
      <c r="AD917" t="e" vm="908">
        <v>#VALUE!</v>
      </c>
    </row>
    <row r="918" spans="2:30" x14ac:dyDescent="0.25">
      <c r="B918">
        <v>2909</v>
      </c>
      <c r="C918" t="s">
        <v>75</v>
      </c>
      <c r="D918" t="s">
        <v>73</v>
      </c>
      <c r="E918" t="s">
        <v>73</v>
      </c>
      <c r="F918" t="s">
        <v>3816</v>
      </c>
      <c r="G918" t="s">
        <v>3816</v>
      </c>
      <c r="H918" t="s">
        <v>3808</v>
      </c>
      <c r="I918" t="s">
        <v>3843</v>
      </c>
      <c r="J918" t="s">
        <v>3844</v>
      </c>
      <c r="K918" t="s">
        <v>905</v>
      </c>
      <c r="L918" s="13">
        <v>401768</v>
      </c>
      <c r="N918" t="s">
        <v>74</v>
      </c>
      <c r="O918" t="s">
        <v>3856</v>
      </c>
      <c r="P918" t="s">
        <v>76</v>
      </c>
      <c r="Q918" t="s">
        <v>905</v>
      </c>
      <c r="R918" t="s">
        <v>76</v>
      </c>
      <c r="S918" t="s">
        <v>76</v>
      </c>
      <c r="T918" t="s">
        <v>76</v>
      </c>
      <c r="U918">
        <v>1</v>
      </c>
      <c r="V918" s="13">
        <v>45175</v>
      </c>
      <c r="W918">
        <v>1</v>
      </c>
      <c r="X918">
        <v>1</v>
      </c>
      <c r="Y918" t="s">
        <v>3720</v>
      </c>
      <c r="AC918">
        <v>2909</v>
      </c>
      <c r="AD918" t="e" vm="909">
        <v>#VALUE!</v>
      </c>
    </row>
    <row r="919" spans="2:30" x14ac:dyDescent="0.25">
      <c r="B919">
        <v>2910</v>
      </c>
      <c r="C919" t="s">
        <v>75</v>
      </c>
      <c r="D919" t="s">
        <v>73</v>
      </c>
      <c r="E919" t="s">
        <v>73</v>
      </c>
      <c r="F919" t="s">
        <v>3816</v>
      </c>
      <c r="G919" t="s">
        <v>3816</v>
      </c>
      <c r="H919" t="s">
        <v>3808</v>
      </c>
      <c r="I919" t="s">
        <v>3843</v>
      </c>
      <c r="J919" t="s">
        <v>3844</v>
      </c>
      <c r="K919" t="s">
        <v>905</v>
      </c>
      <c r="L919" s="13">
        <v>401768</v>
      </c>
      <c r="N919" t="s">
        <v>74</v>
      </c>
      <c r="O919" t="s">
        <v>3856</v>
      </c>
      <c r="P919" t="s">
        <v>76</v>
      </c>
      <c r="Q919" t="s">
        <v>905</v>
      </c>
      <c r="R919" t="s">
        <v>76</v>
      </c>
      <c r="S919" t="s">
        <v>76</v>
      </c>
      <c r="T919" t="s">
        <v>76</v>
      </c>
      <c r="U919">
        <v>1</v>
      </c>
      <c r="V919" s="13">
        <v>45175</v>
      </c>
      <c r="W919">
        <v>1</v>
      </c>
      <c r="X919">
        <v>1</v>
      </c>
      <c r="Y919" t="s">
        <v>3720</v>
      </c>
      <c r="AC919">
        <v>2910</v>
      </c>
      <c r="AD919" t="e" vm="910">
        <v>#VALUE!</v>
      </c>
    </row>
    <row r="920" spans="2:30" x14ac:dyDescent="0.25">
      <c r="B920">
        <v>2911</v>
      </c>
      <c r="C920" t="s">
        <v>75</v>
      </c>
      <c r="D920" t="s">
        <v>73</v>
      </c>
      <c r="E920" t="s">
        <v>73</v>
      </c>
      <c r="F920" t="s">
        <v>3816</v>
      </c>
      <c r="G920" t="s">
        <v>3816</v>
      </c>
      <c r="H920" t="s">
        <v>3808</v>
      </c>
      <c r="I920" t="s">
        <v>3843</v>
      </c>
      <c r="J920" t="s">
        <v>3844</v>
      </c>
      <c r="K920" t="s">
        <v>905</v>
      </c>
      <c r="L920" s="13">
        <v>401768</v>
      </c>
      <c r="N920" t="s">
        <v>74</v>
      </c>
      <c r="O920" t="s">
        <v>3856</v>
      </c>
      <c r="P920" t="s">
        <v>76</v>
      </c>
      <c r="Q920" t="s">
        <v>905</v>
      </c>
      <c r="R920" t="s">
        <v>76</v>
      </c>
      <c r="S920" t="s">
        <v>76</v>
      </c>
      <c r="T920" t="s">
        <v>76</v>
      </c>
      <c r="U920">
        <v>1</v>
      </c>
      <c r="V920" s="13">
        <v>45175</v>
      </c>
      <c r="W920">
        <v>1</v>
      </c>
      <c r="X920">
        <v>1</v>
      </c>
      <c r="Y920" t="s">
        <v>3720</v>
      </c>
      <c r="AC920">
        <v>2911</v>
      </c>
      <c r="AD920" t="e" vm="911">
        <v>#VALUE!</v>
      </c>
    </row>
    <row r="921" spans="2:30" x14ac:dyDescent="0.25">
      <c r="B921">
        <v>2912</v>
      </c>
      <c r="C921" t="s">
        <v>75</v>
      </c>
      <c r="D921" t="s">
        <v>73</v>
      </c>
      <c r="E921" t="s">
        <v>73</v>
      </c>
      <c r="F921" t="s">
        <v>3816</v>
      </c>
      <c r="G921" t="s">
        <v>3816</v>
      </c>
      <c r="H921" t="s">
        <v>3808</v>
      </c>
      <c r="I921" t="s">
        <v>3843</v>
      </c>
      <c r="J921" t="s">
        <v>3844</v>
      </c>
      <c r="K921" t="s">
        <v>905</v>
      </c>
      <c r="L921" s="13">
        <v>401768</v>
      </c>
      <c r="N921" t="s">
        <v>74</v>
      </c>
      <c r="O921" t="s">
        <v>3856</v>
      </c>
      <c r="P921" t="s">
        <v>76</v>
      </c>
      <c r="Q921" t="s">
        <v>905</v>
      </c>
      <c r="R921" t="s">
        <v>76</v>
      </c>
      <c r="S921" t="s">
        <v>76</v>
      </c>
      <c r="T921" t="s">
        <v>76</v>
      </c>
      <c r="U921">
        <v>1</v>
      </c>
      <c r="V921" s="13">
        <v>45175</v>
      </c>
      <c r="W921">
        <v>1</v>
      </c>
      <c r="X921">
        <v>1</v>
      </c>
      <c r="Y921" t="s">
        <v>3720</v>
      </c>
      <c r="AC921">
        <v>2912</v>
      </c>
      <c r="AD921" t="e" vm="912">
        <v>#VALUE!</v>
      </c>
    </row>
    <row r="922" spans="2:30" x14ac:dyDescent="0.25">
      <c r="B922">
        <v>2913</v>
      </c>
      <c r="C922" t="s">
        <v>75</v>
      </c>
      <c r="D922" t="s">
        <v>73</v>
      </c>
      <c r="E922" t="s">
        <v>73</v>
      </c>
      <c r="F922" t="s">
        <v>3816</v>
      </c>
      <c r="G922" t="s">
        <v>3816</v>
      </c>
      <c r="H922" t="s">
        <v>3808</v>
      </c>
      <c r="I922" t="s">
        <v>3843</v>
      </c>
      <c r="J922" t="s">
        <v>3844</v>
      </c>
      <c r="K922" t="s">
        <v>905</v>
      </c>
      <c r="L922" s="13">
        <v>401768</v>
      </c>
      <c r="N922" t="s">
        <v>74</v>
      </c>
      <c r="O922" t="s">
        <v>3856</v>
      </c>
      <c r="P922" t="s">
        <v>76</v>
      </c>
      <c r="Q922" t="s">
        <v>905</v>
      </c>
      <c r="R922" t="s">
        <v>76</v>
      </c>
      <c r="S922" t="s">
        <v>76</v>
      </c>
      <c r="T922" t="s">
        <v>76</v>
      </c>
      <c r="U922">
        <v>1</v>
      </c>
      <c r="V922" s="13">
        <v>45175</v>
      </c>
      <c r="W922">
        <v>1</v>
      </c>
      <c r="X922">
        <v>1</v>
      </c>
      <c r="Y922" t="s">
        <v>3720</v>
      </c>
      <c r="AC922">
        <v>2913</v>
      </c>
      <c r="AD922" t="e" vm="913">
        <v>#VALUE!</v>
      </c>
    </row>
    <row r="923" spans="2:30" x14ac:dyDescent="0.25">
      <c r="B923">
        <v>2914</v>
      </c>
      <c r="C923" t="s">
        <v>75</v>
      </c>
      <c r="D923" t="s">
        <v>73</v>
      </c>
      <c r="E923" t="s">
        <v>73</v>
      </c>
      <c r="F923" t="s">
        <v>3816</v>
      </c>
      <c r="G923" t="s">
        <v>3816</v>
      </c>
      <c r="H923" t="s">
        <v>3808</v>
      </c>
      <c r="I923" t="s">
        <v>3843</v>
      </c>
      <c r="J923" t="s">
        <v>3844</v>
      </c>
      <c r="K923" t="s">
        <v>905</v>
      </c>
      <c r="L923" s="13">
        <v>401768</v>
      </c>
      <c r="N923" t="s">
        <v>74</v>
      </c>
      <c r="O923" t="s">
        <v>3856</v>
      </c>
      <c r="P923" t="s">
        <v>76</v>
      </c>
      <c r="Q923" t="s">
        <v>905</v>
      </c>
      <c r="R923" t="s">
        <v>76</v>
      </c>
      <c r="S923" t="s">
        <v>76</v>
      </c>
      <c r="T923" t="s">
        <v>76</v>
      </c>
      <c r="U923">
        <v>1</v>
      </c>
      <c r="V923" s="13">
        <v>45175</v>
      </c>
      <c r="W923">
        <v>1</v>
      </c>
      <c r="X923">
        <v>1</v>
      </c>
      <c r="Y923" t="s">
        <v>3720</v>
      </c>
      <c r="AC923">
        <v>2914</v>
      </c>
      <c r="AD923" t="e" vm="914">
        <v>#VALUE!</v>
      </c>
    </row>
    <row r="924" spans="2:30" x14ac:dyDescent="0.25">
      <c r="B924">
        <v>2915</v>
      </c>
      <c r="C924" t="s">
        <v>75</v>
      </c>
      <c r="D924" t="s">
        <v>73</v>
      </c>
      <c r="E924" t="s">
        <v>73</v>
      </c>
      <c r="F924" t="s">
        <v>3816</v>
      </c>
      <c r="G924" t="s">
        <v>3816</v>
      </c>
      <c r="H924" t="s">
        <v>3808</v>
      </c>
      <c r="I924" t="s">
        <v>3843</v>
      </c>
      <c r="J924" t="s">
        <v>3844</v>
      </c>
      <c r="K924" t="s">
        <v>905</v>
      </c>
      <c r="L924" s="13">
        <v>401768</v>
      </c>
      <c r="N924" t="s">
        <v>74</v>
      </c>
      <c r="O924" t="s">
        <v>3856</v>
      </c>
      <c r="P924" t="s">
        <v>76</v>
      </c>
      <c r="Q924" t="s">
        <v>905</v>
      </c>
      <c r="R924" t="s">
        <v>76</v>
      </c>
      <c r="S924" t="s">
        <v>76</v>
      </c>
      <c r="T924" t="s">
        <v>76</v>
      </c>
      <c r="U924">
        <v>1</v>
      </c>
      <c r="V924" s="13">
        <v>45175</v>
      </c>
      <c r="W924">
        <v>1</v>
      </c>
      <c r="X924">
        <v>1</v>
      </c>
      <c r="Y924" t="s">
        <v>3720</v>
      </c>
      <c r="AC924">
        <v>2915</v>
      </c>
      <c r="AD924" t="e" vm="915">
        <v>#VALUE!</v>
      </c>
    </row>
    <row r="925" spans="2:30" x14ac:dyDescent="0.25">
      <c r="B925">
        <v>2916</v>
      </c>
      <c r="C925" t="s">
        <v>75</v>
      </c>
      <c r="D925" t="s">
        <v>73</v>
      </c>
      <c r="E925" t="s">
        <v>73</v>
      </c>
      <c r="F925" t="s">
        <v>3816</v>
      </c>
      <c r="G925" t="s">
        <v>3816</v>
      </c>
      <c r="H925" t="s">
        <v>3808</v>
      </c>
      <c r="I925" t="s">
        <v>3843</v>
      </c>
      <c r="J925" t="s">
        <v>3844</v>
      </c>
      <c r="K925" t="s">
        <v>905</v>
      </c>
      <c r="L925" s="13">
        <v>401768</v>
      </c>
      <c r="N925" t="s">
        <v>74</v>
      </c>
      <c r="O925" t="s">
        <v>3856</v>
      </c>
      <c r="P925" t="s">
        <v>76</v>
      </c>
      <c r="Q925" t="s">
        <v>905</v>
      </c>
      <c r="R925" t="s">
        <v>76</v>
      </c>
      <c r="S925" t="s">
        <v>76</v>
      </c>
      <c r="T925" t="s">
        <v>76</v>
      </c>
      <c r="U925">
        <v>1</v>
      </c>
      <c r="V925" s="13">
        <v>45175</v>
      </c>
      <c r="W925">
        <v>1</v>
      </c>
      <c r="X925">
        <v>1</v>
      </c>
      <c r="Y925" t="s">
        <v>3720</v>
      </c>
      <c r="AC925">
        <v>2916</v>
      </c>
      <c r="AD925" t="e" vm="916">
        <v>#VALUE!</v>
      </c>
    </row>
    <row r="926" spans="2:30" x14ac:dyDescent="0.25">
      <c r="B926">
        <v>2917</v>
      </c>
      <c r="C926" t="s">
        <v>75</v>
      </c>
      <c r="D926" t="s">
        <v>73</v>
      </c>
      <c r="E926" t="s">
        <v>73</v>
      </c>
      <c r="F926" t="s">
        <v>3816</v>
      </c>
      <c r="G926" t="s">
        <v>3816</v>
      </c>
      <c r="H926" t="s">
        <v>3808</v>
      </c>
      <c r="I926" t="s">
        <v>3843</v>
      </c>
      <c r="J926" t="s">
        <v>3844</v>
      </c>
      <c r="K926" t="s">
        <v>905</v>
      </c>
      <c r="L926" s="13">
        <v>401768</v>
      </c>
      <c r="N926" t="s">
        <v>74</v>
      </c>
      <c r="O926" t="s">
        <v>3856</v>
      </c>
      <c r="P926" t="s">
        <v>76</v>
      </c>
      <c r="Q926" t="s">
        <v>905</v>
      </c>
      <c r="R926" t="s">
        <v>76</v>
      </c>
      <c r="S926" t="s">
        <v>76</v>
      </c>
      <c r="T926" t="s">
        <v>76</v>
      </c>
      <c r="U926">
        <v>1</v>
      </c>
      <c r="V926" s="13">
        <v>45175</v>
      </c>
      <c r="W926">
        <v>1</v>
      </c>
      <c r="X926">
        <v>1</v>
      </c>
      <c r="Y926" t="s">
        <v>3720</v>
      </c>
      <c r="AC926">
        <v>2917</v>
      </c>
      <c r="AD926" t="e" vm="917">
        <v>#VALUE!</v>
      </c>
    </row>
    <row r="927" spans="2:30" x14ac:dyDescent="0.25">
      <c r="B927">
        <v>2918</v>
      </c>
      <c r="C927" t="s">
        <v>75</v>
      </c>
      <c r="D927" t="s">
        <v>73</v>
      </c>
      <c r="E927" t="s">
        <v>73</v>
      </c>
      <c r="F927" t="s">
        <v>3816</v>
      </c>
      <c r="G927" t="s">
        <v>3816</v>
      </c>
      <c r="H927" t="s">
        <v>3808</v>
      </c>
      <c r="I927" t="s">
        <v>3843</v>
      </c>
      <c r="J927" t="s">
        <v>3844</v>
      </c>
      <c r="K927" t="s">
        <v>905</v>
      </c>
      <c r="L927" s="13">
        <v>401768</v>
      </c>
      <c r="N927" t="s">
        <v>74</v>
      </c>
      <c r="O927" t="s">
        <v>3856</v>
      </c>
      <c r="P927" t="s">
        <v>76</v>
      </c>
      <c r="Q927" t="s">
        <v>905</v>
      </c>
      <c r="R927" t="s">
        <v>76</v>
      </c>
      <c r="S927" t="s">
        <v>76</v>
      </c>
      <c r="T927" t="s">
        <v>76</v>
      </c>
      <c r="U927">
        <v>1</v>
      </c>
      <c r="V927" s="13">
        <v>45175</v>
      </c>
      <c r="W927">
        <v>1</v>
      </c>
      <c r="X927">
        <v>1</v>
      </c>
      <c r="Y927" t="s">
        <v>3720</v>
      </c>
      <c r="AC927">
        <v>2918</v>
      </c>
      <c r="AD927" t="e" vm="918">
        <v>#VALUE!</v>
      </c>
    </row>
    <row r="928" spans="2:30" x14ac:dyDescent="0.25">
      <c r="B928">
        <v>2919</v>
      </c>
      <c r="C928" t="s">
        <v>75</v>
      </c>
      <c r="D928" t="s">
        <v>73</v>
      </c>
      <c r="E928" t="s">
        <v>73</v>
      </c>
      <c r="F928" t="s">
        <v>3816</v>
      </c>
      <c r="G928" t="s">
        <v>3816</v>
      </c>
      <c r="H928" t="s">
        <v>3808</v>
      </c>
      <c r="I928" t="s">
        <v>3843</v>
      </c>
      <c r="J928" t="s">
        <v>3844</v>
      </c>
      <c r="K928" t="s">
        <v>905</v>
      </c>
      <c r="L928" s="13">
        <v>401768</v>
      </c>
      <c r="N928" t="s">
        <v>74</v>
      </c>
      <c r="O928" t="s">
        <v>3856</v>
      </c>
      <c r="P928" t="s">
        <v>76</v>
      </c>
      <c r="Q928" t="s">
        <v>905</v>
      </c>
      <c r="R928" t="s">
        <v>76</v>
      </c>
      <c r="S928" t="s">
        <v>76</v>
      </c>
      <c r="T928" t="s">
        <v>76</v>
      </c>
      <c r="U928">
        <v>1</v>
      </c>
      <c r="V928" s="13">
        <v>45175</v>
      </c>
      <c r="W928">
        <v>1</v>
      </c>
      <c r="X928">
        <v>1</v>
      </c>
      <c r="Y928" t="s">
        <v>3720</v>
      </c>
      <c r="AC928">
        <v>2919</v>
      </c>
      <c r="AD928" t="e" vm="919">
        <v>#VALUE!</v>
      </c>
    </row>
    <row r="929" spans="2:30" x14ac:dyDescent="0.25">
      <c r="B929">
        <v>2920</v>
      </c>
      <c r="C929" t="s">
        <v>75</v>
      </c>
      <c r="D929" t="s">
        <v>73</v>
      </c>
      <c r="E929" t="s">
        <v>73</v>
      </c>
      <c r="F929" t="s">
        <v>3816</v>
      </c>
      <c r="G929" t="s">
        <v>3816</v>
      </c>
      <c r="H929" t="s">
        <v>3808</v>
      </c>
      <c r="I929" t="s">
        <v>3843</v>
      </c>
      <c r="J929" t="s">
        <v>3844</v>
      </c>
      <c r="K929" t="s">
        <v>905</v>
      </c>
      <c r="L929" s="13">
        <v>401768</v>
      </c>
      <c r="N929" t="s">
        <v>74</v>
      </c>
      <c r="O929" t="s">
        <v>3856</v>
      </c>
      <c r="P929" t="s">
        <v>76</v>
      </c>
      <c r="Q929" t="s">
        <v>905</v>
      </c>
      <c r="R929" t="s">
        <v>76</v>
      </c>
      <c r="S929" t="s">
        <v>76</v>
      </c>
      <c r="T929" t="s">
        <v>76</v>
      </c>
      <c r="U929">
        <v>1</v>
      </c>
      <c r="V929" s="13">
        <v>45175</v>
      </c>
      <c r="W929">
        <v>1</v>
      </c>
      <c r="X929">
        <v>1</v>
      </c>
      <c r="Y929" t="s">
        <v>3720</v>
      </c>
      <c r="AC929">
        <v>2920</v>
      </c>
      <c r="AD929" t="e" vm="920">
        <v>#VALUE!</v>
      </c>
    </row>
    <row r="930" spans="2:30" x14ac:dyDescent="0.25">
      <c r="B930">
        <v>2921</v>
      </c>
      <c r="C930" t="s">
        <v>75</v>
      </c>
      <c r="D930" t="s">
        <v>73</v>
      </c>
      <c r="E930" t="s">
        <v>73</v>
      </c>
      <c r="F930" t="s">
        <v>3816</v>
      </c>
      <c r="G930" t="s">
        <v>3816</v>
      </c>
      <c r="H930" t="s">
        <v>3808</v>
      </c>
      <c r="I930" t="s">
        <v>3843</v>
      </c>
      <c r="J930" t="s">
        <v>3844</v>
      </c>
      <c r="K930" t="s">
        <v>905</v>
      </c>
      <c r="L930" s="13">
        <v>401768</v>
      </c>
      <c r="N930" t="s">
        <v>74</v>
      </c>
      <c r="O930" t="s">
        <v>3856</v>
      </c>
      <c r="P930" t="s">
        <v>76</v>
      </c>
      <c r="Q930" t="s">
        <v>905</v>
      </c>
      <c r="R930" t="s">
        <v>76</v>
      </c>
      <c r="S930" t="s">
        <v>76</v>
      </c>
      <c r="T930" t="s">
        <v>76</v>
      </c>
      <c r="U930">
        <v>1</v>
      </c>
      <c r="V930" s="13">
        <v>45175</v>
      </c>
      <c r="W930">
        <v>1</v>
      </c>
      <c r="X930">
        <v>1</v>
      </c>
      <c r="Y930" t="s">
        <v>3720</v>
      </c>
      <c r="AC930">
        <v>2921</v>
      </c>
      <c r="AD930" t="e" vm="921">
        <v>#VALUE!</v>
      </c>
    </row>
    <row r="931" spans="2:30" x14ac:dyDescent="0.25">
      <c r="B931">
        <v>2922</v>
      </c>
      <c r="C931" t="s">
        <v>75</v>
      </c>
      <c r="D931" t="s">
        <v>73</v>
      </c>
      <c r="E931" t="s">
        <v>73</v>
      </c>
      <c r="F931" t="s">
        <v>3816</v>
      </c>
      <c r="G931" t="s">
        <v>3816</v>
      </c>
      <c r="H931" t="s">
        <v>3808</v>
      </c>
      <c r="I931" t="s">
        <v>3843</v>
      </c>
      <c r="J931" t="s">
        <v>3844</v>
      </c>
      <c r="K931" t="s">
        <v>905</v>
      </c>
      <c r="L931" s="13">
        <v>401768</v>
      </c>
      <c r="N931" t="s">
        <v>74</v>
      </c>
      <c r="O931" t="s">
        <v>3856</v>
      </c>
      <c r="P931" t="s">
        <v>76</v>
      </c>
      <c r="Q931" t="s">
        <v>905</v>
      </c>
      <c r="R931" t="s">
        <v>76</v>
      </c>
      <c r="S931" t="s">
        <v>76</v>
      </c>
      <c r="T931" t="s">
        <v>76</v>
      </c>
      <c r="U931">
        <v>1</v>
      </c>
      <c r="V931" s="13">
        <v>45175</v>
      </c>
      <c r="W931">
        <v>1</v>
      </c>
      <c r="X931">
        <v>1</v>
      </c>
      <c r="Y931" t="s">
        <v>3720</v>
      </c>
      <c r="AC931">
        <v>2922</v>
      </c>
      <c r="AD931" t="e" vm="922">
        <v>#VALUE!</v>
      </c>
    </row>
    <row r="932" spans="2:30" x14ac:dyDescent="0.25">
      <c r="B932">
        <v>2923</v>
      </c>
      <c r="C932" t="s">
        <v>75</v>
      </c>
      <c r="D932" t="s">
        <v>73</v>
      </c>
      <c r="E932" t="s">
        <v>73</v>
      </c>
      <c r="F932" t="s">
        <v>3816</v>
      </c>
      <c r="G932" t="s">
        <v>3816</v>
      </c>
      <c r="H932" t="s">
        <v>3808</v>
      </c>
      <c r="I932" t="s">
        <v>3843</v>
      </c>
      <c r="J932" t="s">
        <v>3844</v>
      </c>
      <c r="K932" t="s">
        <v>905</v>
      </c>
      <c r="L932" s="13">
        <v>401768</v>
      </c>
      <c r="N932" t="s">
        <v>74</v>
      </c>
      <c r="O932" t="s">
        <v>3856</v>
      </c>
      <c r="P932" t="s">
        <v>76</v>
      </c>
      <c r="Q932" t="s">
        <v>905</v>
      </c>
      <c r="R932" t="s">
        <v>76</v>
      </c>
      <c r="S932" t="s">
        <v>76</v>
      </c>
      <c r="T932" t="s">
        <v>76</v>
      </c>
      <c r="U932">
        <v>1</v>
      </c>
      <c r="V932" s="13">
        <v>45175</v>
      </c>
      <c r="W932">
        <v>1</v>
      </c>
      <c r="X932">
        <v>1</v>
      </c>
      <c r="Y932" t="s">
        <v>3720</v>
      </c>
      <c r="AC932">
        <v>2923</v>
      </c>
      <c r="AD932" t="e" vm="923">
        <v>#VALUE!</v>
      </c>
    </row>
    <row r="933" spans="2:30" x14ac:dyDescent="0.25">
      <c r="B933">
        <v>2924</v>
      </c>
      <c r="C933" t="s">
        <v>75</v>
      </c>
      <c r="D933" t="s">
        <v>73</v>
      </c>
      <c r="E933" t="s">
        <v>73</v>
      </c>
      <c r="F933" t="s">
        <v>3816</v>
      </c>
      <c r="G933" t="s">
        <v>3816</v>
      </c>
      <c r="H933" t="s">
        <v>3808</v>
      </c>
      <c r="I933" t="s">
        <v>3843</v>
      </c>
      <c r="J933" t="s">
        <v>3844</v>
      </c>
      <c r="K933" t="s">
        <v>905</v>
      </c>
      <c r="L933" s="13">
        <v>401768</v>
      </c>
      <c r="N933" t="s">
        <v>74</v>
      </c>
      <c r="O933" t="s">
        <v>3856</v>
      </c>
      <c r="P933" t="s">
        <v>76</v>
      </c>
      <c r="Q933" t="s">
        <v>905</v>
      </c>
      <c r="R933" t="s">
        <v>76</v>
      </c>
      <c r="S933" t="s">
        <v>76</v>
      </c>
      <c r="T933" t="s">
        <v>76</v>
      </c>
      <c r="U933">
        <v>1</v>
      </c>
      <c r="V933" s="13">
        <v>45175</v>
      </c>
      <c r="W933">
        <v>1</v>
      </c>
      <c r="X933">
        <v>1</v>
      </c>
      <c r="Y933" t="s">
        <v>3720</v>
      </c>
      <c r="AC933">
        <v>2924</v>
      </c>
      <c r="AD933" t="e" vm="924">
        <v>#VALUE!</v>
      </c>
    </row>
    <row r="934" spans="2:30" x14ac:dyDescent="0.25">
      <c r="B934">
        <v>2925</v>
      </c>
      <c r="C934" t="s">
        <v>3668</v>
      </c>
      <c r="D934" t="s">
        <v>3671</v>
      </c>
      <c r="E934" t="s">
        <v>3818</v>
      </c>
      <c r="F934" t="s">
        <v>83</v>
      </c>
      <c r="G934" t="s">
        <v>77</v>
      </c>
      <c r="H934" t="s">
        <v>3808</v>
      </c>
      <c r="I934" t="s">
        <v>3843</v>
      </c>
      <c r="J934" t="s">
        <v>3857</v>
      </c>
      <c r="K934" t="s">
        <v>905</v>
      </c>
      <c r="L934" s="13">
        <v>45145</v>
      </c>
      <c r="M934">
        <v>0</v>
      </c>
      <c r="N934" t="s">
        <v>82</v>
      </c>
      <c r="O934" t="s">
        <v>3858</v>
      </c>
      <c r="P934" t="s">
        <v>76</v>
      </c>
      <c r="Q934" t="s">
        <v>905</v>
      </c>
      <c r="R934" t="s">
        <v>905</v>
      </c>
      <c r="S934" t="s">
        <v>76</v>
      </c>
      <c r="T934" t="s">
        <v>76</v>
      </c>
      <c r="U934">
        <v>1</v>
      </c>
      <c r="V934" s="13">
        <v>45175</v>
      </c>
      <c r="W934">
        <v>1</v>
      </c>
      <c r="X934">
        <v>1</v>
      </c>
      <c r="Y934" t="s">
        <v>3672</v>
      </c>
      <c r="AC934">
        <v>2925</v>
      </c>
      <c r="AD934" t="e" vm="925">
        <v>#VALUE!</v>
      </c>
    </row>
    <row r="935" spans="2:30" x14ac:dyDescent="0.25">
      <c r="B935">
        <v>2926</v>
      </c>
      <c r="C935" t="s">
        <v>3668</v>
      </c>
      <c r="D935" t="s">
        <v>3671</v>
      </c>
      <c r="E935" t="s">
        <v>3818</v>
      </c>
      <c r="F935" t="s">
        <v>83</v>
      </c>
      <c r="G935" t="s">
        <v>77</v>
      </c>
      <c r="H935" t="s">
        <v>3808</v>
      </c>
      <c r="I935" t="s">
        <v>3843</v>
      </c>
      <c r="J935" t="s">
        <v>3857</v>
      </c>
      <c r="K935" t="s">
        <v>905</v>
      </c>
      <c r="L935" s="13">
        <v>45145</v>
      </c>
      <c r="M935">
        <v>0</v>
      </c>
      <c r="N935" t="s">
        <v>82</v>
      </c>
      <c r="O935" t="s">
        <v>3858</v>
      </c>
      <c r="P935" t="s">
        <v>76</v>
      </c>
      <c r="Q935" t="s">
        <v>905</v>
      </c>
      <c r="R935" t="s">
        <v>905</v>
      </c>
      <c r="S935" t="s">
        <v>76</v>
      </c>
      <c r="T935" t="s">
        <v>76</v>
      </c>
      <c r="U935">
        <v>1</v>
      </c>
      <c r="V935" s="13">
        <v>45175</v>
      </c>
      <c r="W935">
        <v>1</v>
      </c>
      <c r="X935">
        <v>1</v>
      </c>
      <c r="Y935" t="s">
        <v>3672</v>
      </c>
      <c r="AC935">
        <v>2926</v>
      </c>
      <c r="AD935" t="e" vm="926">
        <v>#VALUE!</v>
      </c>
    </row>
    <row r="936" spans="2:30" x14ac:dyDescent="0.25">
      <c r="B936">
        <v>2927</v>
      </c>
      <c r="C936" t="s">
        <v>3668</v>
      </c>
      <c r="D936" t="s">
        <v>3671</v>
      </c>
      <c r="E936" t="s">
        <v>3818</v>
      </c>
      <c r="F936" t="s">
        <v>83</v>
      </c>
      <c r="G936" t="s">
        <v>77</v>
      </c>
      <c r="H936" t="s">
        <v>3808</v>
      </c>
      <c r="I936" t="s">
        <v>3843</v>
      </c>
      <c r="J936" t="s">
        <v>3857</v>
      </c>
      <c r="K936" t="s">
        <v>905</v>
      </c>
      <c r="L936" s="13">
        <v>45117</v>
      </c>
      <c r="M936">
        <v>0</v>
      </c>
      <c r="N936" t="s">
        <v>82</v>
      </c>
      <c r="O936" t="s">
        <v>3858</v>
      </c>
      <c r="P936" t="s">
        <v>76</v>
      </c>
      <c r="Q936" t="s">
        <v>905</v>
      </c>
      <c r="R936" t="s">
        <v>905</v>
      </c>
      <c r="S936" t="s">
        <v>76</v>
      </c>
      <c r="T936" t="s">
        <v>76</v>
      </c>
      <c r="U936">
        <v>1</v>
      </c>
      <c r="V936" s="13">
        <v>45175</v>
      </c>
      <c r="W936">
        <v>1</v>
      </c>
      <c r="X936">
        <v>1</v>
      </c>
      <c r="Y936" t="s">
        <v>3672</v>
      </c>
      <c r="AC936">
        <v>2927</v>
      </c>
      <c r="AD936" t="e" vm="927">
        <v>#VALUE!</v>
      </c>
    </row>
    <row r="937" spans="2:30" x14ac:dyDescent="0.25">
      <c r="B937">
        <v>2928</v>
      </c>
      <c r="C937" t="s">
        <v>3668</v>
      </c>
      <c r="D937" t="s">
        <v>3671</v>
      </c>
      <c r="E937" t="s">
        <v>3818</v>
      </c>
      <c r="F937" t="s">
        <v>83</v>
      </c>
      <c r="G937" t="s">
        <v>77</v>
      </c>
      <c r="H937" t="s">
        <v>3808</v>
      </c>
      <c r="I937" t="s">
        <v>3843</v>
      </c>
      <c r="J937" t="s">
        <v>3857</v>
      </c>
      <c r="K937" t="s">
        <v>905</v>
      </c>
      <c r="L937" s="13">
        <v>45108</v>
      </c>
      <c r="M937">
        <v>0</v>
      </c>
      <c r="N937" t="s">
        <v>82</v>
      </c>
      <c r="O937" t="s">
        <v>3858</v>
      </c>
      <c r="P937" t="s">
        <v>76</v>
      </c>
      <c r="Q937" t="s">
        <v>905</v>
      </c>
      <c r="R937" t="s">
        <v>905</v>
      </c>
      <c r="S937" t="s">
        <v>76</v>
      </c>
      <c r="T937" t="s">
        <v>76</v>
      </c>
      <c r="U937">
        <v>1</v>
      </c>
      <c r="V937" s="13">
        <v>45175</v>
      </c>
      <c r="W937">
        <v>1</v>
      </c>
      <c r="X937">
        <v>1</v>
      </c>
      <c r="Y937" t="s">
        <v>3672</v>
      </c>
      <c r="AC937">
        <v>2928</v>
      </c>
      <c r="AD937" t="e" vm="928">
        <v>#VALUE!</v>
      </c>
    </row>
    <row r="938" spans="2:30" x14ac:dyDescent="0.25">
      <c r="B938">
        <v>2929</v>
      </c>
      <c r="C938" t="s">
        <v>3668</v>
      </c>
      <c r="D938" t="s">
        <v>3671</v>
      </c>
      <c r="E938" t="s">
        <v>3818</v>
      </c>
      <c r="F938" t="s">
        <v>83</v>
      </c>
      <c r="G938" t="s">
        <v>77</v>
      </c>
      <c r="H938" t="s">
        <v>3808</v>
      </c>
      <c r="I938" t="s">
        <v>3843</v>
      </c>
      <c r="J938" t="s">
        <v>3857</v>
      </c>
      <c r="K938" t="s">
        <v>905</v>
      </c>
      <c r="L938" s="13">
        <v>45108</v>
      </c>
      <c r="M938">
        <v>0</v>
      </c>
      <c r="N938" t="s">
        <v>82</v>
      </c>
      <c r="O938" t="s">
        <v>3858</v>
      </c>
      <c r="P938" t="s">
        <v>76</v>
      </c>
      <c r="Q938" t="s">
        <v>905</v>
      </c>
      <c r="R938" t="s">
        <v>905</v>
      </c>
      <c r="S938" t="s">
        <v>76</v>
      </c>
      <c r="T938" t="s">
        <v>76</v>
      </c>
      <c r="U938">
        <v>1</v>
      </c>
      <c r="V938" s="13">
        <v>45175</v>
      </c>
      <c r="W938">
        <v>1</v>
      </c>
      <c r="X938">
        <v>1</v>
      </c>
      <c r="Y938" t="s">
        <v>3672</v>
      </c>
      <c r="AC938">
        <v>2929</v>
      </c>
      <c r="AD938" t="e" vm="929">
        <v>#VALUE!</v>
      </c>
    </row>
    <row r="939" spans="2:30" x14ac:dyDescent="0.25">
      <c r="B939">
        <v>2930</v>
      </c>
      <c r="C939" t="s">
        <v>3668</v>
      </c>
      <c r="D939" t="s">
        <v>3671</v>
      </c>
      <c r="E939" t="s">
        <v>3818</v>
      </c>
      <c r="F939" t="s">
        <v>83</v>
      </c>
      <c r="G939" t="s">
        <v>77</v>
      </c>
      <c r="H939" t="s">
        <v>3808</v>
      </c>
      <c r="I939" t="s">
        <v>3843</v>
      </c>
      <c r="J939" t="s">
        <v>3857</v>
      </c>
      <c r="K939" t="s">
        <v>905</v>
      </c>
      <c r="L939" s="13">
        <v>45108</v>
      </c>
      <c r="M939">
        <v>0</v>
      </c>
      <c r="N939" t="s">
        <v>82</v>
      </c>
      <c r="O939" t="s">
        <v>3858</v>
      </c>
      <c r="P939" t="s">
        <v>76</v>
      </c>
      <c r="Q939" t="s">
        <v>905</v>
      </c>
      <c r="R939" t="s">
        <v>905</v>
      </c>
      <c r="S939" t="s">
        <v>76</v>
      </c>
      <c r="T939" t="s">
        <v>76</v>
      </c>
      <c r="U939">
        <v>1</v>
      </c>
      <c r="V939" s="13">
        <v>45175</v>
      </c>
      <c r="W939">
        <v>1</v>
      </c>
      <c r="X939">
        <v>1</v>
      </c>
      <c r="Y939" t="s">
        <v>3672</v>
      </c>
      <c r="AC939">
        <v>2930</v>
      </c>
      <c r="AD939" t="e" vm="930">
        <v>#VALUE!</v>
      </c>
    </row>
    <row r="940" spans="2:30" x14ac:dyDescent="0.25">
      <c r="B940">
        <v>2931</v>
      </c>
      <c r="C940" t="s">
        <v>3668</v>
      </c>
      <c r="D940" t="s">
        <v>3671</v>
      </c>
      <c r="E940" t="s">
        <v>3818</v>
      </c>
      <c r="F940" t="s">
        <v>83</v>
      </c>
      <c r="G940" t="s">
        <v>77</v>
      </c>
      <c r="H940" t="s">
        <v>3808</v>
      </c>
      <c r="I940" t="s">
        <v>3843</v>
      </c>
      <c r="J940" t="s">
        <v>3857</v>
      </c>
      <c r="K940" t="s">
        <v>905</v>
      </c>
      <c r="L940" s="13">
        <v>45108</v>
      </c>
      <c r="M940">
        <v>0</v>
      </c>
      <c r="N940" t="s">
        <v>82</v>
      </c>
      <c r="O940" t="s">
        <v>3858</v>
      </c>
      <c r="P940" t="s">
        <v>76</v>
      </c>
      <c r="Q940" t="s">
        <v>905</v>
      </c>
      <c r="R940" t="s">
        <v>905</v>
      </c>
      <c r="S940" t="s">
        <v>76</v>
      </c>
      <c r="T940" t="s">
        <v>76</v>
      </c>
      <c r="U940">
        <v>1</v>
      </c>
      <c r="V940" s="13">
        <v>45175</v>
      </c>
      <c r="W940">
        <v>1</v>
      </c>
      <c r="X940">
        <v>1</v>
      </c>
      <c r="Y940" t="s">
        <v>3672</v>
      </c>
      <c r="AC940">
        <v>2931</v>
      </c>
      <c r="AD940" t="e" vm="931">
        <v>#VALUE!</v>
      </c>
    </row>
    <row r="941" spans="2:30" x14ac:dyDescent="0.25">
      <c r="B941">
        <v>4049</v>
      </c>
      <c r="C941" t="s">
        <v>3668</v>
      </c>
      <c r="D941" t="s">
        <v>3671</v>
      </c>
      <c r="E941" t="s">
        <v>3818</v>
      </c>
      <c r="F941" t="s">
        <v>83</v>
      </c>
      <c r="G941" t="s">
        <v>77</v>
      </c>
      <c r="H941" t="s">
        <v>3808</v>
      </c>
      <c r="I941" t="s">
        <v>3809</v>
      </c>
      <c r="J941" t="s">
        <v>3810</v>
      </c>
      <c r="K941" t="s">
        <v>101</v>
      </c>
      <c r="L941" s="13">
        <v>37188</v>
      </c>
      <c r="M941">
        <v>22</v>
      </c>
      <c r="N941" t="s">
        <v>82</v>
      </c>
      <c r="O941" t="s">
        <v>3859</v>
      </c>
      <c r="P941" t="s">
        <v>76</v>
      </c>
      <c r="Q941" t="s">
        <v>76</v>
      </c>
      <c r="R941" t="s">
        <v>95</v>
      </c>
      <c r="S941" t="s">
        <v>76</v>
      </c>
      <c r="T941" t="s">
        <v>76</v>
      </c>
      <c r="U941">
        <v>1</v>
      </c>
      <c r="V941" s="13">
        <v>45175</v>
      </c>
      <c r="W941">
        <v>2</v>
      </c>
      <c r="X941">
        <v>1</v>
      </c>
      <c r="Y941" t="s">
        <v>3672</v>
      </c>
      <c r="AC941">
        <v>4049</v>
      </c>
      <c r="AD941" t="e" vm="932">
        <v>#VALUE!</v>
      </c>
    </row>
    <row r="942" spans="2:30" x14ac:dyDescent="0.25">
      <c r="B942">
        <v>4174</v>
      </c>
      <c r="C942" t="s">
        <v>3668</v>
      </c>
      <c r="D942" t="s">
        <v>3671</v>
      </c>
      <c r="E942" t="s">
        <v>3818</v>
      </c>
      <c r="F942" t="s">
        <v>83</v>
      </c>
      <c r="G942" t="s">
        <v>77</v>
      </c>
      <c r="H942" t="s">
        <v>3808</v>
      </c>
      <c r="I942" t="s">
        <v>3809</v>
      </c>
      <c r="J942" t="s">
        <v>3810</v>
      </c>
      <c r="K942" t="s">
        <v>101</v>
      </c>
      <c r="L942" s="13">
        <v>37872</v>
      </c>
      <c r="M942">
        <v>20</v>
      </c>
      <c r="N942" t="s">
        <v>82</v>
      </c>
      <c r="O942" t="s">
        <v>3860</v>
      </c>
      <c r="P942" t="s">
        <v>76</v>
      </c>
      <c r="Q942" t="s">
        <v>76</v>
      </c>
      <c r="R942" t="s">
        <v>95</v>
      </c>
      <c r="S942" t="s">
        <v>76</v>
      </c>
      <c r="T942" t="s">
        <v>76</v>
      </c>
      <c r="U942">
        <v>1</v>
      </c>
      <c r="V942" s="13">
        <v>45175</v>
      </c>
      <c r="W942">
        <v>1</v>
      </c>
      <c r="X942">
        <v>1</v>
      </c>
      <c r="Y942" t="s">
        <v>3672</v>
      </c>
      <c r="AC942">
        <v>4174</v>
      </c>
      <c r="AD942" t="e" vm="933">
        <v>#VALUE!</v>
      </c>
    </row>
    <row r="943" spans="2:30" x14ac:dyDescent="0.25">
      <c r="B943">
        <v>4187</v>
      </c>
      <c r="C943" t="s">
        <v>3668</v>
      </c>
      <c r="D943" t="s">
        <v>3671</v>
      </c>
      <c r="E943" t="s">
        <v>3818</v>
      </c>
      <c r="F943" t="s">
        <v>83</v>
      </c>
      <c r="G943" t="s">
        <v>77</v>
      </c>
      <c r="H943" t="s">
        <v>3808</v>
      </c>
      <c r="I943" t="s">
        <v>3809</v>
      </c>
      <c r="J943" t="s">
        <v>3810</v>
      </c>
      <c r="K943" t="s">
        <v>101</v>
      </c>
      <c r="L943" s="13">
        <v>37718</v>
      </c>
      <c r="M943">
        <v>20</v>
      </c>
      <c r="N943" t="s">
        <v>82</v>
      </c>
      <c r="O943" t="s">
        <v>3860</v>
      </c>
      <c r="P943" t="s">
        <v>76</v>
      </c>
      <c r="Q943" t="s">
        <v>76</v>
      </c>
      <c r="R943" t="s">
        <v>95</v>
      </c>
      <c r="S943" t="s">
        <v>76</v>
      </c>
      <c r="T943" t="s">
        <v>76</v>
      </c>
      <c r="U943">
        <v>1</v>
      </c>
      <c r="V943" s="13">
        <v>45175</v>
      </c>
      <c r="W943">
        <v>1</v>
      </c>
      <c r="X943">
        <v>1</v>
      </c>
      <c r="Y943" t="s">
        <v>3672</v>
      </c>
      <c r="AC943">
        <v>4187</v>
      </c>
      <c r="AD943" t="e" vm="934">
        <v>#VALUE!</v>
      </c>
    </row>
    <row r="944" spans="2:30" x14ac:dyDescent="0.25">
      <c r="B944">
        <v>4238</v>
      </c>
      <c r="C944" t="s">
        <v>3659</v>
      </c>
      <c r="D944" t="s">
        <v>3722</v>
      </c>
      <c r="E944" t="s">
        <v>3861</v>
      </c>
      <c r="F944" t="s">
        <v>105</v>
      </c>
      <c r="G944" t="s">
        <v>94</v>
      </c>
      <c r="H944" t="s">
        <v>3808</v>
      </c>
      <c r="I944" t="s">
        <v>3809</v>
      </c>
      <c r="J944" t="s">
        <v>3862</v>
      </c>
      <c r="K944" t="s">
        <v>101</v>
      </c>
      <c r="L944" s="13">
        <v>37573</v>
      </c>
      <c r="M944">
        <v>21</v>
      </c>
      <c r="N944" t="s">
        <v>88</v>
      </c>
      <c r="O944" t="s">
        <v>3863</v>
      </c>
      <c r="P944" t="s">
        <v>76</v>
      </c>
      <c r="Q944" t="s">
        <v>76</v>
      </c>
      <c r="R944" t="s">
        <v>95</v>
      </c>
      <c r="S944" t="s">
        <v>76</v>
      </c>
      <c r="T944" t="s">
        <v>76</v>
      </c>
      <c r="U944">
        <v>1</v>
      </c>
      <c r="V944" s="13">
        <v>45175</v>
      </c>
      <c r="W944">
        <v>2</v>
      </c>
      <c r="X944">
        <v>1</v>
      </c>
      <c r="Y944" t="s">
        <v>3723</v>
      </c>
      <c r="AC944">
        <v>4238</v>
      </c>
      <c r="AD944" t="e" vm="935">
        <v>#VALUE!</v>
      </c>
    </row>
    <row r="945" spans="2:30" x14ac:dyDescent="0.25">
      <c r="B945">
        <v>4239</v>
      </c>
      <c r="C945" t="s">
        <v>3659</v>
      </c>
      <c r="D945" t="s">
        <v>3722</v>
      </c>
      <c r="E945" t="s">
        <v>3861</v>
      </c>
      <c r="F945" t="s">
        <v>105</v>
      </c>
      <c r="G945" t="s">
        <v>94</v>
      </c>
      <c r="H945" t="s">
        <v>3808</v>
      </c>
      <c r="I945" t="s">
        <v>3809</v>
      </c>
      <c r="J945" t="s">
        <v>3862</v>
      </c>
      <c r="K945" t="s">
        <v>101</v>
      </c>
      <c r="L945" s="13">
        <v>37573</v>
      </c>
      <c r="M945">
        <v>21</v>
      </c>
      <c r="N945" t="s">
        <v>88</v>
      </c>
      <c r="O945" t="s">
        <v>3863</v>
      </c>
      <c r="P945" t="s">
        <v>76</v>
      </c>
      <c r="Q945" t="s">
        <v>76</v>
      </c>
      <c r="R945" t="s">
        <v>95</v>
      </c>
      <c r="S945" t="s">
        <v>76</v>
      </c>
      <c r="T945" t="s">
        <v>76</v>
      </c>
      <c r="U945">
        <v>1</v>
      </c>
      <c r="V945" s="13">
        <v>45175</v>
      </c>
      <c r="W945">
        <v>2</v>
      </c>
      <c r="X945">
        <v>1</v>
      </c>
      <c r="Y945" t="s">
        <v>3723</v>
      </c>
      <c r="AC945">
        <v>4239</v>
      </c>
      <c r="AD945" t="e" vm="936">
        <v>#VALUE!</v>
      </c>
    </row>
    <row r="946" spans="2:30" x14ac:dyDescent="0.25">
      <c r="B946">
        <v>4240</v>
      </c>
      <c r="C946" t="s">
        <v>3659</v>
      </c>
      <c r="D946" t="s">
        <v>3722</v>
      </c>
      <c r="E946" t="s">
        <v>3861</v>
      </c>
      <c r="F946" t="s">
        <v>105</v>
      </c>
      <c r="G946" t="s">
        <v>94</v>
      </c>
      <c r="H946" t="s">
        <v>3808</v>
      </c>
      <c r="I946" t="s">
        <v>3809</v>
      </c>
      <c r="J946" t="s">
        <v>3862</v>
      </c>
      <c r="K946" t="s">
        <v>101</v>
      </c>
      <c r="L946" s="13">
        <v>37578</v>
      </c>
      <c r="M946">
        <v>21</v>
      </c>
      <c r="N946" t="s">
        <v>88</v>
      </c>
      <c r="O946" t="s">
        <v>3863</v>
      </c>
      <c r="P946" t="s">
        <v>76</v>
      </c>
      <c r="Q946" t="s">
        <v>76</v>
      </c>
      <c r="R946" t="s">
        <v>95</v>
      </c>
      <c r="S946" t="s">
        <v>76</v>
      </c>
      <c r="T946" t="s">
        <v>76</v>
      </c>
      <c r="U946">
        <v>1</v>
      </c>
      <c r="V946" s="13">
        <v>45175</v>
      </c>
      <c r="W946">
        <v>2</v>
      </c>
      <c r="X946">
        <v>1</v>
      </c>
      <c r="Y946" t="s">
        <v>3723</v>
      </c>
      <c r="AC946">
        <v>4240</v>
      </c>
      <c r="AD946" t="e" vm="937">
        <v>#VALUE!</v>
      </c>
    </row>
    <row r="947" spans="2:30" x14ac:dyDescent="0.25">
      <c r="B947">
        <v>4242</v>
      </c>
      <c r="C947" t="s">
        <v>3659</v>
      </c>
      <c r="D947" t="s">
        <v>3722</v>
      </c>
      <c r="E947" t="s">
        <v>3861</v>
      </c>
      <c r="F947" t="s">
        <v>105</v>
      </c>
      <c r="G947" t="s">
        <v>94</v>
      </c>
      <c r="H947" t="s">
        <v>3808</v>
      </c>
      <c r="I947" t="s">
        <v>3809</v>
      </c>
      <c r="J947" t="s">
        <v>3862</v>
      </c>
      <c r="K947" t="s">
        <v>101</v>
      </c>
      <c r="L947" s="13">
        <v>37586</v>
      </c>
      <c r="M947">
        <v>21</v>
      </c>
      <c r="N947" t="s">
        <v>88</v>
      </c>
      <c r="O947" t="s">
        <v>3863</v>
      </c>
      <c r="P947" t="s">
        <v>76</v>
      </c>
      <c r="Q947" t="s">
        <v>76</v>
      </c>
      <c r="R947" t="s">
        <v>95</v>
      </c>
      <c r="S947" t="s">
        <v>76</v>
      </c>
      <c r="T947" t="s">
        <v>76</v>
      </c>
      <c r="U947">
        <v>1</v>
      </c>
      <c r="V947" s="13">
        <v>45175</v>
      </c>
      <c r="W947">
        <v>2</v>
      </c>
      <c r="X947">
        <v>1</v>
      </c>
      <c r="Y947" t="s">
        <v>3723</v>
      </c>
      <c r="AC947">
        <v>4242</v>
      </c>
      <c r="AD947" t="e" vm="938">
        <v>#VALUE!</v>
      </c>
    </row>
    <row r="948" spans="2:30" x14ac:dyDescent="0.25">
      <c r="B948">
        <v>4247</v>
      </c>
      <c r="C948" t="s">
        <v>3698</v>
      </c>
      <c r="D948" t="s">
        <v>73</v>
      </c>
      <c r="E948" t="s">
        <v>73</v>
      </c>
      <c r="F948" t="s">
        <v>3816</v>
      </c>
      <c r="G948" t="s">
        <v>3816</v>
      </c>
      <c r="H948" t="s">
        <v>3808</v>
      </c>
      <c r="I948" t="s">
        <v>3839</v>
      </c>
      <c r="J948" t="s">
        <v>3864</v>
      </c>
      <c r="K948" t="s">
        <v>101</v>
      </c>
      <c r="L948" s="13">
        <v>37637</v>
      </c>
      <c r="M948">
        <v>21</v>
      </c>
      <c r="N948" t="s">
        <v>98</v>
      </c>
      <c r="O948" t="s">
        <v>3865</v>
      </c>
      <c r="P948" t="s">
        <v>76</v>
      </c>
      <c r="Q948" t="s">
        <v>76</v>
      </c>
      <c r="R948" t="s">
        <v>95</v>
      </c>
      <c r="S948" t="s">
        <v>76</v>
      </c>
      <c r="T948" t="s">
        <v>76</v>
      </c>
      <c r="U948">
        <v>1</v>
      </c>
      <c r="V948" s="13">
        <v>45175</v>
      </c>
      <c r="W948">
        <v>2</v>
      </c>
      <c r="X948">
        <v>1</v>
      </c>
      <c r="Y948" t="s">
        <v>3724</v>
      </c>
      <c r="AC948">
        <v>4247</v>
      </c>
      <c r="AD948" t="e" vm="939">
        <v>#VALUE!</v>
      </c>
    </row>
    <row r="949" spans="2:30" x14ac:dyDescent="0.25">
      <c r="B949">
        <v>4258</v>
      </c>
      <c r="C949" t="s">
        <v>3668</v>
      </c>
      <c r="D949" t="s">
        <v>3725</v>
      </c>
      <c r="E949" t="s">
        <v>3866</v>
      </c>
      <c r="F949" t="s">
        <v>105</v>
      </c>
      <c r="G949" t="s">
        <v>104</v>
      </c>
      <c r="H949" t="s">
        <v>3808</v>
      </c>
      <c r="I949" t="s">
        <v>3839</v>
      </c>
      <c r="J949" t="s">
        <v>3864</v>
      </c>
      <c r="K949" t="s">
        <v>101</v>
      </c>
      <c r="L949" s="13">
        <v>37649</v>
      </c>
      <c r="M949">
        <v>21</v>
      </c>
      <c r="N949" t="s">
        <v>82</v>
      </c>
      <c r="O949" t="s">
        <v>3865</v>
      </c>
      <c r="P949" t="s">
        <v>76</v>
      </c>
      <c r="Q949" t="s">
        <v>76</v>
      </c>
      <c r="R949" t="s">
        <v>95</v>
      </c>
      <c r="S949" t="s">
        <v>76</v>
      </c>
      <c r="T949" t="s">
        <v>76</v>
      </c>
      <c r="U949">
        <v>1</v>
      </c>
      <c r="V949" s="13">
        <v>45175</v>
      </c>
      <c r="W949">
        <v>1</v>
      </c>
      <c r="X949">
        <v>1</v>
      </c>
      <c r="Y949" t="s">
        <v>3726</v>
      </c>
      <c r="AC949">
        <v>4258</v>
      </c>
      <c r="AD949" t="e" vm="940">
        <v>#VALUE!</v>
      </c>
    </row>
    <row r="950" spans="2:30" x14ac:dyDescent="0.25">
      <c r="B950">
        <v>4261</v>
      </c>
      <c r="C950" t="s">
        <v>3668</v>
      </c>
      <c r="D950" t="s">
        <v>3671</v>
      </c>
      <c r="E950" t="s">
        <v>3818</v>
      </c>
      <c r="F950" t="s">
        <v>83</v>
      </c>
      <c r="G950" t="s">
        <v>77</v>
      </c>
      <c r="H950" t="s">
        <v>3808</v>
      </c>
      <c r="I950" t="s">
        <v>3839</v>
      </c>
      <c r="J950" t="s">
        <v>3864</v>
      </c>
      <c r="K950" t="s">
        <v>101</v>
      </c>
      <c r="L950" s="13">
        <v>37656</v>
      </c>
      <c r="M950">
        <v>21</v>
      </c>
      <c r="N950" t="s">
        <v>82</v>
      </c>
      <c r="O950" t="s">
        <v>3865</v>
      </c>
      <c r="P950" t="s">
        <v>76</v>
      </c>
      <c r="Q950" t="s">
        <v>76</v>
      </c>
      <c r="R950" t="s">
        <v>95</v>
      </c>
      <c r="S950" t="s">
        <v>76</v>
      </c>
      <c r="T950" t="s">
        <v>76</v>
      </c>
      <c r="U950">
        <v>1</v>
      </c>
      <c r="V950" s="13">
        <v>45175</v>
      </c>
      <c r="W950">
        <v>2</v>
      </c>
      <c r="X950">
        <v>1</v>
      </c>
      <c r="Y950" t="s">
        <v>3672</v>
      </c>
      <c r="AC950">
        <v>4261</v>
      </c>
      <c r="AD950" t="e" vm="941">
        <v>#VALUE!</v>
      </c>
    </row>
    <row r="951" spans="2:30" x14ac:dyDescent="0.25">
      <c r="B951">
        <v>4295</v>
      </c>
      <c r="C951" t="s">
        <v>3662</v>
      </c>
      <c r="D951" t="s">
        <v>3716</v>
      </c>
      <c r="E951" t="s">
        <v>3853</v>
      </c>
      <c r="F951" t="s">
        <v>78</v>
      </c>
      <c r="G951" t="s">
        <v>77</v>
      </c>
      <c r="H951" t="s">
        <v>3808</v>
      </c>
      <c r="I951" t="s">
        <v>3821</v>
      </c>
      <c r="J951" t="s">
        <v>3862</v>
      </c>
      <c r="K951" t="s">
        <v>101</v>
      </c>
      <c r="L951" s="13">
        <v>37599</v>
      </c>
      <c r="M951">
        <v>21</v>
      </c>
      <c r="N951" t="s">
        <v>79</v>
      </c>
      <c r="O951" t="s">
        <v>3867</v>
      </c>
      <c r="P951" t="s">
        <v>76</v>
      </c>
      <c r="Q951" t="s">
        <v>76</v>
      </c>
      <c r="R951" t="s">
        <v>95</v>
      </c>
      <c r="S951" t="s">
        <v>76</v>
      </c>
      <c r="T951" t="s">
        <v>76</v>
      </c>
      <c r="U951">
        <v>1</v>
      </c>
      <c r="V951" s="13">
        <v>45175</v>
      </c>
      <c r="W951">
        <v>1</v>
      </c>
      <c r="X951">
        <v>1</v>
      </c>
      <c r="Y951" t="s">
        <v>3717</v>
      </c>
      <c r="AC951">
        <v>4295</v>
      </c>
      <c r="AD951" t="e" vm="942">
        <v>#VALUE!</v>
      </c>
    </row>
    <row r="952" spans="2:30" x14ac:dyDescent="0.25">
      <c r="B952">
        <v>4296</v>
      </c>
      <c r="C952" t="s">
        <v>3662</v>
      </c>
      <c r="D952" t="s">
        <v>3716</v>
      </c>
      <c r="E952" t="s">
        <v>3853</v>
      </c>
      <c r="F952" t="s">
        <v>78</v>
      </c>
      <c r="G952" t="s">
        <v>77</v>
      </c>
      <c r="H952" t="s">
        <v>3808</v>
      </c>
      <c r="I952" t="s">
        <v>3821</v>
      </c>
      <c r="J952" t="s">
        <v>3862</v>
      </c>
      <c r="K952" t="s">
        <v>101</v>
      </c>
      <c r="L952" s="13">
        <v>37662</v>
      </c>
      <c r="M952">
        <v>21</v>
      </c>
      <c r="N952" t="s">
        <v>79</v>
      </c>
      <c r="O952" t="s">
        <v>3867</v>
      </c>
      <c r="P952" t="s">
        <v>76</v>
      </c>
      <c r="Q952" t="s">
        <v>76</v>
      </c>
      <c r="R952" t="s">
        <v>95</v>
      </c>
      <c r="S952" t="s">
        <v>76</v>
      </c>
      <c r="T952" t="s">
        <v>76</v>
      </c>
      <c r="U952">
        <v>1</v>
      </c>
      <c r="V952" s="13">
        <v>45175</v>
      </c>
      <c r="W952">
        <v>1</v>
      </c>
      <c r="X952">
        <v>1</v>
      </c>
      <c r="Y952" t="s">
        <v>3717</v>
      </c>
      <c r="AC952">
        <v>4296</v>
      </c>
      <c r="AD952" t="e" vm="943">
        <v>#VALUE!</v>
      </c>
    </row>
    <row r="953" spans="2:30" x14ac:dyDescent="0.25">
      <c r="B953">
        <v>4297</v>
      </c>
      <c r="C953" t="s">
        <v>3668</v>
      </c>
      <c r="D953" t="s">
        <v>73</v>
      </c>
      <c r="E953" t="s">
        <v>73</v>
      </c>
      <c r="F953" t="s">
        <v>3816</v>
      </c>
      <c r="G953" t="s">
        <v>3816</v>
      </c>
      <c r="H953" t="s">
        <v>3808</v>
      </c>
      <c r="I953" t="s">
        <v>3821</v>
      </c>
      <c r="J953" t="s">
        <v>3862</v>
      </c>
      <c r="K953" t="s">
        <v>101</v>
      </c>
      <c r="L953" s="13">
        <v>37596</v>
      </c>
      <c r="M953">
        <v>21</v>
      </c>
      <c r="N953" t="s">
        <v>82</v>
      </c>
      <c r="O953" t="s">
        <v>3867</v>
      </c>
      <c r="P953" t="s">
        <v>76</v>
      </c>
      <c r="Q953" t="s">
        <v>76</v>
      </c>
      <c r="R953" t="s">
        <v>95</v>
      </c>
      <c r="S953" t="s">
        <v>76</v>
      </c>
      <c r="T953" t="s">
        <v>76</v>
      </c>
      <c r="U953">
        <v>1</v>
      </c>
      <c r="V953" s="13">
        <v>45175</v>
      </c>
      <c r="W953">
        <v>1</v>
      </c>
      <c r="X953">
        <v>1</v>
      </c>
      <c r="Y953" t="s">
        <v>3721</v>
      </c>
      <c r="AC953">
        <v>4297</v>
      </c>
      <c r="AD953" t="e" vm="944">
        <v>#VALUE!</v>
      </c>
    </row>
    <row r="954" spans="2:30" x14ac:dyDescent="0.25">
      <c r="B954">
        <v>4298</v>
      </c>
      <c r="C954" t="s">
        <v>3698</v>
      </c>
      <c r="D954" t="s">
        <v>3665</v>
      </c>
      <c r="E954" t="s">
        <v>3815</v>
      </c>
      <c r="F954" t="s">
        <v>92</v>
      </c>
      <c r="G954" t="s">
        <v>96</v>
      </c>
      <c r="H954" t="s">
        <v>3808</v>
      </c>
      <c r="I954" t="s">
        <v>3821</v>
      </c>
      <c r="J954" t="s">
        <v>3862</v>
      </c>
      <c r="K954" t="s">
        <v>101</v>
      </c>
      <c r="L954" s="13">
        <v>37596</v>
      </c>
      <c r="M954">
        <v>21</v>
      </c>
      <c r="N954" t="s">
        <v>98</v>
      </c>
      <c r="O954" t="s">
        <v>3867</v>
      </c>
      <c r="P954" t="s">
        <v>76</v>
      </c>
      <c r="Q954" t="s">
        <v>76</v>
      </c>
      <c r="R954" t="s">
        <v>95</v>
      </c>
      <c r="S954" t="s">
        <v>76</v>
      </c>
      <c r="T954" t="s">
        <v>76</v>
      </c>
      <c r="U954">
        <v>1</v>
      </c>
      <c r="V954" s="13">
        <v>45175</v>
      </c>
      <c r="W954">
        <v>2</v>
      </c>
      <c r="X954">
        <v>1</v>
      </c>
      <c r="Y954" t="s">
        <v>3727</v>
      </c>
      <c r="AC954">
        <v>4298</v>
      </c>
      <c r="AD954" t="e" vm="945">
        <v>#VALUE!</v>
      </c>
    </row>
    <row r="955" spans="2:30" x14ac:dyDescent="0.25">
      <c r="B955">
        <v>4299</v>
      </c>
      <c r="C955" t="s">
        <v>3668</v>
      </c>
      <c r="D955" t="s">
        <v>3673</v>
      </c>
      <c r="E955" t="s">
        <v>3819</v>
      </c>
      <c r="F955" t="s">
        <v>87</v>
      </c>
      <c r="G955" t="s">
        <v>84</v>
      </c>
      <c r="H955" t="s">
        <v>3808</v>
      </c>
      <c r="I955" t="s">
        <v>3821</v>
      </c>
      <c r="J955" t="s">
        <v>3862</v>
      </c>
      <c r="K955" t="s">
        <v>101</v>
      </c>
      <c r="L955" s="13">
        <v>37599</v>
      </c>
      <c r="M955">
        <v>21</v>
      </c>
      <c r="N955" t="s">
        <v>82</v>
      </c>
      <c r="O955" t="s">
        <v>3867</v>
      </c>
      <c r="P955" t="s">
        <v>76</v>
      </c>
      <c r="Q955" t="s">
        <v>76</v>
      </c>
      <c r="R955" t="s">
        <v>95</v>
      </c>
      <c r="S955" t="s">
        <v>76</v>
      </c>
      <c r="T955" t="s">
        <v>76</v>
      </c>
      <c r="U955">
        <v>1</v>
      </c>
      <c r="V955" s="13">
        <v>45175</v>
      </c>
      <c r="W955">
        <v>1</v>
      </c>
      <c r="X955">
        <v>1</v>
      </c>
      <c r="Y955" t="s">
        <v>3674</v>
      </c>
      <c r="AC955">
        <v>4299</v>
      </c>
      <c r="AD955" t="e" vm="946">
        <v>#VALUE!</v>
      </c>
    </row>
    <row r="956" spans="2:30" x14ac:dyDescent="0.25">
      <c r="B956">
        <v>4301</v>
      </c>
      <c r="C956" t="s">
        <v>3668</v>
      </c>
      <c r="D956" t="s">
        <v>73</v>
      </c>
      <c r="E956" t="s">
        <v>73</v>
      </c>
      <c r="F956" t="s">
        <v>3816</v>
      </c>
      <c r="G956" t="s">
        <v>3816</v>
      </c>
      <c r="H956" t="s">
        <v>3808</v>
      </c>
      <c r="I956" t="s">
        <v>3821</v>
      </c>
      <c r="J956" t="s">
        <v>3862</v>
      </c>
      <c r="K956" t="s">
        <v>101</v>
      </c>
      <c r="L956" s="13">
        <v>37610</v>
      </c>
      <c r="M956">
        <v>21</v>
      </c>
      <c r="N956" t="s">
        <v>82</v>
      </c>
      <c r="O956" t="s">
        <v>3867</v>
      </c>
      <c r="P956" t="s">
        <v>76</v>
      </c>
      <c r="Q956" t="s">
        <v>76</v>
      </c>
      <c r="R956" t="s">
        <v>95</v>
      </c>
      <c r="S956" t="s">
        <v>76</v>
      </c>
      <c r="T956" t="s">
        <v>76</v>
      </c>
      <c r="U956">
        <v>1</v>
      </c>
      <c r="V956" s="13">
        <v>45175</v>
      </c>
      <c r="W956">
        <v>1</v>
      </c>
      <c r="X956">
        <v>1</v>
      </c>
      <c r="Y956" t="s">
        <v>3721</v>
      </c>
      <c r="AC956">
        <v>4301</v>
      </c>
      <c r="AD956" t="e" vm="947">
        <v>#VALUE!</v>
      </c>
    </row>
    <row r="957" spans="2:30" x14ac:dyDescent="0.25">
      <c r="B957">
        <v>4302</v>
      </c>
      <c r="C957" t="s">
        <v>3662</v>
      </c>
      <c r="D957" t="s">
        <v>3665</v>
      </c>
      <c r="E957" t="s">
        <v>3815</v>
      </c>
      <c r="F957" t="s">
        <v>92</v>
      </c>
      <c r="G957" t="s">
        <v>96</v>
      </c>
      <c r="H957" t="s">
        <v>3808</v>
      </c>
      <c r="I957" t="s">
        <v>3821</v>
      </c>
      <c r="J957" t="s">
        <v>3862</v>
      </c>
      <c r="K957" t="s">
        <v>101</v>
      </c>
      <c r="L957" s="13">
        <v>37610</v>
      </c>
      <c r="M957">
        <v>21</v>
      </c>
      <c r="N957" t="s">
        <v>79</v>
      </c>
      <c r="O957" t="s">
        <v>3867</v>
      </c>
      <c r="P957" t="s">
        <v>76</v>
      </c>
      <c r="Q957" t="s">
        <v>76</v>
      </c>
      <c r="R957" t="s">
        <v>95</v>
      </c>
      <c r="S957" t="s">
        <v>76</v>
      </c>
      <c r="T957" t="s">
        <v>76</v>
      </c>
      <c r="U957">
        <v>1</v>
      </c>
      <c r="V957" s="13">
        <v>45175</v>
      </c>
      <c r="W957">
        <v>1</v>
      </c>
      <c r="X957">
        <v>1</v>
      </c>
      <c r="Y957" t="s">
        <v>3666</v>
      </c>
      <c r="AC957">
        <v>4302</v>
      </c>
      <c r="AD957" t="e" vm="948">
        <v>#VALUE!</v>
      </c>
    </row>
    <row r="958" spans="2:30" x14ac:dyDescent="0.25">
      <c r="B958">
        <v>4304</v>
      </c>
      <c r="C958" t="s">
        <v>3698</v>
      </c>
      <c r="D958" t="s">
        <v>73</v>
      </c>
      <c r="E958" t="s">
        <v>73</v>
      </c>
      <c r="F958" t="s">
        <v>3816</v>
      </c>
      <c r="G958" t="s">
        <v>3816</v>
      </c>
      <c r="H958" t="s">
        <v>3808</v>
      </c>
      <c r="I958" t="s">
        <v>3821</v>
      </c>
      <c r="J958" t="s">
        <v>3862</v>
      </c>
      <c r="K958" t="s">
        <v>101</v>
      </c>
      <c r="L958" s="13">
        <v>37610</v>
      </c>
      <c r="M958">
        <v>21</v>
      </c>
      <c r="N958" t="s">
        <v>98</v>
      </c>
      <c r="O958" t="s">
        <v>3867</v>
      </c>
      <c r="P958" t="s">
        <v>76</v>
      </c>
      <c r="Q958" t="s">
        <v>76</v>
      </c>
      <c r="R958" t="s">
        <v>95</v>
      </c>
      <c r="S958" t="s">
        <v>76</v>
      </c>
      <c r="T958" t="s">
        <v>76</v>
      </c>
      <c r="U958">
        <v>1</v>
      </c>
      <c r="V958" s="13">
        <v>45175</v>
      </c>
      <c r="W958">
        <v>2</v>
      </c>
      <c r="X958">
        <v>1</v>
      </c>
      <c r="Y958" t="s">
        <v>3724</v>
      </c>
      <c r="AC958">
        <v>4304</v>
      </c>
      <c r="AD958" t="e" vm="949">
        <v>#VALUE!</v>
      </c>
    </row>
    <row r="959" spans="2:30" x14ac:dyDescent="0.25">
      <c r="B959">
        <v>4305</v>
      </c>
      <c r="C959" t="s">
        <v>3662</v>
      </c>
      <c r="D959" t="s">
        <v>3663</v>
      </c>
      <c r="E959" t="s">
        <v>3814</v>
      </c>
      <c r="F959" t="s">
        <v>97</v>
      </c>
      <c r="G959" t="s">
        <v>106</v>
      </c>
      <c r="H959" t="s">
        <v>3808</v>
      </c>
      <c r="I959" t="s">
        <v>3821</v>
      </c>
      <c r="J959" t="s">
        <v>3862</v>
      </c>
      <c r="K959" t="s">
        <v>101</v>
      </c>
      <c r="L959" s="13">
        <v>37631</v>
      </c>
      <c r="M959">
        <v>21</v>
      </c>
      <c r="N959" t="s">
        <v>79</v>
      </c>
      <c r="O959" t="s">
        <v>3867</v>
      </c>
      <c r="P959" t="s">
        <v>76</v>
      </c>
      <c r="Q959" t="s">
        <v>76</v>
      </c>
      <c r="R959" t="s">
        <v>95</v>
      </c>
      <c r="S959" t="s">
        <v>76</v>
      </c>
      <c r="T959" t="s">
        <v>76</v>
      </c>
      <c r="U959">
        <v>1</v>
      </c>
      <c r="V959" s="13">
        <v>45175</v>
      </c>
      <c r="W959">
        <v>1</v>
      </c>
      <c r="X959">
        <v>1</v>
      </c>
      <c r="Y959" t="s">
        <v>3664</v>
      </c>
      <c r="AC959">
        <v>4305</v>
      </c>
      <c r="AD959" t="e" vm="950">
        <v>#VALUE!</v>
      </c>
    </row>
    <row r="960" spans="2:30" x14ac:dyDescent="0.25">
      <c r="B960">
        <v>4306</v>
      </c>
      <c r="C960" t="s">
        <v>3668</v>
      </c>
      <c r="D960" t="s">
        <v>73</v>
      </c>
      <c r="E960" t="s">
        <v>73</v>
      </c>
      <c r="F960" t="s">
        <v>3816</v>
      </c>
      <c r="G960" t="s">
        <v>3816</v>
      </c>
      <c r="H960" t="s">
        <v>3808</v>
      </c>
      <c r="I960" t="s">
        <v>3821</v>
      </c>
      <c r="J960" t="s">
        <v>3862</v>
      </c>
      <c r="K960" t="s">
        <v>101</v>
      </c>
      <c r="L960" s="13">
        <v>37631</v>
      </c>
      <c r="M960">
        <v>21</v>
      </c>
      <c r="N960" t="s">
        <v>82</v>
      </c>
      <c r="O960" t="s">
        <v>3867</v>
      </c>
      <c r="P960" t="s">
        <v>76</v>
      </c>
      <c r="Q960" t="s">
        <v>76</v>
      </c>
      <c r="R960" t="s">
        <v>95</v>
      </c>
      <c r="S960" t="s">
        <v>76</v>
      </c>
      <c r="T960" t="s">
        <v>76</v>
      </c>
      <c r="U960">
        <v>1</v>
      </c>
      <c r="V960" s="13">
        <v>45175</v>
      </c>
      <c r="W960">
        <v>1</v>
      </c>
      <c r="X960">
        <v>1</v>
      </c>
      <c r="Y960" t="s">
        <v>3721</v>
      </c>
      <c r="AC960">
        <v>4306</v>
      </c>
      <c r="AD960" t="e" vm="951">
        <v>#VALUE!</v>
      </c>
    </row>
    <row r="961" spans="2:30" x14ac:dyDescent="0.25">
      <c r="B961">
        <v>4307</v>
      </c>
      <c r="C961" t="s">
        <v>3662</v>
      </c>
      <c r="D961" t="s">
        <v>3663</v>
      </c>
      <c r="E961" t="s">
        <v>3814</v>
      </c>
      <c r="F961" t="s">
        <v>97</v>
      </c>
      <c r="G961" t="s">
        <v>106</v>
      </c>
      <c r="H961" t="s">
        <v>3808</v>
      </c>
      <c r="I961" t="s">
        <v>3821</v>
      </c>
      <c r="J961" t="s">
        <v>3862</v>
      </c>
      <c r="K961" t="s">
        <v>101</v>
      </c>
      <c r="L961" s="13">
        <v>37631</v>
      </c>
      <c r="M961">
        <v>21</v>
      </c>
      <c r="N961" t="s">
        <v>79</v>
      </c>
      <c r="O961" t="s">
        <v>3867</v>
      </c>
      <c r="P961" t="s">
        <v>76</v>
      </c>
      <c r="Q961" t="s">
        <v>76</v>
      </c>
      <c r="R961" t="s">
        <v>95</v>
      </c>
      <c r="S961" t="s">
        <v>76</v>
      </c>
      <c r="T961" t="s">
        <v>76</v>
      </c>
      <c r="U961">
        <v>1</v>
      </c>
      <c r="V961" s="13">
        <v>45175</v>
      </c>
      <c r="W961">
        <v>1</v>
      </c>
      <c r="X961">
        <v>1</v>
      </c>
      <c r="Y961" t="s">
        <v>3664</v>
      </c>
      <c r="AC961">
        <v>4307</v>
      </c>
      <c r="AD961" t="e" vm="952">
        <v>#VALUE!</v>
      </c>
    </row>
    <row r="962" spans="2:30" x14ac:dyDescent="0.25">
      <c r="B962">
        <v>4338</v>
      </c>
      <c r="C962" t="s">
        <v>3659</v>
      </c>
      <c r="D962" t="s">
        <v>3675</v>
      </c>
      <c r="E962" t="s">
        <v>3820</v>
      </c>
      <c r="F962" t="s">
        <v>85</v>
      </c>
      <c r="G962" t="s">
        <v>107</v>
      </c>
      <c r="H962" t="s">
        <v>3808</v>
      </c>
      <c r="I962" t="s">
        <v>3809</v>
      </c>
      <c r="J962" t="s">
        <v>3810</v>
      </c>
      <c r="K962" t="s">
        <v>101</v>
      </c>
      <c r="L962" s="13">
        <v>38047</v>
      </c>
      <c r="M962">
        <v>20</v>
      </c>
      <c r="N962" t="s">
        <v>88</v>
      </c>
      <c r="O962" t="s">
        <v>3868</v>
      </c>
      <c r="P962" t="s">
        <v>76</v>
      </c>
      <c r="Q962" t="s">
        <v>76</v>
      </c>
      <c r="R962" t="s">
        <v>95</v>
      </c>
      <c r="S962" t="s">
        <v>76</v>
      </c>
      <c r="T962" t="s">
        <v>76</v>
      </c>
      <c r="U962">
        <v>1</v>
      </c>
      <c r="V962" s="13">
        <v>45175</v>
      </c>
      <c r="W962">
        <v>2</v>
      </c>
      <c r="X962">
        <v>1</v>
      </c>
      <c r="Y962" t="s">
        <v>3676</v>
      </c>
      <c r="AC962">
        <v>4338</v>
      </c>
      <c r="AD962" t="e" vm="953">
        <v>#VALUE!</v>
      </c>
    </row>
    <row r="963" spans="2:30" x14ac:dyDescent="0.25">
      <c r="B963">
        <v>4341</v>
      </c>
      <c r="C963" t="s">
        <v>3698</v>
      </c>
      <c r="D963" t="s">
        <v>73</v>
      </c>
      <c r="E963" t="s">
        <v>73</v>
      </c>
      <c r="F963" t="s">
        <v>3816</v>
      </c>
      <c r="G963" t="s">
        <v>3816</v>
      </c>
      <c r="H963" t="s">
        <v>3808</v>
      </c>
      <c r="I963" t="s">
        <v>3809</v>
      </c>
      <c r="J963" t="s">
        <v>3810</v>
      </c>
      <c r="K963" t="s">
        <v>101</v>
      </c>
      <c r="L963" s="13">
        <v>38041</v>
      </c>
      <c r="M963">
        <v>20</v>
      </c>
      <c r="N963" t="s">
        <v>98</v>
      </c>
      <c r="O963" t="s">
        <v>3868</v>
      </c>
      <c r="P963" t="s">
        <v>76</v>
      </c>
      <c r="Q963" t="s">
        <v>76</v>
      </c>
      <c r="R963" t="s">
        <v>95</v>
      </c>
      <c r="S963" t="s">
        <v>76</v>
      </c>
      <c r="T963" t="s">
        <v>76</v>
      </c>
      <c r="U963">
        <v>1</v>
      </c>
      <c r="V963" s="13">
        <v>45175</v>
      </c>
      <c r="W963">
        <v>2</v>
      </c>
      <c r="X963">
        <v>1</v>
      </c>
      <c r="Y963" t="s">
        <v>3724</v>
      </c>
      <c r="AC963">
        <v>4341</v>
      </c>
      <c r="AD963" t="e" vm="954">
        <v>#VALUE!</v>
      </c>
    </row>
    <row r="964" spans="2:30" x14ac:dyDescent="0.25">
      <c r="B964">
        <v>4343</v>
      </c>
      <c r="C964" t="s">
        <v>3698</v>
      </c>
      <c r="D964" t="s">
        <v>3675</v>
      </c>
      <c r="E964" t="s">
        <v>3820</v>
      </c>
      <c r="F964" t="s">
        <v>85</v>
      </c>
      <c r="G964" t="s">
        <v>107</v>
      </c>
      <c r="H964" t="s">
        <v>3808</v>
      </c>
      <c r="I964" t="s">
        <v>3809</v>
      </c>
      <c r="J964" t="s">
        <v>3810</v>
      </c>
      <c r="K964" t="s">
        <v>101</v>
      </c>
      <c r="L964" s="13">
        <v>38047</v>
      </c>
      <c r="M964">
        <v>20</v>
      </c>
      <c r="N964" t="s">
        <v>98</v>
      </c>
      <c r="O964" t="s">
        <v>3868</v>
      </c>
      <c r="P964" t="s">
        <v>76</v>
      </c>
      <c r="Q964" t="s">
        <v>76</v>
      </c>
      <c r="R964" t="s">
        <v>95</v>
      </c>
      <c r="S964" t="s">
        <v>76</v>
      </c>
      <c r="T964" t="s">
        <v>76</v>
      </c>
      <c r="U964">
        <v>1</v>
      </c>
      <c r="V964" s="13">
        <v>45175</v>
      </c>
      <c r="W964">
        <v>2</v>
      </c>
      <c r="X964">
        <v>1</v>
      </c>
      <c r="Y964" t="s">
        <v>3728</v>
      </c>
      <c r="AC964">
        <v>4343</v>
      </c>
      <c r="AD964" t="e" vm="955">
        <v>#VALUE!</v>
      </c>
    </row>
    <row r="965" spans="2:30" x14ac:dyDescent="0.25">
      <c r="B965">
        <v>4344</v>
      </c>
      <c r="C965" t="s">
        <v>3659</v>
      </c>
      <c r="D965" t="s">
        <v>3675</v>
      </c>
      <c r="E965" t="s">
        <v>3820</v>
      </c>
      <c r="F965" t="s">
        <v>85</v>
      </c>
      <c r="G965" t="s">
        <v>107</v>
      </c>
      <c r="H965" t="s">
        <v>3808</v>
      </c>
      <c r="I965" t="s">
        <v>3809</v>
      </c>
      <c r="J965" t="s">
        <v>3810</v>
      </c>
      <c r="K965" t="s">
        <v>101</v>
      </c>
      <c r="L965" s="13">
        <v>38054</v>
      </c>
      <c r="M965">
        <v>20</v>
      </c>
      <c r="N965" t="s">
        <v>88</v>
      </c>
      <c r="O965" t="s">
        <v>3868</v>
      </c>
      <c r="P965" t="s">
        <v>76</v>
      </c>
      <c r="Q965" t="s">
        <v>76</v>
      </c>
      <c r="R965" t="s">
        <v>95</v>
      </c>
      <c r="S965" t="s">
        <v>76</v>
      </c>
      <c r="T965" t="s">
        <v>76</v>
      </c>
      <c r="U965">
        <v>1</v>
      </c>
      <c r="V965" s="13">
        <v>45175</v>
      </c>
      <c r="W965">
        <v>1</v>
      </c>
      <c r="X965">
        <v>1</v>
      </c>
      <c r="Y965" t="s">
        <v>3676</v>
      </c>
      <c r="AC965">
        <v>4344</v>
      </c>
      <c r="AD965" t="e" vm="956">
        <v>#VALUE!</v>
      </c>
    </row>
    <row r="966" spans="2:30" x14ac:dyDescent="0.25">
      <c r="B966">
        <v>4345</v>
      </c>
      <c r="C966" t="s">
        <v>3698</v>
      </c>
      <c r="D966" t="s">
        <v>3677</v>
      </c>
      <c r="E966" t="s">
        <v>3823</v>
      </c>
      <c r="F966" t="s">
        <v>87</v>
      </c>
      <c r="G966" t="s">
        <v>86</v>
      </c>
      <c r="H966" t="s">
        <v>3808</v>
      </c>
      <c r="I966" t="s">
        <v>3809</v>
      </c>
      <c r="J966" t="s">
        <v>3810</v>
      </c>
      <c r="K966" t="s">
        <v>101</v>
      </c>
      <c r="L966" s="13">
        <v>38054</v>
      </c>
      <c r="M966">
        <v>20</v>
      </c>
      <c r="N966" t="s">
        <v>98</v>
      </c>
      <c r="O966" t="s">
        <v>3868</v>
      </c>
      <c r="P966" t="s">
        <v>76</v>
      </c>
      <c r="Q966" t="s">
        <v>76</v>
      </c>
      <c r="R966" t="s">
        <v>95</v>
      </c>
      <c r="S966" t="s">
        <v>76</v>
      </c>
      <c r="T966" t="s">
        <v>76</v>
      </c>
      <c r="U966">
        <v>1</v>
      </c>
      <c r="V966" s="13">
        <v>45175</v>
      </c>
      <c r="W966">
        <v>2</v>
      </c>
      <c r="X966">
        <v>1</v>
      </c>
      <c r="Y966" t="s">
        <v>3729</v>
      </c>
      <c r="AC966">
        <v>4345</v>
      </c>
      <c r="AD966" t="e" vm="957">
        <v>#VALUE!</v>
      </c>
    </row>
    <row r="967" spans="2:30" x14ac:dyDescent="0.25">
      <c r="B967">
        <v>4349</v>
      </c>
      <c r="C967" t="s">
        <v>3659</v>
      </c>
      <c r="D967" t="s">
        <v>3675</v>
      </c>
      <c r="E967" t="s">
        <v>3820</v>
      </c>
      <c r="F967" t="s">
        <v>85</v>
      </c>
      <c r="G967" t="s">
        <v>107</v>
      </c>
      <c r="H967" t="s">
        <v>3808</v>
      </c>
      <c r="I967" t="s">
        <v>3809</v>
      </c>
      <c r="J967" t="s">
        <v>3810</v>
      </c>
      <c r="K967" t="s">
        <v>101</v>
      </c>
      <c r="L967" s="13">
        <v>37973</v>
      </c>
      <c r="M967">
        <v>20</v>
      </c>
      <c r="N967" t="s">
        <v>88</v>
      </c>
      <c r="O967" t="s">
        <v>3868</v>
      </c>
      <c r="P967" t="s">
        <v>76</v>
      </c>
      <c r="Q967" t="s">
        <v>76</v>
      </c>
      <c r="R967" t="s">
        <v>95</v>
      </c>
      <c r="S967" t="s">
        <v>76</v>
      </c>
      <c r="T967" t="s">
        <v>76</v>
      </c>
      <c r="U967">
        <v>1</v>
      </c>
      <c r="V967" s="13">
        <v>45175</v>
      </c>
      <c r="W967">
        <v>1</v>
      </c>
      <c r="X967">
        <v>1</v>
      </c>
      <c r="Y967" t="s">
        <v>3676</v>
      </c>
      <c r="AC967">
        <v>4349</v>
      </c>
      <c r="AD967" t="e" vm="958">
        <v>#VALUE!</v>
      </c>
    </row>
    <row r="968" spans="2:30" x14ac:dyDescent="0.25">
      <c r="B968">
        <v>4350</v>
      </c>
      <c r="C968" t="s">
        <v>3698</v>
      </c>
      <c r="D968" t="s">
        <v>73</v>
      </c>
      <c r="E968" t="s">
        <v>73</v>
      </c>
      <c r="F968" t="s">
        <v>3816</v>
      </c>
      <c r="G968" t="s">
        <v>3816</v>
      </c>
      <c r="H968" t="s">
        <v>3808</v>
      </c>
      <c r="I968" t="s">
        <v>3809</v>
      </c>
      <c r="J968" t="s">
        <v>3810</v>
      </c>
      <c r="K968" t="s">
        <v>101</v>
      </c>
      <c r="L968" s="13">
        <v>37978</v>
      </c>
      <c r="M968">
        <v>20</v>
      </c>
      <c r="N968" t="s">
        <v>98</v>
      </c>
      <c r="O968" t="s">
        <v>3868</v>
      </c>
      <c r="P968" t="s">
        <v>76</v>
      </c>
      <c r="Q968" t="s">
        <v>76</v>
      </c>
      <c r="R968" t="s">
        <v>95</v>
      </c>
      <c r="S968" t="s">
        <v>76</v>
      </c>
      <c r="T968" t="s">
        <v>76</v>
      </c>
      <c r="U968">
        <v>1</v>
      </c>
      <c r="V968" s="13">
        <v>45175</v>
      </c>
      <c r="W968">
        <v>2</v>
      </c>
      <c r="X968">
        <v>1</v>
      </c>
      <c r="Y968" t="s">
        <v>3724</v>
      </c>
      <c r="AC968">
        <v>4350</v>
      </c>
      <c r="AD968" t="e" vm="959">
        <v>#VALUE!</v>
      </c>
    </row>
    <row r="969" spans="2:30" x14ac:dyDescent="0.25">
      <c r="B969">
        <v>4354</v>
      </c>
      <c r="C969" t="s">
        <v>3659</v>
      </c>
      <c r="D969" t="s">
        <v>3675</v>
      </c>
      <c r="E969" t="s">
        <v>3820</v>
      </c>
      <c r="F969" t="s">
        <v>85</v>
      </c>
      <c r="G969" t="s">
        <v>107</v>
      </c>
      <c r="H969" t="s">
        <v>3808</v>
      </c>
      <c r="I969" t="s">
        <v>3809</v>
      </c>
      <c r="J969" t="s">
        <v>3810</v>
      </c>
      <c r="K969" t="s">
        <v>101</v>
      </c>
      <c r="L969" s="13">
        <v>38000</v>
      </c>
      <c r="M969">
        <v>20</v>
      </c>
      <c r="N969" t="s">
        <v>88</v>
      </c>
      <c r="O969" t="s">
        <v>3868</v>
      </c>
      <c r="P969" t="s">
        <v>76</v>
      </c>
      <c r="Q969" t="s">
        <v>76</v>
      </c>
      <c r="R969" t="s">
        <v>95</v>
      </c>
      <c r="S969" t="s">
        <v>76</v>
      </c>
      <c r="T969" t="s">
        <v>76</v>
      </c>
      <c r="U969">
        <v>1</v>
      </c>
      <c r="V969" s="13">
        <v>45175</v>
      </c>
      <c r="W969">
        <v>1</v>
      </c>
      <c r="X969">
        <v>1</v>
      </c>
      <c r="Y969" t="s">
        <v>3676</v>
      </c>
      <c r="AC969">
        <v>4354</v>
      </c>
      <c r="AD969" t="e" vm="960">
        <v>#VALUE!</v>
      </c>
    </row>
    <row r="970" spans="2:30" x14ac:dyDescent="0.25">
      <c r="B970">
        <v>4358</v>
      </c>
      <c r="C970" t="s">
        <v>3646</v>
      </c>
      <c r="D970" t="s">
        <v>3647</v>
      </c>
      <c r="E970" t="s">
        <v>3807</v>
      </c>
      <c r="F970" t="s">
        <v>105</v>
      </c>
      <c r="G970" t="s">
        <v>108</v>
      </c>
      <c r="H970" t="s">
        <v>3808</v>
      </c>
      <c r="I970" t="s">
        <v>3809</v>
      </c>
      <c r="J970" t="s">
        <v>3810</v>
      </c>
      <c r="K970" t="s">
        <v>101</v>
      </c>
      <c r="L970" s="13">
        <v>38007</v>
      </c>
      <c r="M970">
        <v>20</v>
      </c>
      <c r="N970" t="s">
        <v>90</v>
      </c>
      <c r="O970" t="s">
        <v>3868</v>
      </c>
      <c r="P970" t="s">
        <v>76</v>
      </c>
      <c r="Q970" t="s">
        <v>76</v>
      </c>
      <c r="R970" t="s">
        <v>95</v>
      </c>
      <c r="S970" t="s">
        <v>76</v>
      </c>
      <c r="T970" t="s">
        <v>76</v>
      </c>
      <c r="U970">
        <v>1</v>
      </c>
      <c r="V970" s="13">
        <v>45175</v>
      </c>
      <c r="W970">
        <v>1</v>
      </c>
      <c r="X970">
        <v>1</v>
      </c>
      <c r="Y970" t="s">
        <v>3648</v>
      </c>
      <c r="AC970">
        <v>4358</v>
      </c>
      <c r="AD970" t="e" vm="961">
        <v>#VALUE!</v>
      </c>
    </row>
    <row r="971" spans="2:30" x14ac:dyDescent="0.25">
      <c r="B971">
        <v>4360</v>
      </c>
      <c r="C971" t="s">
        <v>3684</v>
      </c>
      <c r="D971" t="s">
        <v>73</v>
      </c>
      <c r="E971" t="s">
        <v>73</v>
      </c>
      <c r="F971" t="s">
        <v>3816</v>
      </c>
      <c r="G971" t="s">
        <v>3816</v>
      </c>
      <c r="H971" t="s">
        <v>3808</v>
      </c>
      <c r="I971" t="s">
        <v>3809</v>
      </c>
      <c r="J971" t="s">
        <v>3810</v>
      </c>
      <c r="K971" t="s">
        <v>101</v>
      </c>
      <c r="L971" s="13">
        <v>38007</v>
      </c>
      <c r="M971">
        <v>20</v>
      </c>
      <c r="N971" t="s">
        <v>101</v>
      </c>
      <c r="O971" t="s">
        <v>3868</v>
      </c>
      <c r="P971" t="s">
        <v>76</v>
      </c>
      <c r="Q971" t="s">
        <v>76</v>
      </c>
      <c r="R971" t="s">
        <v>95</v>
      </c>
      <c r="S971" t="s">
        <v>76</v>
      </c>
      <c r="T971" t="s">
        <v>76</v>
      </c>
      <c r="U971">
        <v>1</v>
      </c>
      <c r="V971" s="13">
        <v>45175</v>
      </c>
      <c r="W971">
        <v>1</v>
      </c>
      <c r="X971">
        <v>1</v>
      </c>
      <c r="Y971" t="s">
        <v>3697</v>
      </c>
      <c r="AC971">
        <v>4360</v>
      </c>
      <c r="AD971" t="e" vm="962">
        <v>#VALUE!</v>
      </c>
    </row>
    <row r="972" spans="2:30" x14ac:dyDescent="0.25">
      <c r="B972">
        <v>4361</v>
      </c>
      <c r="C972" t="s">
        <v>3684</v>
      </c>
      <c r="D972" t="s">
        <v>73</v>
      </c>
      <c r="E972" t="s">
        <v>73</v>
      </c>
      <c r="F972" t="s">
        <v>3816</v>
      </c>
      <c r="G972" t="s">
        <v>3816</v>
      </c>
      <c r="H972" t="s">
        <v>3808</v>
      </c>
      <c r="I972" t="s">
        <v>3809</v>
      </c>
      <c r="J972" t="s">
        <v>3810</v>
      </c>
      <c r="K972" t="s">
        <v>101</v>
      </c>
      <c r="L972" s="13">
        <v>38015</v>
      </c>
      <c r="M972">
        <v>20</v>
      </c>
      <c r="N972" t="s">
        <v>101</v>
      </c>
      <c r="O972" t="s">
        <v>3868</v>
      </c>
      <c r="P972" t="s">
        <v>76</v>
      </c>
      <c r="Q972" t="s">
        <v>76</v>
      </c>
      <c r="R972" t="s">
        <v>95</v>
      </c>
      <c r="S972" t="s">
        <v>76</v>
      </c>
      <c r="T972" t="s">
        <v>76</v>
      </c>
      <c r="U972">
        <v>1</v>
      </c>
      <c r="V972" s="13">
        <v>45175</v>
      </c>
      <c r="W972">
        <v>1</v>
      </c>
      <c r="X972">
        <v>1</v>
      </c>
      <c r="Y972" t="s">
        <v>3697</v>
      </c>
      <c r="AC972">
        <v>4361</v>
      </c>
      <c r="AD972" t="e" vm="963">
        <v>#VALUE!</v>
      </c>
    </row>
    <row r="973" spans="2:30" x14ac:dyDescent="0.25">
      <c r="B973">
        <v>4362</v>
      </c>
      <c r="C973" t="s">
        <v>3684</v>
      </c>
      <c r="D973" t="s">
        <v>73</v>
      </c>
      <c r="E973" t="s">
        <v>73</v>
      </c>
      <c r="F973" t="s">
        <v>3816</v>
      </c>
      <c r="G973" t="s">
        <v>3816</v>
      </c>
      <c r="H973" t="s">
        <v>3808</v>
      </c>
      <c r="I973" t="s">
        <v>3809</v>
      </c>
      <c r="J973" t="s">
        <v>3810</v>
      </c>
      <c r="K973" t="s">
        <v>101</v>
      </c>
      <c r="L973" s="13">
        <v>38015</v>
      </c>
      <c r="M973">
        <v>20</v>
      </c>
      <c r="N973" t="s">
        <v>101</v>
      </c>
      <c r="O973" t="s">
        <v>3868</v>
      </c>
      <c r="P973" t="s">
        <v>76</v>
      </c>
      <c r="Q973" t="s">
        <v>76</v>
      </c>
      <c r="R973" t="s">
        <v>95</v>
      </c>
      <c r="S973" t="s">
        <v>76</v>
      </c>
      <c r="T973" t="s">
        <v>76</v>
      </c>
      <c r="U973">
        <v>1</v>
      </c>
      <c r="V973" s="13">
        <v>45175</v>
      </c>
      <c r="W973">
        <v>1</v>
      </c>
      <c r="X973">
        <v>1</v>
      </c>
      <c r="Y973" t="s">
        <v>3697</v>
      </c>
      <c r="AC973">
        <v>4362</v>
      </c>
      <c r="AD973" t="e" vm="964">
        <v>#VALUE!</v>
      </c>
    </row>
    <row r="974" spans="2:30" x14ac:dyDescent="0.25">
      <c r="B974">
        <v>4363</v>
      </c>
      <c r="C974" t="s">
        <v>3684</v>
      </c>
      <c r="D974" t="s">
        <v>73</v>
      </c>
      <c r="E974" t="s">
        <v>73</v>
      </c>
      <c r="F974" t="s">
        <v>3816</v>
      </c>
      <c r="G974" t="s">
        <v>3816</v>
      </c>
      <c r="H974" t="s">
        <v>3808</v>
      </c>
      <c r="I974" t="s">
        <v>3809</v>
      </c>
      <c r="J974" t="s">
        <v>3810</v>
      </c>
      <c r="K974" t="s">
        <v>101</v>
      </c>
      <c r="L974" s="13">
        <v>38015</v>
      </c>
      <c r="M974">
        <v>20</v>
      </c>
      <c r="N974" t="s">
        <v>101</v>
      </c>
      <c r="O974" t="s">
        <v>3868</v>
      </c>
      <c r="P974" t="s">
        <v>76</v>
      </c>
      <c r="Q974" t="s">
        <v>76</v>
      </c>
      <c r="R974" t="s">
        <v>95</v>
      </c>
      <c r="S974" t="s">
        <v>76</v>
      </c>
      <c r="T974" t="s">
        <v>76</v>
      </c>
      <c r="U974">
        <v>1</v>
      </c>
      <c r="V974" s="13">
        <v>45175</v>
      </c>
      <c r="W974">
        <v>1</v>
      </c>
      <c r="X974">
        <v>1</v>
      </c>
      <c r="Y974" t="s">
        <v>3697</v>
      </c>
      <c r="AC974">
        <v>4363</v>
      </c>
      <c r="AD974" t="e" vm="965">
        <v>#VALUE!</v>
      </c>
    </row>
    <row r="975" spans="2:30" x14ac:dyDescent="0.25">
      <c r="B975">
        <v>4364</v>
      </c>
      <c r="C975" t="s">
        <v>3684</v>
      </c>
      <c r="D975" t="s">
        <v>73</v>
      </c>
      <c r="E975" t="s">
        <v>73</v>
      </c>
      <c r="F975" t="s">
        <v>3816</v>
      </c>
      <c r="G975" t="s">
        <v>3816</v>
      </c>
      <c r="H975" t="s">
        <v>3808</v>
      </c>
      <c r="I975" t="s">
        <v>3809</v>
      </c>
      <c r="J975" t="s">
        <v>3810</v>
      </c>
      <c r="K975" t="s">
        <v>101</v>
      </c>
      <c r="L975" s="13">
        <v>38019</v>
      </c>
      <c r="M975">
        <v>20</v>
      </c>
      <c r="N975" t="s">
        <v>101</v>
      </c>
      <c r="O975" t="s">
        <v>3868</v>
      </c>
      <c r="P975" t="s">
        <v>76</v>
      </c>
      <c r="Q975" t="s">
        <v>76</v>
      </c>
      <c r="R975" t="s">
        <v>95</v>
      </c>
      <c r="S975" t="s">
        <v>76</v>
      </c>
      <c r="T975" t="s">
        <v>76</v>
      </c>
      <c r="U975">
        <v>1</v>
      </c>
      <c r="V975" s="13">
        <v>45175</v>
      </c>
      <c r="W975">
        <v>1</v>
      </c>
      <c r="X975">
        <v>1</v>
      </c>
      <c r="Y975" t="s">
        <v>3697</v>
      </c>
      <c r="AC975">
        <v>4364</v>
      </c>
      <c r="AD975" t="e" vm="966">
        <v>#VALUE!</v>
      </c>
    </row>
    <row r="976" spans="2:30" x14ac:dyDescent="0.25">
      <c r="B976">
        <v>4365</v>
      </c>
      <c r="C976" t="s">
        <v>3698</v>
      </c>
      <c r="D976" t="s">
        <v>73</v>
      </c>
      <c r="E976" t="s">
        <v>73</v>
      </c>
      <c r="F976" t="s">
        <v>3816</v>
      </c>
      <c r="G976" t="s">
        <v>3816</v>
      </c>
      <c r="H976" t="s">
        <v>3808</v>
      </c>
      <c r="I976" t="s">
        <v>3809</v>
      </c>
      <c r="J976" t="s">
        <v>3810</v>
      </c>
      <c r="K976" t="s">
        <v>101</v>
      </c>
      <c r="L976" s="13">
        <v>38019</v>
      </c>
      <c r="M976">
        <v>20</v>
      </c>
      <c r="N976" t="s">
        <v>98</v>
      </c>
      <c r="O976" t="s">
        <v>3868</v>
      </c>
      <c r="P976" t="s">
        <v>76</v>
      </c>
      <c r="Q976" t="s">
        <v>76</v>
      </c>
      <c r="R976" t="s">
        <v>95</v>
      </c>
      <c r="S976" t="s">
        <v>76</v>
      </c>
      <c r="T976" t="s">
        <v>76</v>
      </c>
      <c r="U976">
        <v>1</v>
      </c>
      <c r="V976" s="13">
        <v>45175</v>
      </c>
      <c r="W976">
        <v>2</v>
      </c>
      <c r="X976">
        <v>1</v>
      </c>
      <c r="Y976" t="s">
        <v>3724</v>
      </c>
      <c r="AC976">
        <v>4365</v>
      </c>
      <c r="AD976" t="e" vm="967">
        <v>#VALUE!</v>
      </c>
    </row>
    <row r="977" spans="2:30" x14ac:dyDescent="0.25">
      <c r="B977">
        <v>4366</v>
      </c>
      <c r="C977" t="s">
        <v>3684</v>
      </c>
      <c r="D977" t="s">
        <v>73</v>
      </c>
      <c r="E977" t="s">
        <v>73</v>
      </c>
      <c r="F977" t="s">
        <v>3816</v>
      </c>
      <c r="G977" t="s">
        <v>3816</v>
      </c>
      <c r="H977" t="s">
        <v>3808</v>
      </c>
      <c r="I977" t="s">
        <v>3809</v>
      </c>
      <c r="J977" t="s">
        <v>3810</v>
      </c>
      <c r="K977" t="s">
        <v>101</v>
      </c>
      <c r="L977" s="13">
        <v>38021</v>
      </c>
      <c r="M977">
        <v>20</v>
      </c>
      <c r="N977" t="s">
        <v>101</v>
      </c>
      <c r="O977" t="s">
        <v>3868</v>
      </c>
      <c r="P977" t="s">
        <v>76</v>
      </c>
      <c r="Q977" t="s">
        <v>76</v>
      </c>
      <c r="R977" t="s">
        <v>95</v>
      </c>
      <c r="S977" t="s">
        <v>76</v>
      </c>
      <c r="T977" t="s">
        <v>76</v>
      </c>
      <c r="U977">
        <v>1</v>
      </c>
      <c r="V977" s="13">
        <v>45175</v>
      </c>
      <c r="W977">
        <v>1</v>
      </c>
      <c r="X977">
        <v>1</v>
      </c>
      <c r="Y977" t="s">
        <v>3697</v>
      </c>
      <c r="AC977">
        <v>4366</v>
      </c>
      <c r="AD977" t="e" vm="968">
        <v>#VALUE!</v>
      </c>
    </row>
    <row r="978" spans="2:30" x14ac:dyDescent="0.25">
      <c r="B978">
        <v>4367</v>
      </c>
      <c r="C978" t="s">
        <v>3684</v>
      </c>
      <c r="D978" t="s">
        <v>73</v>
      </c>
      <c r="E978" t="s">
        <v>73</v>
      </c>
      <c r="F978" t="s">
        <v>3816</v>
      </c>
      <c r="G978" t="s">
        <v>3816</v>
      </c>
      <c r="H978" t="s">
        <v>3808</v>
      </c>
      <c r="I978" t="s">
        <v>3809</v>
      </c>
      <c r="J978" t="s">
        <v>3810</v>
      </c>
      <c r="K978" t="s">
        <v>101</v>
      </c>
      <c r="L978" s="13">
        <v>38026</v>
      </c>
      <c r="M978">
        <v>20</v>
      </c>
      <c r="N978" t="s">
        <v>101</v>
      </c>
      <c r="O978" t="s">
        <v>3868</v>
      </c>
      <c r="P978" t="s">
        <v>76</v>
      </c>
      <c r="Q978" t="s">
        <v>76</v>
      </c>
      <c r="R978" t="s">
        <v>95</v>
      </c>
      <c r="S978" t="s">
        <v>76</v>
      </c>
      <c r="T978" t="s">
        <v>76</v>
      </c>
      <c r="U978">
        <v>1</v>
      </c>
      <c r="V978" s="13">
        <v>45175</v>
      </c>
      <c r="W978">
        <v>1</v>
      </c>
      <c r="X978">
        <v>1</v>
      </c>
      <c r="Y978" t="s">
        <v>3697</v>
      </c>
      <c r="AC978">
        <v>4367</v>
      </c>
      <c r="AD978" t="e" vm="969">
        <v>#VALUE!</v>
      </c>
    </row>
    <row r="979" spans="2:30" x14ac:dyDescent="0.25">
      <c r="B979">
        <v>4368</v>
      </c>
      <c r="C979" t="s">
        <v>3684</v>
      </c>
      <c r="D979" t="s">
        <v>73</v>
      </c>
      <c r="E979" t="s">
        <v>73</v>
      </c>
      <c r="F979" t="s">
        <v>3816</v>
      </c>
      <c r="G979" t="s">
        <v>3816</v>
      </c>
      <c r="H979" t="s">
        <v>3808</v>
      </c>
      <c r="I979" t="s">
        <v>3809</v>
      </c>
      <c r="J979" t="s">
        <v>3810</v>
      </c>
      <c r="K979" t="s">
        <v>101</v>
      </c>
      <c r="L979" s="13">
        <v>38028</v>
      </c>
      <c r="M979">
        <v>20</v>
      </c>
      <c r="N979" t="s">
        <v>101</v>
      </c>
      <c r="O979" t="s">
        <v>3868</v>
      </c>
      <c r="P979" t="s">
        <v>76</v>
      </c>
      <c r="Q979" t="s">
        <v>76</v>
      </c>
      <c r="R979" t="s">
        <v>95</v>
      </c>
      <c r="S979" t="s">
        <v>76</v>
      </c>
      <c r="T979" t="s">
        <v>76</v>
      </c>
      <c r="U979">
        <v>1</v>
      </c>
      <c r="V979" s="13">
        <v>45175</v>
      </c>
      <c r="W979">
        <v>1</v>
      </c>
      <c r="X979">
        <v>1</v>
      </c>
      <c r="Y979" t="s">
        <v>3697</v>
      </c>
      <c r="AC979">
        <v>4368</v>
      </c>
      <c r="AD979" t="e" vm="970">
        <v>#VALUE!</v>
      </c>
    </row>
    <row r="980" spans="2:30" x14ac:dyDescent="0.25">
      <c r="B980">
        <v>4370</v>
      </c>
      <c r="C980" t="s">
        <v>3684</v>
      </c>
      <c r="D980" t="s">
        <v>73</v>
      </c>
      <c r="E980" t="s">
        <v>73</v>
      </c>
      <c r="F980" t="s">
        <v>3816</v>
      </c>
      <c r="G980" t="s">
        <v>3816</v>
      </c>
      <c r="H980" t="s">
        <v>3808</v>
      </c>
      <c r="I980" t="s">
        <v>3809</v>
      </c>
      <c r="J980" t="s">
        <v>3810</v>
      </c>
      <c r="K980" t="s">
        <v>101</v>
      </c>
      <c r="L980" s="13">
        <v>38027</v>
      </c>
      <c r="M980">
        <v>20</v>
      </c>
      <c r="N980" t="s">
        <v>101</v>
      </c>
      <c r="O980" t="s">
        <v>3868</v>
      </c>
      <c r="P980" t="s">
        <v>76</v>
      </c>
      <c r="Q980" t="s">
        <v>76</v>
      </c>
      <c r="R980" t="s">
        <v>95</v>
      </c>
      <c r="S980" t="s">
        <v>76</v>
      </c>
      <c r="T980" t="s">
        <v>76</v>
      </c>
      <c r="U980">
        <v>1</v>
      </c>
      <c r="V980" s="13">
        <v>45175</v>
      </c>
      <c r="W980">
        <v>1</v>
      </c>
      <c r="X980">
        <v>1</v>
      </c>
      <c r="Y980" t="s">
        <v>3697</v>
      </c>
      <c r="AC980">
        <v>4370</v>
      </c>
      <c r="AD980" t="e" vm="971">
        <v>#VALUE!</v>
      </c>
    </row>
    <row r="981" spans="2:30" x14ac:dyDescent="0.25">
      <c r="B981">
        <v>4371</v>
      </c>
      <c r="C981" t="s">
        <v>3646</v>
      </c>
      <c r="D981" t="s">
        <v>73</v>
      </c>
      <c r="E981" t="s">
        <v>73</v>
      </c>
      <c r="F981" t="s">
        <v>3816</v>
      </c>
      <c r="G981" t="s">
        <v>3816</v>
      </c>
      <c r="H981" t="s">
        <v>3808</v>
      </c>
      <c r="I981" t="s">
        <v>3809</v>
      </c>
      <c r="J981" t="s">
        <v>3810</v>
      </c>
      <c r="K981" t="s">
        <v>101</v>
      </c>
      <c r="L981" s="13">
        <v>38030</v>
      </c>
      <c r="M981">
        <v>20</v>
      </c>
      <c r="N981" t="s">
        <v>90</v>
      </c>
      <c r="O981" t="s">
        <v>3868</v>
      </c>
      <c r="P981" t="s">
        <v>76</v>
      </c>
      <c r="Q981" t="s">
        <v>76</v>
      </c>
      <c r="R981" t="s">
        <v>95</v>
      </c>
      <c r="S981" t="s">
        <v>76</v>
      </c>
      <c r="T981" t="s">
        <v>76</v>
      </c>
      <c r="U981">
        <v>1</v>
      </c>
      <c r="V981" s="13">
        <v>45175</v>
      </c>
      <c r="W981">
        <v>1</v>
      </c>
      <c r="X981">
        <v>1</v>
      </c>
      <c r="Y981" t="s">
        <v>3667</v>
      </c>
      <c r="AC981">
        <v>4371</v>
      </c>
      <c r="AD981" t="e" vm="972">
        <v>#VALUE!</v>
      </c>
    </row>
    <row r="982" spans="2:30" x14ac:dyDescent="0.25">
      <c r="B982">
        <v>4372</v>
      </c>
      <c r="C982" t="s">
        <v>3684</v>
      </c>
      <c r="D982" t="s">
        <v>73</v>
      </c>
      <c r="E982" t="s">
        <v>73</v>
      </c>
      <c r="F982" t="s">
        <v>3816</v>
      </c>
      <c r="G982" t="s">
        <v>3816</v>
      </c>
      <c r="H982" t="s">
        <v>3808</v>
      </c>
      <c r="I982" t="s">
        <v>3809</v>
      </c>
      <c r="J982" t="s">
        <v>3810</v>
      </c>
      <c r="K982" t="s">
        <v>101</v>
      </c>
      <c r="L982" s="13">
        <v>38027</v>
      </c>
      <c r="M982">
        <v>20</v>
      </c>
      <c r="N982" t="s">
        <v>101</v>
      </c>
      <c r="O982" t="s">
        <v>3868</v>
      </c>
      <c r="P982" t="s">
        <v>76</v>
      </c>
      <c r="Q982" t="s">
        <v>76</v>
      </c>
      <c r="R982" t="s">
        <v>95</v>
      </c>
      <c r="S982" t="s">
        <v>76</v>
      </c>
      <c r="T982" t="s">
        <v>76</v>
      </c>
      <c r="U982">
        <v>1</v>
      </c>
      <c r="V982" s="13">
        <v>45175</v>
      </c>
      <c r="W982">
        <v>1</v>
      </c>
      <c r="X982">
        <v>1</v>
      </c>
      <c r="Y982" t="s">
        <v>3697</v>
      </c>
      <c r="AC982">
        <v>4372</v>
      </c>
      <c r="AD982" t="e" vm="973">
        <v>#VALUE!</v>
      </c>
    </row>
    <row r="983" spans="2:30" x14ac:dyDescent="0.25">
      <c r="B983">
        <v>4373</v>
      </c>
      <c r="C983" t="s">
        <v>3646</v>
      </c>
      <c r="D983" t="s">
        <v>3647</v>
      </c>
      <c r="E983" t="s">
        <v>3807</v>
      </c>
      <c r="F983" t="s">
        <v>105</v>
      </c>
      <c r="G983" t="s">
        <v>108</v>
      </c>
      <c r="H983" t="s">
        <v>3808</v>
      </c>
      <c r="I983" t="s">
        <v>3809</v>
      </c>
      <c r="J983" t="s">
        <v>3810</v>
      </c>
      <c r="K983" t="s">
        <v>101</v>
      </c>
      <c r="L983" s="13">
        <v>38037</v>
      </c>
      <c r="M983">
        <v>20</v>
      </c>
      <c r="N983" t="s">
        <v>90</v>
      </c>
      <c r="O983" t="s">
        <v>3868</v>
      </c>
      <c r="P983" t="s">
        <v>76</v>
      </c>
      <c r="Q983" t="s">
        <v>76</v>
      </c>
      <c r="R983" t="s">
        <v>95</v>
      </c>
      <c r="S983" t="s">
        <v>76</v>
      </c>
      <c r="T983" t="s">
        <v>76</v>
      </c>
      <c r="U983">
        <v>1</v>
      </c>
      <c r="V983" s="13">
        <v>45175</v>
      </c>
      <c r="W983">
        <v>1</v>
      </c>
      <c r="X983">
        <v>1</v>
      </c>
      <c r="Y983" t="s">
        <v>3648</v>
      </c>
      <c r="AC983">
        <v>4373</v>
      </c>
      <c r="AD983" t="e" vm="974">
        <v>#VALUE!</v>
      </c>
    </row>
    <row r="984" spans="2:30" x14ac:dyDescent="0.25">
      <c r="B984">
        <v>4377</v>
      </c>
      <c r="C984" t="s">
        <v>3698</v>
      </c>
      <c r="D984" t="s">
        <v>3647</v>
      </c>
      <c r="E984" t="s">
        <v>3807</v>
      </c>
      <c r="F984" t="s">
        <v>105</v>
      </c>
      <c r="G984" t="s">
        <v>108</v>
      </c>
      <c r="H984" t="s">
        <v>3808</v>
      </c>
      <c r="I984" t="s">
        <v>3809</v>
      </c>
      <c r="J984" t="s">
        <v>3810</v>
      </c>
      <c r="K984" t="s">
        <v>101</v>
      </c>
      <c r="L984" s="13">
        <v>38047</v>
      </c>
      <c r="M984">
        <v>20</v>
      </c>
      <c r="N984" t="s">
        <v>98</v>
      </c>
      <c r="O984" t="s">
        <v>3868</v>
      </c>
      <c r="P984" t="s">
        <v>76</v>
      </c>
      <c r="Q984" t="s">
        <v>76</v>
      </c>
      <c r="R984" t="s">
        <v>95</v>
      </c>
      <c r="S984" t="s">
        <v>76</v>
      </c>
      <c r="T984" t="s">
        <v>76</v>
      </c>
      <c r="U984">
        <v>1</v>
      </c>
      <c r="V984" s="13">
        <v>45175</v>
      </c>
      <c r="W984">
        <v>2</v>
      </c>
      <c r="X984">
        <v>1</v>
      </c>
      <c r="Y984" t="s">
        <v>3730</v>
      </c>
      <c r="AC984">
        <v>4377</v>
      </c>
      <c r="AD984" t="e" vm="975">
        <v>#VALUE!</v>
      </c>
    </row>
    <row r="985" spans="2:30" x14ac:dyDescent="0.25">
      <c r="B985">
        <v>4378</v>
      </c>
      <c r="C985" t="s">
        <v>3646</v>
      </c>
      <c r="D985" t="s">
        <v>3647</v>
      </c>
      <c r="E985" t="s">
        <v>3807</v>
      </c>
      <c r="F985" t="s">
        <v>105</v>
      </c>
      <c r="G985" t="s">
        <v>108</v>
      </c>
      <c r="H985" t="s">
        <v>3808</v>
      </c>
      <c r="I985" t="s">
        <v>3809</v>
      </c>
      <c r="J985" t="s">
        <v>3810</v>
      </c>
      <c r="K985" t="s">
        <v>101</v>
      </c>
      <c r="L985" s="13">
        <v>38054</v>
      </c>
      <c r="M985">
        <v>20</v>
      </c>
      <c r="N985" t="s">
        <v>90</v>
      </c>
      <c r="O985" t="s">
        <v>3868</v>
      </c>
      <c r="P985" t="s">
        <v>76</v>
      </c>
      <c r="Q985" t="s">
        <v>76</v>
      </c>
      <c r="R985" t="s">
        <v>95</v>
      </c>
      <c r="S985" t="s">
        <v>76</v>
      </c>
      <c r="T985" t="s">
        <v>76</v>
      </c>
      <c r="U985">
        <v>1</v>
      </c>
      <c r="V985" s="13">
        <v>45175</v>
      </c>
      <c r="W985">
        <v>1</v>
      </c>
      <c r="X985">
        <v>1</v>
      </c>
      <c r="Y985" t="s">
        <v>3648</v>
      </c>
      <c r="AC985">
        <v>4378</v>
      </c>
      <c r="AD985" t="e" vm="976">
        <v>#VALUE!</v>
      </c>
    </row>
    <row r="986" spans="2:30" x14ac:dyDescent="0.25">
      <c r="B986">
        <v>4381</v>
      </c>
      <c r="C986" t="s">
        <v>3646</v>
      </c>
      <c r="D986" t="s">
        <v>3647</v>
      </c>
      <c r="E986" t="s">
        <v>3807</v>
      </c>
      <c r="F986" t="s">
        <v>105</v>
      </c>
      <c r="G986" t="s">
        <v>108</v>
      </c>
      <c r="H986" t="s">
        <v>3808</v>
      </c>
      <c r="I986" t="s">
        <v>3809</v>
      </c>
      <c r="J986" t="s">
        <v>3810</v>
      </c>
      <c r="K986" t="s">
        <v>101</v>
      </c>
      <c r="L986" s="13">
        <v>38056</v>
      </c>
      <c r="M986">
        <v>20</v>
      </c>
      <c r="N986" t="s">
        <v>90</v>
      </c>
      <c r="O986" t="s">
        <v>3868</v>
      </c>
      <c r="P986" t="s">
        <v>76</v>
      </c>
      <c r="Q986" t="s">
        <v>76</v>
      </c>
      <c r="R986" t="s">
        <v>95</v>
      </c>
      <c r="S986" t="s">
        <v>76</v>
      </c>
      <c r="T986" t="s">
        <v>76</v>
      </c>
      <c r="U986">
        <v>1</v>
      </c>
      <c r="V986" s="13">
        <v>45175</v>
      </c>
      <c r="W986">
        <v>1</v>
      </c>
      <c r="X986">
        <v>1</v>
      </c>
      <c r="Y986" t="s">
        <v>3648</v>
      </c>
      <c r="AC986">
        <v>4381</v>
      </c>
      <c r="AD986" t="e" vm="977">
        <v>#VALUE!</v>
      </c>
    </row>
    <row r="987" spans="2:30" x14ac:dyDescent="0.25">
      <c r="B987">
        <v>4382</v>
      </c>
      <c r="C987" t="s">
        <v>3646</v>
      </c>
      <c r="D987" t="s">
        <v>3647</v>
      </c>
      <c r="E987" t="s">
        <v>3807</v>
      </c>
      <c r="F987" t="s">
        <v>105</v>
      </c>
      <c r="G987" t="s">
        <v>108</v>
      </c>
      <c r="H987" t="s">
        <v>3808</v>
      </c>
      <c r="I987" t="s">
        <v>3809</v>
      </c>
      <c r="J987" t="s">
        <v>3810</v>
      </c>
      <c r="K987" t="s">
        <v>101</v>
      </c>
      <c r="L987" s="13">
        <v>38061</v>
      </c>
      <c r="M987">
        <v>20</v>
      </c>
      <c r="N987" t="s">
        <v>90</v>
      </c>
      <c r="O987" t="s">
        <v>3868</v>
      </c>
      <c r="P987" t="s">
        <v>76</v>
      </c>
      <c r="Q987" t="s">
        <v>76</v>
      </c>
      <c r="R987" t="s">
        <v>95</v>
      </c>
      <c r="S987" t="s">
        <v>76</v>
      </c>
      <c r="T987" t="s">
        <v>76</v>
      </c>
      <c r="U987">
        <v>1</v>
      </c>
      <c r="V987" s="13">
        <v>45175</v>
      </c>
      <c r="W987">
        <v>2</v>
      </c>
      <c r="X987">
        <v>1</v>
      </c>
      <c r="Y987" t="s">
        <v>3648</v>
      </c>
      <c r="AC987">
        <v>4382</v>
      </c>
      <c r="AD987" t="e" vm="978">
        <v>#VALUE!</v>
      </c>
    </row>
    <row r="988" spans="2:30" x14ac:dyDescent="0.25">
      <c r="B988">
        <v>4383</v>
      </c>
      <c r="C988" t="s">
        <v>3646</v>
      </c>
      <c r="D988" t="s">
        <v>3647</v>
      </c>
      <c r="E988" t="s">
        <v>3807</v>
      </c>
      <c r="F988" t="s">
        <v>105</v>
      </c>
      <c r="G988" t="s">
        <v>108</v>
      </c>
      <c r="H988" t="s">
        <v>3808</v>
      </c>
      <c r="I988" t="s">
        <v>3809</v>
      </c>
      <c r="J988" t="s">
        <v>3810</v>
      </c>
      <c r="K988" t="s">
        <v>101</v>
      </c>
      <c r="L988" s="13">
        <v>38061</v>
      </c>
      <c r="M988">
        <v>20</v>
      </c>
      <c r="N988" t="s">
        <v>90</v>
      </c>
      <c r="O988" t="s">
        <v>3868</v>
      </c>
      <c r="P988" t="s">
        <v>76</v>
      </c>
      <c r="Q988" t="s">
        <v>76</v>
      </c>
      <c r="R988" t="s">
        <v>95</v>
      </c>
      <c r="S988" t="s">
        <v>76</v>
      </c>
      <c r="T988" t="s">
        <v>76</v>
      </c>
      <c r="U988">
        <v>1</v>
      </c>
      <c r="V988" s="13">
        <v>45175</v>
      </c>
      <c r="W988">
        <v>2</v>
      </c>
      <c r="X988">
        <v>1</v>
      </c>
      <c r="Y988" t="s">
        <v>3648</v>
      </c>
      <c r="AC988">
        <v>4383</v>
      </c>
      <c r="AD988" t="e" vm="979">
        <v>#VALUE!</v>
      </c>
    </row>
    <row r="989" spans="2:30" x14ac:dyDescent="0.25">
      <c r="B989">
        <v>4385</v>
      </c>
      <c r="C989" t="s">
        <v>3646</v>
      </c>
      <c r="D989" t="s">
        <v>3647</v>
      </c>
      <c r="E989" t="s">
        <v>3807</v>
      </c>
      <c r="F989" t="s">
        <v>105</v>
      </c>
      <c r="G989" t="s">
        <v>108</v>
      </c>
      <c r="H989" t="s">
        <v>3808</v>
      </c>
      <c r="I989" t="s">
        <v>3809</v>
      </c>
      <c r="J989" t="s">
        <v>3810</v>
      </c>
      <c r="K989" t="s">
        <v>101</v>
      </c>
      <c r="L989" s="13">
        <v>38063</v>
      </c>
      <c r="M989">
        <v>20</v>
      </c>
      <c r="N989" t="s">
        <v>90</v>
      </c>
      <c r="O989" t="s">
        <v>3868</v>
      </c>
      <c r="P989" t="s">
        <v>76</v>
      </c>
      <c r="Q989" t="s">
        <v>76</v>
      </c>
      <c r="R989" t="s">
        <v>95</v>
      </c>
      <c r="S989" t="s">
        <v>76</v>
      </c>
      <c r="T989" t="s">
        <v>76</v>
      </c>
      <c r="U989">
        <v>1</v>
      </c>
      <c r="V989" s="13">
        <v>45175</v>
      </c>
      <c r="W989">
        <v>1</v>
      </c>
      <c r="X989">
        <v>1</v>
      </c>
      <c r="Y989" t="s">
        <v>3648</v>
      </c>
      <c r="AC989">
        <v>4385</v>
      </c>
      <c r="AD989" t="e" vm="980">
        <v>#VALUE!</v>
      </c>
    </row>
    <row r="990" spans="2:30" x14ac:dyDescent="0.25">
      <c r="B990">
        <v>4386</v>
      </c>
      <c r="C990" t="s">
        <v>3698</v>
      </c>
      <c r="D990" t="s">
        <v>3647</v>
      </c>
      <c r="E990" t="s">
        <v>3807</v>
      </c>
      <c r="F990" t="s">
        <v>105</v>
      </c>
      <c r="G990" t="s">
        <v>108</v>
      </c>
      <c r="H990" t="s">
        <v>3808</v>
      </c>
      <c r="I990" t="s">
        <v>3809</v>
      </c>
      <c r="J990" t="s">
        <v>3810</v>
      </c>
      <c r="K990" t="s">
        <v>101</v>
      </c>
      <c r="L990" s="13">
        <v>38072</v>
      </c>
      <c r="M990">
        <v>19</v>
      </c>
      <c r="N990" t="s">
        <v>98</v>
      </c>
      <c r="O990" t="s">
        <v>3868</v>
      </c>
      <c r="P990" t="s">
        <v>76</v>
      </c>
      <c r="Q990" t="s">
        <v>76</v>
      </c>
      <c r="R990" t="s">
        <v>95</v>
      </c>
      <c r="S990" t="s">
        <v>76</v>
      </c>
      <c r="T990" t="s">
        <v>76</v>
      </c>
      <c r="U990">
        <v>1</v>
      </c>
      <c r="V990" s="13">
        <v>45175</v>
      </c>
      <c r="W990">
        <v>2</v>
      </c>
      <c r="X990">
        <v>1</v>
      </c>
      <c r="Y990" t="s">
        <v>3730</v>
      </c>
      <c r="AC990">
        <v>4386</v>
      </c>
      <c r="AD990" t="e" vm="981">
        <v>#VALUE!</v>
      </c>
    </row>
    <row r="991" spans="2:30" x14ac:dyDescent="0.25">
      <c r="B991">
        <v>4388</v>
      </c>
      <c r="C991" t="s">
        <v>3646</v>
      </c>
      <c r="D991" t="s">
        <v>3647</v>
      </c>
      <c r="E991" t="s">
        <v>3807</v>
      </c>
      <c r="F991" t="s">
        <v>105</v>
      </c>
      <c r="G991" t="s">
        <v>108</v>
      </c>
      <c r="H991" t="s">
        <v>3808</v>
      </c>
      <c r="I991" t="s">
        <v>3809</v>
      </c>
      <c r="J991" t="s">
        <v>3810</v>
      </c>
      <c r="K991" t="s">
        <v>101</v>
      </c>
      <c r="L991" s="13">
        <v>38071</v>
      </c>
      <c r="M991">
        <v>19</v>
      </c>
      <c r="N991" t="s">
        <v>90</v>
      </c>
      <c r="O991" t="s">
        <v>3868</v>
      </c>
      <c r="P991" t="s">
        <v>76</v>
      </c>
      <c r="Q991" t="s">
        <v>76</v>
      </c>
      <c r="R991" t="s">
        <v>95</v>
      </c>
      <c r="S991" t="s">
        <v>76</v>
      </c>
      <c r="T991" t="s">
        <v>76</v>
      </c>
      <c r="U991">
        <v>1</v>
      </c>
      <c r="V991" s="13">
        <v>45175</v>
      </c>
      <c r="W991">
        <v>1</v>
      </c>
      <c r="X991">
        <v>1</v>
      </c>
      <c r="Y991" t="s">
        <v>3648</v>
      </c>
      <c r="AC991">
        <v>4388</v>
      </c>
      <c r="AD991" t="e" vm="982">
        <v>#VALUE!</v>
      </c>
    </row>
    <row r="992" spans="2:30" x14ac:dyDescent="0.25">
      <c r="B992">
        <v>4389</v>
      </c>
      <c r="C992" t="s">
        <v>3646</v>
      </c>
      <c r="D992" t="s">
        <v>3647</v>
      </c>
      <c r="E992" t="s">
        <v>3807</v>
      </c>
      <c r="F992" t="s">
        <v>105</v>
      </c>
      <c r="G992" t="s">
        <v>108</v>
      </c>
      <c r="H992" t="s">
        <v>3808</v>
      </c>
      <c r="I992" t="s">
        <v>3809</v>
      </c>
      <c r="J992" t="s">
        <v>3810</v>
      </c>
      <c r="K992" t="s">
        <v>101</v>
      </c>
      <c r="L992" s="13">
        <v>38076</v>
      </c>
      <c r="M992">
        <v>19</v>
      </c>
      <c r="N992" t="s">
        <v>90</v>
      </c>
      <c r="O992" t="s">
        <v>3868</v>
      </c>
      <c r="P992" t="s">
        <v>76</v>
      </c>
      <c r="Q992" t="s">
        <v>76</v>
      </c>
      <c r="R992" t="s">
        <v>95</v>
      </c>
      <c r="S992" t="s">
        <v>76</v>
      </c>
      <c r="T992" t="s">
        <v>76</v>
      </c>
      <c r="U992">
        <v>1</v>
      </c>
      <c r="V992" s="13">
        <v>45175</v>
      </c>
      <c r="W992">
        <v>1</v>
      </c>
      <c r="X992">
        <v>1</v>
      </c>
      <c r="Y992" t="s">
        <v>3648</v>
      </c>
      <c r="AC992">
        <v>4389</v>
      </c>
      <c r="AD992" t="e" vm="983">
        <v>#VALUE!</v>
      </c>
    </row>
    <row r="993" spans="2:30" x14ac:dyDescent="0.25">
      <c r="B993">
        <v>4391</v>
      </c>
      <c r="C993" t="s">
        <v>3646</v>
      </c>
      <c r="D993" t="s">
        <v>3647</v>
      </c>
      <c r="E993" t="s">
        <v>3807</v>
      </c>
      <c r="F993" t="s">
        <v>105</v>
      </c>
      <c r="G993" t="s">
        <v>108</v>
      </c>
      <c r="H993" t="s">
        <v>3808</v>
      </c>
      <c r="I993" t="s">
        <v>3809</v>
      </c>
      <c r="J993" t="s">
        <v>3810</v>
      </c>
      <c r="K993" t="s">
        <v>101</v>
      </c>
      <c r="L993" s="13">
        <v>38078</v>
      </c>
      <c r="M993">
        <v>19</v>
      </c>
      <c r="N993" t="s">
        <v>90</v>
      </c>
      <c r="O993" t="s">
        <v>3868</v>
      </c>
      <c r="P993" t="s">
        <v>76</v>
      </c>
      <c r="Q993" t="s">
        <v>76</v>
      </c>
      <c r="R993" t="s">
        <v>95</v>
      </c>
      <c r="S993" t="s">
        <v>76</v>
      </c>
      <c r="T993" t="s">
        <v>76</v>
      </c>
      <c r="U993">
        <v>1</v>
      </c>
      <c r="V993" s="13">
        <v>45175</v>
      </c>
      <c r="W993">
        <v>1</v>
      </c>
      <c r="X993">
        <v>1</v>
      </c>
      <c r="Y993" t="s">
        <v>3648</v>
      </c>
      <c r="AC993">
        <v>4391</v>
      </c>
      <c r="AD993" t="e" vm="984">
        <v>#VALUE!</v>
      </c>
    </row>
    <row r="994" spans="2:30" x14ac:dyDescent="0.25">
      <c r="B994">
        <v>4395</v>
      </c>
      <c r="C994" t="s">
        <v>3646</v>
      </c>
      <c r="D994" t="s">
        <v>3647</v>
      </c>
      <c r="E994" t="s">
        <v>3807</v>
      </c>
      <c r="F994" t="s">
        <v>105</v>
      </c>
      <c r="G994" t="s">
        <v>108</v>
      </c>
      <c r="H994" t="s">
        <v>3808</v>
      </c>
      <c r="I994" t="s">
        <v>3809</v>
      </c>
      <c r="J994" t="s">
        <v>3810</v>
      </c>
      <c r="K994" t="s">
        <v>101</v>
      </c>
      <c r="L994" s="13">
        <v>38090</v>
      </c>
      <c r="M994">
        <v>19</v>
      </c>
      <c r="N994" t="s">
        <v>90</v>
      </c>
      <c r="O994" t="s">
        <v>3868</v>
      </c>
      <c r="P994" t="s">
        <v>76</v>
      </c>
      <c r="Q994" t="s">
        <v>76</v>
      </c>
      <c r="R994" t="s">
        <v>95</v>
      </c>
      <c r="S994" t="s">
        <v>76</v>
      </c>
      <c r="T994" t="s">
        <v>76</v>
      </c>
      <c r="U994">
        <v>1</v>
      </c>
      <c r="V994" s="13">
        <v>45175</v>
      </c>
      <c r="W994">
        <v>1</v>
      </c>
      <c r="X994">
        <v>1</v>
      </c>
      <c r="Y994" t="s">
        <v>3648</v>
      </c>
      <c r="AC994">
        <v>4395</v>
      </c>
      <c r="AD994" t="e" vm="985">
        <v>#VALUE!</v>
      </c>
    </row>
    <row r="995" spans="2:30" x14ac:dyDescent="0.25">
      <c r="B995">
        <v>4396</v>
      </c>
      <c r="C995" t="s">
        <v>3646</v>
      </c>
      <c r="D995" t="s">
        <v>3647</v>
      </c>
      <c r="E995" t="s">
        <v>3807</v>
      </c>
      <c r="F995" t="s">
        <v>105</v>
      </c>
      <c r="G995" t="s">
        <v>108</v>
      </c>
      <c r="H995" t="s">
        <v>3808</v>
      </c>
      <c r="I995" t="s">
        <v>3809</v>
      </c>
      <c r="J995" t="s">
        <v>3810</v>
      </c>
      <c r="K995" t="s">
        <v>101</v>
      </c>
      <c r="L995" s="13">
        <v>38093</v>
      </c>
      <c r="M995">
        <v>19</v>
      </c>
      <c r="N995" t="s">
        <v>90</v>
      </c>
      <c r="O995" t="s">
        <v>3868</v>
      </c>
      <c r="P995" t="s">
        <v>76</v>
      </c>
      <c r="Q995" t="s">
        <v>76</v>
      </c>
      <c r="R995" t="s">
        <v>95</v>
      </c>
      <c r="S995" t="s">
        <v>76</v>
      </c>
      <c r="T995" t="s">
        <v>76</v>
      </c>
      <c r="U995">
        <v>1</v>
      </c>
      <c r="V995" s="13">
        <v>45175</v>
      </c>
      <c r="W995">
        <v>1</v>
      </c>
      <c r="X995">
        <v>1</v>
      </c>
      <c r="Y995" t="s">
        <v>3648</v>
      </c>
      <c r="AC995">
        <v>4396</v>
      </c>
      <c r="AD995" t="e" vm="986">
        <v>#VALUE!</v>
      </c>
    </row>
    <row r="996" spans="2:30" x14ac:dyDescent="0.25">
      <c r="B996">
        <v>4397</v>
      </c>
      <c r="C996" t="s">
        <v>3646</v>
      </c>
      <c r="D996" t="s">
        <v>3647</v>
      </c>
      <c r="E996" t="s">
        <v>3807</v>
      </c>
      <c r="F996" t="s">
        <v>105</v>
      </c>
      <c r="G996" t="s">
        <v>108</v>
      </c>
      <c r="H996" t="s">
        <v>3808</v>
      </c>
      <c r="I996" t="s">
        <v>3809</v>
      </c>
      <c r="J996" t="s">
        <v>3810</v>
      </c>
      <c r="K996" t="s">
        <v>101</v>
      </c>
      <c r="L996" s="13">
        <v>38093</v>
      </c>
      <c r="M996">
        <v>19</v>
      </c>
      <c r="N996" t="s">
        <v>90</v>
      </c>
      <c r="O996" t="s">
        <v>3868</v>
      </c>
      <c r="P996" t="s">
        <v>76</v>
      </c>
      <c r="Q996" t="s">
        <v>76</v>
      </c>
      <c r="R996" t="s">
        <v>95</v>
      </c>
      <c r="S996" t="s">
        <v>76</v>
      </c>
      <c r="T996" t="s">
        <v>76</v>
      </c>
      <c r="U996">
        <v>1</v>
      </c>
      <c r="V996" s="13">
        <v>45175</v>
      </c>
      <c r="W996">
        <v>1</v>
      </c>
      <c r="X996">
        <v>1</v>
      </c>
      <c r="Y996" t="s">
        <v>3648</v>
      </c>
      <c r="AC996">
        <v>4397</v>
      </c>
      <c r="AD996" t="e" vm="987">
        <v>#VALUE!</v>
      </c>
    </row>
    <row r="997" spans="2:30" x14ac:dyDescent="0.25">
      <c r="B997">
        <v>4399</v>
      </c>
      <c r="C997" t="s">
        <v>3646</v>
      </c>
      <c r="D997" t="s">
        <v>3647</v>
      </c>
      <c r="E997" t="s">
        <v>3807</v>
      </c>
      <c r="F997" t="s">
        <v>105</v>
      </c>
      <c r="G997" t="s">
        <v>108</v>
      </c>
      <c r="H997" t="s">
        <v>3808</v>
      </c>
      <c r="I997" t="s">
        <v>3809</v>
      </c>
      <c r="J997" t="s">
        <v>3810</v>
      </c>
      <c r="K997" t="s">
        <v>101</v>
      </c>
      <c r="L997" s="13">
        <v>38098</v>
      </c>
      <c r="M997">
        <v>19</v>
      </c>
      <c r="N997" t="s">
        <v>90</v>
      </c>
      <c r="O997" t="s">
        <v>3868</v>
      </c>
      <c r="P997" t="s">
        <v>76</v>
      </c>
      <c r="Q997" t="s">
        <v>76</v>
      </c>
      <c r="R997" t="s">
        <v>95</v>
      </c>
      <c r="S997" t="s">
        <v>76</v>
      </c>
      <c r="T997" t="s">
        <v>76</v>
      </c>
      <c r="U997">
        <v>1</v>
      </c>
      <c r="V997" s="13">
        <v>45175</v>
      </c>
      <c r="W997">
        <v>1</v>
      </c>
      <c r="X997">
        <v>1</v>
      </c>
      <c r="Y997" t="s">
        <v>3648</v>
      </c>
      <c r="AC997">
        <v>4399</v>
      </c>
      <c r="AD997" t="e" vm="988">
        <v>#VALUE!</v>
      </c>
    </row>
    <row r="998" spans="2:30" x14ac:dyDescent="0.25">
      <c r="B998">
        <v>4401</v>
      </c>
      <c r="C998" t="s">
        <v>3698</v>
      </c>
      <c r="D998" t="s">
        <v>3647</v>
      </c>
      <c r="E998" t="s">
        <v>3807</v>
      </c>
      <c r="F998" t="s">
        <v>105</v>
      </c>
      <c r="G998" t="s">
        <v>108</v>
      </c>
      <c r="H998" t="s">
        <v>3808</v>
      </c>
      <c r="I998" t="s">
        <v>3809</v>
      </c>
      <c r="J998" t="s">
        <v>3810</v>
      </c>
      <c r="K998" t="s">
        <v>101</v>
      </c>
      <c r="L998" s="13">
        <v>38107</v>
      </c>
      <c r="M998">
        <v>19</v>
      </c>
      <c r="N998" t="s">
        <v>98</v>
      </c>
      <c r="O998" t="s">
        <v>3868</v>
      </c>
      <c r="P998" t="s">
        <v>76</v>
      </c>
      <c r="Q998" t="s">
        <v>76</v>
      </c>
      <c r="R998" t="s">
        <v>95</v>
      </c>
      <c r="S998" t="s">
        <v>76</v>
      </c>
      <c r="T998" t="s">
        <v>76</v>
      </c>
      <c r="U998">
        <v>1</v>
      </c>
      <c r="V998" s="13">
        <v>45175</v>
      </c>
      <c r="W998">
        <v>2</v>
      </c>
      <c r="X998">
        <v>1</v>
      </c>
      <c r="Y998" t="s">
        <v>3730</v>
      </c>
      <c r="AC998">
        <v>4401</v>
      </c>
      <c r="AD998" t="e" vm="989">
        <v>#VALUE!</v>
      </c>
    </row>
    <row r="999" spans="2:30" x14ac:dyDescent="0.25">
      <c r="B999">
        <v>4403</v>
      </c>
      <c r="C999" t="s">
        <v>3646</v>
      </c>
      <c r="D999" t="s">
        <v>3647</v>
      </c>
      <c r="E999" t="s">
        <v>3807</v>
      </c>
      <c r="F999" t="s">
        <v>105</v>
      </c>
      <c r="G999" t="s">
        <v>108</v>
      </c>
      <c r="H999" t="s">
        <v>3808</v>
      </c>
      <c r="I999" t="s">
        <v>3809</v>
      </c>
      <c r="J999" t="s">
        <v>3810</v>
      </c>
      <c r="K999" t="s">
        <v>101</v>
      </c>
      <c r="L999" s="13">
        <v>38124</v>
      </c>
      <c r="M999">
        <v>19</v>
      </c>
      <c r="N999" t="s">
        <v>90</v>
      </c>
      <c r="O999" t="s">
        <v>3868</v>
      </c>
      <c r="P999" t="s">
        <v>76</v>
      </c>
      <c r="Q999" t="s">
        <v>76</v>
      </c>
      <c r="R999" t="s">
        <v>95</v>
      </c>
      <c r="S999" t="s">
        <v>76</v>
      </c>
      <c r="T999" t="s">
        <v>76</v>
      </c>
      <c r="U999">
        <v>1</v>
      </c>
      <c r="V999" s="13">
        <v>45175</v>
      </c>
      <c r="W999">
        <v>1</v>
      </c>
      <c r="X999">
        <v>1</v>
      </c>
      <c r="Y999" t="s">
        <v>3648</v>
      </c>
      <c r="AC999">
        <v>4403</v>
      </c>
      <c r="AD999" t="e" vm="990">
        <v>#VALUE!</v>
      </c>
    </row>
    <row r="1000" spans="2:30" x14ac:dyDescent="0.25">
      <c r="B1000">
        <v>4449</v>
      </c>
      <c r="C1000" t="s">
        <v>3668</v>
      </c>
      <c r="D1000" t="s">
        <v>3669</v>
      </c>
      <c r="E1000" t="s">
        <v>3817</v>
      </c>
      <c r="F1000" t="s">
        <v>81</v>
      </c>
      <c r="G1000" t="s">
        <v>80</v>
      </c>
      <c r="H1000" t="s">
        <v>3808</v>
      </c>
      <c r="I1000" t="s">
        <v>3821</v>
      </c>
      <c r="J1000" t="s">
        <v>3869</v>
      </c>
      <c r="K1000" t="s">
        <v>101</v>
      </c>
      <c r="L1000" s="13">
        <v>38175</v>
      </c>
      <c r="M1000">
        <v>19</v>
      </c>
      <c r="N1000" t="s">
        <v>82</v>
      </c>
      <c r="O1000" t="s">
        <v>3870</v>
      </c>
      <c r="P1000" t="s">
        <v>76</v>
      </c>
      <c r="Q1000" t="s">
        <v>76</v>
      </c>
      <c r="R1000" t="s">
        <v>95</v>
      </c>
      <c r="S1000" t="s">
        <v>76</v>
      </c>
      <c r="T1000" t="s">
        <v>76</v>
      </c>
      <c r="U1000">
        <v>1</v>
      </c>
      <c r="V1000" s="13">
        <v>45175</v>
      </c>
      <c r="W1000">
        <v>1</v>
      </c>
      <c r="X1000">
        <v>1</v>
      </c>
      <c r="Y1000" t="s">
        <v>3670</v>
      </c>
      <c r="AC1000">
        <v>4449</v>
      </c>
      <c r="AD1000" t="e" vm="991">
        <v>#VALUE!</v>
      </c>
    </row>
    <row r="1001" spans="2:30" x14ac:dyDescent="0.25">
      <c r="B1001">
        <v>4450</v>
      </c>
      <c r="C1001" t="s">
        <v>3668</v>
      </c>
      <c r="D1001" t="s">
        <v>3669</v>
      </c>
      <c r="E1001" t="s">
        <v>3817</v>
      </c>
      <c r="F1001" t="s">
        <v>81</v>
      </c>
      <c r="G1001" t="s">
        <v>80</v>
      </c>
      <c r="H1001" t="s">
        <v>3808</v>
      </c>
      <c r="I1001" t="s">
        <v>3821</v>
      </c>
      <c r="J1001" t="s">
        <v>3869</v>
      </c>
      <c r="K1001" t="s">
        <v>101</v>
      </c>
      <c r="L1001" s="13">
        <v>38175</v>
      </c>
      <c r="M1001">
        <v>19</v>
      </c>
      <c r="N1001" t="s">
        <v>82</v>
      </c>
      <c r="O1001" t="s">
        <v>3870</v>
      </c>
      <c r="P1001" t="s">
        <v>76</v>
      </c>
      <c r="Q1001" t="s">
        <v>76</v>
      </c>
      <c r="R1001" t="s">
        <v>95</v>
      </c>
      <c r="S1001" t="s">
        <v>76</v>
      </c>
      <c r="T1001" t="s">
        <v>76</v>
      </c>
      <c r="U1001">
        <v>1</v>
      </c>
      <c r="V1001" s="13">
        <v>45175</v>
      </c>
      <c r="W1001">
        <v>1</v>
      </c>
      <c r="X1001">
        <v>1</v>
      </c>
      <c r="Y1001" t="s">
        <v>3670</v>
      </c>
      <c r="AC1001">
        <v>4450</v>
      </c>
      <c r="AD1001" t="e" vm="992">
        <v>#VALUE!</v>
      </c>
    </row>
    <row r="1002" spans="2:30" x14ac:dyDescent="0.25">
      <c r="B1002">
        <v>4451</v>
      </c>
      <c r="C1002" t="s">
        <v>3668</v>
      </c>
      <c r="D1002" t="s">
        <v>3669</v>
      </c>
      <c r="E1002" t="s">
        <v>3817</v>
      </c>
      <c r="F1002" t="s">
        <v>81</v>
      </c>
      <c r="G1002" t="s">
        <v>80</v>
      </c>
      <c r="H1002" t="s">
        <v>3808</v>
      </c>
      <c r="I1002" t="s">
        <v>3821</v>
      </c>
      <c r="J1002" t="s">
        <v>3869</v>
      </c>
      <c r="K1002" t="s">
        <v>101</v>
      </c>
      <c r="L1002" s="13">
        <v>38176</v>
      </c>
      <c r="M1002">
        <v>19</v>
      </c>
      <c r="N1002" t="s">
        <v>82</v>
      </c>
      <c r="O1002" t="s">
        <v>3870</v>
      </c>
      <c r="P1002" t="s">
        <v>76</v>
      </c>
      <c r="Q1002" t="s">
        <v>76</v>
      </c>
      <c r="R1002" t="s">
        <v>95</v>
      </c>
      <c r="S1002" t="s">
        <v>76</v>
      </c>
      <c r="T1002" t="s">
        <v>76</v>
      </c>
      <c r="U1002">
        <v>1</v>
      </c>
      <c r="V1002" s="13">
        <v>45175</v>
      </c>
      <c r="W1002">
        <v>2</v>
      </c>
      <c r="X1002">
        <v>1</v>
      </c>
      <c r="Y1002" t="s">
        <v>3670</v>
      </c>
      <c r="AC1002">
        <v>4451</v>
      </c>
      <c r="AD1002" t="e" vm="993">
        <v>#VALUE!</v>
      </c>
    </row>
    <row r="1003" spans="2:30" x14ac:dyDescent="0.25">
      <c r="B1003">
        <v>4452</v>
      </c>
      <c r="C1003" t="s">
        <v>3668</v>
      </c>
      <c r="D1003" t="s">
        <v>3669</v>
      </c>
      <c r="E1003" t="s">
        <v>3817</v>
      </c>
      <c r="F1003" t="s">
        <v>81</v>
      </c>
      <c r="G1003" t="s">
        <v>80</v>
      </c>
      <c r="H1003" t="s">
        <v>3808</v>
      </c>
      <c r="I1003" t="s">
        <v>3821</v>
      </c>
      <c r="J1003" t="s">
        <v>3869</v>
      </c>
      <c r="K1003" t="s">
        <v>101</v>
      </c>
      <c r="L1003" s="13">
        <v>38182</v>
      </c>
      <c r="M1003">
        <v>19</v>
      </c>
      <c r="N1003" t="s">
        <v>82</v>
      </c>
      <c r="O1003" t="s">
        <v>3870</v>
      </c>
      <c r="P1003" t="s">
        <v>76</v>
      </c>
      <c r="Q1003" t="s">
        <v>76</v>
      </c>
      <c r="R1003" t="s">
        <v>95</v>
      </c>
      <c r="S1003" t="s">
        <v>76</v>
      </c>
      <c r="T1003" t="s">
        <v>76</v>
      </c>
      <c r="U1003">
        <v>1</v>
      </c>
      <c r="V1003" s="13">
        <v>45175</v>
      </c>
      <c r="W1003">
        <v>2</v>
      </c>
      <c r="X1003">
        <v>1</v>
      </c>
      <c r="Y1003" t="s">
        <v>3670</v>
      </c>
      <c r="AC1003">
        <v>4452</v>
      </c>
      <c r="AD1003" t="e" vm="994">
        <v>#VALUE!</v>
      </c>
    </row>
    <row r="1004" spans="2:30" x14ac:dyDescent="0.25">
      <c r="B1004">
        <v>4453</v>
      </c>
      <c r="C1004" t="s">
        <v>3668</v>
      </c>
      <c r="D1004" t="s">
        <v>3669</v>
      </c>
      <c r="E1004" t="s">
        <v>3817</v>
      </c>
      <c r="F1004" t="s">
        <v>81</v>
      </c>
      <c r="G1004" t="s">
        <v>80</v>
      </c>
      <c r="H1004" t="s">
        <v>3808</v>
      </c>
      <c r="I1004" t="s">
        <v>3821</v>
      </c>
      <c r="J1004" t="s">
        <v>3869</v>
      </c>
      <c r="K1004" t="s">
        <v>101</v>
      </c>
      <c r="L1004" s="13">
        <v>38182</v>
      </c>
      <c r="M1004">
        <v>19</v>
      </c>
      <c r="N1004" t="s">
        <v>82</v>
      </c>
      <c r="O1004" t="s">
        <v>3870</v>
      </c>
      <c r="P1004" t="s">
        <v>76</v>
      </c>
      <c r="Q1004" t="s">
        <v>76</v>
      </c>
      <c r="R1004" t="s">
        <v>95</v>
      </c>
      <c r="S1004" t="s">
        <v>76</v>
      </c>
      <c r="T1004" t="s">
        <v>76</v>
      </c>
      <c r="U1004">
        <v>1</v>
      </c>
      <c r="V1004" s="13">
        <v>45175</v>
      </c>
      <c r="W1004">
        <v>2</v>
      </c>
      <c r="X1004">
        <v>1</v>
      </c>
      <c r="Y1004" t="s">
        <v>3670</v>
      </c>
      <c r="AC1004">
        <v>4453</v>
      </c>
      <c r="AD1004" t="e" vm="995">
        <v>#VALUE!</v>
      </c>
    </row>
    <row r="1005" spans="2:30" x14ac:dyDescent="0.25">
      <c r="B1005">
        <v>4454</v>
      </c>
      <c r="C1005" t="s">
        <v>3668</v>
      </c>
      <c r="D1005" t="s">
        <v>3669</v>
      </c>
      <c r="E1005" t="s">
        <v>3817</v>
      </c>
      <c r="F1005" t="s">
        <v>81</v>
      </c>
      <c r="G1005" t="s">
        <v>80</v>
      </c>
      <c r="H1005" t="s">
        <v>3808</v>
      </c>
      <c r="I1005" t="s">
        <v>3821</v>
      </c>
      <c r="J1005" t="s">
        <v>3869</v>
      </c>
      <c r="K1005" t="s">
        <v>101</v>
      </c>
      <c r="L1005" s="13">
        <v>38182</v>
      </c>
      <c r="M1005">
        <v>19</v>
      </c>
      <c r="N1005" t="s">
        <v>82</v>
      </c>
      <c r="O1005" t="s">
        <v>3870</v>
      </c>
      <c r="P1005" t="s">
        <v>76</v>
      </c>
      <c r="Q1005" t="s">
        <v>76</v>
      </c>
      <c r="R1005" t="s">
        <v>95</v>
      </c>
      <c r="S1005" t="s">
        <v>76</v>
      </c>
      <c r="T1005" t="s">
        <v>76</v>
      </c>
      <c r="U1005">
        <v>1</v>
      </c>
      <c r="V1005" s="13">
        <v>45175</v>
      </c>
      <c r="W1005">
        <v>1</v>
      </c>
      <c r="X1005">
        <v>1</v>
      </c>
      <c r="Y1005" t="s">
        <v>3670</v>
      </c>
      <c r="AC1005">
        <v>4454</v>
      </c>
      <c r="AD1005" t="e" vm="996">
        <v>#VALUE!</v>
      </c>
    </row>
    <row r="1006" spans="2:30" x14ac:dyDescent="0.25">
      <c r="B1006">
        <v>4455</v>
      </c>
      <c r="C1006" t="s">
        <v>3668</v>
      </c>
      <c r="D1006" t="s">
        <v>3669</v>
      </c>
      <c r="E1006" t="s">
        <v>3817</v>
      </c>
      <c r="F1006" t="s">
        <v>81</v>
      </c>
      <c r="G1006" t="s">
        <v>80</v>
      </c>
      <c r="H1006" t="s">
        <v>3808</v>
      </c>
      <c r="I1006" t="s">
        <v>3821</v>
      </c>
      <c r="J1006" t="s">
        <v>3869</v>
      </c>
      <c r="K1006" t="s">
        <v>101</v>
      </c>
      <c r="L1006" s="13">
        <v>38184</v>
      </c>
      <c r="M1006">
        <v>19</v>
      </c>
      <c r="N1006" t="s">
        <v>82</v>
      </c>
      <c r="O1006" t="s">
        <v>3870</v>
      </c>
      <c r="P1006" t="s">
        <v>76</v>
      </c>
      <c r="Q1006" t="s">
        <v>76</v>
      </c>
      <c r="R1006" t="s">
        <v>95</v>
      </c>
      <c r="S1006" t="s">
        <v>76</v>
      </c>
      <c r="T1006" t="s">
        <v>76</v>
      </c>
      <c r="U1006">
        <v>1</v>
      </c>
      <c r="V1006" s="13">
        <v>45175</v>
      </c>
      <c r="W1006">
        <v>1</v>
      </c>
      <c r="X1006">
        <v>1</v>
      </c>
      <c r="Y1006" t="s">
        <v>3670</v>
      </c>
      <c r="AC1006">
        <v>4455</v>
      </c>
      <c r="AD1006" t="e" vm="997">
        <v>#VALUE!</v>
      </c>
    </row>
    <row r="1007" spans="2:30" x14ac:dyDescent="0.25">
      <c r="B1007">
        <v>4456</v>
      </c>
      <c r="C1007" t="s">
        <v>3668</v>
      </c>
      <c r="D1007" t="s">
        <v>3669</v>
      </c>
      <c r="E1007" t="s">
        <v>3817</v>
      </c>
      <c r="F1007" t="s">
        <v>81</v>
      </c>
      <c r="G1007" t="s">
        <v>80</v>
      </c>
      <c r="H1007" t="s">
        <v>3808</v>
      </c>
      <c r="I1007" t="s">
        <v>3821</v>
      </c>
      <c r="J1007" t="s">
        <v>3869</v>
      </c>
      <c r="K1007" t="s">
        <v>101</v>
      </c>
      <c r="L1007" s="13">
        <v>38184</v>
      </c>
      <c r="M1007">
        <v>19</v>
      </c>
      <c r="N1007" t="s">
        <v>82</v>
      </c>
      <c r="O1007" t="s">
        <v>3870</v>
      </c>
      <c r="P1007" t="s">
        <v>76</v>
      </c>
      <c r="Q1007" t="s">
        <v>76</v>
      </c>
      <c r="R1007" t="s">
        <v>95</v>
      </c>
      <c r="S1007" t="s">
        <v>76</v>
      </c>
      <c r="T1007" t="s">
        <v>76</v>
      </c>
      <c r="U1007">
        <v>1</v>
      </c>
      <c r="V1007" s="13">
        <v>45175</v>
      </c>
      <c r="W1007">
        <v>1</v>
      </c>
      <c r="X1007">
        <v>1</v>
      </c>
      <c r="Y1007" t="s">
        <v>3670</v>
      </c>
      <c r="AC1007">
        <v>4456</v>
      </c>
      <c r="AD1007" t="e" vm="998">
        <v>#VALUE!</v>
      </c>
    </row>
    <row r="1008" spans="2:30" x14ac:dyDescent="0.25">
      <c r="B1008">
        <v>4457</v>
      </c>
      <c r="C1008" t="s">
        <v>3668</v>
      </c>
      <c r="D1008" t="s">
        <v>3669</v>
      </c>
      <c r="E1008" t="s">
        <v>3817</v>
      </c>
      <c r="F1008" t="s">
        <v>81</v>
      </c>
      <c r="G1008" t="s">
        <v>80</v>
      </c>
      <c r="H1008" t="s">
        <v>3808</v>
      </c>
      <c r="I1008" t="s">
        <v>3821</v>
      </c>
      <c r="J1008" t="s">
        <v>3869</v>
      </c>
      <c r="K1008" t="s">
        <v>101</v>
      </c>
      <c r="L1008" s="13">
        <v>38184</v>
      </c>
      <c r="M1008">
        <v>19</v>
      </c>
      <c r="N1008" t="s">
        <v>82</v>
      </c>
      <c r="O1008" t="s">
        <v>3870</v>
      </c>
      <c r="P1008" t="s">
        <v>76</v>
      </c>
      <c r="Q1008" t="s">
        <v>76</v>
      </c>
      <c r="R1008" t="s">
        <v>95</v>
      </c>
      <c r="S1008" t="s">
        <v>76</v>
      </c>
      <c r="T1008" t="s">
        <v>76</v>
      </c>
      <c r="U1008">
        <v>1</v>
      </c>
      <c r="V1008" s="13">
        <v>45175</v>
      </c>
      <c r="W1008">
        <v>1</v>
      </c>
      <c r="X1008">
        <v>1</v>
      </c>
      <c r="Y1008" t="s">
        <v>3670</v>
      </c>
      <c r="AC1008">
        <v>4457</v>
      </c>
      <c r="AD1008" t="e" vm="999">
        <v>#VALUE!</v>
      </c>
    </row>
    <row r="1009" spans="2:30" x14ac:dyDescent="0.25">
      <c r="B1009">
        <v>4458</v>
      </c>
      <c r="C1009" t="s">
        <v>3668</v>
      </c>
      <c r="D1009" t="s">
        <v>3669</v>
      </c>
      <c r="E1009" t="s">
        <v>3817</v>
      </c>
      <c r="F1009" t="s">
        <v>81</v>
      </c>
      <c r="G1009" t="s">
        <v>80</v>
      </c>
      <c r="H1009" t="s">
        <v>3808</v>
      </c>
      <c r="I1009" t="s">
        <v>3821</v>
      </c>
      <c r="J1009" t="s">
        <v>3869</v>
      </c>
      <c r="K1009" t="s">
        <v>101</v>
      </c>
      <c r="L1009" s="13">
        <v>38188</v>
      </c>
      <c r="M1009">
        <v>19</v>
      </c>
      <c r="N1009" t="s">
        <v>82</v>
      </c>
      <c r="O1009" t="s">
        <v>3870</v>
      </c>
      <c r="P1009" t="s">
        <v>76</v>
      </c>
      <c r="Q1009" t="s">
        <v>76</v>
      </c>
      <c r="R1009" t="s">
        <v>95</v>
      </c>
      <c r="S1009" t="s">
        <v>76</v>
      </c>
      <c r="T1009" t="s">
        <v>76</v>
      </c>
      <c r="U1009">
        <v>1</v>
      </c>
      <c r="V1009" s="13">
        <v>45175</v>
      </c>
      <c r="W1009">
        <v>1</v>
      </c>
      <c r="X1009">
        <v>1</v>
      </c>
      <c r="Y1009" t="s">
        <v>3670</v>
      </c>
      <c r="AC1009">
        <v>4458</v>
      </c>
      <c r="AD1009" t="e" vm="1000">
        <v>#VALUE!</v>
      </c>
    </row>
    <row r="1010" spans="2:30" x14ac:dyDescent="0.25">
      <c r="B1010">
        <v>4459</v>
      </c>
      <c r="C1010" t="s">
        <v>3668</v>
      </c>
      <c r="D1010" t="s">
        <v>3669</v>
      </c>
      <c r="E1010" t="s">
        <v>3817</v>
      </c>
      <c r="F1010" t="s">
        <v>81</v>
      </c>
      <c r="G1010" t="s">
        <v>80</v>
      </c>
      <c r="H1010" t="s">
        <v>3808</v>
      </c>
      <c r="I1010" t="s">
        <v>3821</v>
      </c>
      <c r="J1010" t="s">
        <v>3869</v>
      </c>
      <c r="K1010" t="s">
        <v>101</v>
      </c>
      <c r="L1010" s="13">
        <v>38188</v>
      </c>
      <c r="M1010">
        <v>19</v>
      </c>
      <c r="N1010" t="s">
        <v>82</v>
      </c>
      <c r="O1010" t="s">
        <v>3870</v>
      </c>
      <c r="P1010" t="s">
        <v>76</v>
      </c>
      <c r="Q1010" t="s">
        <v>76</v>
      </c>
      <c r="R1010" t="s">
        <v>95</v>
      </c>
      <c r="S1010" t="s">
        <v>76</v>
      </c>
      <c r="T1010" t="s">
        <v>76</v>
      </c>
      <c r="U1010">
        <v>1</v>
      </c>
      <c r="V1010" s="13">
        <v>45175</v>
      </c>
      <c r="W1010">
        <v>1</v>
      </c>
      <c r="X1010">
        <v>1</v>
      </c>
      <c r="Y1010" t="s">
        <v>3670</v>
      </c>
      <c r="AC1010">
        <v>4459</v>
      </c>
      <c r="AD1010" t="e" vm="1001">
        <v>#VALUE!</v>
      </c>
    </row>
    <row r="1011" spans="2:30" x14ac:dyDescent="0.25">
      <c r="B1011">
        <v>4477</v>
      </c>
      <c r="C1011" t="s">
        <v>3698</v>
      </c>
      <c r="D1011" t="s">
        <v>73</v>
      </c>
      <c r="E1011" t="s">
        <v>73</v>
      </c>
      <c r="F1011" t="s">
        <v>3816</v>
      </c>
      <c r="G1011" t="s">
        <v>3816</v>
      </c>
      <c r="H1011" t="s">
        <v>3808</v>
      </c>
      <c r="I1011" t="s">
        <v>3839</v>
      </c>
      <c r="J1011" t="s">
        <v>3864</v>
      </c>
      <c r="K1011" t="s">
        <v>101</v>
      </c>
      <c r="L1011" s="13">
        <v>38027</v>
      </c>
      <c r="M1011">
        <v>20</v>
      </c>
      <c r="N1011" t="s">
        <v>98</v>
      </c>
      <c r="O1011" t="s">
        <v>3871</v>
      </c>
      <c r="P1011" t="s">
        <v>76</v>
      </c>
      <c r="Q1011" t="s">
        <v>76</v>
      </c>
      <c r="R1011" t="s">
        <v>95</v>
      </c>
      <c r="S1011" t="s">
        <v>76</v>
      </c>
      <c r="T1011" t="s">
        <v>76</v>
      </c>
      <c r="U1011">
        <v>1</v>
      </c>
      <c r="V1011" s="13">
        <v>45175</v>
      </c>
      <c r="W1011">
        <v>2</v>
      </c>
      <c r="X1011">
        <v>1</v>
      </c>
      <c r="Y1011" t="s">
        <v>3724</v>
      </c>
      <c r="AC1011">
        <v>4477</v>
      </c>
      <c r="AD1011" t="e" vm="1002">
        <v>#VALUE!</v>
      </c>
    </row>
    <row r="1012" spans="2:30" x14ac:dyDescent="0.25">
      <c r="B1012">
        <v>4478</v>
      </c>
      <c r="C1012" t="s">
        <v>3684</v>
      </c>
      <c r="D1012" t="s">
        <v>3731</v>
      </c>
      <c r="E1012" t="s">
        <v>3731</v>
      </c>
      <c r="F1012" t="s">
        <v>87</v>
      </c>
      <c r="G1012" t="s">
        <v>87</v>
      </c>
      <c r="H1012" t="s">
        <v>3808</v>
      </c>
      <c r="I1012" t="s">
        <v>3839</v>
      </c>
      <c r="J1012" t="s">
        <v>3864</v>
      </c>
      <c r="K1012" t="s">
        <v>101</v>
      </c>
      <c r="L1012" s="13">
        <v>38027</v>
      </c>
      <c r="M1012">
        <v>20</v>
      </c>
      <c r="N1012" t="s">
        <v>101</v>
      </c>
      <c r="O1012" t="s">
        <v>3871</v>
      </c>
      <c r="P1012" t="s">
        <v>76</v>
      </c>
      <c r="Q1012" t="s">
        <v>76</v>
      </c>
      <c r="R1012" t="s">
        <v>95</v>
      </c>
      <c r="S1012" t="s">
        <v>76</v>
      </c>
      <c r="T1012" t="s">
        <v>76</v>
      </c>
      <c r="U1012">
        <v>1</v>
      </c>
      <c r="V1012" s="13">
        <v>45175</v>
      </c>
      <c r="W1012">
        <v>1</v>
      </c>
      <c r="X1012">
        <v>1</v>
      </c>
      <c r="Y1012" t="s">
        <v>3732</v>
      </c>
      <c r="AC1012">
        <v>4478</v>
      </c>
      <c r="AD1012" t="e" vm="1003">
        <v>#VALUE!</v>
      </c>
    </row>
    <row r="1013" spans="2:30" x14ac:dyDescent="0.25">
      <c r="B1013">
        <v>4482</v>
      </c>
      <c r="C1013" t="s">
        <v>3684</v>
      </c>
      <c r="D1013" t="s">
        <v>3731</v>
      </c>
      <c r="E1013" t="s">
        <v>3731</v>
      </c>
      <c r="F1013" t="s">
        <v>87</v>
      </c>
      <c r="G1013" t="s">
        <v>87</v>
      </c>
      <c r="H1013" t="s">
        <v>3808</v>
      </c>
      <c r="I1013" t="s">
        <v>3839</v>
      </c>
      <c r="J1013" t="s">
        <v>3864</v>
      </c>
      <c r="K1013" t="s">
        <v>101</v>
      </c>
      <c r="L1013" s="13">
        <v>38050</v>
      </c>
      <c r="M1013">
        <v>20</v>
      </c>
      <c r="N1013" t="s">
        <v>101</v>
      </c>
      <c r="O1013" t="s">
        <v>3871</v>
      </c>
      <c r="P1013" t="s">
        <v>76</v>
      </c>
      <c r="Q1013" t="s">
        <v>76</v>
      </c>
      <c r="R1013" t="s">
        <v>95</v>
      </c>
      <c r="S1013" t="s">
        <v>76</v>
      </c>
      <c r="T1013" t="s">
        <v>76</v>
      </c>
      <c r="U1013">
        <v>1</v>
      </c>
      <c r="V1013" s="13">
        <v>45175</v>
      </c>
      <c r="W1013">
        <v>1</v>
      </c>
      <c r="X1013">
        <v>1</v>
      </c>
      <c r="Y1013" t="s">
        <v>3732</v>
      </c>
      <c r="AC1013">
        <v>4482</v>
      </c>
      <c r="AD1013" t="e" vm="1004">
        <v>#VALUE!</v>
      </c>
    </row>
    <row r="1014" spans="2:30" x14ac:dyDescent="0.25">
      <c r="B1014">
        <v>4519</v>
      </c>
      <c r="C1014" t="s">
        <v>3698</v>
      </c>
      <c r="D1014" t="s">
        <v>73</v>
      </c>
      <c r="E1014" t="s">
        <v>73</v>
      </c>
      <c r="F1014" t="s">
        <v>3816</v>
      </c>
      <c r="G1014" t="s">
        <v>3816</v>
      </c>
      <c r="H1014" t="s">
        <v>3808</v>
      </c>
      <c r="I1014" t="s">
        <v>3821</v>
      </c>
      <c r="J1014" t="s">
        <v>3862</v>
      </c>
      <c r="K1014" t="s">
        <v>101</v>
      </c>
      <c r="L1014" s="13">
        <v>38030</v>
      </c>
      <c r="M1014">
        <v>20</v>
      </c>
      <c r="N1014" t="s">
        <v>98</v>
      </c>
      <c r="O1014" t="s">
        <v>3872</v>
      </c>
      <c r="P1014" t="s">
        <v>76</v>
      </c>
      <c r="Q1014" t="s">
        <v>76</v>
      </c>
      <c r="R1014" t="s">
        <v>95</v>
      </c>
      <c r="S1014" t="s">
        <v>76</v>
      </c>
      <c r="T1014" t="s">
        <v>76</v>
      </c>
      <c r="U1014">
        <v>1</v>
      </c>
      <c r="V1014" s="13">
        <v>45175</v>
      </c>
      <c r="W1014">
        <v>2</v>
      </c>
      <c r="X1014">
        <v>1</v>
      </c>
      <c r="Y1014" t="s">
        <v>3724</v>
      </c>
      <c r="AC1014">
        <v>4519</v>
      </c>
      <c r="AD1014" t="e" vm="1005">
        <v>#VALUE!</v>
      </c>
    </row>
    <row r="1015" spans="2:30" x14ac:dyDescent="0.25">
      <c r="B1015">
        <v>4524</v>
      </c>
      <c r="C1015" t="s">
        <v>3668</v>
      </c>
      <c r="D1015" t="s">
        <v>3669</v>
      </c>
      <c r="E1015" t="s">
        <v>3817</v>
      </c>
      <c r="F1015" t="s">
        <v>81</v>
      </c>
      <c r="G1015" t="s">
        <v>80</v>
      </c>
      <c r="H1015" t="s">
        <v>3808</v>
      </c>
      <c r="I1015" t="s">
        <v>3809</v>
      </c>
      <c r="J1015" t="s">
        <v>3810</v>
      </c>
      <c r="K1015" t="s">
        <v>101</v>
      </c>
      <c r="L1015" s="13">
        <v>38492</v>
      </c>
      <c r="M1015">
        <v>18</v>
      </c>
      <c r="N1015" t="s">
        <v>82</v>
      </c>
      <c r="O1015" t="s">
        <v>3873</v>
      </c>
      <c r="P1015" t="s">
        <v>76</v>
      </c>
      <c r="Q1015" t="s">
        <v>76</v>
      </c>
      <c r="R1015" t="s">
        <v>95</v>
      </c>
      <c r="S1015" t="s">
        <v>76</v>
      </c>
      <c r="T1015" t="s">
        <v>76</v>
      </c>
      <c r="U1015">
        <v>1</v>
      </c>
      <c r="V1015" s="13">
        <v>45175</v>
      </c>
      <c r="W1015">
        <v>1</v>
      </c>
      <c r="X1015">
        <v>1</v>
      </c>
      <c r="Y1015" t="s">
        <v>3670</v>
      </c>
      <c r="AC1015">
        <v>4524</v>
      </c>
      <c r="AD1015" t="e" vm="1006">
        <v>#VALUE!</v>
      </c>
    </row>
    <row r="1016" spans="2:30" x14ac:dyDescent="0.25">
      <c r="B1016">
        <v>4525</v>
      </c>
      <c r="C1016" t="s">
        <v>3662</v>
      </c>
      <c r="D1016" t="s">
        <v>3679</v>
      </c>
      <c r="E1016" t="s">
        <v>3824</v>
      </c>
      <c r="F1016" t="s">
        <v>110</v>
      </c>
      <c r="G1016" t="s">
        <v>109</v>
      </c>
      <c r="H1016" t="s">
        <v>3808</v>
      </c>
      <c r="I1016" t="s">
        <v>3809</v>
      </c>
      <c r="J1016" t="s">
        <v>3810</v>
      </c>
      <c r="K1016" t="s">
        <v>101</v>
      </c>
      <c r="L1016" s="13">
        <v>38391</v>
      </c>
      <c r="M1016">
        <v>19</v>
      </c>
      <c r="N1016" t="s">
        <v>79</v>
      </c>
      <c r="O1016" t="s">
        <v>3873</v>
      </c>
      <c r="P1016" t="s">
        <v>76</v>
      </c>
      <c r="Q1016" t="s">
        <v>76</v>
      </c>
      <c r="R1016" t="s">
        <v>95</v>
      </c>
      <c r="S1016" t="s">
        <v>76</v>
      </c>
      <c r="T1016" t="s">
        <v>76</v>
      </c>
      <c r="U1016">
        <v>1</v>
      </c>
      <c r="V1016" s="13">
        <v>45175</v>
      </c>
      <c r="W1016">
        <v>1</v>
      </c>
      <c r="X1016">
        <v>1</v>
      </c>
      <c r="Y1016" t="s">
        <v>3680</v>
      </c>
      <c r="AC1016">
        <v>4525</v>
      </c>
      <c r="AD1016" t="e" vm="1007">
        <v>#VALUE!</v>
      </c>
    </row>
    <row r="1017" spans="2:30" x14ac:dyDescent="0.25">
      <c r="B1017">
        <v>4526</v>
      </c>
      <c r="C1017" t="s">
        <v>3668</v>
      </c>
      <c r="D1017" t="s">
        <v>3669</v>
      </c>
      <c r="E1017" t="s">
        <v>3817</v>
      </c>
      <c r="F1017" t="s">
        <v>81</v>
      </c>
      <c r="G1017" t="s">
        <v>80</v>
      </c>
      <c r="H1017" t="s">
        <v>3808</v>
      </c>
      <c r="I1017" t="s">
        <v>3809</v>
      </c>
      <c r="J1017" t="s">
        <v>3810</v>
      </c>
      <c r="K1017" t="s">
        <v>101</v>
      </c>
      <c r="L1017" s="13">
        <v>38391</v>
      </c>
      <c r="M1017">
        <v>19</v>
      </c>
      <c r="N1017" t="s">
        <v>82</v>
      </c>
      <c r="O1017" t="s">
        <v>3873</v>
      </c>
      <c r="P1017" t="s">
        <v>76</v>
      </c>
      <c r="Q1017" t="s">
        <v>76</v>
      </c>
      <c r="R1017" t="s">
        <v>95</v>
      </c>
      <c r="S1017" t="s">
        <v>76</v>
      </c>
      <c r="T1017" t="s">
        <v>76</v>
      </c>
      <c r="U1017">
        <v>1</v>
      </c>
      <c r="V1017" s="13">
        <v>45175</v>
      </c>
      <c r="W1017">
        <v>1</v>
      </c>
      <c r="X1017">
        <v>1</v>
      </c>
      <c r="Y1017" t="s">
        <v>3670</v>
      </c>
      <c r="AC1017">
        <v>4526</v>
      </c>
      <c r="AD1017" t="e" vm="1008">
        <v>#VALUE!</v>
      </c>
    </row>
    <row r="1018" spans="2:30" x14ac:dyDescent="0.25">
      <c r="B1018">
        <v>4527</v>
      </c>
      <c r="C1018" t="s">
        <v>3698</v>
      </c>
      <c r="D1018" t="s">
        <v>3679</v>
      </c>
      <c r="E1018" t="s">
        <v>3824</v>
      </c>
      <c r="F1018" t="s">
        <v>110</v>
      </c>
      <c r="G1018" t="s">
        <v>109</v>
      </c>
      <c r="H1018" t="s">
        <v>3808</v>
      </c>
      <c r="I1018" t="s">
        <v>3809</v>
      </c>
      <c r="J1018" t="s">
        <v>3810</v>
      </c>
      <c r="K1018" t="s">
        <v>101</v>
      </c>
      <c r="L1018" s="13">
        <v>38391</v>
      </c>
      <c r="M1018">
        <v>19</v>
      </c>
      <c r="N1018" t="s">
        <v>98</v>
      </c>
      <c r="O1018" t="s">
        <v>3873</v>
      </c>
      <c r="P1018" t="s">
        <v>76</v>
      </c>
      <c r="Q1018" t="s">
        <v>76</v>
      </c>
      <c r="R1018" t="s">
        <v>95</v>
      </c>
      <c r="S1018" t="s">
        <v>76</v>
      </c>
      <c r="T1018" t="s">
        <v>76</v>
      </c>
      <c r="U1018">
        <v>1</v>
      </c>
      <c r="V1018" s="13">
        <v>45175</v>
      </c>
      <c r="W1018">
        <v>2</v>
      </c>
      <c r="X1018">
        <v>1</v>
      </c>
      <c r="Y1018" t="s">
        <v>3733</v>
      </c>
      <c r="AC1018">
        <v>4527</v>
      </c>
      <c r="AD1018" t="e" vm="1009">
        <v>#VALUE!</v>
      </c>
    </row>
    <row r="1019" spans="2:30" x14ac:dyDescent="0.25">
      <c r="B1019">
        <v>4528</v>
      </c>
      <c r="C1019" t="s">
        <v>3659</v>
      </c>
      <c r="D1019" t="s">
        <v>3675</v>
      </c>
      <c r="E1019" t="s">
        <v>3820</v>
      </c>
      <c r="F1019" t="s">
        <v>85</v>
      </c>
      <c r="G1019" t="s">
        <v>107</v>
      </c>
      <c r="H1019" t="s">
        <v>3808</v>
      </c>
      <c r="I1019" t="s">
        <v>3809</v>
      </c>
      <c r="J1019" t="s">
        <v>3810</v>
      </c>
      <c r="K1019" t="s">
        <v>101</v>
      </c>
      <c r="L1019" s="13">
        <v>38399</v>
      </c>
      <c r="M1019">
        <v>19</v>
      </c>
      <c r="N1019" t="s">
        <v>88</v>
      </c>
      <c r="O1019" t="s">
        <v>3873</v>
      </c>
      <c r="P1019" t="s">
        <v>76</v>
      </c>
      <c r="Q1019" t="s">
        <v>76</v>
      </c>
      <c r="R1019" t="s">
        <v>95</v>
      </c>
      <c r="S1019" t="s">
        <v>76</v>
      </c>
      <c r="T1019" t="s">
        <v>76</v>
      </c>
      <c r="U1019">
        <v>1</v>
      </c>
      <c r="V1019" s="13">
        <v>45175</v>
      </c>
      <c r="W1019">
        <v>1</v>
      </c>
      <c r="X1019">
        <v>1</v>
      </c>
      <c r="Y1019" t="s">
        <v>3676</v>
      </c>
      <c r="AC1019">
        <v>4528</v>
      </c>
      <c r="AD1019" t="e" vm="1010">
        <v>#VALUE!</v>
      </c>
    </row>
    <row r="1020" spans="2:30" x14ac:dyDescent="0.25">
      <c r="B1020">
        <v>4529</v>
      </c>
      <c r="C1020" t="s">
        <v>3668</v>
      </c>
      <c r="D1020" t="s">
        <v>3669</v>
      </c>
      <c r="E1020" t="s">
        <v>3817</v>
      </c>
      <c r="F1020" t="s">
        <v>81</v>
      </c>
      <c r="G1020" t="s">
        <v>80</v>
      </c>
      <c r="H1020" t="s">
        <v>3808</v>
      </c>
      <c r="I1020" t="s">
        <v>3809</v>
      </c>
      <c r="J1020" t="s">
        <v>3810</v>
      </c>
      <c r="K1020" t="s">
        <v>101</v>
      </c>
      <c r="L1020" s="13">
        <v>38399</v>
      </c>
      <c r="M1020">
        <v>19</v>
      </c>
      <c r="N1020" t="s">
        <v>82</v>
      </c>
      <c r="O1020" t="s">
        <v>3873</v>
      </c>
      <c r="P1020" t="s">
        <v>76</v>
      </c>
      <c r="Q1020" t="s">
        <v>76</v>
      </c>
      <c r="R1020" t="s">
        <v>95</v>
      </c>
      <c r="S1020" t="s">
        <v>76</v>
      </c>
      <c r="T1020" t="s">
        <v>76</v>
      </c>
      <c r="U1020">
        <v>1</v>
      </c>
      <c r="V1020" s="13">
        <v>45175</v>
      </c>
      <c r="W1020">
        <v>1</v>
      </c>
      <c r="X1020">
        <v>1</v>
      </c>
      <c r="Y1020" t="s">
        <v>3670</v>
      </c>
      <c r="AC1020">
        <v>4529</v>
      </c>
      <c r="AD1020" t="e" vm="1011">
        <v>#VALUE!</v>
      </c>
    </row>
    <row r="1021" spans="2:30" x14ac:dyDescent="0.25">
      <c r="B1021">
        <v>4531</v>
      </c>
      <c r="C1021" t="s">
        <v>3668</v>
      </c>
      <c r="D1021" t="s">
        <v>3669</v>
      </c>
      <c r="E1021" t="s">
        <v>3817</v>
      </c>
      <c r="F1021" t="s">
        <v>81</v>
      </c>
      <c r="G1021" t="s">
        <v>80</v>
      </c>
      <c r="H1021" t="s">
        <v>3808</v>
      </c>
      <c r="I1021" t="s">
        <v>3809</v>
      </c>
      <c r="J1021" t="s">
        <v>3810</v>
      </c>
      <c r="K1021" t="s">
        <v>101</v>
      </c>
      <c r="L1021" s="13">
        <v>38399</v>
      </c>
      <c r="M1021">
        <v>19</v>
      </c>
      <c r="N1021" t="s">
        <v>82</v>
      </c>
      <c r="O1021" t="s">
        <v>3873</v>
      </c>
      <c r="P1021" t="s">
        <v>76</v>
      </c>
      <c r="Q1021" t="s">
        <v>76</v>
      </c>
      <c r="R1021" t="s">
        <v>95</v>
      </c>
      <c r="S1021" t="s">
        <v>76</v>
      </c>
      <c r="T1021" t="s">
        <v>76</v>
      </c>
      <c r="U1021">
        <v>1</v>
      </c>
      <c r="V1021" s="13">
        <v>45175</v>
      </c>
      <c r="W1021">
        <v>1</v>
      </c>
      <c r="X1021">
        <v>1</v>
      </c>
      <c r="Y1021" t="s">
        <v>3670</v>
      </c>
      <c r="AC1021">
        <v>4531</v>
      </c>
      <c r="AD1021" t="e" vm="1012">
        <v>#VALUE!</v>
      </c>
    </row>
    <row r="1022" spans="2:30" x14ac:dyDescent="0.25">
      <c r="B1022">
        <v>4532</v>
      </c>
      <c r="C1022" t="s">
        <v>3659</v>
      </c>
      <c r="D1022" t="s">
        <v>3675</v>
      </c>
      <c r="E1022" t="s">
        <v>3820</v>
      </c>
      <c r="F1022" t="s">
        <v>85</v>
      </c>
      <c r="G1022" t="s">
        <v>107</v>
      </c>
      <c r="H1022" t="s">
        <v>3808</v>
      </c>
      <c r="I1022" t="s">
        <v>3809</v>
      </c>
      <c r="J1022" t="s">
        <v>3810</v>
      </c>
      <c r="K1022" t="s">
        <v>101</v>
      </c>
      <c r="L1022" s="13">
        <v>38404</v>
      </c>
      <c r="M1022">
        <v>19</v>
      </c>
      <c r="N1022" t="s">
        <v>88</v>
      </c>
      <c r="O1022" t="s">
        <v>3873</v>
      </c>
      <c r="P1022" t="s">
        <v>76</v>
      </c>
      <c r="Q1022" t="s">
        <v>76</v>
      </c>
      <c r="R1022" t="s">
        <v>95</v>
      </c>
      <c r="S1022" t="s">
        <v>76</v>
      </c>
      <c r="T1022" t="s">
        <v>76</v>
      </c>
      <c r="U1022">
        <v>1</v>
      </c>
      <c r="V1022" s="13">
        <v>45175</v>
      </c>
      <c r="W1022">
        <v>1</v>
      </c>
      <c r="X1022">
        <v>1</v>
      </c>
      <c r="Y1022" t="s">
        <v>3676</v>
      </c>
      <c r="AC1022">
        <v>4532</v>
      </c>
      <c r="AD1022" t="e" vm="1013">
        <v>#VALUE!</v>
      </c>
    </row>
    <row r="1023" spans="2:30" x14ac:dyDescent="0.25">
      <c r="B1023">
        <v>4534</v>
      </c>
      <c r="C1023" t="s">
        <v>3659</v>
      </c>
      <c r="D1023" t="s">
        <v>3675</v>
      </c>
      <c r="E1023" t="s">
        <v>3820</v>
      </c>
      <c r="F1023" t="s">
        <v>85</v>
      </c>
      <c r="G1023" t="s">
        <v>107</v>
      </c>
      <c r="H1023" t="s">
        <v>3808</v>
      </c>
      <c r="I1023" t="s">
        <v>3809</v>
      </c>
      <c r="J1023" t="s">
        <v>3810</v>
      </c>
      <c r="K1023" t="s">
        <v>101</v>
      </c>
      <c r="L1023" s="13">
        <v>38407</v>
      </c>
      <c r="M1023">
        <v>19</v>
      </c>
      <c r="N1023" t="s">
        <v>88</v>
      </c>
      <c r="O1023" t="s">
        <v>3873</v>
      </c>
      <c r="P1023" t="s">
        <v>76</v>
      </c>
      <c r="Q1023" t="s">
        <v>76</v>
      </c>
      <c r="R1023" t="s">
        <v>95</v>
      </c>
      <c r="S1023" t="s">
        <v>76</v>
      </c>
      <c r="T1023" t="s">
        <v>76</v>
      </c>
      <c r="U1023">
        <v>1</v>
      </c>
      <c r="V1023" s="13">
        <v>45175</v>
      </c>
      <c r="W1023">
        <v>1</v>
      </c>
      <c r="X1023">
        <v>1</v>
      </c>
      <c r="Y1023" t="s">
        <v>3676</v>
      </c>
      <c r="AC1023">
        <v>4534</v>
      </c>
      <c r="AD1023" t="e" vm="1014">
        <v>#VALUE!</v>
      </c>
    </row>
    <row r="1024" spans="2:30" x14ac:dyDescent="0.25">
      <c r="B1024">
        <v>4536</v>
      </c>
      <c r="C1024" t="s">
        <v>3698</v>
      </c>
      <c r="D1024" t="s">
        <v>3685</v>
      </c>
      <c r="E1024" t="s">
        <v>3829</v>
      </c>
      <c r="F1024" t="s">
        <v>105</v>
      </c>
      <c r="G1024" t="s">
        <v>108</v>
      </c>
      <c r="H1024" t="s">
        <v>3808</v>
      </c>
      <c r="I1024" t="s">
        <v>3809</v>
      </c>
      <c r="J1024" t="s">
        <v>3810</v>
      </c>
      <c r="K1024" t="s">
        <v>101</v>
      </c>
      <c r="L1024" s="13">
        <v>38407</v>
      </c>
      <c r="M1024">
        <v>19</v>
      </c>
      <c r="N1024" t="s">
        <v>98</v>
      </c>
      <c r="O1024" t="s">
        <v>3873</v>
      </c>
      <c r="P1024" t="s">
        <v>76</v>
      </c>
      <c r="Q1024" t="s">
        <v>76</v>
      </c>
      <c r="R1024" t="s">
        <v>95</v>
      </c>
      <c r="S1024" t="s">
        <v>76</v>
      </c>
      <c r="T1024" t="s">
        <v>76</v>
      </c>
      <c r="U1024">
        <v>1</v>
      </c>
      <c r="V1024" s="13">
        <v>45175</v>
      </c>
      <c r="W1024">
        <v>2</v>
      </c>
      <c r="X1024">
        <v>1</v>
      </c>
      <c r="Y1024" t="s">
        <v>3734</v>
      </c>
      <c r="AC1024">
        <v>4536</v>
      </c>
      <c r="AD1024" t="e" vm="1015">
        <v>#VALUE!</v>
      </c>
    </row>
    <row r="1025" spans="2:30" x14ac:dyDescent="0.25">
      <c r="B1025">
        <v>4541</v>
      </c>
      <c r="C1025" t="s">
        <v>3668</v>
      </c>
      <c r="D1025" t="s">
        <v>3669</v>
      </c>
      <c r="E1025" t="s">
        <v>3817</v>
      </c>
      <c r="F1025" t="s">
        <v>81</v>
      </c>
      <c r="G1025" t="s">
        <v>80</v>
      </c>
      <c r="H1025" t="s">
        <v>3808</v>
      </c>
      <c r="I1025" t="s">
        <v>3809</v>
      </c>
      <c r="J1025" t="s">
        <v>3810</v>
      </c>
      <c r="K1025" t="s">
        <v>101</v>
      </c>
      <c r="L1025" s="13">
        <v>38413</v>
      </c>
      <c r="M1025">
        <v>19</v>
      </c>
      <c r="N1025" t="s">
        <v>82</v>
      </c>
      <c r="O1025" t="s">
        <v>3873</v>
      </c>
      <c r="P1025" t="s">
        <v>76</v>
      </c>
      <c r="Q1025" t="s">
        <v>76</v>
      </c>
      <c r="R1025" t="s">
        <v>95</v>
      </c>
      <c r="S1025" t="s">
        <v>76</v>
      </c>
      <c r="T1025" t="s">
        <v>76</v>
      </c>
      <c r="U1025">
        <v>1</v>
      </c>
      <c r="V1025" s="13">
        <v>45175</v>
      </c>
      <c r="W1025">
        <v>1</v>
      </c>
      <c r="X1025">
        <v>1</v>
      </c>
      <c r="Y1025" t="s">
        <v>3670</v>
      </c>
      <c r="AC1025">
        <v>4541</v>
      </c>
      <c r="AD1025" t="e" vm="1016">
        <v>#VALUE!</v>
      </c>
    </row>
    <row r="1026" spans="2:30" x14ac:dyDescent="0.25">
      <c r="B1026">
        <v>4543</v>
      </c>
      <c r="C1026" t="s">
        <v>3698</v>
      </c>
      <c r="D1026" t="s">
        <v>73</v>
      </c>
      <c r="E1026" t="s">
        <v>73</v>
      </c>
      <c r="F1026" t="s">
        <v>3816</v>
      </c>
      <c r="G1026" t="s">
        <v>3816</v>
      </c>
      <c r="H1026" t="s">
        <v>3808</v>
      </c>
      <c r="I1026" t="s">
        <v>3809</v>
      </c>
      <c r="J1026" t="s">
        <v>3810</v>
      </c>
      <c r="K1026" t="s">
        <v>101</v>
      </c>
      <c r="L1026" s="13">
        <v>38428</v>
      </c>
      <c r="M1026">
        <v>19</v>
      </c>
      <c r="N1026" t="s">
        <v>98</v>
      </c>
      <c r="O1026" t="s">
        <v>3873</v>
      </c>
      <c r="P1026" t="s">
        <v>76</v>
      </c>
      <c r="Q1026" t="s">
        <v>76</v>
      </c>
      <c r="R1026" t="s">
        <v>95</v>
      </c>
      <c r="S1026" t="s">
        <v>76</v>
      </c>
      <c r="T1026" t="s">
        <v>76</v>
      </c>
      <c r="U1026">
        <v>1</v>
      </c>
      <c r="V1026" s="13">
        <v>45175</v>
      </c>
      <c r="W1026">
        <v>2</v>
      </c>
      <c r="X1026">
        <v>1</v>
      </c>
      <c r="Y1026" t="s">
        <v>3724</v>
      </c>
      <c r="AC1026">
        <v>4543</v>
      </c>
      <c r="AD1026" t="e" vm="1017">
        <v>#VALUE!</v>
      </c>
    </row>
    <row r="1027" spans="2:30" x14ac:dyDescent="0.25">
      <c r="B1027">
        <v>4544</v>
      </c>
      <c r="C1027" t="s">
        <v>3698</v>
      </c>
      <c r="D1027" t="s">
        <v>73</v>
      </c>
      <c r="E1027" t="s">
        <v>73</v>
      </c>
      <c r="F1027" t="s">
        <v>3816</v>
      </c>
      <c r="G1027" t="s">
        <v>3816</v>
      </c>
      <c r="H1027" t="s">
        <v>3808</v>
      </c>
      <c r="I1027" t="s">
        <v>3809</v>
      </c>
      <c r="J1027" t="s">
        <v>3810</v>
      </c>
      <c r="K1027" t="s">
        <v>101</v>
      </c>
      <c r="L1027" s="13">
        <v>38413</v>
      </c>
      <c r="M1027">
        <v>19</v>
      </c>
      <c r="N1027" t="s">
        <v>98</v>
      </c>
      <c r="O1027" t="s">
        <v>3873</v>
      </c>
      <c r="P1027" t="s">
        <v>76</v>
      </c>
      <c r="Q1027" t="s">
        <v>76</v>
      </c>
      <c r="R1027" t="s">
        <v>95</v>
      </c>
      <c r="S1027" t="s">
        <v>76</v>
      </c>
      <c r="T1027" t="s">
        <v>76</v>
      </c>
      <c r="U1027">
        <v>1</v>
      </c>
      <c r="V1027" s="13">
        <v>45175</v>
      </c>
      <c r="W1027">
        <v>2</v>
      </c>
      <c r="X1027">
        <v>1</v>
      </c>
      <c r="Y1027" t="s">
        <v>3724</v>
      </c>
      <c r="AC1027">
        <v>4544</v>
      </c>
      <c r="AD1027" t="e" vm="1018">
        <v>#VALUE!</v>
      </c>
    </row>
    <row r="1028" spans="2:30" x14ac:dyDescent="0.25">
      <c r="B1028">
        <v>4545</v>
      </c>
      <c r="C1028" t="s">
        <v>3662</v>
      </c>
      <c r="D1028" t="s">
        <v>3679</v>
      </c>
      <c r="E1028" t="s">
        <v>3824</v>
      </c>
      <c r="F1028" t="s">
        <v>110</v>
      </c>
      <c r="G1028" t="s">
        <v>109</v>
      </c>
      <c r="H1028" t="s">
        <v>3808</v>
      </c>
      <c r="I1028" t="s">
        <v>3809</v>
      </c>
      <c r="J1028" t="s">
        <v>3810</v>
      </c>
      <c r="K1028" t="s">
        <v>101</v>
      </c>
      <c r="L1028" s="13">
        <v>38419</v>
      </c>
      <c r="M1028">
        <v>19</v>
      </c>
      <c r="N1028" t="s">
        <v>79</v>
      </c>
      <c r="O1028" t="s">
        <v>3873</v>
      </c>
      <c r="P1028" t="s">
        <v>76</v>
      </c>
      <c r="Q1028" t="s">
        <v>76</v>
      </c>
      <c r="R1028" t="s">
        <v>95</v>
      </c>
      <c r="S1028" t="s">
        <v>76</v>
      </c>
      <c r="T1028" t="s">
        <v>76</v>
      </c>
      <c r="U1028">
        <v>1</v>
      </c>
      <c r="V1028" s="13">
        <v>45175</v>
      </c>
      <c r="W1028">
        <v>1</v>
      </c>
      <c r="X1028">
        <v>1</v>
      </c>
      <c r="Y1028" t="s">
        <v>3680</v>
      </c>
      <c r="AC1028">
        <v>4545</v>
      </c>
      <c r="AD1028" t="e" vm="1019">
        <v>#VALUE!</v>
      </c>
    </row>
    <row r="1029" spans="2:30" x14ac:dyDescent="0.25">
      <c r="B1029">
        <v>4546</v>
      </c>
      <c r="C1029" t="s">
        <v>3662</v>
      </c>
      <c r="D1029" t="s">
        <v>3679</v>
      </c>
      <c r="E1029" t="s">
        <v>3824</v>
      </c>
      <c r="F1029" t="s">
        <v>110</v>
      </c>
      <c r="G1029" t="s">
        <v>109</v>
      </c>
      <c r="H1029" t="s">
        <v>3808</v>
      </c>
      <c r="I1029" t="s">
        <v>3809</v>
      </c>
      <c r="J1029" t="s">
        <v>3810</v>
      </c>
      <c r="K1029" t="s">
        <v>101</v>
      </c>
      <c r="L1029" s="13">
        <v>38419</v>
      </c>
      <c r="M1029">
        <v>19</v>
      </c>
      <c r="N1029" t="s">
        <v>79</v>
      </c>
      <c r="O1029" t="s">
        <v>3873</v>
      </c>
      <c r="P1029" t="s">
        <v>76</v>
      </c>
      <c r="Q1029" t="s">
        <v>76</v>
      </c>
      <c r="R1029" t="s">
        <v>95</v>
      </c>
      <c r="S1029" t="s">
        <v>76</v>
      </c>
      <c r="T1029" t="s">
        <v>76</v>
      </c>
      <c r="U1029">
        <v>1</v>
      </c>
      <c r="V1029" s="13">
        <v>45175</v>
      </c>
      <c r="W1029">
        <v>1</v>
      </c>
      <c r="X1029">
        <v>1</v>
      </c>
      <c r="Y1029" t="s">
        <v>3680</v>
      </c>
      <c r="AC1029">
        <v>4546</v>
      </c>
      <c r="AD1029" t="e" vm="1020">
        <v>#VALUE!</v>
      </c>
    </row>
    <row r="1030" spans="2:30" x14ac:dyDescent="0.25">
      <c r="B1030">
        <v>4547</v>
      </c>
      <c r="C1030" t="s">
        <v>3698</v>
      </c>
      <c r="D1030" t="s">
        <v>73</v>
      </c>
      <c r="E1030" t="s">
        <v>73</v>
      </c>
      <c r="F1030" t="s">
        <v>3816</v>
      </c>
      <c r="G1030" t="s">
        <v>3816</v>
      </c>
      <c r="H1030" t="s">
        <v>3808</v>
      </c>
      <c r="I1030" t="s">
        <v>3809</v>
      </c>
      <c r="J1030" t="s">
        <v>3810</v>
      </c>
      <c r="K1030" t="s">
        <v>101</v>
      </c>
      <c r="L1030" s="13">
        <v>38419</v>
      </c>
      <c r="M1030">
        <v>19</v>
      </c>
      <c r="N1030" t="s">
        <v>98</v>
      </c>
      <c r="O1030" t="s">
        <v>3873</v>
      </c>
      <c r="P1030" t="s">
        <v>76</v>
      </c>
      <c r="Q1030" t="s">
        <v>76</v>
      </c>
      <c r="R1030" t="s">
        <v>95</v>
      </c>
      <c r="S1030" t="s">
        <v>76</v>
      </c>
      <c r="T1030" t="s">
        <v>76</v>
      </c>
      <c r="U1030">
        <v>1</v>
      </c>
      <c r="V1030" s="13">
        <v>45175</v>
      </c>
      <c r="W1030">
        <v>2</v>
      </c>
      <c r="X1030">
        <v>1</v>
      </c>
      <c r="Y1030" t="s">
        <v>3724</v>
      </c>
      <c r="AC1030">
        <v>4547</v>
      </c>
      <c r="AD1030" t="e" vm="1021">
        <v>#VALUE!</v>
      </c>
    </row>
    <row r="1031" spans="2:30" x14ac:dyDescent="0.25">
      <c r="B1031">
        <v>4552</v>
      </c>
      <c r="C1031" t="s">
        <v>3659</v>
      </c>
      <c r="D1031" t="s">
        <v>3660</v>
      </c>
      <c r="E1031" t="s">
        <v>3813</v>
      </c>
      <c r="F1031" t="s">
        <v>83</v>
      </c>
      <c r="G1031" t="s">
        <v>103</v>
      </c>
      <c r="H1031" t="s">
        <v>3808</v>
      </c>
      <c r="I1031" t="s">
        <v>3809</v>
      </c>
      <c r="J1031" t="s">
        <v>3810</v>
      </c>
      <c r="K1031" t="s">
        <v>101</v>
      </c>
      <c r="L1031" s="13">
        <v>38446</v>
      </c>
      <c r="M1031">
        <v>18</v>
      </c>
      <c r="N1031" t="s">
        <v>88</v>
      </c>
      <c r="O1031" t="s">
        <v>3873</v>
      </c>
      <c r="P1031" t="s">
        <v>76</v>
      </c>
      <c r="Q1031" t="s">
        <v>76</v>
      </c>
      <c r="R1031" t="s">
        <v>95</v>
      </c>
      <c r="S1031" t="s">
        <v>76</v>
      </c>
      <c r="T1031" t="s">
        <v>76</v>
      </c>
      <c r="U1031">
        <v>1</v>
      </c>
      <c r="V1031" s="13">
        <v>45175</v>
      </c>
      <c r="W1031">
        <v>1</v>
      </c>
      <c r="X1031">
        <v>1</v>
      </c>
      <c r="Y1031" t="s">
        <v>3661</v>
      </c>
      <c r="AC1031">
        <v>4552</v>
      </c>
      <c r="AD1031" t="e" vm="1022">
        <v>#VALUE!</v>
      </c>
    </row>
    <row r="1032" spans="2:30" x14ac:dyDescent="0.25">
      <c r="B1032">
        <v>4553</v>
      </c>
      <c r="C1032" t="s">
        <v>3659</v>
      </c>
      <c r="D1032" t="s">
        <v>3675</v>
      </c>
      <c r="E1032" t="s">
        <v>3820</v>
      </c>
      <c r="F1032" t="s">
        <v>85</v>
      </c>
      <c r="G1032" t="s">
        <v>107</v>
      </c>
      <c r="H1032" t="s">
        <v>3808</v>
      </c>
      <c r="I1032" t="s">
        <v>3809</v>
      </c>
      <c r="J1032" t="s">
        <v>3810</v>
      </c>
      <c r="K1032" t="s">
        <v>101</v>
      </c>
      <c r="L1032" s="13">
        <v>38448</v>
      </c>
      <c r="M1032">
        <v>18</v>
      </c>
      <c r="N1032" t="s">
        <v>88</v>
      </c>
      <c r="O1032" t="s">
        <v>3873</v>
      </c>
      <c r="P1032" t="s">
        <v>76</v>
      </c>
      <c r="Q1032" t="s">
        <v>76</v>
      </c>
      <c r="R1032" t="s">
        <v>95</v>
      </c>
      <c r="S1032" t="s">
        <v>76</v>
      </c>
      <c r="T1032" t="s">
        <v>76</v>
      </c>
      <c r="U1032">
        <v>1</v>
      </c>
      <c r="V1032" s="13">
        <v>45175</v>
      </c>
      <c r="W1032">
        <v>1</v>
      </c>
      <c r="X1032">
        <v>1</v>
      </c>
      <c r="Y1032" t="s">
        <v>3676</v>
      </c>
      <c r="AC1032">
        <v>4553</v>
      </c>
      <c r="AD1032" t="e" vm="1023">
        <v>#VALUE!</v>
      </c>
    </row>
    <row r="1033" spans="2:30" x14ac:dyDescent="0.25">
      <c r="B1033">
        <v>4554</v>
      </c>
      <c r="C1033" t="s">
        <v>3659</v>
      </c>
      <c r="D1033" t="s">
        <v>3675</v>
      </c>
      <c r="E1033" t="s">
        <v>3820</v>
      </c>
      <c r="F1033" t="s">
        <v>85</v>
      </c>
      <c r="G1033" t="s">
        <v>107</v>
      </c>
      <c r="H1033" t="s">
        <v>3808</v>
      </c>
      <c r="I1033" t="s">
        <v>3809</v>
      </c>
      <c r="J1033" t="s">
        <v>3810</v>
      </c>
      <c r="K1033" t="s">
        <v>101</v>
      </c>
      <c r="L1033" s="13">
        <v>38450</v>
      </c>
      <c r="M1033">
        <v>18</v>
      </c>
      <c r="N1033" t="s">
        <v>88</v>
      </c>
      <c r="O1033" t="s">
        <v>3873</v>
      </c>
      <c r="P1033" t="s">
        <v>76</v>
      </c>
      <c r="Q1033" t="s">
        <v>76</v>
      </c>
      <c r="R1033" t="s">
        <v>95</v>
      </c>
      <c r="S1033" t="s">
        <v>76</v>
      </c>
      <c r="T1033" t="s">
        <v>76</v>
      </c>
      <c r="U1033">
        <v>1</v>
      </c>
      <c r="V1033" s="13">
        <v>45175</v>
      </c>
      <c r="W1033">
        <v>1</v>
      </c>
      <c r="X1033">
        <v>1</v>
      </c>
      <c r="Y1033" t="s">
        <v>3676</v>
      </c>
      <c r="AC1033">
        <v>4554</v>
      </c>
      <c r="AD1033" t="e" vm="1024">
        <v>#VALUE!</v>
      </c>
    </row>
    <row r="1034" spans="2:30" x14ac:dyDescent="0.25">
      <c r="B1034">
        <v>4556</v>
      </c>
      <c r="C1034" t="s">
        <v>3659</v>
      </c>
      <c r="D1034" t="s">
        <v>3675</v>
      </c>
      <c r="E1034" t="s">
        <v>3820</v>
      </c>
      <c r="F1034" t="s">
        <v>85</v>
      </c>
      <c r="G1034" t="s">
        <v>107</v>
      </c>
      <c r="H1034" t="s">
        <v>3808</v>
      </c>
      <c r="I1034" t="s">
        <v>3809</v>
      </c>
      <c r="J1034" t="s">
        <v>3810</v>
      </c>
      <c r="K1034" t="s">
        <v>101</v>
      </c>
      <c r="L1034" s="13">
        <v>38450</v>
      </c>
      <c r="M1034">
        <v>18</v>
      </c>
      <c r="N1034" t="s">
        <v>88</v>
      </c>
      <c r="O1034" t="s">
        <v>3873</v>
      </c>
      <c r="P1034" t="s">
        <v>76</v>
      </c>
      <c r="Q1034" t="s">
        <v>76</v>
      </c>
      <c r="R1034" t="s">
        <v>95</v>
      </c>
      <c r="S1034" t="s">
        <v>76</v>
      </c>
      <c r="T1034" t="s">
        <v>76</v>
      </c>
      <c r="U1034">
        <v>1</v>
      </c>
      <c r="V1034" s="13">
        <v>45175</v>
      </c>
      <c r="W1034">
        <v>1</v>
      </c>
      <c r="X1034">
        <v>1</v>
      </c>
      <c r="Y1034" t="s">
        <v>3676</v>
      </c>
      <c r="AC1034">
        <v>4556</v>
      </c>
      <c r="AD1034" t="e" vm="1025">
        <v>#VALUE!</v>
      </c>
    </row>
    <row r="1035" spans="2:30" x14ac:dyDescent="0.25">
      <c r="B1035">
        <v>4557</v>
      </c>
      <c r="C1035" t="s">
        <v>3659</v>
      </c>
      <c r="D1035" t="s">
        <v>3675</v>
      </c>
      <c r="E1035" t="s">
        <v>3820</v>
      </c>
      <c r="F1035" t="s">
        <v>85</v>
      </c>
      <c r="G1035" t="s">
        <v>107</v>
      </c>
      <c r="H1035" t="s">
        <v>3808</v>
      </c>
      <c r="I1035" t="s">
        <v>3809</v>
      </c>
      <c r="J1035" t="s">
        <v>3810</v>
      </c>
      <c r="K1035" t="s">
        <v>101</v>
      </c>
      <c r="L1035" s="13">
        <v>38450</v>
      </c>
      <c r="M1035">
        <v>18</v>
      </c>
      <c r="N1035" t="s">
        <v>88</v>
      </c>
      <c r="O1035" t="s">
        <v>3873</v>
      </c>
      <c r="P1035" t="s">
        <v>76</v>
      </c>
      <c r="Q1035" t="s">
        <v>76</v>
      </c>
      <c r="R1035" t="s">
        <v>95</v>
      </c>
      <c r="S1035" t="s">
        <v>76</v>
      </c>
      <c r="T1035" t="s">
        <v>76</v>
      </c>
      <c r="U1035">
        <v>1</v>
      </c>
      <c r="V1035" s="13">
        <v>45175</v>
      </c>
      <c r="W1035">
        <v>1</v>
      </c>
      <c r="X1035">
        <v>1</v>
      </c>
      <c r="Y1035" t="s">
        <v>3676</v>
      </c>
      <c r="AC1035">
        <v>4557</v>
      </c>
      <c r="AD1035" t="e" vm="1026">
        <v>#VALUE!</v>
      </c>
    </row>
    <row r="1036" spans="2:30" x14ac:dyDescent="0.25">
      <c r="B1036">
        <v>4559</v>
      </c>
      <c r="C1036" t="s">
        <v>3659</v>
      </c>
      <c r="D1036" t="s">
        <v>3660</v>
      </c>
      <c r="E1036" t="s">
        <v>3813</v>
      </c>
      <c r="F1036" t="s">
        <v>83</v>
      </c>
      <c r="G1036" t="s">
        <v>103</v>
      </c>
      <c r="H1036" t="s">
        <v>3808</v>
      </c>
      <c r="I1036" t="s">
        <v>3809</v>
      </c>
      <c r="J1036" t="s">
        <v>3810</v>
      </c>
      <c r="K1036" t="s">
        <v>101</v>
      </c>
      <c r="L1036" s="13">
        <v>38454</v>
      </c>
      <c r="M1036">
        <v>18</v>
      </c>
      <c r="N1036" t="s">
        <v>88</v>
      </c>
      <c r="O1036" t="s">
        <v>3873</v>
      </c>
      <c r="P1036" t="s">
        <v>76</v>
      </c>
      <c r="Q1036" t="s">
        <v>76</v>
      </c>
      <c r="R1036" t="s">
        <v>95</v>
      </c>
      <c r="S1036" t="s">
        <v>76</v>
      </c>
      <c r="T1036" t="s">
        <v>76</v>
      </c>
      <c r="U1036">
        <v>1</v>
      </c>
      <c r="V1036" s="13">
        <v>45175</v>
      </c>
      <c r="W1036">
        <v>1</v>
      </c>
      <c r="X1036">
        <v>1</v>
      </c>
      <c r="Y1036" t="s">
        <v>3661</v>
      </c>
      <c r="AC1036">
        <v>4559</v>
      </c>
      <c r="AD1036" t="e" vm="1027">
        <v>#VALUE!</v>
      </c>
    </row>
    <row r="1037" spans="2:30" x14ac:dyDescent="0.25">
      <c r="B1037">
        <v>4561</v>
      </c>
      <c r="C1037" t="s">
        <v>3659</v>
      </c>
      <c r="D1037" t="s">
        <v>3660</v>
      </c>
      <c r="E1037" t="s">
        <v>3813</v>
      </c>
      <c r="F1037" t="s">
        <v>83</v>
      </c>
      <c r="G1037" t="s">
        <v>103</v>
      </c>
      <c r="H1037" t="s">
        <v>3808</v>
      </c>
      <c r="I1037" t="s">
        <v>3809</v>
      </c>
      <c r="J1037" t="s">
        <v>3810</v>
      </c>
      <c r="K1037" t="s">
        <v>101</v>
      </c>
      <c r="L1037" s="13">
        <v>38454</v>
      </c>
      <c r="M1037">
        <v>18</v>
      </c>
      <c r="N1037" t="s">
        <v>88</v>
      </c>
      <c r="O1037" t="s">
        <v>3873</v>
      </c>
      <c r="P1037" t="s">
        <v>76</v>
      </c>
      <c r="Q1037" t="s">
        <v>76</v>
      </c>
      <c r="R1037" t="s">
        <v>95</v>
      </c>
      <c r="S1037" t="s">
        <v>76</v>
      </c>
      <c r="T1037" t="s">
        <v>76</v>
      </c>
      <c r="U1037">
        <v>1</v>
      </c>
      <c r="V1037" s="13">
        <v>45175</v>
      </c>
      <c r="W1037">
        <v>1</v>
      </c>
      <c r="X1037">
        <v>1</v>
      </c>
      <c r="Y1037" t="s">
        <v>3661</v>
      </c>
      <c r="AC1037">
        <v>4561</v>
      </c>
      <c r="AD1037" t="e" vm="1028">
        <v>#VALUE!</v>
      </c>
    </row>
    <row r="1038" spans="2:30" x14ac:dyDescent="0.25">
      <c r="B1038">
        <v>4562</v>
      </c>
      <c r="C1038" t="s">
        <v>3659</v>
      </c>
      <c r="D1038" t="s">
        <v>3675</v>
      </c>
      <c r="E1038" t="s">
        <v>3820</v>
      </c>
      <c r="F1038" t="s">
        <v>85</v>
      </c>
      <c r="G1038" t="s">
        <v>107</v>
      </c>
      <c r="H1038" t="s">
        <v>3808</v>
      </c>
      <c r="I1038" t="s">
        <v>3809</v>
      </c>
      <c r="J1038" t="s">
        <v>3810</v>
      </c>
      <c r="K1038" t="s">
        <v>101</v>
      </c>
      <c r="L1038" s="13">
        <v>38455</v>
      </c>
      <c r="M1038">
        <v>18</v>
      </c>
      <c r="N1038" t="s">
        <v>88</v>
      </c>
      <c r="O1038" t="s">
        <v>3873</v>
      </c>
      <c r="P1038" t="s">
        <v>76</v>
      </c>
      <c r="Q1038" t="s">
        <v>76</v>
      </c>
      <c r="R1038" t="s">
        <v>95</v>
      </c>
      <c r="S1038" t="s">
        <v>76</v>
      </c>
      <c r="T1038" t="s">
        <v>76</v>
      </c>
      <c r="U1038">
        <v>1</v>
      </c>
      <c r="V1038" s="13">
        <v>45175</v>
      </c>
      <c r="W1038">
        <v>1</v>
      </c>
      <c r="X1038">
        <v>1</v>
      </c>
      <c r="Y1038" t="s">
        <v>3676</v>
      </c>
      <c r="AC1038">
        <v>4562</v>
      </c>
      <c r="AD1038" t="e" vm="1029">
        <v>#VALUE!</v>
      </c>
    </row>
    <row r="1039" spans="2:30" x14ac:dyDescent="0.25">
      <c r="B1039">
        <v>4563</v>
      </c>
      <c r="C1039" t="s">
        <v>3659</v>
      </c>
      <c r="D1039" t="s">
        <v>3660</v>
      </c>
      <c r="E1039" t="s">
        <v>3813</v>
      </c>
      <c r="F1039" t="s">
        <v>83</v>
      </c>
      <c r="G1039" t="s">
        <v>103</v>
      </c>
      <c r="H1039" t="s">
        <v>3808</v>
      </c>
      <c r="I1039" t="s">
        <v>3809</v>
      </c>
      <c r="J1039" t="s">
        <v>3810</v>
      </c>
      <c r="K1039" t="s">
        <v>101</v>
      </c>
      <c r="L1039" s="13">
        <v>38455</v>
      </c>
      <c r="M1039">
        <v>18</v>
      </c>
      <c r="N1039" t="s">
        <v>88</v>
      </c>
      <c r="O1039" t="s">
        <v>3873</v>
      </c>
      <c r="P1039" t="s">
        <v>76</v>
      </c>
      <c r="Q1039" t="s">
        <v>76</v>
      </c>
      <c r="R1039" t="s">
        <v>95</v>
      </c>
      <c r="S1039" t="s">
        <v>76</v>
      </c>
      <c r="T1039" t="s">
        <v>76</v>
      </c>
      <c r="U1039">
        <v>1</v>
      </c>
      <c r="V1039" s="13">
        <v>45175</v>
      </c>
      <c r="W1039">
        <v>1</v>
      </c>
      <c r="X1039">
        <v>1</v>
      </c>
      <c r="Y1039" t="s">
        <v>3661</v>
      </c>
      <c r="AC1039">
        <v>4563</v>
      </c>
      <c r="AD1039" t="e" vm="1030">
        <v>#VALUE!</v>
      </c>
    </row>
    <row r="1040" spans="2:30" x14ac:dyDescent="0.25">
      <c r="B1040">
        <v>4564</v>
      </c>
      <c r="C1040" t="s">
        <v>3662</v>
      </c>
      <c r="D1040" t="s">
        <v>3679</v>
      </c>
      <c r="E1040" t="s">
        <v>3824</v>
      </c>
      <c r="F1040" t="s">
        <v>110</v>
      </c>
      <c r="G1040" t="s">
        <v>109</v>
      </c>
      <c r="H1040" t="s">
        <v>3808</v>
      </c>
      <c r="I1040" t="s">
        <v>3809</v>
      </c>
      <c r="J1040" t="s">
        <v>3810</v>
      </c>
      <c r="K1040" t="s">
        <v>101</v>
      </c>
      <c r="L1040" s="13">
        <v>38448</v>
      </c>
      <c r="M1040">
        <v>18</v>
      </c>
      <c r="N1040" t="s">
        <v>79</v>
      </c>
      <c r="O1040" t="s">
        <v>3873</v>
      </c>
      <c r="P1040" t="s">
        <v>76</v>
      </c>
      <c r="Q1040" t="s">
        <v>76</v>
      </c>
      <c r="R1040" t="s">
        <v>95</v>
      </c>
      <c r="S1040" t="s">
        <v>76</v>
      </c>
      <c r="T1040" t="s">
        <v>76</v>
      </c>
      <c r="U1040">
        <v>1</v>
      </c>
      <c r="V1040" s="13">
        <v>45175</v>
      </c>
      <c r="W1040">
        <v>1</v>
      </c>
      <c r="X1040">
        <v>1</v>
      </c>
      <c r="Y1040" t="s">
        <v>3680</v>
      </c>
      <c r="AC1040">
        <v>4564</v>
      </c>
      <c r="AD1040" t="e" vm="1031">
        <v>#VALUE!</v>
      </c>
    </row>
    <row r="1041" spans="2:30" x14ac:dyDescent="0.25">
      <c r="B1041">
        <v>4565</v>
      </c>
      <c r="C1041" t="s">
        <v>3662</v>
      </c>
      <c r="D1041" t="s">
        <v>3679</v>
      </c>
      <c r="E1041" t="s">
        <v>3824</v>
      </c>
      <c r="F1041" t="s">
        <v>110</v>
      </c>
      <c r="G1041" t="s">
        <v>109</v>
      </c>
      <c r="H1041" t="s">
        <v>3808</v>
      </c>
      <c r="I1041" t="s">
        <v>3809</v>
      </c>
      <c r="J1041" t="s">
        <v>3810</v>
      </c>
      <c r="K1041" t="s">
        <v>101</v>
      </c>
      <c r="L1041" s="13">
        <v>38464</v>
      </c>
      <c r="M1041">
        <v>18</v>
      </c>
      <c r="N1041" t="s">
        <v>79</v>
      </c>
      <c r="O1041" t="s">
        <v>3873</v>
      </c>
      <c r="P1041" t="s">
        <v>76</v>
      </c>
      <c r="Q1041" t="s">
        <v>76</v>
      </c>
      <c r="R1041" t="s">
        <v>95</v>
      </c>
      <c r="S1041" t="s">
        <v>76</v>
      </c>
      <c r="T1041" t="s">
        <v>76</v>
      </c>
      <c r="U1041">
        <v>1</v>
      </c>
      <c r="V1041" s="13">
        <v>45175</v>
      </c>
      <c r="W1041">
        <v>1</v>
      </c>
      <c r="X1041">
        <v>1</v>
      </c>
      <c r="Y1041" t="s">
        <v>3680</v>
      </c>
      <c r="AC1041">
        <v>4565</v>
      </c>
      <c r="AD1041" t="e" vm="1032">
        <v>#VALUE!</v>
      </c>
    </row>
    <row r="1042" spans="2:30" x14ac:dyDescent="0.25">
      <c r="B1042">
        <v>4566</v>
      </c>
      <c r="C1042" t="s">
        <v>3662</v>
      </c>
      <c r="D1042" t="s">
        <v>3679</v>
      </c>
      <c r="E1042" t="s">
        <v>3824</v>
      </c>
      <c r="F1042" t="s">
        <v>110</v>
      </c>
      <c r="G1042" t="s">
        <v>109</v>
      </c>
      <c r="H1042" t="s">
        <v>3808</v>
      </c>
      <c r="I1042" t="s">
        <v>3809</v>
      </c>
      <c r="J1042" t="s">
        <v>3810</v>
      </c>
      <c r="K1042" t="s">
        <v>101</v>
      </c>
      <c r="L1042" s="13">
        <v>38468</v>
      </c>
      <c r="M1042">
        <v>18</v>
      </c>
      <c r="N1042" t="s">
        <v>79</v>
      </c>
      <c r="O1042" t="s">
        <v>3873</v>
      </c>
      <c r="P1042" t="s">
        <v>76</v>
      </c>
      <c r="Q1042" t="s">
        <v>76</v>
      </c>
      <c r="R1042" t="s">
        <v>95</v>
      </c>
      <c r="S1042" t="s">
        <v>76</v>
      </c>
      <c r="T1042" t="s">
        <v>76</v>
      </c>
      <c r="U1042">
        <v>1</v>
      </c>
      <c r="V1042" s="13">
        <v>45175</v>
      </c>
      <c r="W1042">
        <v>1</v>
      </c>
      <c r="X1042">
        <v>1</v>
      </c>
      <c r="Y1042" t="s">
        <v>3680</v>
      </c>
      <c r="AC1042">
        <v>4566</v>
      </c>
      <c r="AD1042" t="e" vm="1033">
        <v>#VALUE!</v>
      </c>
    </row>
    <row r="1043" spans="2:30" x14ac:dyDescent="0.25">
      <c r="B1043">
        <v>4567</v>
      </c>
      <c r="C1043" t="s">
        <v>3662</v>
      </c>
      <c r="D1043" t="s">
        <v>3679</v>
      </c>
      <c r="E1043" t="s">
        <v>3824</v>
      </c>
      <c r="F1043" t="s">
        <v>110</v>
      </c>
      <c r="G1043" t="s">
        <v>109</v>
      </c>
      <c r="H1043" t="s">
        <v>3808</v>
      </c>
      <c r="I1043" t="s">
        <v>3809</v>
      </c>
      <c r="J1043" t="s">
        <v>3810</v>
      </c>
      <c r="K1043" t="s">
        <v>101</v>
      </c>
      <c r="L1043" s="13">
        <v>38450</v>
      </c>
      <c r="M1043">
        <v>18</v>
      </c>
      <c r="N1043" t="s">
        <v>79</v>
      </c>
      <c r="O1043" t="s">
        <v>3873</v>
      </c>
      <c r="P1043" t="s">
        <v>76</v>
      </c>
      <c r="Q1043" t="s">
        <v>76</v>
      </c>
      <c r="R1043" t="s">
        <v>95</v>
      </c>
      <c r="S1043" t="s">
        <v>76</v>
      </c>
      <c r="T1043" t="s">
        <v>76</v>
      </c>
      <c r="U1043">
        <v>1</v>
      </c>
      <c r="V1043" s="13">
        <v>45175</v>
      </c>
      <c r="W1043">
        <v>1</v>
      </c>
      <c r="X1043">
        <v>1</v>
      </c>
      <c r="Y1043" t="s">
        <v>3680</v>
      </c>
      <c r="AC1043">
        <v>4567</v>
      </c>
      <c r="AD1043" t="e" vm="1034">
        <v>#VALUE!</v>
      </c>
    </row>
    <row r="1044" spans="2:30" x14ac:dyDescent="0.25">
      <c r="B1044">
        <v>4568</v>
      </c>
      <c r="C1044" t="s">
        <v>3662</v>
      </c>
      <c r="D1044" t="s">
        <v>3679</v>
      </c>
      <c r="E1044" t="s">
        <v>3824</v>
      </c>
      <c r="F1044" t="s">
        <v>110</v>
      </c>
      <c r="G1044" t="s">
        <v>109</v>
      </c>
      <c r="H1044" t="s">
        <v>3808</v>
      </c>
      <c r="I1044" t="s">
        <v>3809</v>
      </c>
      <c r="J1044" t="s">
        <v>3810</v>
      </c>
      <c r="K1044" t="s">
        <v>101</v>
      </c>
      <c r="L1044" s="13">
        <v>38456</v>
      </c>
      <c r="M1044">
        <v>18</v>
      </c>
      <c r="N1044" t="s">
        <v>79</v>
      </c>
      <c r="O1044" t="s">
        <v>3873</v>
      </c>
      <c r="P1044" t="s">
        <v>76</v>
      </c>
      <c r="Q1044" t="s">
        <v>76</v>
      </c>
      <c r="R1044" t="s">
        <v>95</v>
      </c>
      <c r="S1044" t="s">
        <v>76</v>
      </c>
      <c r="T1044" t="s">
        <v>76</v>
      </c>
      <c r="U1044">
        <v>1</v>
      </c>
      <c r="V1044" s="13">
        <v>45175</v>
      </c>
      <c r="W1044">
        <v>1</v>
      </c>
      <c r="X1044">
        <v>1</v>
      </c>
      <c r="Y1044" t="s">
        <v>3680</v>
      </c>
      <c r="AC1044">
        <v>4568</v>
      </c>
      <c r="AD1044" t="e" vm="1035">
        <v>#VALUE!</v>
      </c>
    </row>
    <row r="1045" spans="2:30" x14ac:dyDescent="0.25">
      <c r="B1045">
        <v>4569</v>
      </c>
      <c r="C1045" t="s">
        <v>3662</v>
      </c>
      <c r="D1045" t="s">
        <v>3679</v>
      </c>
      <c r="E1045" t="s">
        <v>3824</v>
      </c>
      <c r="F1045" t="s">
        <v>110</v>
      </c>
      <c r="G1045" t="s">
        <v>109</v>
      </c>
      <c r="H1045" t="s">
        <v>3808</v>
      </c>
      <c r="I1045" t="s">
        <v>3809</v>
      </c>
      <c r="J1045" t="s">
        <v>3810</v>
      </c>
      <c r="K1045" t="s">
        <v>101</v>
      </c>
      <c r="L1045" s="13">
        <v>38457</v>
      </c>
      <c r="M1045">
        <v>18</v>
      </c>
      <c r="N1045" t="s">
        <v>79</v>
      </c>
      <c r="O1045" t="s">
        <v>3873</v>
      </c>
      <c r="P1045" t="s">
        <v>76</v>
      </c>
      <c r="Q1045" t="s">
        <v>76</v>
      </c>
      <c r="R1045" t="s">
        <v>95</v>
      </c>
      <c r="S1045" t="s">
        <v>76</v>
      </c>
      <c r="T1045" t="s">
        <v>76</v>
      </c>
      <c r="U1045">
        <v>1</v>
      </c>
      <c r="V1045" s="13">
        <v>45175</v>
      </c>
      <c r="W1045">
        <v>1</v>
      </c>
      <c r="X1045">
        <v>1</v>
      </c>
      <c r="Y1045" t="s">
        <v>3680</v>
      </c>
      <c r="AC1045">
        <v>4569</v>
      </c>
      <c r="AD1045" t="e" vm="1036">
        <v>#VALUE!</v>
      </c>
    </row>
    <row r="1046" spans="2:30" x14ac:dyDescent="0.25">
      <c r="B1046">
        <v>4570</v>
      </c>
      <c r="C1046" t="s">
        <v>3662</v>
      </c>
      <c r="D1046" t="s">
        <v>3679</v>
      </c>
      <c r="E1046" t="s">
        <v>3824</v>
      </c>
      <c r="F1046" t="s">
        <v>110</v>
      </c>
      <c r="G1046" t="s">
        <v>109</v>
      </c>
      <c r="H1046" t="s">
        <v>3808</v>
      </c>
      <c r="I1046" t="s">
        <v>3809</v>
      </c>
      <c r="J1046" t="s">
        <v>3810</v>
      </c>
      <c r="K1046" t="s">
        <v>101</v>
      </c>
      <c r="L1046" s="13">
        <v>38456</v>
      </c>
      <c r="M1046">
        <v>18</v>
      </c>
      <c r="N1046" t="s">
        <v>79</v>
      </c>
      <c r="O1046" t="s">
        <v>3873</v>
      </c>
      <c r="P1046" t="s">
        <v>76</v>
      </c>
      <c r="Q1046" t="s">
        <v>76</v>
      </c>
      <c r="R1046" t="s">
        <v>95</v>
      </c>
      <c r="S1046" t="s">
        <v>76</v>
      </c>
      <c r="T1046" t="s">
        <v>76</v>
      </c>
      <c r="U1046">
        <v>1</v>
      </c>
      <c r="V1046" s="13">
        <v>45175</v>
      </c>
      <c r="W1046">
        <v>1</v>
      </c>
      <c r="X1046">
        <v>1</v>
      </c>
      <c r="Y1046" t="s">
        <v>3680</v>
      </c>
      <c r="AC1046">
        <v>4570</v>
      </c>
      <c r="AD1046" t="e" vm="1037">
        <v>#VALUE!</v>
      </c>
    </row>
    <row r="1047" spans="2:30" x14ac:dyDescent="0.25">
      <c r="B1047">
        <v>4572</v>
      </c>
      <c r="C1047" t="s">
        <v>3662</v>
      </c>
      <c r="D1047" t="s">
        <v>3679</v>
      </c>
      <c r="E1047" t="s">
        <v>3824</v>
      </c>
      <c r="F1047" t="s">
        <v>110</v>
      </c>
      <c r="G1047" t="s">
        <v>109</v>
      </c>
      <c r="H1047" t="s">
        <v>3808</v>
      </c>
      <c r="I1047" t="s">
        <v>3809</v>
      </c>
      <c r="J1047" t="s">
        <v>3810</v>
      </c>
      <c r="K1047" t="s">
        <v>101</v>
      </c>
      <c r="L1047" s="13">
        <v>38468</v>
      </c>
      <c r="M1047">
        <v>18</v>
      </c>
      <c r="N1047" t="s">
        <v>79</v>
      </c>
      <c r="O1047" t="s">
        <v>3873</v>
      </c>
      <c r="P1047" t="s">
        <v>76</v>
      </c>
      <c r="Q1047" t="s">
        <v>76</v>
      </c>
      <c r="R1047" t="s">
        <v>95</v>
      </c>
      <c r="S1047" t="s">
        <v>76</v>
      </c>
      <c r="T1047" t="s">
        <v>76</v>
      </c>
      <c r="U1047">
        <v>1</v>
      </c>
      <c r="V1047" s="13">
        <v>45175</v>
      </c>
      <c r="W1047">
        <v>1</v>
      </c>
      <c r="X1047">
        <v>1</v>
      </c>
      <c r="Y1047" t="s">
        <v>3680</v>
      </c>
      <c r="AC1047">
        <v>4572</v>
      </c>
      <c r="AD1047" t="e" vm="1038">
        <v>#VALUE!</v>
      </c>
    </row>
    <row r="1048" spans="2:30" x14ac:dyDescent="0.25">
      <c r="B1048">
        <v>4573</v>
      </c>
      <c r="C1048" t="s">
        <v>3662</v>
      </c>
      <c r="D1048" t="s">
        <v>3679</v>
      </c>
      <c r="E1048" t="s">
        <v>3824</v>
      </c>
      <c r="F1048" t="s">
        <v>110</v>
      </c>
      <c r="G1048" t="s">
        <v>109</v>
      </c>
      <c r="H1048" t="s">
        <v>3808</v>
      </c>
      <c r="I1048" t="s">
        <v>3809</v>
      </c>
      <c r="J1048" t="s">
        <v>3810</v>
      </c>
      <c r="K1048" t="s">
        <v>101</v>
      </c>
      <c r="L1048" s="13">
        <v>38457</v>
      </c>
      <c r="M1048">
        <v>18</v>
      </c>
      <c r="N1048" t="s">
        <v>79</v>
      </c>
      <c r="O1048" t="s">
        <v>3873</v>
      </c>
      <c r="P1048" t="s">
        <v>76</v>
      </c>
      <c r="Q1048" t="s">
        <v>76</v>
      </c>
      <c r="R1048" t="s">
        <v>95</v>
      </c>
      <c r="S1048" t="s">
        <v>76</v>
      </c>
      <c r="T1048" t="s">
        <v>76</v>
      </c>
      <c r="U1048">
        <v>1</v>
      </c>
      <c r="V1048" s="13">
        <v>45175</v>
      </c>
      <c r="W1048">
        <v>1</v>
      </c>
      <c r="X1048">
        <v>1</v>
      </c>
      <c r="Y1048" t="s">
        <v>3680</v>
      </c>
      <c r="AC1048">
        <v>4573</v>
      </c>
      <c r="AD1048" t="e" vm="1039">
        <v>#VALUE!</v>
      </c>
    </row>
    <row r="1049" spans="2:30" x14ac:dyDescent="0.25">
      <c r="B1049">
        <v>4574</v>
      </c>
      <c r="C1049" t="s">
        <v>3662</v>
      </c>
      <c r="D1049" t="s">
        <v>3679</v>
      </c>
      <c r="E1049" t="s">
        <v>3824</v>
      </c>
      <c r="F1049" t="s">
        <v>110</v>
      </c>
      <c r="G1049" t="s">
        <v>109</v>
      </c>
      <c r="H1049" t="s">
        <v>3808</v>
      </c>
      <c r="I1049" t="s">
        <v>3809</v>
      </c>
      <c r="J1049" t="s">
        <v>3810</v>
      </c>
      <c r="K1049" t="s">
        <v>101</v>
      </c>
      <c r="L1049" s="13">
        <v>38457</v>
      </c>
      <c r="M1049">
        <v>18</v>
      </c>
      <c r="N1049" t="s">
        <v>79</v>
      </c>
      <c r="O1049" t="s">
        <v>3873</v>
      </c>
      <c r="P1049" t="s">
        <v>76</v>
      </c>
      <c r="Q1049" t="s">
        <v>76</v>
      </c>
      <c r="R1049" t="s">
        <v>95</v>
      </c>
      <c r="S1049" t="s">
        <v>76</v>
      </c>
      <c r="T1049" t="s">
        <v>76</v>
      </c>
      <c r="U1049">
        <v>1</v>
      </c>
      <c r="V1049" s="13">
        <v>45175</v>
      </c>
      <c r="W1049">
        <v>1</v>
      </c>
      <c r="X1049">
        <v>1</v>
      </c>
      <c r="Y1049" t="s">
        <v>3680</v>
      </c>
      <c r="AC1049">
        <v>4574</v>
      </c>
      <c r="AD1049" t="e" vm="1040">
        <v>#VALUE!</v>
      </c>
    </row>
    <row r="1050" spans="2:30" x14ac:dyDescent="0.25">
      <c r="B1050">
        <v>4575</v>
      </c>
      <c r="C1050" t="s">
        <v>3662</v>
      </c>
      <c r="D1050" t="s">
        <v>3679</v>
      </c>
      <c r="E1050" t="s">
        <v>3824</v>
      </c>
      <c r="F1050" t="s">
        <v>110</v>
      </c>
      <c r="G1050" t="s">
        <v>109</v>
      </c>
      <c r="H1050" t="s">
        <v>3808</v>
      </c>
      <c r="I1050" t="s">
        <v>3809</v>
      </c>
      <c r="J1050" t="s">
        <v>3810</v>
      </c>
      <c r="K1050" t="s">
        <v>101</v>
      </c>
      <c r="L1050" s="13">
        <v>38468</v>
      </c>
      <c r="M1050">
        <v>18</v>
      </c>
      <c r="N1050" t="s">
        <v>79</v>
      </c>
      <c r="O1050" t="s">
        <v>3873</v>
      </c>
      <c r="P1050" t="s">
        <v>76</v>
      </c>
      <c r="Q1050" t="s">
        <v>76</v>
      </c>
      <c r="R1050" t="s">
        <v>95</v>
      </c>
      <c r="S1050" t="s">
        <v>76</v>
      </c>
      <c r="T1050" t="s">
        <v>76</v>
      </c>
      <c r="U1050">
        <v>1</v>
      </c>
      <c r="V1050" s="13">
        <v>45175</v>
      </c>
      <c r="W1050">
        <v>1</v>
      </c>
      <c r="X1050">
        <v>1</v>
      </c>
      <c r="Y1050" t="s">
        <v>3680</v>
      </c>
      <c r="AC1050">
        <v>4575</v>
      </c>
      <c r="AD1050" t="e" vm="1041">
        <v>#VALUE!</v>
      </c>
    </row>
    <row r="1051" spans="2:30" x14ac:dyDescent="0.25">
      <c r="B1051">
        <v>4576</v>
      </c>
      <c r="C1051" t="s">
        <v>3662</v>
      </c>
      <c r="D1051" t="s">
        <v>3679</v>
      </c>
      <c r="E1051" t="s">
        <v>3824</v>
      </c>
      <c r="F1051" t="s">
        <v>110</v>
      </c>
      <c r="G1051" t="s">
        <v>109</v>
      </c>
      <c r="H1051" t="s">
        <v>3808</v>
      </c>
      <c r="I1051" t="s">
        <v>3809</v>
      </c>
      <c r="J1051" t="s">
        <v>3810</v>
      </c>
      <c r="K1051" t="s">
        <v>101</v>
      </c>
      <c r="L1051" s="13">
        <v>38461</v>
      </c>
      <c r="M1051">
        <v>18</v>
      </c>
      <c r="N1051" t="s">
        <v>79</v>
      </c>
      <c r="O1051" t="s">
        <v>3873</v>
      </c>
      <c r="P1051" t="s">
        <v>76</v>
      </c>
      <c r="Q1051" t="s">
        <v>76</v>
      </c>
      <c r="R1051" t="s">
        <v>95</v>
      </c>
      <c r="S1051" t="s">
        <v>76</v>
      </c>
      <c r="T1051" t="s">
        <v>76</v>
      </c>
      <c r="U1051">
        <v>1</v>
      </c>
      <c r="V1051" s="13">
        <v>45175</v>
      </c>
      <c r="W1051">
        <v>1</v>
      </c>
      <c r="X1051">
        <v>1</v>
      </c>
      <c r="Y1051" t="s">
        <v>3680</v>
      </c>
      <c r="AC1051">
        <v>4576</v>
      </c>
      <c r="AD1051" t="e" vm="1042">
        <v>#VALUE!</v>
      </c>
    </row>
    <row r="1052" spans="2:30" x14ac:dyDescent="0.25">
      <c r="B1052">
        <v>4577</v>
      </c>
      <c r="C1052" t="s">
        <v>3662</v>
      </c>
      <c r="D1052" t="s">
        <v>3679</v>
      </c>
      <c r="E1052" t="s">
        <v>3824</v>
      </c>
      <c r="F1052" t="s">
        <v>110</v>
      </c>
      <c r="G1052" t="s">
        <v>109</v>
      </c>
      <c r="H1052" t="s">
        <v>3808</v>
      </c>
      <c r="I1052" t="s">
        <v>3809</v>
      </c>
      <c r="J1052" t="s">
        <v>3810</v>
      </c>
      <c r="K1052" t="s">
        <v>101</v>
      </c>
      <c r="L1052" s="13">
        <v>38462</v>
      </c>
      <c r="M1052">
        <v>18</v>
      </c>
      <c r="N1052" t="s">
        <v>79</v>
      </c>
      <c r="O1052" t="s">
        <v>3873</v>
      </c>
      <c r="P1052" t="s">
        <v>76</v>
      </c>
      <c r="Q1052" t="s">
        <v>76</v>
      </c>
      <c r="R1052" t="s">
        <v>95</v>
      </c>
      <c r="S1052" t="s">
        <v>76</v>
      </c>
      <c r="T1052" t="s">
        <v>76</v>
      </c>
      <c r="U1052">
        <v>1</v>
      </c>
      <c r="V1052" s="13">
        <v>45175</v>
      </c>
      <c r="W1052">
        <v>1</v>
      </c>
      <c r="X1052">
        <v>1</v>
      </c>
      <c r="Y1052" t="s">
        <v>3680</v>
      </c>
      <c r="AC1052">
        <v>4577</v>
      </c>
      <c r="AD1052" t="e" vm="1043">
        <v>#VALUE!</v>
      </c>
    </row>
    <row r="1053" spans="2:30" x14ac:dyDescent="0.25">
      <c r="B1053">
        <v>4578</v>
      </c>
      <c r="C1053" t="s">
        <v>3662</v>
      </c>
      <c r="D1053" t="s">
        <v>3679</v>
      </c>
      <c r="E1053" t="s">
        <v>3824</v>
      </c>
      <c r="F1053" t="s">
        <v>110</v>
      </c>
      <c r="G1053" t="s">
        <v>109</v>
      </c>
      <c r="H1053" t="s">
        <v>3808</v>
      </c>
      <c r="I1053" t="s">
        <v>3809</v>
      </c>
      <c r="J1053" t="s">
        <v>3810</v>
      </c>
      <c r="K1053" t="s">
        <v>101</v>
      </c>
      <c r="L1053" s="13">
        <v>38463</v>
      </c>
      <c r="M1053">
        <v>18</v>
      </c>
      <c r="N1053" t="s">
        <v>79</v>
      </c>
      <c r="O1053" t="s">
        <v>3873</v>
      </c>
      <c r="P1053" t="s">
        <v>76</v>
      </c>
      <c r="Q1053" t="s">
        <v>76</v>
      </c>
      <c r="R1053" t="s">
        <v>95</v>
      </c>
      <c r="S1053" t="s">
        <v>76</v>
      </c>
      <c r="T1053" t="s">
        <v>76</v>
      </c>
      <c r="U1053">
        <v>1</v>
      </c>
      <c r="V1053" s="13">
        <v>45175</v>
      </c>
      <c r="W1053">
        <v>1</v>
      </c>
      <c r="X1053">
        <v>1</v>
      </c>
      <c r="Y1053" t="s">
        <v>3680</v>
      </c>
      <c r="AC1053">
        <v>4578</v>
      </c>
      <c r="AD1053" t="e" vm="1044">
        <v>#VALUE!</v>
      </c>
    </row>
    <row r="1054" spans="2:30" x14ac:dyDescent="0.25">
      <c r="B1054">
        <v>4579</v>
      </c>
      <c r="C1054" t="s">
        <v>3659</v>
      </c>
      <c r="D1054" t="s">
        <v>3675</v>
      </c>
      <c r="E1054" t="s">
        <v>3820</v>
      </c>
      <c r="F1054" t="s">
        <v>85</v>
      </c>
      <c r="G1054" t="s">
        <v>107</v>
      </c>
      <c r="H1054" t="s">
        <v>3808</v>
      </c>
      <c r="I1054" t="s">
        <v>3809</v>
      </c>
      <c r="J1054" t="s">
        <v>3810</v>
      </c>
      <c r="K1054" t="s">
        <v>101</v>
      </c>
      <c r="L1054" s="13">
        <v>38464</v>
      </c>
      <c r="M1054">
        <v>18</v>
      </c>
      <c r="N1054" t="s">
        <v>88</v>
      </c>
      <c r="O1054" t="s">
        <v>3873</v>
      </c>
      <c r="P1054" t="s">
        <v>76</v>
      </c>
      <c r="Q1054" t="s">
        <v>76</v>
      </c>
      <c r="R1054" t="s">
        <v>95</v>
      </c>
      <c r="S1054" t="s">
        <v>76</v>
      </c>
      <c r="T1054" t="s">
        <v>76</v>
      </c>
      <c r="U1054">
        <v>1</v>
      </c>
      <c r="V1054" s="13">
        <v>45175</v>
      </c>
      <c r="W1054">
        <v>1</v>
      </c>
      <c r="X1054">
        <v>1</v>
      </c>
      <c r="Y1054" t="s">
        <v>3676</v>
      </c>
      <c r="AC1054">
        <v>4579</v>
      </c>
      <c r="AD1054" t="e" vm="1045">
        <v>#VALUE!</v>
      </c>
    </row>
    <row r="1055" spans="2:30" x14ac:dyDescent="0.25">
      <c r="B1055">
        <v>4588</v>
      </c>
      <c r="C1055" t="s">
        <v>3659</v>
      </c>
      <c r="D1055" t="s">
        <v>3675</v>
      </c>
      <c r="E1055" t="s">
        <v>3820</v>
      </c>
      <c r="F1055" t="s">
        <v>85</v>
      </c>
      <c r="G1055" t="s">
        <v>107</v>
      </c>
      <c r="H1055" t="s">
        <v>3808</v>
      </c>
      <c r="I1055" t="s">
        <v>3809</v>
      </c>
      <c r="J1055" t="s">
        <v>3810</v>
      </c>
      <c r="K1055" t="s">
        <v>101</v>
      </c>
      <c r="L1055" s="13">
        <v>38475</v>
      </c>
      <c r="M1055">
        <v>18</v>
      </c>
      <c r="N1055" t="s">
        <v>88</v>
      </c>
      <c r="O1055" t="s">
        <v>3873</v>
      </c>
      <c r="P1055" t="s">
        <v>76</v>
      </c>
      <c r="Q1055" t="s">
        <v>76</v>
      </c>
      <c r="R1055" t="s">
        <v>95</v>
      </c>
      <c r="S1055" t="s">
        <v>76</v>
      </c>
      <c r="T1055" t="s">
        <v>76</v>
      </c>
      <c r="U1055">
        <v>1</v>
      </c>
      <c r="V1055" s="13">
        <v>45175</v>
      </c>
      <c r="W1055">
        <v>1</v>
      </c>
      <c r="X1055">
        <v>1</v>
      </c>
      <c r="Y1055" t="s">
        <v>3676</v>
      </c>
      <c r="AC1055">
        <v>4588</v>
      </c>
      <c r="AD1055" t="e" vm="1046">
        <v>#VALUE!</v>
      </c>
    </row>
    <row r="1056" spans="2:30" x14ac:dyDescent="0.25">
      <c r="B1056">
        <v>4590</v>
      </c>
      <c r="C1056" t="s">
        <v>3668</v>
      </c>
      <c r="D1056" t="s">
        <v>3669</v>
      </c>
      <c r="E1056" t="s">
        <v>3817</v>
      </c>
      <c r="F1056" t="s">
        <v>81</v>
      </c>
      <c r="G1056" t="s">
        <v>80</v>
      </c>
      <c r="H1056" t="s">
        <v>3808</v>
      </c>
      <c r="I1056" t="s">
        <v>3809</v>
      </c>
      <c r="J1056" t="s">
        <v>3810</v>
      </c>
      <c r="K1056" t="s">
        <v>101</v>
      </c>
      <c r="L1056" s="13">
        <v>38483</v>
      </c>
      <c r="M1056">
        <v>18</v>
      </c>
      <c r="N1056" t="s">
        <v>82</v>
      </c>
      <c r="O1056" t="s">
        <v>3873</v>
      </c>
      <c r="P1056" t="s">
        <v>76</v>
      </c>
      <c r="Q1056" t="s">
        <v>76</v>
      </c>
      <c r="R1056" t="s">
        <v>95</v>
      </c>
      <c r="S1056" t="s">
        <v>76</v>
      </c>
      <c r="T1056" t="s">
        <v>76</v>
      </c>
      <c r="U1056">
        <v>1</v>
      </c>
      <c r="V1056" s="13">
        <v>45175</v>
      </c>
      <c r="W1056">
        <v>1</v>
      </c>
      <c r="X1056">
        <v>1</v>
      </c>
      <c r="Y1056" t="s">
        <v>3670</v>
      </c>
      <c r="AC1056">
        <v>4590</v>
      </c>
      <c r="AD1056" t="e" vm="1047">
        <v>#VALUE!</v>
      </c>
    </row>
    <row r="1057" spans="2:30" x14ac:dyDescent="0.25">
      <c r="B1057">
        <v>4591</v>
      </c>
      <c r="C1057" t="s">
        <v>3668</v>
      </c>
      <c r="D1057" t="s">
        <v>3669</v>
      </c>
      <c r="E1057" t="s">
        <v>3817</v>
      </c>
      <c r="F1057" t="s">
        <v>81</v>
      </c>
      <c r="G1057" t="s">
        <v>80</v>
      </c>
      <c r="H1057" t="s">
        <v>3808</v>
      </c>
      <c r="I1057" t="s">
        <v>3809</v>
      </c>
      <c r="J1057" t="s">
        <v>3810</v>
      </c>
      <c r="K1057" t="s">
        <v>101</v>
      </c>
      <c r="L1057" s="13">
        <v>38483</v>
      </c>
      <c r="M1057">
        <v>18</v>
      </c>
      <c r="N1057" t="s">
        <v>82</v>
      </c>
      <c r="O1057" t="s">
        <v>3873</v>
      </c>
      <c r="P1057" t="s">
        <v>76</v>
      </c>
      <c r="Q1057" t="s">
        <v>76</v>
      </c>
      <c r="R1057" t="s">
        <v>95</v>
      </c>
      <c r="S1057" t="s">
        <v>76</v>
      </c>
      <c r="T1057" t="s">
        <v>76</v>
      </c>
      <c r="U1057">
        <v>1</v>
      </c>
      <c r="V1057" s="13">
        <v>45175</v>
      </c>
      <c r="W1057">
        <v>1</v>
      </c>
      <c r="X1057">
        <v>1</v>
      </c>
      <c r="Y1057" t="s">
        <v>3670</v>
      </c>
      <c r="AC1057">
        <v>4591</v>
      </c>
      <c r="AD1057" t="e" vm="1048">
        <v>#VALUE!</v>
      </c>
    </row>
    <row r="1058" spans="2:30" x14ac:dyDescent="0.25">
      <c r="B1058">
        <v>4592</v>
      </c>
      <c r="C1058" t="s">
        <v>3668</v>
      </c>
      <c r="D1058" t="s">
        <v>3669</v>
      </c>
      <c r="E1058" t="s">
        <v>3817</v>
      </c>
      <c r="F1058" t="s">
        <v>81</v>
      </c>
      <c r="G1058" t="s">
        <v>80</v>
      </c>
      <c r="H1058" t="s">
        <v>3808</v>
      </c>
      <c r="I1058" t="s">
        <v>3809</v>
      </c>
      <c r="J1058" t="s">
        <v>3810</v>
      </c>
      <c r="K1058" t="s">
        <v>101</v>
      </c>
      <c r="L1058" s="13">
        <v>38483</v>
      </c>
      <c r="M1058">
        <v>18</v>
      </c>
      <c r="N1058" t="s">
        <v>82</v>
      </c>
      <c r="O1058" t="s">
        <v>3873</v>
      </c>
      <c r="P1058" t="s">
        <v>76</v>
      </c>
      <c r="Q1058" t="s">
        <v>76</v>
      </c>
      <c r="R1058" t="s">
        <v>95</v>
      </c>
      <c r="S1058" t="s">
        <v>76</v>
      </c>
      <c r="T1058" t="s">
        <v>76</v>
      </c>
      <c r="U1058">
        <v>1</v>
      </c>
      <c r="V1058" s="13">
        <v>45175</v>
      </c>
      <c r="W1058">
        <v>1</v>
      </c>
      <c r="X1058">
        <v>1</v>
      </c>
      <c r="Y1058" t="s">
        <v>3670</v>
      </c>
      <c r="AC1058">
        <v>4592</v>
      </c>
      <c r="AD1058" t="e" vm="1049">
        <v>#VALUE!</v>
      </c>
    </row>
    <row r="1059" spans="2:30" x14ac:dyDescent="0.25">
      <c r="B1059">
        <v>4593</v>
      </c>
      <c r="C1059" t="s">
        <v>3668</v>
      </c>
      <c r="D1059" t="s">
        <v>73</v>
      </c>
      <c r="E1059" t="s">
        <v>73</v>
      </c>
      <c r="F1059" t="s">
        <v>3816</v>
      </c>
      <c r="G1059" t="s">
        <v>3816</v>
      </c>
      <c r="H1059" t="s">
        <v>3808</v>
      </c>
      <c r="I1059" t="s">
        <v>3809</v>
      </c>
      <c r="J1059" t="s">
        <v>3810</v>
      </c>
      <c r="K1059" t="s">
        <v>101</v>
      </c>
      <c r="L1059" s="13">
        <v>38483</v>
      </c>
      <c r="M1059">
        <v>18</v>
      </c>
      <c r="N1059" t="s">
        <v>82</v>
      </c>
      <c r="O1059" t="s">
        <v>3873</v>
      </c>
      <c r="P1059" t="s">
        <v>76</v>
      </c>
      <c r="Q1059" t="s">
        <v>76</v>
      </c>
      <c r="R1059" t="s">
        <v>95</v>
      </c>
      <c r="S1059" t="s">
        <v>76</v>
      </c>
      <c r="T1059" t="s">
        <v>76</v>
      </c>
      <c r="U1059">
        <v>1</v>
      </c>
      <c r="V1059" s="13">
        <v>45175</v>
      </c>
      <c r="W1059">
        <v>1</v>
      </c>
      <c r="X1059">
        <v>1</v>
      </c>
      <c r="Y1059" t="s">
        <v>3721</v>
      </c>
      <c r="AC1059">
        <v>4593</v>
      </c>
      <c r="AD1059" t="e" vm="1050">
        <v>#VALUE!</v>
      </c>
    </row>
    <row r="1060" spans="2:30" x14ac:dyDescent="0.25">
      <c r="B1060">
        <v>4594</v>
      </c>
      <c r="C1060" t="s">
        <v>3668</v>
      </c>
      <c r="D1060" t="s">
        <v>3669</v>
      </c>
      <c r="E1060" t="s">
        <v>3817</v>
      </c>
      <c r="F1060" t="s">
        <v>81</v>
      </c>
      <c r="G1060" t="s">
        <v>80</v>
      </c>
      <c r="H1060" t="s">
        <v>3808</v>
      </c>
      <c r="I1060" t="s">
        <v>3809</v>
      </c>
      <c r="J1060" t="s">
        <v>3810</v>
      </c>
      <c r="K1060" t="s">
        <v>101</v>
      </c>
      <c r="L1060" s="13">
        <v>38484</v>
      </c>
      <c r="M1060">
        <v>18</v>
      </c>
      <c r="N1060" t="s">
        <v>82</v>
      </c>
      <c r="O1060" t="s">
        <v>3873</v>
      </c>
      <c r="P1060" t="s">
        <v>76</v>
      </c>
      <c r="Q1060" t="s">
        <v>76</v>
      </c>
      <c r="R1060" t="s">
        <v>95</v>
      </c>
      <c r="S1060" t="s">
        <v>76</v>
      </c>
      <c r="T1060" t="s">
        <v>76</v>
      </c>
      <c r="U1060">
        <v>1</v>
      </c>
      <c r="V1060" s="13">
        <v>45175</v>
      </c>
      <c r="W1060">
        <v>1</v>
      </c>
      <c r="X1060">
        <v>1</v>
      </c>
      <c r="Y1060" t="s">
        <v>3670</v>
      </c>
      <c r="AC1060">
        <v>4594</v>
      </c>
      <c r="AD1060" t="e" vm="1051">
        <v>#VALUE!</v>
      </c>
    </row>
    <row r="1061" spans="2:30" x14ac:dyDescent="0.25">
      <c r="B1061">
        <v>4595</v>
      </c>
      <c r="C1061" t="s">
        <v>3668</v>
      </c>
      <c r="D1061" t="s">
        <v>3669</v>
      </c>
      <c r="E1061" t="s">
        <v>3817</v>
      </c>
      <c r="F1061" t="s">
        <v>81</v>
      </c>
      <c r="G1061" t="s">
        <v>80</v>
      </c>
      <c r="H1061" t="s">
        <v>3808</v>
      </c>
      <c r="I1061" t="s">
        <v>3809</v>
      </c>
      <c r="J1061" t="s">
        <v>3810</v>
      </c>
      <c r="K1061" t="s">
        <v>101</v>
      </c>
      <c r="L1061" s="13">
        <v>38483</v>
      </c>
      <c r="M1061">
        <v>18</v>
      </c>
      <c r="N1061" t="s">
        <v>82</v>
      </c>
      <c r="O1061" t="s">
        <v>3873</v>
      </c>
      <c r="P1061" t="s">
        <v>76</v>
      </c>
      <c r="Q1061" t="s">
        <v>76</v>
      </c>
      <c r="R1061" t="s">
        <v>95</v>
      </c>
      <c r="S1061" t="s">
        <v>76</v>
      </c>
      <c r="T1061" t="s">
        <v>76</v>
      </c>
      <c r="U1061">
        <v>1</v>
      </c>
      <c r="V1061" s="13">
        <v>45175</v>
      </c>
      <c r="W1061">
        <v>1</v>
      </c>
      <c r="X1061">
        <v>1</v>
      </c>
      <c r="Y1061" t="s">
        <v>3670</v>
      </c>
      <c r="AC1061">
        <v>4595</v>
      </c>
      <c r="AD1061" t="e" vm="1052">
        <v>#VALUE!</v>
      </c>
    </row>
    <row r="1062" spans="2:30" x14ac:dyDescent="0.25">
      <c r="B1062">
        <v>4597</v>
      </c>
      <c r="C1062" t="s">
        <v>3668</v>
      </c>
      <c r="D1062" t="s">
        <v>3669</v>
      </c>
      <c r="E1062" t="s">
        <v>3817</v>
      </c>
      <c r="F1062" t="s">
        <v>81</v>
      </c>
      <c r="G1062" t="s">
        <v>80</v>
      </c>
      <c r="H1062" t="s">
        <v>3808</v>
      </c>
      <c r="I1062" t="s">
        <v>3809</v>
      </c>
      <c r="J1062" t="s">
        <v>3810</v>
      </c>
      <c r="K1062" t="s">
        <v>101</v>
      </c>
      <c r="L1062" s="13">
        <v>38491</v>
      </c>
      <c r="M1062">
        <v>18</v>
      </c>
      <c r="N1062" t="s">
        <v>82</v>
      </c>
      <c r="O1062" t="s">
        <v>3873</v>
      </c>
      <c r="P1062" t="s">
        <v>76</v>
      </c>
      <c r="Q1062" t="s">
        <v>76</v>
      </c>
      <c r="R1062" t="s">
        <v>95</v>
      </c>
      <c r="S1062" t="s">
        <v>76</v>
      </c>
      <c r="T1062" t="s">
        <v>76</v>
      </c>
      <c r="U1062">
        <v>1</v>
      </c>
      <c r="V1062" s="13">
        <v>45175</v>
      </c>
      <c r="W1062">
        <v>1</v>
      </c>
      <c r="X1062">
        <v>1</v>
      </c>
      <c r="Y1062" t="s">
        <v>3670</v>
      </c>
      <c r="AC1062">
        <v>4597</v>
      </c>
      <c r="AD1062" t="e" vm="1053">
        <v>#VALUE!</v>
      </c>
    </row>
    <row r="1063" spans="2:30" x14ac:dyDescent="0.25">
      <c r="B1063">
        <v>4598</v>
      </c>
      <c r="C1063" t="s">
        <v>3668</v>
      </c>
      <c r="D1063" t="s">
        <v>3669</v>
      </c>
      <c r="E1063" t="s">
        <v>3817</v>
      </c>
      <c r="F1063" t="s">
        <v>81</v>
      </c>
      <c r="G1063" t="s">
        <v>80</v>
      </c>
      <c r="H1063" t="s">
        <v>3808</v>
      </c>
      <c r="I1063" t="s">
        <v>3809</v>
      </c>
      <c r="J1063" t="s">
        <v>3810</v>
      </c>
      <c r="K1063" t="s">
        <v>101</v>
      </c>
      <c r="L1063" s="13">
        <v>38490</v>
      </c>
      <c r="M1063">
        <v>18</v>
      </c>
      <c r="N1063" t="s">
        <v>82</v>
      </c>
      <c r="O1063" t="s">
        <v>3873</v>
      </c>
      <c r="P1063" t="s">
        <v>76</v>
      </c>
      <c r="Q1063" t="s">
        <v>76</v>
      </c>
      <c r="R1063" t="s">
        <v>95</v>
      </c>
      <c r="S1063" t="s">
        <v>76</v>
      </c>
      <c r="T1063" t="s">
        <v>76</v>
      </c>
      <c r="U1063">
        <v>1</v>
      </c>
      <c r="V1063" s="13">
        <v>45175</v>
      </c>
      <c r="W1063">
        <v>1</v>
      </c>
      <c r="X1063">
        <v>1</v>
      </c>
      <c r="Y1063" t="s">
        <v>3670</v>
      </c>
      <c r="AC1063">
        <v>4598</v>
      </c>
      <c r="AD1063" t="e" vm="1054">
        <v>#VALUE!</v>
      </c>
    </row>
    <row r="1064" spans="2:30" x14ac:dyDescent="0.25">
      <c r="B1064">
        <v>4599</v>
      </c>
      <c r="C1064" t="s">
        <v>3668</v>
      </c>
      <c r="D1064" t="s">
        <v>3703</v>
      </c>
      <c r="E1064" t="s">
        <v>3846</v>
      </c>
      <c r="F1064" t="s">
        <v>111</v>
      </c>
      <c r="G1064" t="s">
        <v>109</v>
      </c>
      <c r="H1064" t="s">
        <v>3808</v>
      </c>
      <c r="I1064" t="s">
        <v>3809</v>
      </c>
      <c r="J1064" t="s">
        <v>3810</v>
      </c>
      <c r="K1064" t="s">
        <v>101</v>
      </c>
      <c r="L1064" s="13">
        <v>38490</v>
      </c>
      <c r="M1064">
        <v>18</v>
      </c>
      <c r="N1064" t="s">
        <v>82</v>
      </c>
      <c r="O1064" t="s">
        <v>3873</v>
      </c>
      <c r="P1064" t="s">
        <v>76</v>
      </c>
      <c r="Q1064" t="s">
        <v>76</v>
      </c>
      <c r="R1064" t="s">
        <v>95</v>
      </c>
      <c r="S1064" t="s">
        <v>76</v>
      </c>
      <c r="T1064" t="s">
        <v>76</v>
      </c>
      <c r="U1064">
        <v>1</v>
      </c>
      <c r="V1064" s="13">
        <v>45175</v>
      </c>
      <c r="W1064">
        <v>1</v>
      </c>
      <c r="X1064">
        <v>1</v>
      </c>
      <c r="Y1064" t="s">
        <v>3735</v>
      </c>
      <c r="AC1064">
        <v>4599</v>
      </c>
      <c r="AD1064" t="e" vm="1055">
        <v>#VALUE!</v>
      </c>
    </row>
    <row r="1065" spans="2:30" x14ac:dyDescent="0.25">
      <c r="B1065">
        <v>4600</v>
      </c>
      <c r="C1065" t="s">
        <v>3668</v>
      </c>
      <c r="D1065" t="s">
        <v>3669</v>
      </c>
      <c r="E1065" t="s">
        <v>3817</v>
      </c>
      <c r="F1065" t="s">
        <v>81</v>
      </c>
      <c r="G1065" t="s">
        <v>80</v>
      </c>
      <c r="H1065" t="s">
        <v>3808</v>
      </c>
      <c r="I1065" t="s">
        <v>3809</v>
      </c>
      <c r="J1065" t="s">
        <v>3810</v>
      </c>
      <c r="K1065" t="s">
        <v>101</v>
      </c>
      <c r="L1065" s="13">
        <v>38491</v>
      </c>
      <c r="M1065">
        <v>18</v>
      </c>
      <c r="N1065" t="s">
        <v>82</v>
      </c>
      <c r="O1065" t="s">
        <v>3873</v>
      </c>
      <c r="P1065" t="s">
        <v>76</v>
      </c>
      <c r="Q1065" t="s">
        <v>76</v>
      </c>
      <c r="R1065" t="s">
        <v>95</v>
      </c>
      <c r="S1065" t="s">
        <v>76</v>
      </c>
      <c r="T1065" t="s">
        <v>76</v>
      </c>
      <c r="U1065">
        <v>1</v>
      </c>
      <c r="V1065" s="13">
        <v>45175</v>
      </c>
      <c r="W1065">
        <v>1</v>
      </c>
      <c r="X1065">
        <v>1</v>
      </c>
      <c r="Y1065" t="s">
        <v>3670</v>
      </c>
      <c r="AC1065">
        <v>4600</v>
      </c>
      <c r="AD1065" t="e" vm="1056">
        <v>#VALUE!</v>
      </c>
    </row>
    <row r="1066" spans="2:30" x14ac:dyDescent="0.25">
      <c r="B1066">
        <v>4601</v>
      </c>
      <c r="C1066" t="s">
        <v>3668</v>
      </c>
      <c r="D1066" t="s">
        <v>3669</v>
      </c>
      <c r="E1066" t="s">
        <v>3817</v>
      </c>
      <c r="F1066" t="s">
        <v>81</v>
      </c>
      <c r="G1066" t="s">
        <v>80</v>
      </c>
      <c r="H1066" t="s">
        <v>3808</v>
      </c>
      <c r="I1066" t="s">
        <v>3809</v>
      </c>
      <c r="J1066" t="s">
        <v>3810</v>
      </c>
      <c r="K1066" t="s">
        <v>101</v>
      </c>
      <c r="L1066" s="13">
        <v>38491</v>
      </c>
      <c r="M1066">
        <v>18</v>
      </c>
      <c r="N1066" t="s">
        <v>82</v>
      </c>
      <c r="O1066" t="s">
        <v>3873</v>
      </c>
      <c r="P1066" t="s">
        <v>76</v>
      </c>
      <c r="Q1066" t="s">
        <v>76</v>
      </c>
      <c r="R1066" t="s">
        <v>95</v>
      </c>
      <c r="S1066" t="s">
        <v>76</v>
      </c>
      <c r="T1066" t="s">
        <v>76</v>
      </c>
      <c r="U1066">
        <v>1</v>
      </c>
      <c r="V1066" s="13">
        <v>45175</v>
      </c>
      <c r="W1066">
        <v>1</v>
      </c>
      <c r="X1066">
        <v>1</v>
      </c>
      <c r="Y1066" t="s">
        <v>3670</v>
      </c>
      <c r="AC1066">
        <v>4601</v>
      </c>
      <c r="AD1066" t="e" vm="1057">
        <v>#VALUE!</v>
      </c>
    </row>
    <row r="1067" spans="2:30" x14ac:dyDescent="0.25">
      <c r="B1067">
        <v>4602</v>
      </c>
      <c r="C1067" t="s">
        <v>3668</v>
      </c>
      <c r="D1067" t="s">
        <v>3669</v>
      </c>
      <c r="E1067" t="s">
        <v>3817</v>
      </c>
      <c r="F1067" t="s">
        <v>81</v>
      </c>
      <c r="G1067" t="s">
        <v>80</v>
      </c>
      <c r="H1067" t="s">
        <v>3808</v>
      </c>
      <c r="I1067" t="s">
        <v>3809</v>
      </c>
      <c r="J1067" t="s">
        <v>3810</v>
      </c>
      <c r="K1067" t="s">
        <v>101</v>
      </c>
      <c r="L1067" s="13">
        <v>38491</v>
      </c>
      <c r="M1067">
        <v>18</v>
      </c>
      <c r="N1067" t="s">
        <v>82</v>
      </c>
      <c r="O1067" t="s">
        <v>3873</v>
      </c>
      <c r="P1067" t="s">
        <v>76</v>
      </c>
      <c r="Q1067" t="s">
        <v>76</v>
      </c>
      <c r="R1067" t="s">
        <v>95</v>
      </c>
      <c r="S1067" t="s">
        <v>76</v>
      </c>
      <c r="T1067" t="s">
        <v>76</v>
      </c>
      <c r="U1067">
        <v>1</v>
      </c>
      <c r="V1067" s="13">
        <v>45175</v>
      </c>
      <c r="W1067">
        <v>1</v>
      </c>
      <c r="X1067">
        <v>1</v>
      </c>
      <c r="Y1067" t="s">
        <v>3670</v>
      </c>
      <c r="AC1067">
        <v>4602</v>
      </c>
      <c r="AD1067" t="e" vm="1058">
        <v>#VALUE!</v>
      </c>
    </row>
    <row r="1068" spans="2:30" x14ac:dyDescent="0.25">
      <c r="B1068">
        <v>4603</v>
      </c>
      <c r="C1068" t="s">
        <v>3698</v>
      </c>
      <c r="D1068" t="s">
        <v>73</v>
      </c>
      <c r="E1068" t="s">
        <v>73</v>
      </c>
      <c r="F1068" t="s">
        <v>3816</v>
      </c>
      <c r="G1068" t="s">
        <v>3816</v>
      </c>
      <c r="H1068" t="s">
        <v>3808</v>
      </c>
      <c r="I1068" t="s">
        <v>3821</v>
      </c>
      <c r="J1068" t="s">
        <v>3810</v>
      </c>
      <c r="K1068" t="s">
        <v>101</v>
      </c>
      <c r="L1068" s="13">
        <v>38187</v>
      </c>
      <c r="M1068">
        <v>19</v>
      </c>
      <c r="N1068" t="s">
        <v>98</v>
      </c>
      <c r="O1068" t="s">
        <v>3874</v>
      </c>
      <c r="P1068" t="s">
        <v>76</v>
      </c>
      <c r="Q1068" t="s">
        <v>76</v>
      </c>
      <c r="R1068" t="s">
        <v>95</v>
      </c>
      <c r="S1068" t="s">
        <v>76</v>
      </c>
      <c r="T1068" t="s">
        <v>76</v>
      </c>
      <c r="U1068">
        <v>1</v>
      </c>
      <c r="V1068" s="13">
        <v>45175</v>
      </c>
      <c r="W1068">
        <v>2</v>
      </c>
      <c r="X1068">
        <v>1</v>
      </c>
      <c r="Y1068" t="s">
        <v>3724</v>
      </c>
      <c r="AC1068">
        <v>4603</v>
      </c>
      <c r="AD1068" t="e" vm="1059">
        <v>#VALUE!</v>
      </c>
    </row>
    <row r="1069" spans="2:30" x14ac:dyDescent="0.25">
      <c r="B1069">
        <v>4604</v>
      </c>
      <c r="C1069" t="s">
        <v>3659</v>
      </c>
      <c r="D1069" t="s">
        <v>3660</v>
      </c>
      <c r="E1069" t="s">
        <v>3813</v>
      </c>
      <c r="F1069" t="s">
        <v>83</v>
      </c>
      <c r="G1069" t="s">
        <v>103</v>
      </c>
      <c r="H1069" t="s">
        <v>3808</v>
      </c>
      <c r="I1069" t="s">
        <v>3821</v>
      </c>
      <c r="J1069" t="s">
        <v>3810</v>
      </c>
      <c r="K1069" t="s">
        <v>101</v>
      </c>
      <c r="L1069" s="13">
        <v>38183</v>
      </c>
      <c r="M1069">
        <v>19</v>
      </c>
      <c r="N1069" t="s">
        <v>88</v>
      </c>
      <c r="O1069" t="s">
        <v>3874</v>
      </c>
      <c r="P1069" t="s">
        <v>76</v>
      </c>
      <c r="Q1069" t="s">
        <v>76</v>
      </c>
      <c r="R1069" t="s">
        <v>95</v>
      </c>
      <c r="S1069" t="s">
        <v>76</v>
      </c>
      <c r="T1069" t="s">
        <v>76</v>
      </c>
      <c r="U1069">
        <v>1</v>
      </c>
      <c r="V1069" s="13">
        <v>45175</v>
      </c>
      <c r="W1069">
        <v>1</v>
      </c>
      <c r="X1069">
        <v>1</v>
      </c>
      <c r="Y1069" t="s">
        <v>3661</v>
      </c>
      <c r="AC1069">
        <v>4604</v>
      </c>
      <c r="AD1069" t="e" vm="1060">
        <v>#VALUE!</v>
      </c>
    </row>
    <row r="1070" spans="2:30" x14ac:dyDescent="0.25">
      <c r="B1070">
        <v>4605</v>
      </c>
      <c r="C1070" t="s">
        <v>3659</v>
      </c>
      <c r="D1070" t="s">
        <v>3660</v>
      </c>
      <c r="E1070" t="s">
        <v>3813</v>
      </c>
      <c r="F1070" t="s">
        <v>83</v>
      </c>
      <c r="G1070" t="s">
        <v>103</v>
      </c>
      <c r="H1070" t="s">
        <v>3808</v>
      </c>
      <c r="I1070" t="s">
        <v>3821</v>
      </c>
      <c r="J1070" t="s">
        <v>3810</v>
      </c>
      <c r="K1070" t="s">
        <v>101</v>
      </c>
      <c r="L1070" s="13">
        <v>38182</v>
      </c>
      <c r="M1070">
        <v>19</v>
      </c>
      <c r="N1070" t="s">
        <v>88</v>
      </c>
      <c r="O1070" t="s">
        <v>3874</v>
      </c>
      <c r="P1070" t="s">
        <v>76</v>
      </c>
      <c r="Q1070" t="s">
        <v>76</v>
      </c>
      <c r="R1070" t="s">
        <v>95</v>
      </c>
      <c r="S1070" t="s">
        <v>76</v>
      </c>
      <c r="T1070" t="s">
        <v>76</v>
      </c>
      <c r="U1070">
        <v>1</v>
      </c>
      <c r="V1070" s="13">
        <v>45175</v>
      </c>
      <c r="W1070">
        <v>1</v>
      </c>
      <c r="X1070">
        <v>1</v>
      </c>
      <c r="Y1070" t="s">
        <v>3661</v>
      </c>
      <c r="AC1070">
        <v>4605</v>
      </c>
      <c r="AD1070" t="e" vm="1061">
        <v>#VALUE!</v>
      </c>
    </row>
    <row r="1071" spans="2:30" x14ac:dyDescent="0.25">
      <c r="B1071">
        <v>4606</v>
      </c>
      <c r="C1071" t="s">
        <v>3659</v>
      </c>
      <c r="D1071" t="s">
        <v>3660</v>
      </c>
      <c r="E1071" t="s">
        <v>3813</v>
      </c>
      <c r="F1071" t="s">
        <v>83</v>
      </c>
      <c r="G1071" t="s">
        <v>103</v>
      </c>
      <c r="H1071" t="s">
        <v>3808</v>
      </c>
      <c r="I1071" t="s">
        <v>3821</v>
      </c>
      <c r="J1071" t="s">
        <v>3810</v>
      </c>
      <c r="K1071" t="s">
        <v>101</v>
      </c>
      <c r="L1071" s="13">
        <v>38183</v>
      </c>
      <c r="M1071">
        <v>19</v>
      </c>
      <c r="N1071" t="s">
        <v>88</v>
      </c>
      <c r="O1071" t="s">
        <v>3874</v>
      </c>
      <c r="P1071" t="s">
        <v>76</v>
      </c>
      <c r="Q1071" t="s">
        <v>76</v>
      </c>
      <c r="R1071" t="s">
        <v>95</v>
      </c>
      <c r="S1071" t="s">
        <v>76</v>
      </c>
      <c r="T1071" t="s">
        <v>76</v>
      </c>
      <c r="U1071">
        <v>1</v>
      </c>
      <c r="V1071" s="13">
        <v>45175</v>
      </c>
      <c r="W1071">
        <v>1</v>
      </c>
      <c r="X1071">
        <v>1</v>
      </c>
      <c r="Y1071" t="s">
        <v>3661</v>
      </c>
      <c r="AC1071">
        <v>4606</v>
      </c>
      <c r="AD1071" t="e" vm="1062">
        <v>#VALUE!</v>
      </c>
    </row>
    <row r="1072" spans="2:30" x14ac:dyDescent="0.25">
      <c r="B1072">
        <v>4607</v>
      </c>
      <c r="C1072" t="s">
        <v>3698</v>
      </c>
      <c r="D1072" t="s">
        <v>3660</v>
      </c>
      <c r="E1072" t="s">
        <v>3813</v>
      </c>
      <c r="F1072" t="s">
        <v>83</v>
      </c>
      <c r="G1072" t="s">
        <v>103</v>
      </c>
      <c r="H1072" t="s">
        <v>3808</v>
      </c>
      <c r="I1072" t="s">
        <v>3821</v>
      </c>
      <c r="J1072" t="s">
        <v>3810</v>
      </c>
      <c r="K1072" t="s">
        <v>101</v>
      </c>
      <c r="L1072" s="13">
        <v>38184</v>
      </c>
      <c r="M1072">
        <v>19</v>
      </c>
      <c r="N1072" t="s">
        <v>98</v>
      </c>
      <c r="O1072" t="s">
        <v>3874</v>
      </c>
      <c r="P1072" t="s">
        <v>76</v>
      </c>
      <c r="Q1072" t="s">
        <v>76</v>
      </c>
      <c r="R1072" t="s">
        <v>95</v>
      </c>
      <c r="S1072" t="s">
        <v>76</v>
      </c>
      <c r="T1072" t="s">
        <v>76</v>
      </c>
      <c r="U1072">
        <v>1</v>
      </c>
      <c r="V1072" s="13">
        <v>45175</v>
      </c>
      <c r="W1072">
        <v>2</v>
      </c>
      <c r="X1072">
        <v>1</v>
      </c>
      <c r="Y1072" t="s">
        <v>3736</v>
      </c>
      <c r="AC1072">
        <v>4607</v>
      </c>
      <c r="AD1072" t="e" vm="1063">
        <v>#VALUE!</v>
      </c>
    </row>
    <row r="1073" spans="2:30" x14ac:dyDescent="0.25">
      <c r="B1073">
        <v>4608</v>
      </c>
      <c r="C1073" t="s">
        <v>3659</v>
      </c>
      <c r="D1073" t="s">
        <v>3660</v>
      </c>
      <c r="E1073" t="s">
        <v>3813</v>
      </c>
      <c r="F1073" t="s">
        <v>83</v>
      </c>
      <c r="G1073" t="s">
        <v>103</v>
      </c>
      <c r="H1073" t="s">
        <v>3808</v>
      </c>
      <c r="I1073" t="s">
        <v>3821</v>
      </c>
      <c r="J1073" t="s">
        <v>3810</v>
      </c>
      <c r="K1073" t="s">
        <v>101</v>
      </c>
      <c r="L1073" s="13">
        <v>38187</v>
      </c>
      <c r="M1073">
        <v>19</v>
      </c>
      <c r="N1073" t="s">
        <v>88</v>
      </c>
      <c r="O1073" t="s">
        <v>3874</v>
      </c>
      <c r="P1073" t="s">
        <v>76</v>
      </c>
      <c r="Q1073" t="s">
        <v>76</v>
      </c>
      <c r="R1073" t="s">
        <v>95</v>
      </c>
      <c r="S1073" t="s">
        <v>76</v>
      </c>
      <c r="T1073" t="s">
        <v>76</v>
      </c>
      <c r="U1073">
        <v>1</v>
      </c>
      <c r="V1073" s="13">
        <v>45175</v>
      </c>
      <c r="W1073">
        <v>1</v>
      </c>
      <c r="X1073">
        <v>1</v>
      </c>
      <c r="Y1073" t="s">
        <v>3661</v>
      </c>
      <c r="AC1073">
        <v>4608</v>
      </c>
      <c r="AD1073" t="e" vm="1064">
        <v>#VALUE!</v>
      </c>
    </row>
    <row r="1074" spans="2:30" x14ac:dyDescent="0.25">
      <c r="B1074">
        <v>4609</v>
      </c>
      <c r="C1074" t="s">
        <v>3659</v>
      </c>
      <c r="D1074" t="s">
        <v>3660</v>
      </c>
      <c r="E1074" t="s">
        <v>3813</v>
      </c>
      <c r="F1074" t="s">
        <v>83</v>
      </c>
      <c r="G1074" t="s">
        <v>103</v>
      </c>
      <c r="H1074" t="s">
        <v>3808</v>
      </c>
      <c r="I1074" t="s">
        <v>3821</v>
      </c>
      <c r="J1074" t="s">
        <v>3810</v>
      </c>
      <c r="K1074" t="s">
        <v>101</v>
      </c>
      <c r="L1074" s="13">
        <v>38187</v>
      </c>
      <c r="M1074">
        <v>19</v>
      </c>
      <c r="N1074" t="s">
        <v>88</v>
      </c>
      <c r="O1074" t="s">
        <v>3874</v>
      </c>
      <c r="P1074" t="s">
        <v>76</v>
      </c>
      <c r="Q1074" t="s">
        <v>76</v>
      </c>
      <c r="R1074" t="s">
        <v>95</v>
      </c>
      <c r="S1074" t="s">
        <v>76</v>
      </c>
      <c r="T1074" t="s">
        <v>76</v>
      </c>
      <c r="U1074">
        <v>1</v>
      </c>
      <c r="V1074" s="13">
        <v>45175</v>
      </c>
      <c r="W1074">
        <v>1</v>
      </c>
      <c r="X1074">
        <v>1</v>
      </c>
      <c r="Y1074" t="s">
        <v>3661</v>
      </c>
      <c r="AC1074">
        <v>4609</v>
      </c>
      <c r="AD1074" t="e" vm="1065">
        <v>#VALUE!</v>
      </c>
    </row>
    <row r="1075" spans="2:30" x14ac:dyDescent="0.25">
      <c r="B1075">
        <v>4610</v>
      </c>
      <c r="C1075" t="s">
        <v>3659</v>
      </c>
      <c r="D1075" t="s">
        <v>3660</v>
      </c>
      <c r="E1075" t="s">
        <v>3813</v>
      </c>
      <c r="F1075" t="s">
        <v>83</v>
      </c>
      <c r="G1075" t="s">
        <v>103</v>
      </c>
      <c r="H1075" t="s">
        <v>3808</v>
      </c>
      <c r="I1075" t="s">
        <v>3821</v>
      </c>
      <c r="J1075" t="s">
        <v>3810</v>
      </c>
      <c r="K1075" t="s">
        <v>101</v>
      </c>
      <c r="L1075" s="13">
        <v>38187</v>
      </c>
      <c r="M1075">
        <v>19</v>
      </c>
      <c r="N1075" t="s">
        <v>88</v>
      </c>
      <c r="O1075" t="s">
        <v>3874</v>
      </c>
      <c r="P1075" t="s">
        <v>76</v>
      </c>
      <c r="Q1075" t="s">
        <v>76</v>
      </c>
      <c r="R1075" t="s">
        <v>95</v>
      </c>
      <c r="S1075" t="s">
        <v>76</v>
      </c>
      <c r="T1075" t="s">
        <v>76</v>
      </c>
      <c r="U1075">
        <v>1</v>
      </c>
      <c r="V1075" s="13">
        <v>45175</v>
      </c>
      <c r="W1075">
        <v>1</v>
      </c>
      <c r="X1075">
        <v>1</v>
      </c>
      <c r="Y1075" t="s">
        <v>3661</v>
      </c>
      <c r="AC1075">
        <v>4610</v>
      </c>
      <c r="AD1075" t="e" vm="1066">
        <v>#VALUE!</v>
      </c>
    </row>
    <row r="1076" spans="2:30" x14ac:dyDescent="0.25">
      <c r="B1076">
        <v>4611</v>
      </c>
      <c r="C1076" t="s">
        <v>3659</v>
      </c>
      <c r="D1076" t="s">
        <v>3660</v>
      </c>
      <c r="E1076" t="s">
        <v>3813</v>
      </c>
      <c r="F1076" t="s">
        <v>83</v>
      </c>
      <c r="G1076" t="s">
        <v>103</v>
      </c>
      <c r="H1076" t="s">
        <v>3808</v>
      </c>
      <c r="I1076" t="s">
        <v>3821</v>
      </c>
      <c r="J1076" t="s">
        <v>3810</v>
      </c>
      <c r="K1076" t="s">
        <v>101</v>
      </c>
      <c r="L1076" s="13">
        <v>38190</v>
      </c>
      <c r="M1076">
        <v>19</v>
      </c>
      <c r="N1076" t="s">
        <v>88</v>
      </c>
      <c r="O1076" t="s">
        <v>3874</v>
      </c>
      <c r="P1076" t="s">
        <v>76</v>
      </c>
      <c r="Q1076" t="s">
        <v>76</v>
      </c>
      <c r="R1076" t="s">
        <v>95</v>
      </c>
      <c r="S1076" t="s">
        <v>76</v>
      </c>
      <c r="T1076" t="s">
        <v>76</v>
      </c>
      <c r="U1076">
        <v>1</v>
      </c>
      <c r="V1076" s="13">
        <v>45175</v>
      </c>
      <c r="W1076">
        <v>1</v>
      </c>
      <c r="X1076">
        <v>1</v>
      </c>
      <c r="Y1076" t="s">
        <v>3661</v>
      </c>
      <c r="AC1076">
        <v>4611</v>
      </c>
      <c r="AD1076" t="e" vm="1067">
        <v>#VALUE!</v>
      </c>
    </row>
    <row r="1077" spans="2:30" x14ac:dyDescent="0.25">
      <c r="B1077">
        <v>4612</v>
      </c>
      <c r="C1077" t="s">
        <v>3659</v>
      </c>
      <c r="D1077" t="s">
        <v>3660</v>
      </c>
      <c r="E1077" t="s">
        <v>3813</v>
      </c>
      <c r="F1077" t="s">
        <v>83</v>
      </c>
      <c r="G1077" t="s">
        <v>103</v>
      </c>
      <c r="H1077" t="s">
        <v>3808</v>
      </c>
      <c r="I1077" t="s">
        <v>3821</v>
      </c>
      <c r="J1077" t="s">
        <v>3810</v>
      </c>
      <c r="K1077" t="s">
        <v>101</v>
      </c>
      <c r="L1077" s="13">
        <v>38190</v>
      </c>
      <c r="M1077">
        <v>19</v>
      </c>
      <c r="N1077" t="s">
        <v>88</v>
      </c>
      <c r="O1077" t="s">
        <v>3874</v>
      </c>
      <c r="P1077" t="s">
        <v>76</v>
      </c>
      <c r="Q1077" t="s">
        <v>76</v>
      </c>
      <c r="R1077" t="s">
        <v>95</v>
      </c>
      <c r="S1077" t="s">
        <v>76</v>
      </c>
      <c r="T1077" t="s">
        <v>76</v>
      </c>
      <c r="U1077">
        <v>1</v>
      </c>
      <c r="V1077" s="13">
        <v>45175</v>
      </c>
      <c r="W1077">
        <v>1</v>
      </c>
      <c r="X1077">
        <v>1</v>
      </c>
      <c r="Y1077" t="s">
        <v>3661</v>
      </c>
      <c r="AC1077">
        <v>4612</v>
      </c>
      <c r="AD1077" t="e" vm="1068">
        <v>#VALUE!</v>
      </c>
    </row>
    <row r="1078" spans="2:30" x14ac:dyDescent="0.25">
      <c r="B1078">
        <v>4613</v>
      </c>
      <c r="C1078" t="s">
        <v>3698</v>
      </c>
      <c r="D1078" t="s">
        <v>73</v>
      </c>
      <c r="E1078" t="s">
        <v>73</v>
      </c>
      <c r="F1078" t="s">
        <v>3816</v>
      </c>
      <c r="G1078" t="s">
        <v>3816</v>
      </c>
      <c r="H1078" t="s">
        <v>3808</v>
      </c>
      <c r="I1078" t="s">
        <v>3821</v>
      </c>
      <c r="J1078" t="s">
        <v>3810</v>
      </c>
      <c r="K1078" t="s">
        <v>101</v>
      </c>
      <c r="L1078" s="13">
        <v>38194</v>
      </c>
      <c r="M1078">
        <v>19</v>
      </c>
      <c r="N1078" t="s">
        <v>98</v>
      </c>
      <c r="O1078" t="s">
        <v>3874</v>
      </c>
      <c r="P1078" t="s">
        <v>76</v>
      </c>
      <c r="Q1078" t="s">
        <v>76</v>
      </c>
      <c r="R1078" t="s">
        <v>95</v>
      </c>
      <c r="S1078" t="s">
        <v>76</v>
      </c>
      <c r="T1078" t="s">
        <v>76</v>
      </c>
      <c r="U1078">
        <v>1</v>
      </c>
      <c r="V1078" s="13">
        <v>45175</v>
      </c>
      <c r="W1078">
        <v>2</v>
      </c>
      <c r="X1078">
        <v>1</v>
      </c>
      <c r="Y1078" t="s">
        <v>3724</v>
      </c>
      <c r="AC1078">
        <v>4613</v>
      </c>
      <c r="AD1078" t="e" vm="1069">
        <v>#VALUE!</v>
      </c>
    </row>
    <row r="1079" spans="2:30" x14ac:dyDescent="0.25">
      <c r="B1079">
        <v>4614</v>
      </c>
      <c r="C1079" t="s">
        <v>3698</v>
      </c>
      <c r="D1079" t="s">
        <v>73</v>
      </c>
      <c r="E1079" t="s">
        <v>73</v>
      </c>
      <c r="F1079" t="s">
        <v>3816</v>
      </c>
      <c r="G1079" t="s">
        <v>3816</v>
      </c>
      <c r="H1079" t="s">
        <v>3808</v>
      </c>
      <c r="I1079" t="s">
        <v>3821</v>
      </c>
      <c r="J1079" t="s">
        <v>3810</v>
      </c>
      <c r="K1079" t="s">
        <v>101</v>
      </c>
      <c r="L1079" s="13">
        <v>38194</v>
      </c>
      <c r="M1079">
        <v>19</v>
      </c>
      <c r="N1079" t="s">
        <v>98</v>
      </c>
      <c r="O1079" t="s">
        <v>3874</v>
      </c>
      <c r="P1079" t="s">
        <v>76</v>
      </c>
      <c r="Q1079" t="s">
        <v>76</v>
      </c>
      <c r="R1079" t="s">
        <v>95</v>
      </c>
      <c r="S1079" t="s">
        <v>76</v>
      </c>
      <c r="T1079" t="s">
        <v>76</v>
      </c>
      <c r="U1079">
        <v>1</v>
      </c>
      <c r="V1079" s="13">
        <v>45175</v>
      </c>
      <c r="W1079">
        <v>2</v>
      </c>
      <c r="X1079">
        <v>1</v>
      </c>
      <c r="Y1079" t="s">
        <v>3724</v>
      </c>
      <c r="AC1079">
        <v>4614</v>
      </c>
      <c r="AD1079" t="e" vm="1070">
        <v>#VALUE!</v>
      </c>
    </row>
    <row r="1080" spans="2:30" x14ac:dyDescent="0.25">
      <c r="B1080">
        <v>4617</v>
      </c>
      <c r="C1080" t="s">
        <v>3659</v>
      </c>
      <c r="D1080" t="s">
        <v>3660</v>
      </c>
      <c r="E1080" t="s">
        <v>3813</v>
      </c>
      <c r="F1080" t="s">
        <v>83</v>
      </c>
      <c r="G1080" t="s">
        <v>103</v>
      </c>
      <c r="H1080" t="s">
        <v>3808</v>
      </c>
      <c r="I1080" t="s">
        <v>3821</v>
      </c>
      <c r="J1080" t="s">
        <v>3810</v>
      </c>
      <c r="K1080" t="s">
        <v>101</v>
      </c>
      <c r="L1080" s="13">
        <v>38195</v>
      </c>
      <c r="M1080">
        <v>19</v>
      </c>
      <c r="N1080" t="s">
        <v>88</v>
      </c>
      <c r="O1080" t="s">
        <v>3874</v>
      </c>
      <c r="P1080" t="s">
        <v>76</v>
      </c>
      <c r="Q1080" t="s">
        <v>76</v>
      </c>
      <c r="R1080" t="s">
        <v>95</v>
      </c>
      <c r="S1080" t="s">
        <v>76</v>
      </c>
      <c r="T1080" t="s">
        <v>76</v>
      </c>
      <c r="U1080">
        <v>1</v>
      </c>
      <c r="V1080" s="13">
        <v>45175</v>
      </c>
      <c r="W1080">
        <v>1</v>
      </c>
      <c r="X1080">
        <v>1</v>
      </c>
      <c r="Y1080" t="s">
        <v>3661</v>
      </c>
      <c r="AC1080">
        <v>4617</v>
      </c>
      <c r="AD1080" t="e" vm="1071">
        <v>#VALUE!</v>
      </c>
    </row>
    <row r="1081" spans="2:30" x14ac:dyDescent="0.25">
      <c r="B1081">
        <v>4618</v>
      </c>
      <c r="C1081" t="s">
        <v>3659</v>
      </c>
      <c r="D1081" t="s">
        <v>3660</v>
      </c>
      <c r="E1081" t="s">
        <v>3813</v>
      </c>
      <c r="F1081" t="s">
        <v>83</v>
      </c>
      <c r="G1081" t="s">
        <v>103</v>
      </c>
      <c r="H1081" t="s">
        <v>3808</v>
      </c>
      <c r="I1081" t="s">
        <v>3821</v>
      </c>
      <c r="J1081" t="s">
        <v>3810</v>
      </c>
      <c r="K1081" t="s">
        <v>101</v>
      </c>
      <c r="L1081" s="13">
        <v>38195</v>
      </c>
      <c r="M1081">
        <v>19</v>
      </c>
      <c r="N1081" t="s">
        <v>88</v>
      </c>
      <c r="O1081" t="s">
        <v>3874</v>
      </c>
      <c r="P1081" t="s">
        <v>76</v>
      </c>
      <c r="Q1081" t="s">
        <v>76</v>
      </c>
      <c r="R1081" t="s">
        <v>95</v>
      </c>
      <c r="S1081" t="s">
        <v>76</v>
      </c>
      <c r="T1081" t="s">
        <v>76</v>
      </c>
      <c r="U1081">
        <v>1</v>
      </c>
      <c r="V1081" s="13">
        <v>45175</v>
      </c>
      <c r="W1081">
        <v>1</v>
      </c>
      <c r="X1081">
        <v>1</v>
      </c>
      <c r="Y1081" t="s">
        <v>3661</v>
      </c>
      <c r="AC1081">
        <v>4618</v>
      </c>
      <c r="AD1081" t="e" vm="1072">
        <v>#VALUE!</v>
      </c>
    </row>
    <row r="1082" spans="2:30" x14ac:dyDescent="0.25">
      <c r="B1082">
        <v>4619</v>
      </c>
      <c r="C1082" t="s">
        <v>3659</v>
      </c>
      <c r="D1082" t="s">
        <v>3660</v>
      </c>
      <c r="E1082" t="s">
        <v>3813</v>
      </c>
      <c r="F1082" t="s">
        <v>83</v>
      </c>
      <c r="G1082" t="s">
        <v>103</v>
      </c>
      <c r="H1082" t="s">
        <v>3808</v>
      </c>
      <c r="I1082" t="s">
        <v>3821</v>
      </c>
      <c r="J1082" t="s">
        <v>3810</v>
      </c>
      <c r="K1082" t="s">
        <v>101</v>
      </c>
      <c r="L1082" s="13">
        <v>38253</v>
      </c>
      <c r="M1082">
        <v>19</v>
      </c>
      <c r="N1082" t="s">
        <v>88</v>
      </c>
      <c r="O1082" t="s">
        <v>3874</v>
      </c>
      <c r="P1082" t="s">
        <v>76</v>
      </c>
      <c r="Q1082" t="s">
        <v>76</v>
      </c>
      <c r="R1082" t="s">
        <v>95</v>
      </c>
      <c r="S1082" t="s">
        <v>76</v>
      </c>
      <c r="T1082" t="s">
        <v>76</v>
      </c>
      <c r="U1082">
        <v>1</v>
      </c>
      <c r="V1082" s="13">
        <v>45175</v>
      </c>
      <c r="W1082">
        <v>1</v>
      </c>
      <c r="X1082">
        <v>1</v>
      </c>
      <c r="Y1082" t="s">
        <v>3661</v>
      </c>
      <c r="AC1082">
        <v>4619</v>
      </c>
      <c r="AD1082" t="e" vm="1073">
        <v>#VALUE!</v>
      </c>
    </row>
    <row r="1083" spans="2:30" x14ac:dyDescent="0.25">
      <c r="B1083">
        <v>4621</v>
      </c>
      <c r="C1083" t="s">
        <v>3698</v>
      </c>
      <c r="D1083" t="s">
        <v>3660</v>
      </c>
      <c r="E1083" t="s">
        <v>3813</v>
      </c>
      <c r="F1083" t="s">
        <v>83</v>
      </c>
      <c r="G1083" t="s">
        <v>103</v>
      </c>
      <c r="H1083" t="s">
        <v>3808</v>
      </c>
      <c r="I1083" t="s">
        <v>3821</v>
      </c>
      <c r="J1083" t="s">
        <v>3810</v>
      </c>
      <c r="K1083" t="s">
        <v>101</v>
      </c>
      <c r="L1083" s="13">
        <v>38236</v>
      </c>
      <c r="M1083">
        <v>19</v>
      </c>
      <c r="N1083" t="s">
        <v>98</v>
      </c>
      <c r="O1083" t="s">
        <v>3874</v>
      </c>
      <c r="P1083" t="s">
        <v>76</v>
      </c>
      <c r="Q1083" t="s">
        <v>76</v>
      </c>
      <c r="R1083" t="s">
        <v>95</v>
      </c>
      <c r="S1083" t="s">
        <v>76</v>
      </c>
      <c r="T1083" t="s">
        <v>76</v>
      </c>
      <c r="U1083">
        <v>1</v>
      </c>
      <c r="V1083" s="13">
        <v>45175</v>
      </c>
      <c r="W1083">
        <v>2</v>
      </c>
      <c r="X1083">
        <v>1</v>
      </c>
      <c r="Y1083" t="s">
        <v>3736</v>
      </c>
      <c r="AC1083">
        <v>4621</v>
      </c>
      <c r="AD1083" t="e" vm="1074">
        <v>#VALUE!</v>
      </c>
    </row>
    <row r="1084" spans="2:30" x14ac:dyDescent="0.25">
      <c r="B1084">
        <v>4622</v>
      </c>
      <c r="C1084" t="s">
        <v>3698</v>
      </c>
      <c r="D1084" t="s">
        <v>3660</v>
      </c>
      <c r="E1084" t="s">
        <v>3813</v>
      </c>
      <c r="F1084" t="s">
        <v>83</v>
      </c>
      <c r="G1084" t="s">
        <v>103</v>
      </c>
      <c r="H1084" t="s">
        <v>3808</v>
      </c>
      <c r="I1084" t="s">
        <v>3821</v>
      </c>
      <c r="J1084" t="s">
        <v>3810</v>
      </c>
      <c r="K1084" t="s">
        <v>101</v>
      </c>
      <c r="L1084" s="13">
        <v>38239</v>
      </c>
      <c r="M1084">
        <v>19</v>
      </c>
      <c r="N1084" t="s">
        <v>98</v>
      </c>
      <c r="O1084" t="s">
        <v>3874</v>
      </c>
      <c r="P1084" t="s">
        <v>76</v>
      </c>
      <c r="Q1084" t="s">
        <v>76</v>
      </c>
      <c r="R1084" t="s">
        <v>95</v>
      </c>
      <c r="S1084" t="s">
        <v>76</v>
      </c>
      <c r="T1084" t="s">
        <v>76</v>
      </c>
      <c r="U1084">
        <v>1</v>
      </c>
      <c r="V1084" s="13">
        <v>45175</v>
      </c>
      <c r="W1084">
        <v>2</v>
      </c>
      <c r="X1084">
        <v>1</v>
      </c>
      <c r="Y1084" t="s">
        <v>3736</v>
      </c>
      <c r="AC1084">
        <v>4622</v>
      </c>
      <c r="AD1084" t="e" vm="1075">
        <v>#VALUE!</v>
      </c>
    </row>
    <row r="1085" spans="2:30" x14ac:dyDescent="0.25">
      <c r="B1085">
        <v>4623</v>
      </c>
      <c r="C1085" t="s">
        <v>3659</v>
      </c>
      <c r="D1085" t="s">
        <v>3660</v>
      </c>
      <c r="E1085" t="s">
        <v>3813</v>
      </c>
      <c r="F1085" t="s">
        <v>83</v>
      </c>
      <c r="G1085" t="s">
        <v>103</v>
      </c>
      <c r="H1085" t="s">
        <v>3808</v>
      </c>
      <c r="I1085" t="s">
        <v>3821</v>
      </c>
      <c r="J1085" t="s">
        <v>3810</v>
      </c>
      <c r="K1085" t="s">
        <v>101</v>
      </c>
      <c r="L1085" s="13">
        <v>38236</v>
      </c>
      <c r="M1085">
        <v>19</v>
      </c>
      <c r="N1085" t="s">
        <v>88</v>
      </c>
      <c r="O1085" t="s">
        <v>3874</v>
      </c>
      <c r="P1085" t="s">
        <v>76</v>
      </c>
      <c r="Q1085" t="s">
        <v>76</v>
      </c>
      <c r="R1085" t="s">
        <v>95</v>
      </c>
      <c r="S1085" t="s">
        <v>76</v>
      </c>
      <c r="T1085" t="s">
        <v>76</v>
      </c>
      <c r="U1085">
        <v>1</v>
      </c>
      <c r="V1085" s="13">
        <v>45175</v>
      </c>
      <c r="W1085">
        <v>1</v>
      </c>
      <c r="X1085">
        <v>1</v>
      </c>
      <c r="Y1085" t="s">
        <v>3661</v>
      </c>
      <c r="AC1085">
        <v>4623</v>
      </c>
      <c r="AD1085" t="e" vm="1076">
        <v>#VALUE!</v>
      </c>
    </row>
    <row r="1086" spans="2:30" x14ac:dyDescent="0.25">
      <c r="B1086">
        <v>4624</v>
      </c>
      <c r="C1086" t="s">
        <v>3659</v>
      </c>
      <c r="D1086" t="s">
        <v>3660</v>
      </c>
      <c r="E1086" t="s">
        <v>3813</v>
      </c>
      <c r="F1086" t="s">
        <v>83</v>
      </c>
      <c r="G1086" t="s">
        <v>103</v>
      </c>
      <c r="H1086" t="s">
        <v>3808</v>
      </c>
      <c r="I1086" t="s">
        <v>3821</v>
      </c>
      <c r="J1086" t="s">
        <v>3810</v>
      </c>
      <c r="K1086" t="s">
        <v>101</v>
      </c>
      <c r="L1086" s="13">
        <v>38239</v>
      </c>
      <c r="M1086">
        <v>19</v>
      </c>
      <c r="N1086" t="s">
        <v>88</v>
      </c>
      <c r="O1086" t="s">
        <v>3874</v>
      </c>
      <c r="P1086" t="s">
        <v>76</v>
      </c>
      <c r="Q1086" t="s">
        <v>76</v>
      </c>
      <c r="R1086" t="s">
        <v>95</v>
      </c>
      <c r="S1086" t="s">
        <v>76</v>
      </c>
      <c r="T1086" t="s">
        <v>76</v>
      </c>
      <c r="U1086">
        <v>1</v>
      </c>
      <c r="V1086" s="13">
        <v>45175</v>
      </c>
      <c r="W1086">
        <v>1</v>
      </c>
      <c r="X1086">
        <v>1</v>
      </c>
      <c r="Y1086" t="s">
        <v>3661</v>
      </c>
      <c r="AC1086">
        <v>4624</v>
      </c>
      <c r="AD1086" t="e" vm="1077">
        <v>#VALUE!</v>
      </c>
    </row>
    <row r="1087" spans="2:30" x14ac:dyDescent="0.25">
      <c r="B1087">
        <v>4625</v>
      </c>
      <c r="C1087" t="s">
        <v>3659</v>
      </c>
      <c r="D1087" t="s">
        <v>73</v>
      </c>
      <c r="E1087" t="s">
        <v>73</v>
      </c>
      <c r="F1087" t="s">
        <v>3816</v>
      </c>
      <c r="G1087" t="s">
        <v>3816</v>
      </c>
      <c r="H1087" t="s">
        <v>3808</v>
      </c>
      <c r="I1087" t="s">
        <v>3821</v>
      </c>
      <c r="J1087" t="s">
        <v>3810</v>
      </c>
      <c r="K1087" t="s">
        <v>101</v>
      </c>
      <c r="L1087" s="13">
        <v>38239</v>
      </c>
      <c r="M1087">
        <v>19</v>
      </c>
      <c r="N1087" t="s">
        <v>88</v>
      </c>
      <c r="O1087" t="s">
        <v>3874</v>
      </c>
      <c r="P1087" t="s">
        <v>76</v>
      </c>
      <c r="Q1087" t="s">
        <v>76</v>
      </c>
      <c r="R1087" t="s">
        <v>95</v>
      </c>
      <c r="S1087" t="s">
        <v>76</v>
      </c>
      <c r="T1087" t="s">
        <v>76</v>
      </c>
      <c r="U1087">
        <v>1</v>
      </c>
      <c r="V1087" s="13">
        <v>45175</v>
      </c>
      <c r="W1087">
        <v>1</v>
      </c>
      <c r="X1087">
        <v>1</v>
      </c>
      <c r="Y1087" t="s">
        <v>3719</v>
      </c>
      <c r="AC1087">
        <v>4625</v>
      </c>
      <c r="AD1087" t="e" vm="1078">
        <v>#VALUE!</v>
      </c>
    </row>
    <row r="1088" spans="2:30" x14ac:dyDescent="0.25">
      <c r="B1088">
        <v>4626</v>
      </c>
      <c r="C1088" t="s">
        <v>3659</v>
      </c>
      <c r="D1088" t="s">
        <v>3660</v>
      </c>
      <c r="E1088" t="s">
        <v>3813</v>
      </c>
      <c r="F1088" t="s">
        <v>83</v>
      </c>
      <c r="G1088" t="s">
        <v>103</v>
      </c>
      <c r="H1088" t="s">
        <v>3808</v>
      </c>
      <c r="I1088" t="s">
        <v>3821</v>
      </c>
      <c r="J1088" t="s">
        <v>3810</v>
      </c>
      <c r="K1088" t="s">
        <v>101</v>
      </c>
      <c r="L1088" s="13">
        <v>38244</v>
      </c>
      <c r="M1088">
        <v>19</v>
      </c>
      <c r="N1088" t="s">
        <v>88</v>
      </c>
      <c r="O1088" t="s">
        <v>3874</v>
      </c>
      <c r="P1088" t="s">
        <v>76</v>
      </c>
      <c r="Q1088" t="s">
        <v>76</v>
      </c>
      <c r="R1088" t="s">
        <v>95</v>
      </c>
      <c r="S1088" t="s">
        <v>76</v>
      </c>
      <c r="T1088" t="s">
        <v>76</v>
      </c>
      <c r="U1088">
        <v>1</v>
      </c>
      <c r="V1088" s="13">
        <v>45175</v>
      </c>
      <c r="W1088">
        <v>1</v>
      </c>
      <c r="X1088">
        <v>1</v>
      </c>
      <c r="Y1088" t="s">
        <v>3661</v>
      </c>
      <c r="AC1088">
        <v>4626</v>
      </c>
      <c r="AD1088" t="e" vm="1079">
        <v>#VALUE!</v>
      </c>
    </row>
    <row r="1089" spans="2:30" x14ac:dyDescent="0.25">
      <c r="B1089">
        <v>4627</v>
      </c>
      <c r="C1089" t="s">
        <v>3698</v>
      </c>
      <c r="D1089" t="s">
        <v>3660</v>
      </c>
      <c r="E1089" t="s">
        <v>3813</v>
      </c>
      <c r="F1089" t="s">
        <v>83</v>
      </c>
      <c r="G1089" t="s">
        <v>103</v>
      </c>
      <c r="H1089" t="s">
        <v>3808</v>
      </c>
      <c r="I1089" t="s">
        <v>3821</v>
      </c>
      <c r="J1089" t="s">
        <v>3810</v>
      </c>
      <c r="K1089" t="s">
        <v>101</v>
      </c>
      <c r="L1089" s="13">
        <v>38244</v>
      </c>
      <c r="M1089">
        <v>19</v>
      </c>
      <c r="N1089" t="s">
        <v>98</v>
      </c>
      <c r="O1089" t="s">
        <v>3874</v>
      </c>
      <c r="P1089" t="s">
        <v>76</v>
      </c>
      <c r="Q1089" t="s">
        <v>76</v>
      </c>
      <c r="R1089" t="s">
        <v>95</v>
      </c>
      <c r="S1089" t="s">
        <v>76</v>
      </c>
      <c r="T1089" t="s">
        <v>76</v>
      </c>
      <c r="U1089">
        <v>1</v>
      </c>
      <c r="V1089" s="13">
        <v>45175</v>
      </c>
      <c r="W1089">
        <v>2</v>
      </c>
      <c r="X1089">
        <v>1</v>
      </c>
      <c r="Y1089" t="s">
        <v>3736</v>
      </c>
      <c r="AC1089">
        <v>4627</v>
      </c>
      <c r="AD1089" t="e" vm="1080">
        <v>#VALUE!</v>
      </c>
    </row>
    <row r="1090" spans="2:30" x14ac:dyDescent="0.25">
      <c r="B1090">
        <v>4629</v>
      </c>
      <c r="C1090" t="s">
        <v>3659</v>
      </c>
      <c r="D1090" t="s">
        <v>3660</v>
      </c>
      <c r="E1090" t="s">
        <v>3813</v>
      </c>
      <c r="F1090" t="s">
        <v>83</v>
      </c>
      <c r="G1090" t="s">
        <v>103</v>
      </c>
      <c r="H1090" t="s">
        <v>3808</v>
      </c>
      <c r="I1090" t="s">
        <v>3821</v>
      </c>
      <c r="J1090" t="s">
        <v>3810</v>
      </c>
      <c r="K1090" t="s">
        <v>101</v>
      </c>
      <c r="L1090" s="13">
        <v>38253</v>
      </c>
      <c r="M1090">
        <v>19</v>
      </c>
      <c r="N1090" t="s">
        <v>88</v>
      </c>
      <c r="O1090" t="s">
        <v>3874</v>
      </c>
      <c r="P1090" t="s">
        <v>76</v>
      </c>
      <c r="Q1090" t="s">
        <v>76</v>
      </c>
      <c r="R1090" t="s">
        <v>95</v>
      </c>
      <c r="S1090" t="s">
        <v>76</v>
      </c>
      <c r="T1090" t="s">
        <v>76</v>
      </c>
      <c r="U1090">
        <v>1</v>
      </c>
      <c r="V1090" s="13">
        <v>45175</v>
      </c>
      <c r="W1090">
        <v>1</v>
      </c>
      <c r="X1090">
        <v>1</v>
      </c>
      <c r="Y1090" t="s">
        <v>3661</v>
      </c>
      <c r="AC1090">
        <v>4629</v>
      </c>
      <c r="AD1090" t="e" vm="1081">
        <v>#VALUE!</v>
      </c>
    </row>
    <row r="1091" spans="2:30" x14ac:dyDescent="0.25">
      <c r="B1091">
        <v>4630</v>
      </c>
      <c r="C1091" t="s">
        <v>3668</v>
      </c>
      <c r="D1091" t="s">
        <v>3673</v>
      </c>
      <c r="E1091" t="s">
        <v>3819</v>
      </c>
      <c r="F1091" t="s">
        <v>87</v>
      </c>
      <c r="G1091" t="s">
        <v>84</v>
      </c>
      <c r="H1091" t="s">
        <v>3808</v>
      </c>
      <c r="I1091" t="s">
        <v>3821</v>
      </c>
      <c r="J1091" t="s">
        <v>3810</v>
      </c>
      <c r="K1091" t="s">
        <v>101</v>
      </c>
      <c r="L1091" s="13">
        <v>38257</v>
      </c>
      <c r="M1091">
        <v>19</v>
      </c>
      <c r="N1091" t="s">
        <v>82</v>
      </c>
      <c r="O1091" t="s">
        <v>3874</v>
      </c>
      <c r="P1091" t="s">
        <v>76</v>
      </c>
      <c r="Q1091" t="s">
        <v>76</v>
      </c>
      <c r="R1091" t="s">
        <v>95</v>
      </c>
      <c r="S1091" t="s">
        <v>76</v>
      </c>
      <c r="T1091" t="s">
        <v>76</v>
      </c>
      <c r="U1091">
        <v>1</v>
      </c>
      <c r="V1091" s="13">
        <v>45175</v>
      </c>
      <c r="W1091">
        <v>1</v>
      </c>
      <c r="X1091">
        <v>1</v>
      </c>
      <c r="Y1091" t="s">
        <v>3674</v>
      </c>
      <c r="AC1091">
        <v>4630</v>
      </c>
      <c r="AD1091" t="e" vm="1082">
        <v>#VALUE!</v>
      </c>
    </row>
    <row r="1092" spans="2:30" x14ac:dyDescent="0.25">
      <c r="B1092">
        <v>4631</v>
      </c>
      <c r="C1092" t="s">
        <v>3668</v>
      </c>
      <c r="D1092" t="s">
        <v>3673</v>
      </c>
      <c r="E1092" t="s">
        <v>3819</v>
      </c>
      <c r="F1092" t="s">
        <v>87</v>
      </c>
      <c r="G1092" t="s">
        <v>84</v>
      </c>
      <c r="H1092" t="s">
        <v>3808</v>
      </c>
      <c r="I1092" t="s">
        <v>3821</v>
      </c>
      <c r="J1092" t="s">
        <v>3810</v>
      </c>
      <c r="K1092" t="s">
        <v>101</v>
      </c>
      <c r="L1092" s="13">
        <v>38257</v>
      </c>
      <c r="M1092">
        <v>19</v>
      </c>
      <c r="N1092" t="s">
        <v>82</v>
      </c>
      <c r="O1092" t="s">
        <v>3874</v>
      </c>
      <c r="P1092" t="s">
        <v>76</v>
      </c>
      <c r="Q1092" t="s">
        <v>76</v>
      </c>
      <c r="R1092" t="s">
        <v>95</v>
      </c>
      <c r="S1092" t="s">
        <v>76</v>
      </c>
      <c r="T1092" t="s">
        <v>76</v>
      </c>
      <c r="U1092">
        <v>1</v>
      </c>
      <c r="V1092" s="13">
        <v>45175</v>
      </c>
      <c r="W1092">
        <v>1</v>
      </c>
      <c r="X1092">
        <v>1</v>
      </c>
      <c r="Y1092" t="s">
        <v>3674</v>
      </c>
      <c r="AC1092">
        <v>4631</v>
      </c>
      <c r="AD1092" t="e" vm="1083">
        <v>#VALUE!</v>
      </c>
    </row>
    <row r="1093" spans="2:30" x14ac:dyDescent="0.25">
      <c r="B1093">
        <v>4632</v>
      </c>
      <c r="C1093" t="s">
        <v>3668</v>
      </c>
      <c r="D1093" t="s">
        <v>3673</v>
      </c>
      <c r="E1093" t="s">
        <v>3819</v>
      </c>
      <c r="F1093" t="s">
        <v>87</v>
      </c>
      <c r="G1093" t="s">
        <v>84</v>
      </c>
      <c r="H1093" t="s">
        <v>3808</v>
      </c>
      <c r="I1093" t="s">
        <v>3821</v>
      </c>
      <c r="J1093" t="s">
        <v>3810</v>
      </c>
      <c r="K1093" t="s">
        <v>101</v>
      </c>
      <c r="L1093" s="13">
        <v>38258</v>
      </c>
      <c r="M1093">
        <v>19</v>
      </c>
      <c r="N1093" t="s">
        <v>82</v>
      </c>
      <c r="O1093" t="s">
        <v>3874</v>
      </c>
      <c r="P1093" t="s">
        <v>76</v>
      </c>
      <c r="Q1093" t="s">
        <v>76</v>
      </c>
      <c r="R1093" t="s">
        <v>95</v>
      </c>
      <c r="S1093" t="s">
        <v>76</v>
      </c>
      <c r="T1093" t="s">
        <v>76</v>
      </c>
      <c r="U1093">
        <v>1</v>
      </c>
      <c r="V1093" s="13">
        <v>45175</v>
      </c>
      <c r="W1093">
        <v>1</v>
      </c>
      <c r="X1093">
        <v>1</v>
      </c>
      <c r="Y1093" t="s">
        <v>3674</v>
      </c>
      <c r="AC1093">
        <v>4632</v>
      </c>
      <c r="AD1093" t="e" vm="1084">
        <v>#VALUE!</v>
      </c>
    </row>
    <row r="1094" spans="2:30" x14ac:dyDescent="0.25">
      <c r="B1094">
        <v>4633</v>
      </c>
      <c r="C1094" t="s">
        <v>3668</v>
      </c>
      <c r="D1094" t="s">
        <v>3673</v>
      </c>
      <c r="E1094" t="s">
        <v>3819</v>
      </c>
      <c r="F1094" t="s">
        <v>87</v>
      </c>
      <c r="G1094" t="s">
        <v>84</v>
      </c>
      <c r="H1094" t="s">
        <v>3808</v>
      </c>
      <c r="I1094" t="s">
        <v>3821</v>
      </c>
      <c r="J1094" t="s">
        <v>3810</v>
      </c>
      <c r="K1094" t="s">
        <v>101</v>
      </c>
      <c r="L1094" s="13">
        <v>38258</v>
      </c>
      <c r="M1094">
        <v>19</v>
      </c>
      <c r="N1094" t="s">
        <v>82</v>
      </c>
      <c r="O1094" t="s">
        <v>3874</v>
      </c>
      <c r="P1094" t="s">
        <v>76</v>
      </c>
      <c r="Q1094" t="s">
        <v>76</v>
      </c>
      <c r="R1094" t="s">
        <v>95</v>
      </c>
      <c r="S1094" t="s">
        <v>76</v>
      </c>
      <c r="T1094" t="s">
        <v>76</v>
      </c>
      <c r="U1094">
        <v>1</v>
      </c>
      <c r="V1094" s="13">
        <v>45175</v>
      </c>
      <c r="W1094">
        <v>1</v>
      </c>
      <c r="X1094">
        <v>1</v>
      </c>
      <c r="Y1094" t="s">
        <v>3674</v>
      </c>
      <c r="AC1094">
        <v>4633</v>
      </c>
      <c r="AD1094" t="e" vm="1085">
        <v>#VALUE!</v>
      </c>
    </row>
    <row r="1095" spans="2:30" x14ac:dyDescent="0.25">
      <c r="B1095">
        <v>4634</v>
      </c>
      <c r="C1095" t="s">
        <v>3668</v>
      </c>
      <c r="D1095" t="s">
        <v>3673</v>
      </c>
      <c r="E1095" t="s">
        <v>3819</v>
      </c>
      <c r="F1095" t="s">
        <v>87</v>
      </c>
      <c r="G1095" t="s">
        <v>84</v>
      </c>
      <c r="H1095" t="s">
        <v>3808</v>
      </c>
      <c r="I1095" t="s">
        <v>3821</v>
      </c>
      <c r="J1095" t="s">
        <v>3810</v>
      </c>
      <c r="K1095" t="s">
        <v>101</v>
      </c>
      <c r="L1095" s="13">
        <v>38258</v>
      </c>
      <c r="M1095">
        <v>19</v>
      </c>
      <c r="N1095" t="s">
        <v>82</v>
      </c>
      <c r="O1095" t="s">
        <v>3874</v>
      </c>
      <c r="P1095" t="s">
        <v>76</v>
      </c>
      <c r="Q1095" t="s">
        <v>76</v>
      </c>
      <c r="R1095" t="s">
        <v>95</v>
      </c>
      <c r="S1095" t="s">
        <v>76</v>
      </c>
      <c r="T1095" t="s">
        <v>76</v>
      </c>
      <c r="U1095">
        <v>1</v>
      </c>
      <c r="V1095" s="13">
        <v>45175</v>
      </c>
      <c r="W1095">
        <v>1</v>
      </c>
      <c r="X1095">
        <v>1</v>
      </c>
      <c r="Y1095" t="s">
        <v>3674</v>
      </c>
      <c r="AC1095">
        <v>4634</v>
      </c>
      <c r="AD1095" t="e" vm="1086">
        <v>#VALUE!</v>
      </c>
    </row>
    <row r="1096" spans="2:30" x14ac:dyDescent="0.25">
      <c r="B1096">
        <v>4635</v>
      </c>
      <c r="C1096" t="s">
        <v>3668</v>
      </c>
      <c r="D1096" t="s">
        <v>3673</v>
      </c>
      <c r="E1096" t="s">
        <v>3819</v>
      </c>
      <c r="F1096" t="s">
        <v>87</v>
      </c>
      <c r="G1096" t="s">
        <v>84</v>
      </c>
      <c r="H1096" t="s">
        <v>3808</v>
      </c>
      <c r="I1096" t="s">
        <v>3821</v>
      </c>
      <c r="J1096" t="s">
        <v>3810</v>
      </c>
      <c r="K1096" t="s">
        <v>101</v>
      </c>
      <c r="L1096" s="13">
        <v>38280</v>
      </c>
      <c r="M1096">
        <v>19</v>
      </c>
      <c r="N1096" t="s">
        <v>82</v>
      </c>
      <c r="O1096" t="s">
        <v>3874</v>
      </c>
      <c r="P1096" t="s">
        <v>76</v>
      </c>
      <c r="Q1096" t="s">
        <v>76</v>
      </c>
      <c r="R1096" t="s">
        <v>95</v>
      </c>
      <c r="S1096" t="s">
        <v>76</v>
      </c>
      <c r="T1096" t="s">
        <v>76</v>
      </c>
      <c r="U1096">
        <v>1</v>
      </c>
      <c r="V1096" s="13">
        <v>45175</v>
      </c>
      <c r="W1096">
        <v>1</v>
      </c>
      <c r="X1096">
        <v>1</v>
      </c>
      <c r="Y1096" t="s">
        <v>3674</v>
      </c>
      <c r="AC1096">
        <v>4635</v>
      </c>
      <c r="AD1096" t="e" vm="1087">
        <v>#VALUE!</v>
      </c>
    </row>
    <row r="1097" spans="2:30" x14ac:dyDescent="0.25">
      <c r="B1097">
        <v>4636</v>
      </c>
      <c r="C1097" t="s">
        <v>3668</v>
      </c>
      <c r="D1097" t="s">
        <v>3673</v>
      </c>
      <c r="E1097" t="s">
        <v>3819</v>
      </c>
      <c r="F1097" t="s">
        <v>87</v>
      </c>
      <c r="G1097" t="s">
        <v>84</v>
      </c>
      <c r="H1097" t="s">
        <v>3808</v>
      </c>
      <c r="I1097" t="s">
        <v>3821</v>
      </c>
      <c r="J1097" t="s">
        <v>3810</v>
      </c>
      <c r="K1097" t="s">
        <v>101</v>
      </c>
      <c r="L1097" s="13">
        <v>38280</v>
      </c>
      <c r="M1097">
        <v>19</v>
      </c>
      <c r="N1097" t="s">
        <v>82</v>
      </c>
      <c r="O1097" t="s">
        <v>3874</v>
      </c>
      <c r="P1097" t="s">
        <v>76</v>
      </c>
      <c r="Q1097" t="s">
        <v>76</v>
      </c>
      <c r="R1097" t="s">
        <v>95</v>
      </c>
      <c r="S1097" t="s">
        <v>76</v>
      </c>
      <c r="T1097" t="s">
        <v>76</v>
      </c>
      <c r="U1097">
        <v>1</v>
      </c>
      <c r="V1097" s="13">
        <v>45175</v>
      </c>
      <c r="W1097">
        <v>1</v>
      </c>
      <c r="X1097">
        <v>1</v>
      </c>
      <c r="Y1097" t="s">
        <v>3674</v>
      </c>
      <c r="AC1097">
        <v>4636</v>
      </c>
      <c r="AD1097" t="e" vm="1088">
        <v>#VALUE!</v>
      </c>
    </row>
    <row r="1098" spans="2:30" x14ac:dyDescent="0.25">
      <c r="B1098">
        <v>4637</v>
      </c>
      <c r="C1098" t="s">
        <v>3646</v>
      </c>
      <c r="D1098" t="s">
        <v>3649</v>
      </c>
      <c r="E1098" t="s">
        <v>3812</v>
      </c>
      <c r="F1098" t="s">
        <v>85</v>
      </c>
      <c r="G1098" t="s">
        <v>112</v>
      </c>
      <c r="H1098" t="s">
        <v>3808</v>
      </c>
      <c r="I1098" t="s">
        <v>3821</v>
      </c>
      <c r="J1098" t="s">
        <v>3810</v>
      </c>
      <c r="K1098" t="s">
        <v>101</v>
      </c>
      <c r="L1098" s="13">
        <v>38288</v>
      </c>
      <c r="M1098">
        <v>19</v>
      </c>
      <c r="N1098" t="s">
        <v>90</v>
      </c>
      <c r="O1098" t="s">
        <v>3874</v>
      </c>
      <c r="P1098" t="s">
        <v>76</v>
      </c>
      <c r="Q1098" t="s">
        <v>76</v>
      </c>
      <c r="R1098" t="s">
        <v>95</v>
      </c>
      <c r="S1098" t="s">
        <v>76</v>
      </c>
      <c r="T1098" t="s">
        <v>76</v>
      </c>
      <c r="U1098">
        <v>1</v>
      </c>
      <c r="V1098" s="13">
        <v>45175</v>
      </c>
      <c r="W1098">
        <v>1</v>
      </c>
      <c r="X1098">
        <v>1</v>
      </c>
      <c r="Y1098" t="s">
        <v>3650</v>
      </c>
      <c r="AC1098">
        <v>4637</v>
      </c>
      <c r="AD1098" t="e" vm="1089">
        <v>#VALUE!</v>
      </c>
    </row>
    <row r="1099" spans="2:30" x14ac:dyDescent="0.25">
      <c r="B1099">
        <v>4638</v>
      </c>
      <c r="C1099" t="s">
        <v>3646</v>
      </c>
      <c r="D1099" t="s">
        <v>3649</v>
      </c>
      <c r="E1099" t="s">
        <v>3812</v>
      </c>
      <c r="F1099" t="s">
        <v>85</v>
      </c>
      <c r="G1099" t="s">
        <v>112</v>
      </c>
      <c r="H1099" t="s">
        <v>3808</v>
      </c>
      <c r="I1099" t="s">
        <v>3821</v>
      </c>
      <c r="J1099" t="s">
        <v>3810</v>
      </c>
      <c r="K1099" t="s">
        <v>101</v>
      </c>
      <c r="L1099" s="13">
        <v>38281</v>
      </c>
      <c r="M1099">
        <v>19</v>
      </c>
      <c r="N1099" t="s">
        <v>90</v>
      </c>
      <c r="O1099" t="s">
        <v>3874</v>
      </c>
      <c r="P1099" t="s">
        <v>76</v>
      </c>
      <c r="Q1099" t="s">
        <v>76</v>
      </c>
      <c r="R1099" t="s">
        <v>95</v>
      </c>
      <c r="S1099" t="s">
        <v>76</v>
      </c>
      <c r="T1099" t="s">
        <v>76</v>
      </c>
      <c r="U1099">
        <v>1</v>
      </c>
      <c r="V1099" s="13">
        <v>45175</v>
      </c>
      <c r="W1099">
        <v>1</v>
      </c>
      <c r="X1099">
        <v>1</v>
      </c>
      <c r="Y1099" t="s">
        <v>3650</v>
      </c>
      <c r="AC1099">
        <v>4638</v>
      </c>
      <c r="AD1099" t="e" vm="1090">
        <v>#VALUE!</v>
      </c>
    </row>
    <row r="1100" spans="2:30" x14ac:dyDescent="0.25">
      <c r="B1100">
        <v>4639</v>
      </c>
      <c r="C1100" t="s">
        <v>3646</v>
      </c>
      <c r="D1100" t="s">
        <v>3649</v>
      </c>
      <c r="E1100" t="s">
        <v>3812</v>
      </c>
      <c r="F1100" t="s">
        <v>85</v>
      </c>
      <c r="G1100" t="s">
        <v>112</v>
      </c>
      <c r="H1100" t="s">
        <v>3808</v>
      </c>
      <c r="I1100" t="s">
        <v>3821</v>
      </c>
      <c r="J1100" t="s">
        <v>3810</v>
      </c>
      <c r="K1100" t="s">
        <v>101</v>
      </c>
      <c r="L1100" s="13">
        <v>38281</v>
      </c>
      <c r="M1100">
        <v>19</v>
      </c>
      <c r="N1100" t="s">
        <v>90</v>
      </c>
      <c r="O1100" t="s">
        <v>3874</v>
      </c>
      <c r="P1100" t="s">
        <v>76</v>
      </c>
      <c r="Q1100" t="s">
        <v>76</v>
      </c>
      <c r="R1100" t="s">
        <v>95</v>
      </c>
      <c r="S1100" t="s">
        <v>76</v>
      </c>
      <c r="T1100" t="s">
        <v>76</v>
      </c>
      <c r="U1100">
        <v>1</v>
      </c>
      <c r="V1100" s="13">
        <v>45175</v>
      </c>
      <c r="W1100">
        <v>1</v>
      </c>
      <c r="X1100">
        <v>1</v>
      </c>
      <c r="Y1100" t="s">
        <v>3650</v>
      </c>
      <c r="AC1100">
        <v>4639</v>
      </c>
      <c r="AD1100" t="e" vm="1091">
        <v>#VALUE!</v>
      </c>
    </row>
    <row r="1101" spans="2:30" x14ac:dyDescent="0.25">
      <c r="B1101">
        <v>4641</v>
      </c>
      <c r="C1101" t="s">
        <v>3646</v>
      </c>
      <c r="D1101" t="s">
        <v>3649</v>
      </c>
      <c r="E1101" t="s">
        <v>3812</v>
      </c>
      <c r="F1101" t="s">
        <v>85</v>
      </c>
      <c r="G1101" t="s">
        <v>112</v>
      </c>
      <c r="H1101" t="s">
        <v>3808</v>
      </c>
      <c r="I1101" t="s">
        <v>3821</v>
      </c>
      <c r="J1101" t="s">
        <v>3810</v>
      </c>
      <c r="K1101" t="s">
        <v>101</v>
      </c>
      <c r="L1101" s="13">
        <v>38288</v>
      </c>
      <c r="M1101">
        <v>19</v>
      </c>
      <c r="N1101" t="s">
        <v>90</v>
      </c>
      <c r="O1101" t="s">
        <v>3874</v>
      </c>
      <c r="P1101" t="s">
        <v>76</v>
      </c>
      <c r="Q1101" t="s">
        <v>76</v>
      </c>
      <c r="R1101" t="s">
        <v>95</v>
      </c>
      <c r="S1101" t="s">
        <v>76</v>
      </c>
      <c r="T1101" t="s">
        <v>76</v>
      </c>
      <c r="U1101">
        <v>1</v>
      </c>
      <c r="V1101" s="13">
        <v>45175</v>
      </c>
      <c r="W1101">
        <v>1</v>
      </c>
      <c r="X1101">
        <v>1</v>
      </c>
      <c r="Y1101" t="s">
        <v>3650</v>
      </c>
      <c r="AC1101">
        <v>4641</v>
      </c>
      <c r="AD1101" t="e" vm="1092">
        <v>#VALUE!</v>
      </c>
    </row>
    <row r="1102" spans="2:30" x14ac:dyDescent="0.25">
      <c r="B1102">
        <v>4643</v>
      </c>
      <c r="C1102" t="s">
        <v>3646</v>
      </c>
      <c r="D1102" t="s">
        <v>3649</v>
      </c>
      <c r="E1102" t="s">
        <v>3812</v>
      </c>
      <c r="F1102" t="s">
        <v>85</v>
      </c>
      <c r="G1102" t="s">
        <v>112</v>
      </c>
      <c r="H1102" t="s">
        <v>3808</v>
      </c>
      <c r="I1102" t="s">
        <v>3821</v>
      </c>
      <c r="J1102" t="s">
        <v>3810</v>
      </c>
      <c r="K1102" t="s">
        <v>101</v>
      </c>
      <c r="L1102" s="13">
        <v>38288</v>
      </c>
      <c r="M1102">
        <v>19</v>
      </c>
      <c r="N1102" t="s">
        <v>90</v>
      </c>
      <c r="O1102" t="s">
        <v>3874</v>
      </c>
      <c r="P1102" t="s">
        <v>76</v>
      </c>
      <c r="Q1102" t="s">
        <v>76</v>
      </c>
      <c r="R1102" t="s">
        <v>95</v>
      </c>
      <c r="S1102" t="s">
        <v>76</v>
      </c>
      <c r="T1102" t="s">
        <v>76</v>
      </c>
      <c r="U1102">
        <v>1</v>
      </c>
      <c r="V1102" s="13">
        <v>45175</v>
      </c>
      <c r="W1102">
        <v>1</v>
      </c>
      <c r="X1102">
        <v>1</v>
      </c>
      <c r="Y1102" t="s">
        <v>3650</v>
      </c>
      <c r="AC1102">
        <v>4643</v>
      </c>
      <c r="AD1102" t="e" vm="1093">
        <v>#VALUE!</v>
      </c>
    </row>
    <row r="1103" spans="2:30" x14ac:dyDescent="0.25">
      <c r="B1103">
        <v>4644</v>
      </c>
      <c r="C1103" t="s">
        <v>3646</v>
      </c>
      <c r="D1103" t="s">
        <v>3649</v>
      </c>
      <c r="E1103" t="s">
        <v>3812</v>
      </c>
      <c r="F1103" t="s">
        <v>85</v>
      </c>
      <c r="G1103" t="s">
        <v>112</v>
      </c>
      <c r="H1103" t="s">
        <v>3808</v>
      </c>
      <c r="I1103" t="s">
        <v>3821</v>
      </c>
      <c r="J1103" t="s">
        <v>3810</v>
      </c>
      <c r="K1103" t="s">
        <v>101</v>
      </c>
      <c r="L1103" s="13">
        <v>38294</v>
      </c>
      <c r="M1103">
        <v>19</v>
      </c>
      <c r="N1103" t="s">
        <v>90</v>
      </c>
      <c r="O1103" t="s">
        <v>3874</v>
      </c>
      <c r="P1103" t="s">
        <v>76</v>
      </c>
      <c r="Q1103" t="s">
        <v>76</v>
      </c>
      <c r="R1103" t="s">
        <v>95</v>
      </c>
      <c r="S1103" t="s">
        <v>76</v>
      </c>
      <c r="T1103" t="s">
        <v>76</v>
      </c>
      <c r="U1103">
        <v>1</v>
      </c>
      <c r="V1103" s="13">
        <v>45175</v>
      </c>
      <c r="W1103">
        <v>1</v>
      </c>
      <c r="X1103">
        <v>1</v>
      </c>
      <c r="Y1103" t="s">
        <v>3650</v>
      </c>
      <c r="AC1103">
        <v>4644</v>
      </c>
      <c r="AD1103" t="e" vm="1094">
        <v>#VALUE!</v>
      </c>
    </row>
    <row r="1104" spans="2:30" x14ac:dyDescent="0.25">
      <c r="B1104">
        <v>4645</v>
      </c>
      <c r="C1104" t="s">
        <v>3659</v>
      </c>
      <c r="D1104" t="s">
        <v>3660</v>
      </c>
      <c r="E1104" t="s">
        <v>3813</v>
      </c>
      <c r="F1104" t="s">
        <v>83</v>
      </c>
      <c r="G1104" t="s">
        <v>103</v>
      </c>
      <c r="H1104" t="s">
        <v>3808</v>
      </c>
      <c r="I1104" t="s">
        <v>3821</v>
      </c>
      <c r="J1104" t="s">
        <v>3810</v>
      </c>
      <c r="K1104" t="s">
        <v>101</v>
      </c>
      <c r="L1104" s="13">
        <v>38294</v>
      </c>
      <c r="M1104">
        <v>19</v>
      </c>
      <c r="N1104" t="s">
        <v>88</v>
      </c>
      <c r="O1104" t="s">
        <v>3874</v>
      </c>
      <c r="P1104" t="s">
        <v>76</v>
      </c>
      <c r="Q1104" t="s">
        <v>76</v>
      </c>
      <c r="R1104" t="s">
        <v>95</v>
      </c>
      <c r="S1104" t="s">
        <v>76</v>
      </c>
      <c r="T1104" t="s">
        <v>76</v>
      </c>
      <c r="U1104">
        <v>1</v>
      </c>
      <c r="V1104" s="13">
        <v>45175</v>
      </c>
      <c r="W1104">
        <v>1</v>
      </c>
      <c r="X1104">
        <v>1</v>
      </c>
      <c r="Y1104" t="s">
        <v>3661</v>
      </c>
      <c r="AC1104">
        <v>4645</v>
      </c>
      <c r="AD1104" t="e" vm="1095">
        <v>#VALUE!</v>
      </c>
    </row>
    <row r="1105" spans="2:30" x14ac:dyDescent="0.25">
      <c r="B1105">
        <v>4646</v>
      </c>
      <c r="C1105" t="s">
        <v>3698</v>
      </c>
      <c r="D1105" t="s">
        <v>3660</v>
      </c>
      <c r="E1105" t="s">
        <v>3813</v>
      </c>
      <c r="F1105" t="s">
        <v>83</v>
      </c>
      <c r="G1105" t="s">
        <v>103</v>
      </c>
      <c r="H1105" t="s">
        <v>3808</v>
      </c>
      <c r="I1105" t="s">
        <v>3821</v>
      </c>
      <c r="J1105" t="s">
        <v>3810</v>
      </c>
      <c r="K1105" t="s">
        <v>101</v>
      </c>
      <c r="L1105" s="13">
        <v>38294</v>
      </c>
      <c r="M1105">
        <v>19</v>
      </c>
      <c r="N1105" t="s">
        <v>98</v>
      </c>
      <c r="O1105" t="s">
        <v>3874</v>
      </c>
      <c r="P1105" t="s">
        <v>76</v>
      </c>
      <c r="Q1105" t="s">
        <v>76</v>
      </c>
      <c r="R1105" t="s">
        <v>95</v>
      </c>
      <c r="S1105" t="s">
        <v>76</v>
      </c>
      <c r="T1105" t="s">
        <v>76</v>
      </c>
      <c r="U1105">
        <v>1</v>
      </c>
      <c r="V1105" s="13">
        <v>45175</v>
      </c>
      <c r="W1105">
        <v>2</v>
      </c>
      <c r="X1105">
        <v>1</v>
      </c>
      <c r="Y1105" t="s">
        <v>3736</v>
      </c>
      <c r="AC1105">
        <v>4646</v>
      </c>
      <c r="AD1105" t="e" vm="1096">
        <v>#VALUE!</v>
      </c>
    </row>
    <row r="1106" spans="2:30" x14ac:dyDescent="0.25">
      <c r="B1106">
        <v>4647</v>
      </c>
      <c r="C1106" t="s">
        <v>3659</v>
      </c>
      <c r="D1106" t="s">
        <v>73</v>
      </c>
      <c r="E1106" t="s">
        <v>73</v>
      </c>
      <c r="F1106" t="s">
        <v>3816</v>
      </c>
      <c r="G1106" t="s">
        <v>3816</v>
      </c>
      <c r="H1106" t="s">
        <v>3808</v>
      </c>
      <c r="I1106" t="s">
        <v>3821</v>
      </c>
      <c r="J1106" t="s">
        <v>3810</v>
      </c>
      <c r="K1106" t="s">
        <v>101</v>
      </c>
      <c r="L1106" s="13">
        <v>38294</v>
      </c>
      <c r="M1106">
        <v>19</v>
      </c>
      <c r="N1106" t="s">
        <v>88</v>
      </c>
      <c r="O1106" t="s">
        <v>3874</v>
      </c>
      <c r="P1106" t="s">
        <v>76</v>
      </c>
      <c r="Q1106" t="s">
        <v>76</v>
      </c>
      <c r="R1106" t="s">
        <v>95</v>
      </c>
      <c r="S1106" t="s">
        <v>76</v>
      </c>
      <c r="T1106" t="s">
        <v>76</v>
      </c>
      <c r="U1106">
        <v>1</v>
      </c>
      <c r="V1106" s="13">
        <v>45175</v>
      </c>
      <c r="W1106">
        <v>1</v>
      </c>
      <c r="X1106">
        <v>1</v>
      </c>
      <c r="Y1106" t="s">
        <v>3719</v>
      </c>
      <c r="AC1106">
        <v>4647</v>
      </c>
      <c r="AD1106" t="e" vm="1097">
        <v>#VALUE!</v>
      </c>
    </row>
    <row r="1107" spans="2:30" x14ac:dyDescent="0.25">
      <c r="B1107">
        <v>4648</v>
      </c>
      <c r="C1107" t="s">
        <v>3698</v>
      </c>
      <c r="D1107" t="s">
        <v>73</v>
      </c>
      <c r="E1107" t="s">
        <v>73</v>
      </c>
      <c r="F1107" t="s">
        <v>3816</v>
      </c>
      <c r="G1107" t="s">
        <v>3816</v>
      </c>
      <c r="H1107" t="s">
        <v>3808</v>
      </c>
      <c r="I1107" t="s">
        <v>3821</v>
      </c>
      <c r="J1107" t="s">
        <v>3810</v>
      </c>
      <c r="K1107" t="s">
        <v>101</v>
      </c>
      <c r="L1107" s="13">
        <v>38294</v>
      </c>
      <c r="M1107">
        <v>19</v>
      </c>
      <c r="N1107" t="s">
        <v>98</v>
      </c>
      <c r="O1107" t="s">
        <v>3874</v>
      </c>
      <c r="P1107" t="s">
        <v>76</v>
      </c>
      <c r="Q1107" t="s">
        <v>76</v>
      </c>
      <c r="R1107" t="s">
        <v>95</v>
      </c>
      <c r="S1107" t="s">
        <v>76</v>
      </c>
      <c r="T1107" t="s">
        <v>76</v>
      </c>
      <c r="U1107">
        <v>1</v>
      </c>
      <c r="V1107" s="13">
        <v>45175</v>
      </c>
      <c r="W1107">
        <v>2</v>
      </c>
      <c r="X1107">
        <v>1</v>
      </c>
      <c r="Y1107" t="s">
        <v>3724</v>
      </c>
      <c r="AC1107">
        <v>4648</v>
      </c>
      <c r="AD1107" t="e" vm="1098">
        <v>#VALUE!</v>
      </c>
    </row>
    <row r="1108" spans="2:30" x14ac:dyDescent="0.25">
      <c r="B1108">
        <v>4649</v>
      </c>
      <c r="C1108" t="s">
        <v>3659</v>
      </c>
      <c r="D1108" t="s">
        <v>3660</v>
      </c>
      <c r="E1108" t="s">
        <v>3813</v>
      </c>
      <c r="F1108" t="s">
        <v>83</v>
      </c>
      <c r="G1108" t="s">
        <v>103</v>
      </c>
      <c r="H1108" t="s">
        <v>3808</v>
      </c>
      <c r="I1108" t="s">
        <v>3821</v>
      </c>
      <c r="J1108" t="s">
        <v>3810</v>
      </c>
      <c r="K1108" t="s">
        <v>101</v>
      </c>
      <c r="L1108" s="13">
        <v>38301</v>
      </c>
      <c r="M1108">
        <v>19</v>
      </c>
      <c r="N1108" t="s">
        <v>88</v>
      </c>
      <c r="O1108" t="s">
        <v>3874</v>
      </c>
      <c r="P1108" t="s">
        <v>76</v>
      </c>
      <c r="Q1108" t="s">
        <v>76</v>
      </c>
      <c r="R1108" t="s">
        <v>95</v>
      </c>
      <c r="S1108" t="s">
        <v>76</v>
      </c>
      <c r="T1108" t="s">
        <v>76</v>
      </c>
      <c r="U1108">
        <v>1</v>
      </c>
      <c r="V1108" s="13">
        <v>45175</v>
      </c>
      <c r="W1108">
        <v>1</v>
      </c>
      <c r="X1108">
        <v>1</v>
      </c>
      <c r="Y1108" t="s">
        <v>3661</v>
      </c>
      <c r="AC1108">
        <v>4649</v>
      </c>
      <c r="AD1108" t="e" vm="1099">
        <v>#VALUE!</v>
      </c>
    </row>
    <row r="1109" spans="2:30" x14ac:dyDescent="0.25">
      <c r="B1109">
        <v>4650</v>
      </c>
      <c r="C1109" t="s">
        <v>3659</v>
      </c>
      <c r="D1109" t="s">
        <v>3660</v>
      </c>
      <c r="E1109" t="s">
        <v>3813</v>
      </c>
      <c r="F1109" t="s">
        <v>83</v>
      </c>
      <c r="G1109" t="s">
        <v>103</v>
      </c>
      <c r="H1109" t="s">
        <v>3808</v>
      </c>
      <c r="I1109" t="s">
        <v>3821</v>
      </c>
      <c r="J1109" t="s">
        <v>3810</v>
      </c>
      <c r="K1109" t="s">
        <v>101</v>
      </c>
      <c r="L1109" s="13">
        <v>38301</v>
      </c>
      <c r="M1109">
        <v>19</v>
      </c>
      <c r="N1109" t="s">
        <v>88</v>
      </c>
      <c r="O1109" t="s">
        <v>3874</v>
      </c>
      <c r="P1109" t="s">
        <v>76</v>
      </c>
      <c r="Q1109" t="s">
        <v>76</v>
      </c>
      <c r="R1109" t="s">
        <v>95</v>
      </c>
      <c r="S1109" t="s">
        <v>76</v>
      </c>
      <c r="T1109" t="s">
        <v>76</v>
      </c>
      <c r="U1109">
        <v>1</v>
      </c>
      <c r="V1109" s="13">
        <v>45175</v>
      </c>
      <c r="W1109">
        <v>1</v>
      </c>
      <c r="X1109">
        <v>1</v>
      </c>
      <c r="Y1109" t="s">
        <v>3661</v>
      </c>
      <c r="AC1109">
        <v>4650</v>
      </c>
      <c r="AD1109" t="e" vm="1100">
        <v>#VALUE!</v>
      </c>
    </row>
    <row r="1110" spans="2:30" x14ac:dyDescent="0.25">
      <c r="B1110">
        <v>4651</v>
      </c>
      <c r="C1110" t="s">
        <v>3659</v>
      </c>
      <c r="D1110" t="s">
        <v>3660</v>
      </c>
      <c r="E1110" t="s">
        <v>3813</v>
      </c>
      <c r="F1110" t="s">
        <v>83</v>
      </c>
      <c r="G1110" t="s">
        <v>103</v>
      </c>
      <c r="H1110" t="s">
        <v>3808</v>
      </c>
      <c r="I1110" t="s">
        <v>3821</v>
      </c>
      <c r="J1110" t="s">
        <v>3810</v>
      </c>
      <c r="K1110" t="s">
        <v>101</v>
      </c>
      <c r="L1110" s="13">
        <v>38308</v>
      </c>
      <c r="M1110">
        <v>19</v>
      </c>
      <c r="N1110" t="s">
        <v>88</v>
      </c>
      <c r="O1110" t="s">
        <v>3874</v>
      </c>
      <c r="P1110" t="s">
        <v>76</v>
      </c>
      <c r="Q1110" t="s">
        <v>76</v>
      </c>
      <c r="R1110" t="s">
        <v>95</v>
      </c>
      <c r="S1110" t="s">
        <v>76</v>
      </c>
      <c r="T1110" t="s">
        <v>76</v>
      </c>
      <c r="U1110">
        <v>1</v>
      </c>
      <c r="V1110" s="13">
        <v>45175</v>
      </c>
      <c r="W1110">
        <v>1</v>
      </c>
      <c r="X1110">
        <v>1</v>
      </c>
      <c r="Y1110" t="s">
        <v>3661</v>
      </c>
      <c r="AC1110">
        <v>4651</v>
      </c>
      <c r="AD1110" t="e" vm="1101">
        <v>#VALUE!</v>
      </c>
    </row>
    <row r="1111" spans="2:30" x14ac:dyDescent="0.25">
      <c r="B1111">
        <v>4652</v>
      </c>
      <c r="C1111" t="s">
        <v>3659</v>
      </c>
      <c r="D1111" t="s">
        <v>3660</v>
      </c>
      <c r="E1111" t="s">
        <v>3813</v>
      </c>
      <c r="F1111" t="s">
        <v>83</v>
      </c>
      <c r="G1111" t="s">
        <v>103</v>
      </c>
      <c r="H1111" t="s">
        <v>3808</v>
      </c>
      <c r="I1111" t="s">
        <v>3821</v>
      </c>
      <c r="J1111" t="s">
        <v>3810</v>
      </c>
      <c r="K1111" t="s">
        <v>101</v>
      </c>
      <c r="L1111" s="13">
        <v>38309</v>
      </c>
      <c r="M1111">
        <v>19</v>
      </c>
      <c r="N1111" t="s">
        <v>88</v>
      </c>
      <c r="O1111" t="s">
        <v>3874</v>
      </c>
      <c r="P1111" t="s">
        <v>76</v>
      </c>
      <c r="Q1111" t="s">
        <v>76</v>
      </c>
      <c r="R1111" t="s">
        <v>95</v>
      </c>
      <c r="S1111" t="s">
        <v>76</v>
      </c>
      <c r="T1111" t="s">
        <v>76</v>
      </c>
      <c r="U1111">
        <v>1</v>
      </c>
      <c r="V1111" s="13">
        <v>45175</v>
      </c>
      <c r="W1111">
        <v>1</v>
      </c>
      <c r="X1111">
        <v>1</v>
      </c>
      <c r="Y1111" t="s">
        <v>3661</v>
      </c>
      <c r="AC1111">
        <v>4652</v>
      </c>
      <c r="AD1111" t="e" vm="1102">
        <v>#VALUE!</v>
      </c>
    </row>
    <row r="1112" spans="2:30" x14ac:dyDescent="0.25">
      <c r="B1112">
        <v>4653</v>
      </c>
      <c r="C1112" t="s">
        <v>3662</v>
      </c>
      <c r="D1112" t="s">
        <v>3716</v>
      </c>
      <c r="E1112" t="s">
        <v>3853</v>
      </c>
      <c r="F1112" t="s">
        <v>78</v>
      </c>
      <c r="G1112" t="s">
        <v>77</v>
      </c>
      <c r="H1112" t="s">
        <v>3808</v>
      </c>
      <c r="I1112" t="s">
        <v>3821</v>
      </c>
      <c r="J1112" t="s">
        <v>3810</v>
      </c>
      <c r="K1112" t="s">
        <v>101</v>
      </c>
      <c r="L1112" s="13">
        <v>38323</v>
      </c>
      <c r="M1112">
        <v>19</v>
      </c>
      <c r="N1112" t="s">
        <v>79</v>
      </c>
      <c r="O1112" t="s">
        <v>3874</v>
      </c>
      <c r="P1112" t="s">
        <v>76</v>
      </c>
      <c r="Q1112" t="s">
        <v>76</v>
      </c>
      <c r="R1112" t="s">
        <v>95</v>
      </c>
      <c r="S1112" t="s">
        <v>76</v>
      </c>
      <c r="T1112" t="s">
        <v>76</v>
      </c>
      <c r="U1112">
        <v>1</v>
      </c>
      <c r="V1112" s="13">
        <v>45175</v>
      </c>
      <c r="W1112">
        <v>1</v>
      </c>
      <c r="X1112">
        <v>1</v>
      </c>
      <c r="Y1112" t="s">
        <v>3717</v>
      </c>
      <c r="AC1112">
        <v>4653</v>
      </c>
      <c r="AD1112" t="e" vm="1103">
        <v>#VALUE!</v>
      </c>
    </row>
    <row r="1113" spans="2:30" x14ac:dyDescent="0.25">
      <c r="B1113">
        <v>4654</v>
      </c>
      <c r="C1113" t="s">
        <v>3662</v>
      </c>
      <c r="D1113" t="s">
        <v>3716</v>
      </c>
      <c r="E1113" t="s">
        <v>3853</v>
      </c>
      <c r="F1113" t="s">
        <v>78</v>
      </c>
      <c r="G1113" t="s">
        <v>77</v>
      </c>
      <c r="H1113" t="s">
        <v>3808</v>
      </c>
      <c r="I1113" t="s">
        <v>3821</v>
      </c>
      <c r="J1113" t="s">
        <v>3810</v>
      </c>
      <c r="K1113" t="s">
        <v>101</v>
      </c>
      <c r="L1113" s="13">
        <v>38323</v>
      </c>
      <c r="M1113">
        <v>19</v>
      </c>
      <c r="N1113" t="s">
        <v>79</v>
      </c>
      <c r="O1113" t="s">
        <v>3874</v>
      </c>
      <c r="P1113" t="s">
        <v>76</v>
      </c>
      <c r="Q1113" t="s">
        <v>76</v>
      </c>
      <c r="R1113" t="s">
        <v>95</v>
      </c>
      <c r="S1113" t="s">
        <v>76</v>
      </c>
      <c r="T1113" t="s">
        <v>76</v>
      </c>
      <c r="U1113">
        <v>1</v>
      </c>
      <c r="V1113" s="13">
        <v>45175</v>
      </c>
      <c r="W1113">
        <v>1</v>
      </c>
      <c r="X1113">
        <v>1</v>
      </c>
      <c r="Y1113" t="s">
        <v>3717</v>
      </c>
      <c r="AC1113">
        <v>4654</v>
      </c>
      <c r="AD1113" t="e" vm="1104">
        <v>#VALUE!</v>
      </c>
    </row>
    <row r="1114" spans="2:30" x14ac:dyDescent="0.25">
      <c r="B1114">
        <v>4655</v>
      </c>
      <c r="C1114" t="s">
        <v>3662</v>
      </c>
      <c r="D1114" t="s">
        <v>3716</v>
      </c>
      <c r="E1114" t="s">
        <v>3853</v>
      </c>
      <c r="F1114" t="s">
        <v>78</v>
      </c>
      <c r="G1114" t="s">
        <v>77</v>
      </c>
      <c r="H1114" t="s">
        <v>3808</v>
      </c>
      <c r="I1114" t="s">
        <v>3821</v>
      </c>
      <c r="J1114" t="s">
        <v>3810</v>
      </c>
      <c r="K1114" t="s">
        <v>101</v>
      </c>
      <c r="L1114" s="13">
        <v>38323</v>
      </c>
      <c r="M1114">
        <v>19</v>
      </c>
      <c r="N1114" t="s">
        <v>79</v>
      </c>
      <c r="O1114" t="s">
        <v>3874</v>
      </c>
      <c r="P1114" t="s">
        <v>76</v>
      </c>
      <c r="Q1114" t="s">
        <v>76</v>
      </c>
      <c r="R1114" t="s">
        <v>95</v>
      </c>
      <c r="S1114" t="s">
        <v>76</v>
      </c>
      <c r="T1114" t="s">
        <v>76</v>
      </c>
      <c r="U1114">
        <v>1</v>
      </c>
      <c r="V1114" s="13">
        <v>45175</v>
      </c>
      <c r="W1114">
        <v>1</v>
      </c>
      <c r="X1114">
        <v>1</v>
      </c>
      <c r="Y1114" t="s">
        <v>3717</v>
      </c>
      <c r="AC1114">
        <v>4655</v>
      </c>
      <c r="AD1114" t="e" vm="1105">
        <v>#VALUE!</v>
      </c>
    </row>
    <row r="1115" spans="2:30" x14ac:dyDescent="0.25">
      <c r="B1115">
        <v>4656</v>
      </c>
      <c r="C1115" t="s">
        <v>3662</v>
      </c>
      <c r="D1115" t="s">
        <v>3716</v>
      </c>
      <c r="E1115" t="s">
        <v>3853</v>
      </c>
      <c r="F1115" t="s">
        <v>78</v>
      </c>
      <c r="G1115" t="s">
        <v>77</v>
      </c>
      <c r="H1115" t="s">
        <v>3808</v>
      </c>
      <c r="I1115" t="s">
        <v>3821</v>
      </c>
      <c r="J1115" t="s">
        <v>3810</v>
      </c>
      <c r="K1115" t="s">
        <v>101</v>
      </c>
      <c r="L1115" s="13">
        <v>38323</v>
      </c>
      <c r="M1115">
        <v>19</v>
      </c>
      <c r="N1115" t="s">
        <v>79</v>
      </c>
      <c r="O1115" t="s">
        <v>3874</v>
      </c>
      <c r="P1115" t="s">
        <v>76</v>
      </c>
      <c r="Q1115" t="s">
        <v>76</v>
      </c>
      <c r="R1115" t="s">
        <v>95</v>
      </c>
      <c r="S1115" t="s">
        <v>76</v>
      </c>
      <c r="T1115" t="s">
        <v>76</v>
      </c>
      <c r="U1115">
        <v>1</v>
      </c>
      <c r="V1115" s="13">
        <v>45175</v>
      </c>
      <c r="W1115">
        <v>1</v>
      </c>
      <c r="X1115">
        <v>1</v>
      </c>
      <c r="Y1115" t="s">
        <v>3717</v>
      </c>
      <c r="AC1115">
        <v>4656</v>
      </c>
      <c r="AD1115" t="e" vm="1106">
        <v>#VALUE!</v>
      </c>
    </row>
    <row r="1116" spans="2:30" x14ac:dyDescent="0.25">
      <c r="B1116">
        <v>4658</v>
      </c>
      <c r="C1116" t="s">
        <v>3646</v>
      </c>
      <c r="D1116" t="s">
        <v>3649</v>
      </c>
      <c r="E1116" t="s">
        <v>3812</v>
      </c>
      <c r="F1116" t="s">
        <v>85</v>
      </c>
      <c r="G1116" t="s">
        <v>112</v>
      </c>
      <c r="H1116" t="s">
        <v>3808</v>
      </c>
      <c r="I1116" t="s">
        <v>3821</v>
      </c>
      <c r="J1116" t="s">
        <v>3810</v>
      </c>
      <c r="K1116" t="s">
        <v>101</v>
      </c>
      <c r="L1116" s="13">
        <v>38343</v>
      </c>
      <c r="M1116">
        <v>19</v>
      </c>
      <c r="N1116" t="s">
        <v>90</v>
      </c>
      <c r="O1116" t="s">
        <v>3874</v>
      </c>
      <c r="P1116" t="s">
        <v>76</v>
      </c>
      <c r="Q1116" t="s">
        <v>76</v>
      </c>
      <c r="R1116" t="s">
        <v>95</v>
      </c>
      <c r="S1116" t="s">
        <v>76</v>
      </c>
      <c r="T1116" t="s">
        <v>76</v>
      </c>
      <c r="U1116">
        <v>1</v>
      </c>
      <c r="V1116" s="13">
        <v>45175</v>
      </c>
      <c r="W1116">
        <v>1</v>
      </c>
      <c r="X1116">
        <v>1</v>
      </c>
      <c r="Y1116" t="s">
        <v>3650</v>
      </c>
      <c r="AC1116">
        <v>4658</v>
      </c>
      <c r="AD1116" t="e" vm="1107">
        <v>#VALUE!</v>
      </c>
    </row>
    <row r="1117" spans="2:30" x14ac:dyDescent="0.25">
      <c r="B1117">
        <v>4659</v>
      </c>
      <c r="C1117" t="s">
        <v>3646</v>
      </c>
      <c r="D1117" t="s">
        <v>3649</v>
      </c>
      <c r="E1117" t="s">
        <v>3812</v>
      </c>
      <c r="F1117" t="s">
        <v>85</v>
      </c>
      <c r="G1117" t="s">
        <v>112</v>
      </c>
      <c r="H1117" t="s">
        <v>3808</v>
      </c>
      <c r="I1117" t="s">
        <v>3821</v>
      </c>
      <c r="J1117" t="s">
        <v>3810</v>
      </c>
      <c r="K1117" t="s">
        <v>101</v>
      </c>
      <c r="L1117" s="13">
        <v>38343</v>
      </c>
      <c r="M1117">
        <v>19</v>
      </c>
      <c r="N1117" t="s">
        <v>90</v>
      </c>
      <c r="O1117" t="s">
        <v>3874</v>
      </c>
      <c r="P1117" t="s">
        <v>76</v>
      </c>
      <c r="Q1117" t="s">
        <v>76</v>
      </c>
      <c r="R1117" t="s">
        <v>95</v>
      </c>
      <c r="S1117" t="s">
        <v>76</v>
      </c>
      <c r="T1117" t="s">
        <v>76</v>
      </c>
      <c r="U1117">
        <v>1</v>
      </c>
      <c r="V1117" s="13">
        <v>45175</v>
      </c>
      <c r="W1117">
        <v>1</v>
      </c>
      <c r="X1117">
        <v>1</v>
      </c>
      <c r="Y1117" t="s">
        <v>3650</v>
      </c>
      <c r="AC1117">
        <v>4659</v>
      </c>
      <c r="AD1117" t="e" vm="1108">
        <v>#VALUE!</v>
      </c>
    </row>
    <row r="1118" spans="2:30" x14ac:dyDescent="0.25">
      <c r="B1118">
        <v>4660</v>
      </c>
      <c r="C1118" t="s">
        <v>3646</v>
      </c>
      <c r="D1118" t="s">
        <v>3649</v>
      </c>
      <c r="E1118" t="s">
        <v>3812</v>
      </c>
      <c r="F1118" t="s">
        <v>85</v>
      </c>
      <c r="G1118" t="s">
        <v>112</v>
      </c>
      <c r="H1118" t="s">
        <v>3808</v>
      </c>
      <c r="I1118" t="s">
        <v>3821</v>
      </c>
      <c r="J1118" t="s">
        <v>3810</v>
      </c>
      <c r="K1118" t="s">
        <v>101</v>
      </c>
      <c r="L1118" s="13">
        <v>38343</v>
      </c>
      <c r="M1118">
        <v>19</v>
      </c>
      <c r="N1118" t="s">
        <v>90</v>
      </c>
      <c r="O1118" t="s">
        <v>3874</v>
      </c>
      <c r="P1118" t="s">
        <v>76</v>
      </c>
      <c r="Q1118" t="s">
        <v>76</v>
      </c>
      <c r="R1118" t="s">
        <v>95</v>
      </c>
      <c r="S1118" t="s">
        <v>76</v>
      </c>
      <c r="T1118" t="s">
        <v>76</v>
      </c>
      <c r="U1118">
        <v>1</v>
      </c>
      <c r="V1118" s="13">
        <v>45175</v>
      </c>
      <c r="W1118">
        <v>1</v>
      </c>
      <c r="X1118">
        <v>1</v>
      </c>
      <c r="Y1118" t="s">
        <v>3650</v>
      </c>
      <c r="AC1118">
        <v>4660</v>
      </c>
      <c r="AD1118" t="e" vm="1109">
        <v>#VALUE!</v>
      </c>
    </row>
    <row r="1119" spans="2:30" x14ac:dyDescent="0.25">
      <c r="B1119">
        <v>4661</v>
      </c>
      <c r="C1119" t="s">
        <v>3646</v>
      </c>
      <c r="D1119" t="s">
        <v>3649</v>
      </c>
      <c r="E1119" t="s">
        <v>3812</v>
      </c>
      <c r="F1119" t="s">
        <v>85</v>
      </c>
      <c r="G1119" t="s">
        <v>112</v>
      </c>
      <c r="H1119" t="s">
        <v>3808</v>
      </c>
      <c r="I1119" t="s">
        <v>3821</v>
      </c>
      <c r="J1119" t="s">
        <v>3810</v>
      </c>
      <c r="K1119" t="s">
        <v>101</v>
      </c>
      <c r="L1119" s="13">
        <v>38387</v>
      </c>
      <c r="M1119">
        <v>19</v>
      </c>
      <c r="N1119" t="s">
        <v>90</v>
      </c>
      <c r="O1119" t="s">
        <v>3874</v>
      </c>
      <c r="P1119" t="s">
        <v>76</v>
      </c>
      <c r="Q1119" t="s">
        <v>76</v>
      </c>
      <c r="R1119" t="s">
        <v>95</v>
      </c>
      <c r="S1119" t="s">
        <v>76</v>
      </c>
      <c r="T1119" t="s">
        <v>76</v>
      </c>
      <c r="U1119">
        <v>1</v>
      </c>
      <c r="V1119" s="13">
        <v>45175</v>
      </c>
      <c r="W1119">
        <v>1</v>
      </c>
      <c r="X1119">
        <v>1</v>
      </c>
      <c r="Y1119" t="s">
        <v>3650</v>
      </c>
      <c r="AC1119">
        <v>4661</v>
      </c>
      <c r="AD1119" t="e" vm="1110">
        <v>#VALUE!</v>
      </c>
    </row>
    <row r="1120" spans="2:30" x14ac:dyDescent="0.25">
      <c r="B1120">
        <v>4662</v>
      </c>
      <c r="C1120" t="s">
        <v>3646</v>
      </c>
      <c r="D1120" t="s">
        <v>3649</v>
      </c>
      <c r="E1120" t="s">
        <v>3812</v>
      </c>
      <c r="F1120" t="s">
        <v>85</v>
      </c>
      <c r="G1120" t="s">
        <v>112</v>
      </c>
      <c r="H1120" t="s">
        <v>3808</v>
      </c>
      <c r="I1120" t="s">
        <v>3821</v>
      </c>
      <c r="J1120" t="s">
        <v>3810</v>
      </c>
      <c r="K1120" t="s">
        <v>101</v>
      </c>
      <c r="L1120" s="13">
        <v>38371</v>
      </c>
      <c r="M1120">
        <v>19</v>
      </c>
      <c r="N1120" t="s">
        <v>90</v>
      </c>
      <c r="O1120" t="s">
        <v>3874</v>
      </c>
      <c r="P1120" t="s">
        <v>76</v>
      </c>
      <c r="Q1120" t="s">
        <v>76</v>
      </c>
      <c r="R1120" t="s">
        <v>95</v>
      </c>
      <c r="S1120" t="s">
        <v>76</v>
      </c>
      <c r="T1120" t="s">
        <v>76</v>
      </c>
      <c r="U1120">
        <v>1</v>
      </c>
      <c r="V1120" s="13">
        <v>45175</v>
      </c>
      <c r="W1120">
        <v>1</v>
      </c>
      <c r="X1120">
        <v>1</v>
      </c>
      <c r="Y1120" t="s">
        <v>3650</v>
      </c>
      <c r="AC1120">
        <v>4662</v>
      </c>
      <c r="AD1120" t="e" vm="1111">
        <v>#VALUE!</v>
      </c>
    </row>
    <row r="1121" spans="2:30" x14ac:dyDescent="0.25">
      <c r="B1121">
        <v>4664</v>
      </c>
      <c r="C1121" t="s">
        <v>3659</v>
      </c>
      <c r="D1121" t="s">
        <v>3722</v>
      </c>
      <c r="E1121" t="s">
        <v>3861</v>
      </c>
      <c r="F1121" t="s">
        <v>105</v>
      </c>
      <c r="G1121" t="s">
        <v>94</v>
      </c>
      <c r="H1121" t="s">
        <v>3808</v>
      </c>
      <c r="I1121" t="s">
        <v>3839</v>
      </c>
      <c r="J1121" t="s">
        <v>3864</v>
      </c>
      <c r="K1121" t="s">
        <v>101</v>
      </c>
      <c r="L1121" s="13">
        <v>38273</v>
      </c>
      <c r="M1121">
        <v>19</v>
      </c>
      <c r="N1121" t="s">
        <v>88</v>
      </c>
      <c r="O1121" t="s">
        <v>3875</v>
      </c>
      <c r="P1121" t="s">
        <v>76</v>
      </c>
      <c r="Q1121" t="s">
        <v>76</v>
      </c>
      <c r="R1121" t="s">
        <v>95</v>
      </c>
      <c r="S1121" t="s">
        <v>76</v>
      </c>
      <c r="T1121" t="s">
        <v>76</v>
      </c>
      <c r="U1121">
        <v>1</v>
      </c>
      <c r="V1121" s="13">
        <v>45175</v>
      </c>
      <c r="W1121">
        <v>1</v>
      </c>
      <c r="X1121">
        <v>1</v>
      </c>
      <c r="Y1121" t="s">
        <v>3723</v>
      </c>
      <c r="AC1121">
        <v>4664</v>
      </c>
      <c r="AD1121" t="e" vm="1112">
        <v>#VALUE!</v>
      </c>
    </row>
    <row r="1122" spans="2:30" x14ac:dyDescent="0.25">
      <c r="B1122">
        <v>4665</v>
      </c>
      <c r="C1122" t="s">
        <v>3659</v>
      </c>
      <c r="D1122" t="s">
        <v>3722</v>
      </c>
      <c r="E1122" t="s">
        <v>3861</v>
      </c>
      <c r="F1122" t="s">
        <v>105</v>
      </c>
      <c r="G1122" t="s">
        <v>94</v>
      </c>
      <c r="H1122" t="s">
        <v>3808</v>
      </c>
      <c r="I1122" t="s">
        <v>3839</v>
      </c>
      <c r="J1122" t="s">
        <v>3864</v>
      </c>
      <c r="K1122" t="s">
        <v>101</v>
      </c>
      <c r="L1122" s="13">
        <v>38309</v>
      </c>
      <c r="M1122">
        <v>19</v>
      </c>
      <c r="N1122" t="s">
        <v>88</v>
      </c>
      <c r="O1122" t="s">
        <v>3875</v>
      </c>
      <c r="P1122" t="s">
        <v>76</v>
      </c>
      <c r="Q1122" t="s">
        <v>76</v>
      </c>
      <c r="R1122" t="s">
        <v>95</v>
      </c>
      <c r="S1122" t="s">
        <v>76</v>
      </c>
      <c r="T1122" t="s">
        <v>76</v>
      </c>
      <c r="U1122">
        <v>1</v>
      </c>
      <c r="V1122" s="13">
        <v>45175</v>
      </c>
      <c r="W1122">
        <v>1</v>
      </c>
      <c r="X1122">
        <v>1</v>
      </c>
      <c r="Y1122" t="s">
        <v>3723</v>
      </c>
      <c r="AC1122">
        <v>4665</v>
      </c>
      <c r="AD1122" t="e" vm="1113">
        <v>#VALUE!</v>
      </c>
    </row>
    <row r="1123" spans="2:30" x14ac:dyDescent="0.25">
      <c r="B1123">
        <v>4666</v>
      </c>
      <c r="C1123" t="s">
        <v>3659</v>
      </c>
      <c r="D1123" t="s">
        <v>3722</v>
      </c>
      <c r="E1123" t="s">
        <v>3861</v>
      </c>
      <c r="F1123" t="s">
        <v>105</v>
      </c>
      <c r="G1123" t="s">
        <v>94</v>
      </c>
      <c r="H1123" t="s">
        <v>3808</v>
      </c>
      <c r="I1123" t="s">
        <v>3839</v>
      </c>
      <c r="J1123" t="s">
        <v>3864</v>
      </c>
      <c r="K1123" t="s">
        <v>101</v>
      </c>
      <c r="L1123" s="13">
        <v>38301</v>
      </c>
      <c r="M1123">
        <v>19</v>
      </c>
      <c r="N1123" t="s">
        <v>88</v>
      </c>
      <c r="O1123" t="s">
        <v>3875</v>
      </c>
      <c r="P1123" t="s">
        <v>76</v>
      </c>
      <c r="Q1123" t="s">
        <v>76</v>
      </c>
      <c r="R1123" t="s">
        <v>95</v>
      </c>
      <c r="S1123" t="s">
        <v>76</v>
      </c>
      <c r="T1123" t="s">
        <v>76</v>
      </c>
      <c r="U1123">
        <v>1</v>
      </c>
      <c r="V1123" s="13">
        <v>45175</v>
      </c>
      <c r="W1123">
        <v>1</v>
      </c>
      <c r="X1123">
        <v>1</v>
      </c>
      <c r="Y1123" t="s">
        <v>3723</v>
      </c>
      <c r="AC1123">
        <v>4666</v>
      </c>
      <c r="AD1123" t="e" vm="1114">
        <v>#VALUE!</v>
      </c>
    </row>
    <row r="1124" spans="2:30" x14ac:dyDescent="0.25">
      <c r="B1124">
        <v>4667</v>
      </c>
      <c r="C1124" t="s">
        <v>3659</v>
      </c>
      <c r="D1124" t="s">
        <v>3722</v>
      </c>
      <c r="E1124" t="s">
        <v>3861</v>
      </c>
      <c r="F1124" t="s">
        <v>105</v>
      </c>
      <c r="G1124" t="s">
        <v>94</v>
      </c>
      <c r="H1124" t="s">
        <v>3808</v>
      </c>
      <c r="I1124" t="s">
        <v>3839</v>
      </c>
      <c r="J1124" t="s">
        <v>3864</v>
      </c>
      <c r="K1124" t="s">
        <v>101</v>
      </c>
      <c r="L1124" s="13">
        <v>38301</v>
      </c>
      <c r="M1124">
        <v>19</v>
      </c>
      <c r="N1124" t="s">
        <v>88</v>
      </c>
      <c r="O1124" t="s">
        <v>3875</v>
      </c>
      <c r="P1124" t="s">
        <v>76</v>
      </c>
      <c r="Q1124" t="s">
        <v>76</v>
      </c>
      <c r="R1124" t="s">
        <v>95</v>
      </c>
      <c r="S1124" t="s">
        <v>76</v>
      </c>
      <c r="T1124" t="s">
        <v>76</v>
      </c>
      <c r="U1124">
        <v>1</v>
      </c>
      <c r="V1124" s="13">
        <v>45175</v>
      </c>
      <c r="W1124">
        <v>1</v>
      </c>
      <c r="X1124">
        <v>1</v>
      </c>
      <c r="Y1124" t="s">
        <v>3723</v>
      </c>
      <c r="AC1124">
        <v>4667</v>
      </c>
      <c r="AD1124" t="e" vm="1115">
        <v>#VALUE!</v>
      </c>
    </row>
    <row r="1125" spans="2:30" x14ac:dyDescent="0.25">
      <c r="B1125">
        <v>4668</v>
      </c>
      <c r="C1125" t="s">
        <v>3659</v>
      </c>
      <c r="D1125" t="s">
        <v>3722</v>
      </c>
      <c r="E1125" t="s">
        <v>3861</v>
      </c>
      <c r="F1125" t="s">
        <v>105</v>
      </c>
      <c r="G1125" t="s">
        <v>94</v>
      </c>
      <c r="H1125" t="s">
        <v>3808</v>
      </c>
      <c r="I1125" t="s">
        <v>3839</v>
      </c>
      <c r="J1125" t="s">
        <v>3864</v>
      </c>
      <c r="K1125" t="s">
        <v>101</v>
      </c>
      <c r="L1125" s="13">
        <v>38309</v>
      </c>
      <c r="M1125">
        <v>19</v>
      </c>
      <c r="N1125" t="s">
        <v>88</v>
      </c>
      <c r="O1125" t="s">
        <v>3875</v>
      </c>
      <c r="P1125" t="s">
        <v>76</v>
      </c>
      <c r="Q1125" t="s">
        <v>76</v>
      </c>
      <c r="R1125" t="s">
        <v>95</v>
      </c>
      <c r="S1125" t="s">
        <v>76</v>
      </c>
      <c r="T1125" t="s">
        <v>76</v>
      </c>
      <c r="U1125">
        <v>1</v>
      </c>
      <c r="V1125" s="13">
        <v>45175</v>
      </c>
      <c r="W1125">
        <v>1</v>
      </c>
      <c r="X1125">
        <v>1</v>
      </c>
      <c r="Y1125" t="s">
        <v>3723</v>
      </c>
      <c r="AC1125">
        <v>4668</v>
      </c>
      <c r="AD1125" t="e" vm="1116">
        <v>#VALUE!</v>
      </c>
    </row>
    <row r="1126" spans="2:30" x14ac:dyDescent="0.25">
      <c r="B1126">
        <v>4669</v>
      </c>
      <c r="C1126" t="s">
        <v>3659</v>
      </c>
      <c r="D1126" t="s">
        <v>3722</v>
      </c>
      <c r="E1126" t="s">
        <v>3861</v>
      </c>
      <c r="F1126" t="s">
        <v>105</v>
      </c>
      <c r="G1126" t="s">
        <v>94</v>
      </c>
      <c r="H1126" t="s">
        <v>3808</v>
      </c>
      <c r="I1126" t="s">
        <v>3839</v>
      </c>
      <c r="J1126" t="s">
        <v>3864</v>
      </c>
      <c r="K1126" t="s">
        <v>101</v>
      </c>
      <c r="L1126" s="13">
        <v>38320</v>
      </c>
      <c r="M1126">
        <v>19</v>
      </c>
      <c r="N1126" t="s">
        <v>88</v>
      </c>
      <c r="O1126" t="s">
        <v>3875</v>
      </c>
      <c r="P1126" t="s">
        <v>76</v>
      </c>
      <c r="Q1126" t="s">
        <v>76</v>
      </c>
      <c r="R1126" t="s">
        <v>95</v>
      </c>
      <c r="S1126" t="s">
        <v>76</v>
      </c>
      <c r="T1126" t="s">
        <v>76</v>
      </c>
      <c r="U1126">
        <v>1</v>
      </c>
      <c r="V1126" s="13">
        <v>45175</v>
      </c>
      <c r="W1126">
        <v>1</v>
      </c>
      <c r="X1126">
        <v>1</v>
      </c>
      <c r="Y1126" t="s">
        <v>3723</v>
      </c>
      <c r="AC1126">
        <v>4669</v>
      </c>
      <c r="AD1126" t="e" vm="1117">
        <v>#VALUE!</v>
      </c>
    </row>
    <row r="1127" spans="2:30" x14ac:dyDescent="0.25">
      <c r="B1127">
        <v>4670</v>
      </c>
      <c r="C1127" t="s">
        <v>3659</v>
      </c>
      <c r="D1127" t="s">
        <v>3722</v>
      </c>
      <c r="E1127" t="s">
        <v>3861</v>
      </c>
      <c r="F1127" t="s">
        <v>105</v>
      </c>
      <c r="G1127" t="s">
        <v>94</v>
      </c>
      <c r="H1127" t="s">
        <v>3808</v>
      </c>
      <c r="I1127" t="s">
        <v>3839</v>
      </c>
      <c r="J1127" t="s">
        <v>3864</v>
      </c>
      <c r="K1127" t="s">
        <v>101</v>
      </c>
      <c r="L1127" s="13">
        <v>38320</v>
      </c>
      <c r="M1127">
        <v>19</v>
      </c>
      <c r="N1127" t="s">
        <v>88</v>
      </c>
      <c r="O1127" t="s">
        <v>3875</v>
      </c>
      <c r="P1127" t="s">
        <v>76</v>
      </c>
      <c r="Q1127" t="s">
        <v>76</v>
      </c>
      <c r="R1127" t="s">
        <v>95</v>
      </c>
      <c r="S1127" t="s">
        <v>76</v>
      </c>
      <c r="T1127" t="s">
        <v>76</v>
      </c>
      <c r="U1127">
        <v>1</v>
      </c>
      <c r="V1127" s="13">
        <v>45175</v>
      </c>
      <c r="W1127">
        <v>1</v>
      </c>
      <c r="X1127">
        <v>1</v>
      </c>
      <c r="Y1127" t="s">
        <v>3723</v>
      </c>
      <c r="AC1127">
        <v>4670</v>
      </c>
      <c r="AD1127" t="e" vm="1118">
        <v>#VALUE!</v>
      </c>
    </row>
    <row r="1128" spans="2:30" x14ac:dyDescent="0.25">
      <c r="B1128">
        <v>4671</v>
      </c>
      <c r="C1128" t="s">
        <v>3659</v>
      </c>
      <c r="D1128" t="s">
        <v>3722</v>
      </c>
      <c r="E1128" t="s">
        <v>3861</v>
      </c>
      <c r="F1128" t="s">
        <v>105</v>
      </c>
      <c r="G1128" t="s">
        <v>94</v>
      </c>
      <c r="H1128" t="s">
        <v>3808</v>
      </c>
      <c r="I1128" t="s">
        <v>3839</v>
      </c>
      <c r="J1128" t="s">
        <v>3864</v>
      </c>
      <c r="K1128" t="s">
        <v>101</v>
      </c>
      <c r="L1128" s="13">
        <v>38328</v>
      </c>
      <c r="M1128">
        <v>19</v>
      </c>
      <c r="N1128" t="s">
        <v>88</v>
      </c>
      <c r="O1128" t="s">
        <v>3875</v>
      </c>
      <c r="P1128" t="s">
        <v>76</v>
      </c>
      <c r="Q1128" t="s">
        <v>76</v>
      </c>
      <c r="R1128" t="s">
        <v>95</v>
      </c>
      <c r="S1128" t="s">
        <v>76</v>
      </c>
      <c r="T1128" t="s">
        <v>76</v>
      </c>
      <c r="U1128">
        <v>1</v>
      </c>
      <c r="V1128" s="13">
        <v>45175</v>
      </c>
      <c r="W1128">
        <v>1</v>
      </c>
      <c r="X1128">
        <v>1</v>
      </c>
      <c r="Y1128" t="s">
        <v>3723</v>
      </c>
      <c r="AC1128">
        <v>4671</v>
      </c>
      <c r="AD1128" t="e" vm="1119">
        <v>#VALUE!</v>
      </c>
    </row>
    <row r="1129" spans="2:30" x14ac:dyDescent="0.25">
      <c r="B1129">
        <v>4672</v>
      </c>
      <c r="C1129" t="s">
        <v>3659</v>
      </c>
      <c r="D1129" t="s">
        <v>3722</v>
      </c>
      <c r="E1129" t="s">
        <v>3861</v>
      </c>
      <c r="F1129" t="s">
        <v>105</v>
      </c>
      <c r="G1129" t="s">
        <v>94</v>
      </c>
      <c r="H1129" t="s">
        <v>3808</v>
      </c>
      <c r="I1129" t="s">
        <v>3839</v>
      </c>
      <c r="J1129" t="s">
        <v>3864</v>
      </c>
      <c r="K1129" t="s">
        <v>101</v>
      </c>
      <c r="L1129" s="13">
        <v>38320</v>
      </c>
      <c r="M1129">
        <v>19</v>
      </c>
      <c r="N1129" t="s">
        <v>88</v>
      </c>
      <c r="O1129" t="s">
        <v>3875</v>
      </c>
      <c r="P1129" t="s">
        <v>76</v>
      </c>
      <c r="Q1129" t="s">
        <v>76</v>
      </c>
      <c r="R1129" t="s">
        <v>95</v>
      </c>
      <c r="S1129" t="s">
        <v>76</v>
      </c>
      <c r="T1129" t="s">
        <v>76</v>
      </c>
      <c r="U1129">
        <v>1</v>
      </c>
      <c r="V1129" s="13">
        <v>45175</v>
      </c>
      <c r="W1129">
        <v>1</v>
      </c>
      <c r="X1129">
        <v>1</v>
      </c>
      <c r="Y1129" t="s">
        <v>3723</v>
      </c>
      <c r="AC1129">
        <v>4672</v>
      </c>
      <c r="AD1129" t="e" vm="1120">
        <v>#VALUE!</v>
      </c>
    </row>
    <row r="1130" spans="2:30" x14ac:dyDescent="0.25">
      <c r="B1130">
        <v>4673</v>
      </c>
      <c r="C1130" t="s">
        <v>3659</v>
      </c>
      <c r="D1130" t="s">
        <v>3722</v>
      </c>
      <c r="E1130" t="s">
        <v>3861</v>
      </c>
      <c r="F1130" t="s">
        <v>105</v>
      </c>
      <c r="G1130" t="s">
        <v>94</v>
      </c>
      <c r="H1130" t="s">
        <v>3808</v>
      </c>
      <c r="I1130" t="s">
        <v>3839</v>
      </c>
      <c r="J1130" t="s">
        <v>3864</v>
      </c>
      <c r="K1130" t="s">
        <v>101</v>
      </c>
      <c r="L1130" s="13">
        <v>38328</v>
      </c>
      <c r="M1130">
        <v>19</v>
      </c>
      <c r="N1130" t="s">
        <v>88</v>
      </c>
      <c r="O1130" t="s">
        <v>3875</v>
      </c>
      <c r="P1130" t="s">
        <v>76</v>
      </c>
      <c r="Q1130" t="s">
        <v>76</v>
      </c>
      <c r="R1130" t="s">
        <v>95</v>
      </c>
      <c r="S1130" t="s">
        <v>76</v>
      </c>
      <c r="T1130" t="s">
        <v>76</v>
      </c>
      <c r="U1130">
        <v>1</v>
      </c>
      <c r="V1130" s="13">
        <v>45175</v>
      </c>
      <c r="W1130">
        <v>1</v>
      </c>
      <c r="X1130">
        <v>1</v>
      </c>
      <c r="Y1130" t="s">
        <v>3723</v>
      </c>
      <c r="AC1130">
        <v>4673</v>
      </c>
      <c r="AD1130" t="e" vm="1121">
        <v>#VALUE!</v>
      </c>
    </row>
    <row r="1131" spans="2:30" x14ac:dyDescent="0.25">
      <c r="B1131">
        <v>4674</v>
      </c>
      <c r="C1131" t="s">
        <v>3659</v>
      </c>
      <c r="D1131" t="s">
        <v>3722</v>
      </c>
      <c r="E1131" t="s">
        <v>3861</v>
      </c>
      <c r="F1131" t="s">
        <v>105</v>
      </c>
      <c r="G1131" t="s">
        <v>94</v>
      </c>
      <c r="H1131" t="s">
        <v>3808</v>
      </c>
      <c r="I1131" t="s">
        <v>3839</v>
      </c>
      <c r="J1131" t="s">
        <v>3864</v>
      </c>
      <c r="K1131" t="s">
        <v>101</v>
      </c>
      <c r="L1131" s="13">
        <v>38328</v>
      </c>
      <c r="M1131">
        <v>19</v>
      </c>
      <c r="N1131" t="s">
        <v>88</v>
      </c>
      <c r="O1131" t="s">
        <v>3875</v>
      </c>
      <c r="P1131" t="s">
        <v>76</v>
      </c>
      <c r="Q1131" t="s">
        <v>76</v>
      </c>
      <c r="R1131" t="s">
        <v>95</v>
      </c>
      <c r="S1131" t="s">
        <v>76</v>
      </c>
      <c r="T1131" t="s">
        <v>76</v>
      </c>
      <c r="U1131">
        <v>1</v>
      </c>
      <c r="V1131" s="13">
        <v>45175</v>
      </c>
      <c r="W1131">
        <v>1</v>
      </c>
      <c r="X1131">
        <v>1</v>
      </c>
      <c r="Y1131" t="s">
        <v>3723</v>
      </c>
      <c r="AC1131">
        <v>4674</v>
      </c>
      <c r="AD1131" t="e" vm="1122">
        <v>#VALUE!</v>
      </c>
    </row>
    <row r="1132" spans="2:30" x14ac:dyDescent="0.25">
      <c r="B1132">
        <v>4675</v>
      </c>
      <c r="C1132" t="s">
        <v>3659</v>
      </c>
      <c r="D1132" t="s">
        <v>3722</v>
      </c>
      <c r="E1132" t="s">
        <v>3861</v>
      </c>
      <c r="F1132" t="s">
        <v>105</v>
      </c>
      <c r="G1132" t="s">
        <v>94</v>
      </c>
      <c r="H1132" t="s">
        <v>3808</v>
      </c>
      <c r="I1132" t="s">
        <v>3839</v>
      </c>
      <c r="J1132" t="s">
        <v>3864</v>
      </c>
      <c r="K1132" t="s">
        <v>101</v>
      </c>
      <c r="L1132" s="13">
        <v>38336</v>
      </c>
      <c r="M1132">
        <v>19</v>
      </c>
      <c r="N1132" t="s">
        <v>88</v>
      </c>
      <c r="O1132" t="s">
        <v>3875</v>
      </c>
      <c r="P1132" t="s">
        <v>76</v>
      </c>
      <c r="Q1132" t="s">
        <v>76</v>
      </c>
      <c r="R1132" t="s">
        <v>95</v>
      </c>
      <c r="S1132" t="s">
        <v>76</v>
      </c>
      <c r="T1132" t="s">
        <v>76</v>
      </c>
      <c r="U1132">
        <v>1</v>
      </c>
      <c r="V1132" s="13">
        <v>45175</v>
      </c>
      <c r="W1132">
        <v>1</v>
      </c>
      <c r="X1132">
        <v>1</v>
      </c>
      <c r="Y1132" t="s">
        <v>3723</v>
      </c>
      <c r="AC1132">
        <v>4675</v>
      </c>
      <c r="AD1132" t="e" vm="1123">
        <v>#VALUE!</v>
      </c>
    </row>
    <row r="1133" spans="2:30" x14ac:dyDescent="0.25">
      <c r="B1133">
        <v>4676</v>
      </c>
      <c r="C1133" t="s">
        <v>3659</v>
      </c>
      <c r="D1133" t="s">
        <v>3722</v>
      </c>
      <c r="E1133" t="s">
        <v>3861</v>
      </c>
      <c r="F1133" t="s">
        <v>105</v>
      </c>
      <c r="G1133" t="s">
        <v>94</v>
      </c>
      <c r="H1133" t="s">
        <v>3808</v>
      </c>
      <c r="I1133" t="s">
        <v>3839</v>
      </c>
      <c r="J1133" t="s">
        <v>3864</v>
      </c>
      <c r="K1133" t="s">
        <v>101</v>
      </c>
      <c r="L1133" s="13">
        <v>38336</v>
      </c>
      <c r="M1133">
        <v>19</v>
      </c>
      <c r="N1133" t="s">
        <v>88</v>
      </c>
      <c r="O1133" t="s">
        <v>3875</v>
      </c>
      <c r="P1133" t="s">
        <v>76</v>
      </c>
      <c r="Q1133" t="s">
        <v>76</v>
      </c>
      <c r="R1133" t="s">
        <v>95</v>
      </c>
      <c r="S1133" t="s">
        <v>76</v>
      </c>
      <c r="T1133" t="s">
        <v>76</v>
      </c>
      <c r="U1133">
        <v>1</v>
      </c>
      <c r="V1133" s="13">
        <v>45175</v>
      </c>
      <c r="W1133">
        <v>1</v>
      </c>
      <c r="X1133">
        <v>1</v>
      </c>
      <c r="Y1133" t="s">
        <v>3723</v>
      </c>
      <c r="AC1133">
        <v>4676</v>
      </c>
      <c r="AD1133" t="e" vm="1124">
        <v>#VALUE!</v>
      </c>
    </row>
    <row r="1134" spans="2:30" x14ac:dyDescent="0.25">
      <c r="B1134">
        <v>4677</v>
      </c>
      <c r="C1134" t="s">
        <v>3659</v>
      </c>
      <c r="D1134" t="s">
        <v>3722</v>
      </c>
      <c r="E1134" t="s">
        <v>3861</v>
      </c>
      <c r="F1134" t="s">
        <v>105</v>
      </c>
      <c r="G1134" t="s">
        <v>94</v>
      </c>
      <c r="H1134" t="s">
        <v>3808</v>
      </c>
      <c r="I1134" t="s">
        <v>3839</v>
      </c>
      <c r="J1134" t="s">
        <v>3864</v>
      </c>
      <c r="K1134" t="s">
        <v>101</v>
      </c>
      <c r="L1134" s="13">
        <v>38336</v>
      </c>
      <c r="M1134">
        <v>19</v>
      </c>
      <c r="N1134" t="s">
        <v>88</v>
      </c>
      <c r="O1134" t="s">
        <v>3875</v>
      </c>
      <c r="P1134" t="s">
        <v>76</v>
      </c>
      <c r="Q1134" t="s">
        <v>76</v>
      </c>
      <c r="R1134" t="s">
        <v>95</v>
      </c>
      <c r="S1134" t="s">
        <v>76</v>
      </c>
      <c r="T1134" t="s">
        <v>76</v>
      </c>
      <c r="U1134">
        <v>1</v>
      </c>
      <c r="V1134" s="13">
        <v>45175</v>
      </c>
      <c r="W1134">
        <v>1</v>
      </c>
      <c r="X1134">
        <v>1</v>
      </c>
      <c r="Y1134" t="s">
        <v>3723</v>
      </c>
      <c r="AC1134">
        <v>4677</v>
      </c>
      <c r="AD1134" t="e" vm="1125">
        <v>#VALUE!</v>
      </c>
    </row>
    <row r="1135" spans="2:30" x14ac:dyDescent="0.25">
      <c r="B1135">
        <v>4678</v>
      </c>
      <c r="C1135" t="s">
        <v>3659</v>
      </c>
      <c r="D1135" t="s">
        <v>3722</v>
      </c>
      <c r="E1135" t="s">
        <v>3861</v>
      </c>
      <c r="F1135" t="s">
        <v>105</v>
      </c>
      <c r="G1135" t="s">
        <v>94</v>
      </c>
      <c r="H1135" t="s">
        <v>3808</v>
      </c>
      <c r="I1135" t="s">
        <v>3839</v>
      </c>
      <c r="J1135" t="s">
        <v>3864</v>
      </c>
      <c r="K1135" t="s">
        <v>101</v>
      </c>
      <c r="L1135" s="13">
        <v>38343</v>
      </c>
      <c r="M1135">
        <v>19</v>
      </c>
      <c r="N1135" t="s">
        <v>88</v>
      </c>
      <c r="O1135" t="s">
        <v>3875</v>
      </c>
      <c r="P1135" t="s">
        <v>76</v>
      </c>
      <c r="Q1135" t="s">
        <v>76</v>
      </c>
      <c r="R1135" t="s">
        <v>95</v>
      </c>
      <c r="S1135" t="s">
        <v>76</v>
      </c>
      <c r="T1135" t="s">
        <v>76</v>
      </c>
      <c r="U1135">
        <v>1</v>
      </c>
      <c r="V1135" s="13">
        <v>45175</v>
      </c>
      <c r="W1135">
        <v>1</v>
      </c>
      <c r="X1135">
        <v>1</v>
      </c>
      <c r="Y1135" t="s">
        <v>3723</v>
      </c>
      <c r="AC1135">
        <v>4678</v>
      </c>
      <c r="AD1135" t="e" vm="1126">
        <v>#VALUE!</v>
      </c>
    </row>
    <row r="1136" spans="2:30" x14ac:dyDescent="0.25">
      <c r="B1136">
        <v>4679</v>
      </c>
      <c r="C1136" t="s">
        <v>3659</v>
      </c>
      <c r="D1136" t="s">
        <v>3722</v>
      </c>
      <c r="E1136" t="s">
        <v>3861</v>
      </c>
      <c r="F1136" t="s">
        <v>105</v>
      </c>
      <c r="G1136" t="s">
        <v>94</v>
      </c>
      <c r="H1136" t="s">
        <v>3808</v>
      </c>
      <c r="I1136" t="s">
        <v>3839</v>
      </c>
      <c r="J1136" t="s">
        <v>3864</v>
      </c>
      <c r="K1136" t="s">
        <v>101</v>
      </c>
      <c r="L1136" s="13">
        <v>38343</v>
      </c>
      <c r="M1136">
        <v>19</v>
      </c>
      <c r="N1136" t="s">
        <v>88</v>
      </c>
      <c r="O1136" t="s">
        <v>3875</v>
      </c>
      <c r="P1136" t="s">
        <v>76</v>
      </c>
      <c r="Q1136" t="s">
        <v>76</v>
      </c>
      <c r="R1136" t="s">
        <v>95</v>
      </c>
      <c r="S1136" t="s">
        <v>76</v>
      </c>
      <c r="T1136" t="s">
        <v>76</v>
      </c>
      <c r="U1136">
        <v>1</v>
      </c>
      <c r="V1136" s="13">
        <v>45175</v>
      </c>
      <c r="W1136">
        <v>1</v>
      </c>
      <c r="X1136">
        <v>1</v>
      </c>
      <c r="Y1136" t="s">
        <v>3723</v>
      </c>
      <c r="AC1136">
        <v>4679</v>
      </c>
      <c r="AD1136" t="e" vm="1127">
        <v>#VALUE!</v>
      </c>
    </row>
    <row r="1137" spans="2:30" x14ac:dyDescent="0.25">
      <c r="B1137">
        <v>4680</v>
      </c>
      <c r="C1137" t="s">
        <v>3698</v>
      </c>
      <c r="D1137" t="s">
        <v>3675</v>
      </c>
      <c r="E1137" t="s">
        <v>3820</v>
      </c>
      <c r="F1137" t="s">
        <v>85</v>
      </c>
      <c r="G1137" t="s">
        <v>107</v>
      </c>
      <c r="H1137" t="s">
        <v>3808</v>
      </c>
      <c r="I1137" t="s">
        <v>3839</v>
      </c>
      <c r="J1137" t="s">
        <v>3864</v>
      </c>
      <c r="K1137" t="s">
        <v>101</v>
      </c>
      <c r="L1137" s="13">
        <v>38358</v>
      </c>
      <c r="M1137">
        <v>19</v>
      </c>
      <c r="N1137" t="s">
        <v>98</v>
      </c>
      <c r="O1137" t="s">
        <v>3875</v>
      </c>
      <c r="P1137" t="s">
        <v>76</v>
      </c>
      <c r="Q1137" t="s">
        <v>76</v>
      </c>
      <c r="R1137" t="s">
        <v>95</v>
      </c>
      <c r="S1137" t="s">
        <v>76</v>
      </c>
      <c r="T1137" t="s">
        <v>76</v>
      </c>
      <c r="U1137">
        <v>1</v>
      </c>
      <c r="V1137" s="13">
        <v>45175</v>
      </c>
      <c r="W1137">
        <v>2</v>
      </c>
      <c r="X1137">
        <v>1</v>
      </c>
      <c r="Y1137" t="s">
        <v>3728</v>
      </c>
      <c r="AC1137">
        <v>4680</v>
      </c>
      <c r="AD1137" t="e" vm="1128">
        <v>#VALUE!</v>
      </c>
    </row>
    <row r="1138" spans="2:30" x14ac:dyDescent="0.25">
      <c r="B1138">
        <v>4681</v>
      </c>
      <c r="C1138" t="s">
        <v>3662</v>
      </c>
      <c r="D1138" t="s">
        <v>3737</v>
      </c>
      <c r="E1138" t="s">
        <v>3876</v>
      </c>
      <c r="F1138" t="s">
        <v>89</v>
      </c>
      <c r="G1138" t="s">
        <v>100</v>
      </c>
      <c r="H1138" t="s">
        <v>3808</v>
      </c>
      <c r="I1138" t="s">
        <v>3839</v>
      </c>
      <c r="J1138" t="s">
        <v>3864</v>
      </c>
      <c r="K1138" t="s">
        <v>101</v>
      </c>
      <c r="L1138" s="13">
        <v>38363</v>
      </c>
      <c r="M1138">
        <v>19</v>
      </c>
      <c r="N1138" t="s">
        <v>79</v>
      </c>
      <c r="O1138" t="s">
        <v>3875</v>
      </c>
      <c r="P1138" t="s">
        <v>76</v>
      </c>
      <c r="Q1138" t="s">
        <v>76</v>
      </c>
      <c r="R1138" t="s">
        <v>95</v>
      </c>
      <c r="S1138" t="s">
        <v>76</v>
      </c>
      <c r="T1138" t="s">
        <v>76</v>
      </c>
      <c r="U1138">
        <v>1</v>
      </c>
      <c r="V1138" s="13">
        <v>45175</v>
      </c>
      <c r="W1138">
        <v>1</v>
      </c>
      <c r="X1138">
        <v>1</v>
      </c>
      <c r="Y1138" t="s">
        <v>3738</v>
      </c>
      <c r="AC1138">
        <v>4681</v>
      </c>
      <c r="AD1138" t="e" vm="1129">
        <v>#VALUE!</v>
      </c>
    </row>
    <row r="1139" spans="2:30" x14ac:dyDescent="0.25">
      <c r="B1139">
        <v>4682</v>
      </c>
      <c r="C1139" t="s">
        <v>3662</v>
      </c>
      <c r="D1139" t="s">
        <v>3737</v>
      </c>
      <c r="E1139" t="s">
        <v>3876</v>
      </c>
      <c r="F1139" t="s">
        <v>89</v>
      </c>
      <c r="G1139" t="s">
        <v>100</v>
      </c>
      <c r="H1139" t="s">
        <v>3808</v>
      </c>
      <c r="I1139" t="s">
        <v>3839</v>
      </c>
      <c r="J1139" t="s">
        <v>3864</v>
      </c>
      <c r="K1139" t="s">
        <v>101</v>
      </c>
      <c r="L1139" s="13">
        <v>38363</v>
      </c>
      <c r="M1139">
        <v>19</v>
      </c>
      <c r="N1139" t="s">
        <v>79</v>
      </c>
      <c r="O1139" t="s">
        <v>3875</v>
      </c>
      <c r="P1139" t="s">
        <v>76</v>
      </c>
      <c r="Q1139" t="s">
        <v>76</v>
      </c>
      <c r="R1139" t="s">
        <v>95</v>
      </c>
      <c r="S1139" t="s">
        <v>76</v>
      </c>
      <c r="T1139" t="s">
        <v>76</v>
      </c>
      <c r="U1139">
        <v>1</v>
      </c>
      <c r="V1139" s="13">
        <v>45175</v>
      </c>
      <c r="W1139">
        <v>1</v>
      </c>
      <c r="X1139">
        <v>1</v>
      </c>
      <c r="Y1139" t="s">
        <v>3738</v>
      </c>
      <c r="AC1139">
        <v>4682</v>
      </c>
      <c r="AD1139" t="e" vm="1130">
        <v>#VALUE!</v>
      </c>
    </row>
    <row r="1140" spans="2:30" x14ac:dyDescent="0.25">
      <c r="B1140">
        <v>4683</v>
      </c>
      <c r="C1140" t="s">
        <v>3662</v>
      </c>
      <c r="D1140" t="s">
        <v>3737</v>
      </c>
      <c r="E1140" t="s">
        <v>3876</v>
      </c>
      <c r="F1140" t="s">
        <v>89</v>
      </c>
      <c r="G1140" t="s">
        <v>100</v>
      </c>
      <c r="H1140" t="s">
        <v>3808</v>
      </c>
      <c r="I1140" t="s">
        <v>3839</v>
      </c>
      <c r="J1140" t="s">
        <v>3864</v>
      </c>
      <c r="K1140" t="s">
        <v>101</v>
      </c>
      <c r="L1140" s="13">
        <v>38372</v>
      </c>
      <c r="M1140">
        <v>19</v>
      </c>
      <c r="N1140" t="s">
        <v>79</v>
      </c>
      <c r="O1140" t="s">
        <v>3875</v>
      </c>
      <c r="P1140" t="s">
        <v>76</v>
      </c>
      <c r="Q1140" t="s">
        <v>76</v>
      </c>
      <c r="R1140" t="s">
        <v>95</v>
      </c>
      <c r="S1140" t="s">
        <v>76</v>
      </c>
      <c r="T1140" t="s">
        <v>76</v>
      </c>
      <c r="U1140">
        <v>1</v>
      </c>
      <c r="V1140" s="13">
        <v>45175</v>
      </c>
      <c r="W1140">
        <v>1</v>
      </c>
      <c r="X1140">
        <v>1</v>
      </c>
      <c r="Y1140" t="s">
        <v>3738</v>
      </c>
      <c r="AC1140">
        <v>4683</v>
      </c>
      <c r="AD1140" t="e" vm="1131">
        <v>#VALUE!</v>
      </c>
    </row>
    <row r="1141" spans="2:30" x14ac:dyDescent="0.25">
      <c r="B1141">
        <v>4684</v>
      </c>
      <c r="C1141" t="s">
        <v>3662</v>
      </c>
      <c r="D1141" t="s">
        <v>3737</v>
      </c>
      <c r="E1141" t="s">
        <v>3876</v>
      </c>
      <c r="F1141" t="s">
        <v>89</v>
      </c>
      <c r="G1141" t="s">
        <v>100</v>
      </c>
      <c r="H1141" t="s">
        <v>3808</v>
      </c>
      <c r="I1141" t="s">
        <v>3839</v>
      </c>
      <c r="J1141" t="s">
        <v>3864</v>
      </c>
      <c r="K1141" t="s">
        <v>101</v>
      </c>
      <c r="L1141" s="13">
        <v>38372</v>
      </c>
      <c r="M1141">
        <v>19</v>
      </c>
      <c r="N1141" t="s">
        <v>79</v>
      </c>
      <c r="O1141" t="s">
        <v>3875</v>
      </c>
      <c r="P1141" t="s">
        <v>76</v>
      </c>
      <c r="Q1141" t="s">
        <v>76</v>
      </c>
      <c r="R1141" t="s">
        <v>95</v>
      </c>
      <c r="S1141" t="s">
        <v>76</v>
      </c>
      <c r="T1141" t="s">
        <v>76</v>
      </c>
      <c r="U1141">
        <v>1</v>
      </c>
      <c r="V1141" s="13">
        <v>45175</v>
      </c>
      <c r="W1141">
        <v>1</v>
      </c>
      <c r="X1141">
        <v>1</v>
      </c>
      <c r="Y1141" t="s">
        <v>3738</v>
      </c>
      <c r="AC1141">
        <v>4684</v>
      </c>
      <c r="AD1141" t="e" vm="1132">
        <v>#VALUE!</v>
      </c>
    </row>
    <row r="1142" spans="2:30" x14ac:dyDescent="0.25">
      <c r="B1142">
        <v>4685</v>
      </c>
      <c r="C1142" t="s">
        <v>3662</v>
      </c>
      <c r="D1142" t="s">
        <v>3737</v>
      </c>
      <c r="E1142" t="s">
        <v>3876</v>
      </c>
      <c r="F1142" t="s">
        <v>89</v>
      </c>
      <c r="G1142" t="s">
        <v>100</v>
      </c>
      <c r="H1142" t="s">
        <v>3808</v>
      </c>
      <c r="I1142" t="s">
        <v>3839</v>
      </c>
      <c r="J1142" t="s">
        <v>3864</v>
      </c>
      <c r="K1142" t="s">
        <v>101</v>
      </c>
      <c r="L1142" s="13">
        <v>38378</v>
      </c>
      <c r="M1142">
        <v>19</v>
      </c>
      <c r="N1142" t="s">
        <v>79</v>
      </c>
      <c r="O1142" t="s">
        <v>3875</v>
      </c>
      <c r="P1142" t="s">
        <v>76</v>
      </c>
      <c r="Q1142" t="s">
        <v>76</v>
      </c>
      <c r="R1142" t="s">
        <v>95</v>
      </c>
      <c r="S1142" t="s">
        <v>76</v>
      </c>
      <c r="T1142" t="s">
        <v>76</v>
      </c>
      <c r="U1142">
        <v>1</v>
      </c>
      <c r="V1142" s="13">
        <v>45175</v>
      </c>
      <c r="W1142">
        <v>1</v>
      </c>
      <c r="X1142">
        <v>1</v>
      </c>
      <c r="Y1142" t="s">
        <v>3738</v>
      </c>
      <c r="AC1142">
        <v>4685</v>
      </c>
      <c r="AD1142" t="e" vm="1133">
        <v>#VALUE!</v>
      </c>
    </row>
    <row r="1143" spans="2:30" x14ac:dyDescent="0.25">
      <c r="B1143">
        <v>4686</v>
      </c>
      <c r="C1143" t="s">
        <v>3662</v>
      </c>
      <c r="D1143" t="s">
        <v>3737</v>
      </c>
      <c r="E1143" t="s">
        <v>3876</v>
      </c>
      <c r="F1143" t="s">
        <v>89</v>
      </c>
      <c r="G1143" t="s">
        <v>100</v>
      </c>
      <c r="H1143" t="s">
        <v>3808</v>
      </c>
      <c r="I1143" t="s">
        <v>3839</v>
      </c>
      <c r="J1143" t="s">
        <v>3864</v>
      </c>
      <c r="K1143" t="s">
        <v>101</v>
      </c>
      <c r="L1143" s="13">
        <v>38385</v>
      </c>
      <c r="M1143">
        <v>19</v>
      </c>
      <c r="N1143" t="s">
        <v>79</v>
      </c>
      <c r="O1143" t="s">
        <v>3875</v>
      </c>
      <c r="P1143" t="s">
        <v>76</v>
      </c>
      <c r="Q1143" t="s">
        <v>76</v>
      </c>
      <c r="R1143" t="s">
        <v>95</v>
      </c>
      <c r="S1143" t="s">
        <v>76</v>
      </c>
      <c r="T1143" t="s">
        <v>76</v>
      </c>
      <c r="U1143">
        <v>1</v>
      </c>
      <c r="V1143" s="13">
        <v>45175</v>
      </c>
      <c r="W1143">
        <v>1</v>
      </c>
      <c r="X1143">
        <v>1</v>
      </c>
      <c r="Y1143" t="s">
        <v>3738</v>
      </c>
      <c r="AC1143">
        <v>4686</v>
      </c>
      <c r="AD1143" t="e" vm="1134">
        <v>#VALUE!</v>
      </c>
    </row>
    <row r="1144" spans="2:30" x14ac:dyDescent="0.25">
      <c r="B1144">
        <v>4687</v>
      </c>
      <c r="C1144" t="s">
        <v>3662</v>
      </c>
      <c r="D1144" t="s">
        <v>3737</v>
      </c>
      <c r="E1144" t="s">
        <v>3876</v>
      </c>
      <c r="F1144" t="s">
        <v>89</v>
      </c>
      <c r="G1144" t="s">
        <v>100</v>
      </c>
      <c r="H1144" t="s">
        <v>3808</v>
      </c>
      <c r="I1144" t="s">
        <v>3839</v>
      </c>
      <c r="J1144" t="s">
        <v>3864</v>
      </c>
      <c r="K1144" t="s">
        <v>101</v>
      </c>
      <c r="L1144" s="13">
        <v>38385</v>
      </c>
      <c r="M1144">
        <v>19</v>
      </c>
      <c r="N1144" t="s">
        <v>79</v>
      </c>
      <c r="O1144" t="s">
        <v>3875</v>
      </c>
      <c r="P1144" t="s">
        <v>76</v>
      </c>
      <c r="Q1144" t="s">
        <v>76</v>
      </c>
      <c r="R1144" t="s">
        <v>95</v>
      </c>
      <c r="S1144" t="s">
        <v>76</v>
      </c>
      <c r="T1144" t="s">
        <v>76</v>
      </c>
      <c r="U1144">
        <v>1</v>
      </c>
      <c r="V1144" s="13">
        <v>45175</v>
      </c>
      <c r="W1144">
        <v>1</v>
      </c>
      <c r="X1144">
        <v>1</v>
      </c>
      <c r="Y1144" t="s">
        <v>3738</v>
      </c>
      <c r="AC1144">
        <v>4687</v>
      </c>
      <c r="AD1144" t="e" vm="1135">
        <v>#VALUE!</v>
      </c>
    </row>
    <row r="1145" spans="2:30" x14ac:dyDescent="0.25">
      <c r="B1145">
        <v>4688</v>
      </c>
      <c r="C1145" t="s">
        <v>3646</v>
      </c>
      <c r="D1145" t="s">
        <v>3647</v>
      </c>
      <c r="E1145" t="s">
        <v>3807</v>
      </c>
      <c r="F1145" t="s">
        <v>105</v>
      </c>
      <c r="G1145" t="s">
        <v>108</v>
      </c>
      <c r="H1145" t="s">
        <v>3808</v>
      </c>
      <c r="I1145" t="s">
        <v>3839</v>
      </c>
      <c r="J1145" t="s">
        <v>3864</v>
      </c>
      <c r="K1145" t="s">
        <v>101</v>
      </c>
      <c r="L1145" s="13">
        <v>38385</v>
      </c>
      <c r="M1145">
        <v>19</v>
      </c>
      <c r="N1145" t="s">
        <v>90</v>
      </c>
      <c r="O1145" t="s">
        <v>3875</v>
      </c>
      <c r="P1145" t="s">
        <v>76</v>
      </c>
      <c r="Q1145" t="s">
        <v>76</v>
      </c>
      <c r="R1145" t="s">
        <v>95</v>
      </c>
      <c r="S1145" t="s">
        <v>76</v>
      </c>
      <c r="T1145" t="s">
        <v>76</v>
      </c>
      <c r="U1145">
        <v>1</v>
      </c>
      <c r="V1145" s="13">
        <v>45175</v>
      </c>
      <c r="W1145">
        <v>1</v>
      </c>
      <c r="X1145">
        <v>1</v>
      </c>
      <c r="Y1145" t="s">
        <v>3648</v>
      </c>
      <c r="AC1145">
        <v>4688</v>
      </c>
      <c r="AD1145" t="e" vm="1136">
        <v>#VALUE!</v>
      </c>
    </row>
    <row r="1146" spans="2:30" x14ac:dyDescent="0.25">
      <c r="B1146">
        <v>4689</v>
      </c>
      <c r="C1146" t="s">
        <v>3646</v>
      </c>
      <c r="D1146" t="s">
        <v>3647</v>
      </c>
      <c r="E1146" t="s">
        <v>3807</v>
      </c>
      <c r="F1146" t="s">
        <v>105</v>
      </c>
      <c r="G1146" t="s">
        <v>108</v>
      </c>
      <c r="H1146" t="s">
        <v>3808</v>
      </c>
      <c r="I1146" t="s">
        <v>3839</v>
      </c>
      <c r="J1146" t="s">
        <v>3864</v>
      </c>
      <c r="K1146" t="s">
        <v>101</v>
      </c>
      <c r="L1146" s="13">
        <v>38425</v>
      </c>
      <c r="M1146">
        <v>19</v>
      </c>
      <c r="N1146" t="s">
        <v>90</v>
      </c>
      <c r="O1146" t="s">
        <v>3875</v>
      </c>
      <c r="P1146" t="s">
        <v>76</v>
      </c>
      <c r="Q1146" t="s">
        <v>76</v>
      </c>
      <c r="R1146" t="s">
        <v>95</v>
      </c>
      <c r="S1146" t="s">
        <v>76</v>
      </c>
      <c r="T1146" t="s">
        <v>76</v>
      </c>
      <c r="U1146">
        <v>1</v>
      </c>
      <c r="V1146" s="13">
        <v>45175</v>
      </c>
      <c r="W1146">
        <v>1</v>
      </c>
      <c r="X1146">
        <v>1</v>
      </c>
      <c r="Y1146" t="s">
        <v>3648</v>
      </c>
      <c r="AC1146">
        <v>4689</v>
      </c>
      <c r="AD1146" t="e" vm="1137">
        <v>#VALUE!</v>
      </c>
    </row>
    <row r="1147" spans="2:30" x14ac:dyDescent="0.25">
      <c r="B1147">
        <v>4691</v>
      </c>
      <c r="C1147" t="s">
        <v>3646</v>
      </c>
      <c r="D1147" t="s">
        <v>3647</v>
      </c>
      <c r="E1147" t="s">
        <v>3807</v>
      </c>
      <c r="F1147" t="s">
        <v>105</v>
      </c>
      <c r="G1147" t="s">
        <v>108</v>
      </c>
      <c r="H1147" t="s">
        <v>3808</v>
      </c>
      <c r="I1147" t="s">
        <v>3839</v>
      </c>
      <c r="J1147" t="s">
        <v>3864</v>
      </c>
      <c r="K1147" t="s">
        <v>101</v>
      </c>
      <c r="L1147" s="13">
        <v>38390</v>
      </c>
      <c r="M1147">
        <v>19</v>
      </c>
      <c r="N1147" t="s">
        <v>90</v>
      </c>
      <c r="O1147" t="s">
        <v>3875</v>
      </c>
      <c r="P1147" t="s">
        <v>76</v>
      </c>
      <c r="Q1147" t="s">
        <v>76</v>
      </c>
      <c r="R1147" t="s">
        <v>95</v>
      </c>
      <c r="S1147" t="s">
        <v>76</v>
      </c>
      <c r="T1147" t="s">
        <v>76</v>
      </c>
      <c r="U1147">
        <v>1</v>
      </c>
      <c r="V1147" s="13">
        <v>45175</v>
      </c>
      <c r="W1147">
        <v>2</v>
      </c>
      <c r="X1147">
        <v>1</v>
      </c>
      <c r="Y1147" t="s">
        <v>3648</v>
      </c>
      <c r="AC1147">
        <v>4691</v>
      </c>
      <c r="AD1147" t="e" vm="1138">
        <v>#VALUE!</v>
      </c>
    </row>
    <row r="1148" spans="2:30" x14ac:dyDescent="0.25">
      <c r="B1148">
        <v>4692</v>
      </c>
      <c r="C1148" t="s">
        <v>3668</v>
      </c>
      <c r="D1148" t="s">
        <v>3671</v>
      </c>
      <c r="E1148" t="s">
        <v>3818</v>
      </c>
      <c r="F1148" t="s">
        <v>83</v>
      </c>
      <c r="G1148" t="s">
        <v>77</v>
      </c>
      <c r="H1148" t="s">
        <v>3808</v>
      </c>
      <c r="I1148" t="s">
        <v>3839</v>
      </c>
      <c r="J1148" t="s">
        <v>3864</v>
      </c>
      <c r="K1148" t="s">
        <v>101</v>
      </c>
      <c r="L1148" s="13">
        <v>38390</v>
      </c>
      <c r="M1148">
        <v>19</v>
      </c>
      <c r="N1148" t="s">
        <v>82</v>
      </c>
      <c r="O1148" t="s">
        <v>3875</v>
      </c>
      <c r="P1148" t="s">
        <v>76</v>
      </c>
      <c r="Q1148" t="s">
        <v>76</v>
      </c>
      <c r="R1148" t="s">
        <v>95</v>
      </c>
      <c r="S1148" t="s">
        <v>76</v>
      </c>
      <c r="T1148" t="s">
        <v>76</v>
      </c>
      <c r="U1148">
        <v>1</v>
      </c>
      <c r="V1148" s="13">
        <v>45175</v>
      </c>
      <c r="W1148">
        <v>2</v>
      </c>
      <c r="X1148">
        <v>1</v>
      </c>
      <c r="Y1148" t="s">
        <v>3672</v>
      </c>
      <c r="AC1148">
        <v>4692</v>
      </c>
      <c r="AD1148" t="e" vm="1139">
        <v>#VALUE!</v>
      </c>
    </row>
    <row r="1149" spans="2:30" x14ac:dyDescent="0.25">
      <c r="B1149">
        <v>4693</v>
      </c>
      <c r="C1149" t="s">
        <v>3668</v>
      </c>
      <c r="D1149" t="s">
        <v>3671</v>
      </c>
      <c r="E1149" t="s">
        <v>3818</v>
      </c>
      <c r="F1149" t="s">
        <v>83</v>
      </c>
      <c r="G1149" t="s">
        <v>77</v>
      </c>
      <c r="H1149" t="s">
        <v>3808</v>
      </c>
      <c r="I1149" t="s">
        <v>3839</v>
      </c>
      <c r="J1149" t="s">
        <v>3864</v>
      </c>
      <c r="K1149" t="s">
        <v>101</v>
      </c>
      <c r="L1149" s="13">
        <v>38390</v>
      </c>
      <c r="M1149">
        <v>19</v>
      </c>
      <c r="N1149" t="s">
        <v>82</v>
      </c>
      <c r="O1149" t="s">
        <v>3875</v>
      </c>
      <c r="P1149" t="s">
        <v>76</v>
      </c>
      <c r="Q1149" t="s">
        <v>76</v>
      </c>
      <c r="R1149" t="s">
        <v>95</v>
      </c>
      <c r="S1149" t="s">
        <v>76</v>
      </c>
      <c r="T1149" t="s">
        <v>76</v>
      </c>
      <c r="U1149">
        <v>1</v>
      </c>
      <c r="V1149" s="13">
        <v>45175</v>
      </c>
      <c r="W1149">
        <v>1</v>
      </c>
      <c r="X1149">
        <v>1</v>
      </c>
      <c r="Y1149" t="s">
        <v>3672</v>
      </c>
      <c r="AC1149">
        <v>4693</v>
      </c>
      <c r="AD1149" t="e" vm="1140">
        <v>#VALUE!</v>
      </c>
    </row>
    <row r="1150" spans="2:30" x14ac:dyDescent="0.25">
      <c r="B1150">
        <v>4694</v>
      </c>
      <c r="C1150" t="s">
        <v>3668</v>
      </c>
      <c r="D1150" t="s">
        <v>3671</v>
      </c>
      <c r="E1150" t="s">
        <v>3818</v>
      </c>
      <c r="F1150" t="s">
        <v>83</v>
      </c>
      <c r="G1150" t="s">
        <v>77</v>
      </c>
      <c r="H1150" t="s">
        <v>3808</v>
      </c>
      <c r="I1150" t="s">
        <v>3839</v>
      </c>
      <c r="J1150" t="s">
        <v>3864</v>
      </c>
      <c r="K1150" t="s">
        <v>101</v>
      </c>
      <c r="L1150" s="13">
        <v>38405</v>
      </c>
      <c r="M1150">
        <v>19</v>
      </c>
      <c r="N1150" t="s">
        <v>82</v>
      </c>
      <c r="O1150" t="s">
        <v>3875</v>
      </c>
      <c r="P1150" t="s">
        <v>76</v>
      </c>
      <c r="Q1150" t="s">
        <v>76</v>
      </c>
      <c r="R1150" t="s">
        <v>95</v>
      </c>
      <c r="S1150" t="s">
        <v>76</v>
      </c>
      <c r="T1150" t="s">
        <v>76</v>
      </c>
      <c r="U1150">
        <v>1</v>
      </c>
      <c r="V1150" s="13">
        <v>45175</v>
      </c>
      <c r="W1150">
        <v>1</v>
      </c>
      <c r="X1150">
        <v>1</v>
      </c>
      <c r="Y1150" t="s">
        <v>3672</v>
      </c>
      <c r="AC1150">
        <v>4694</v>
      </c>
      <c r="AD1150" t="e" vm="1141">
        <v>#VALUE!</v>
      </c>
    </row>
    <row r="1151" spans="2:30" x14ac:dyDescent="0.25">
      <c r="B1151">
        <v>4695</v>
      </c>
      <c r="C1151" t="s">
        <v>3668</v>
      </c>
      <c r="D1151" t="s">
        <v>3739</v>
      </c>
      <c r="E1151" t="s">
        <v>3818</v>
      </c>
      <c r="F1151" t="s">
        <v>83</v>
      </c>
      <c r="G1151" t="s">
        <v>113</v>
      </c>
      <c r="H1151" t="s">
        <v>3808</v>
      </c>
      <c r="I1151" t="s">
        <v>3839</v>
      </c>
      <c r="J1151" t="s">
        <v>3864</v>
      </c>
      <c r="K1151" t="s">
        <v>101</v>
      </c>
      <c r="L1151" s="13">
        <v>38405</v>
      </c>
      <c r="M1151">
        <v>19</v>
      </c>
      <c r="N1151" t="s">
        <v>82</v>
      </c>
      <c r="O1151" t="s">
        <v>3875</v>
      </c>
      <c r="P1151" t="s">
        <v>76</v>
      </c>
      <c r="Q1151" t="s">
        <v>76</v>
      </c>
      <c r="R1151" t="s">
        <v>95</v>
      </c>
      <c r="S1151" t="s">
        <v>76</v>
      </c>
      <c r="T1151" t="s">
        <v>76</v>
      </c>
      <c r="U1151">
        <v>1</v>
      </c>
      <c r="V1151" s="13">
        <v>45175</v>
      </c>
      <c r="W1151">
        <v>1</v>
      </c>
      <c r="X1151">
        <v>1</v>
      </c>
      <c r="Y1151" t="s">
        <v>3740</v>
      </c>
      <c r="AC1151">
        <v>4695</v>
      </c>
      <c r="AD1151" t="e" vm="1142">
        <v>#VALUE!</v>
      </c>
    </row>
    <row r="1152" spans="2:30" x14ac:dyDescent="0.25">
      <c r="B1152">
        <v>4696</v>
      </c>
      <c r="C1152" t="s">
        <v>3668</v>
      </c>
      <c r="D1152" t="s">
        <v>3739</v>
      </c>
      <c r="E1152" t="s">
        <v>3818</v>
      </c>
      <c r="F1152" t="s">
        <v>83</v>
      </c>
      <c r="G1152" t="s">
        <v>113</v>
      </c>
      <c r="H1152" t="s">
        <v>3808</v>
      </c>
      <c r="I1152" t="s">
        <v>3839</v>
      </c>
      <c r="J1152" t="s">
        <v>3864</v>
      </c>
      <c r="K1152" t="s">
        <v>101</v>
      </c>
      <c r="L1152" s="13">
        <v>38421</v>
      </c>
      <c r="M1152">
        <v>19</v>
      </c>
      <c r="N1152" t="s">
        <v>82</v>
      </c>
      <c r="O1152" t="s">
        <v>3875</v>
      </c>
      <c r="P1152" t="s">
        <v>76</v>
      </c>
      <c r="Q1152" t="s">
        <v>76</v>
      </c>
      <c r="R1152" t="s">
        <v>95</v>
      </c>
      <c r="S1152" t="s">
        <v>76</v>
      </c>
      <c r="T1152" t="s">
        <v>76</v>
      </c>
      <c r="U1152">
        <v>1</v>
      </c>
      <c r="V1152" s="13">
        <v>45175</v>
      </c>
      <c r="W1152">
        <v>1</v>
      </c>
      <c r="X1152">
        <v>1</v>
      </c>
      <c r="Y1152" t="s">
        <v>3740</v>
      </c>
      <c r="AC1152">
        <v>4696</v>
      </c>
      <c r="AD1152" t="e" vm="1143">
        <v>#VALUE!</v>
      </c>
    </row>
    <row r="1153" spans="2:30" x14ac:dyDescent="0.25">
      <c r="B1153">
        <v>4697</v>
      </c>
      <c r="C1153" t="s">
        <v>3668</v>
      </c>
      <c r="D1153" t="s">
        <v>3739</v>
      </c>
      <c r="E1153" t="s">
        <v>3818</v>
      </c>
      <c r="F1153" t="s">
        <v>83</v>
      </c>
      <c r="G1153" t="s">
        <v>113</v>
      </c>
      <c r="H1153" t="s">
        <v>3808</v>
      </c>
      <c r="I1153" t="s">
        <v>3839</v>
      </c>
      <c r="J1153" t="s">
        <v>3864</v>
      </c>
      <c r="K1153" t="s">
        <v>101</v>
      </c>
      <c r="L1153" s="13">
        <v>38422</v>
      </c>
      <c r="M1153">
        <v>19</v>
      </c>
      <c r="N1153" t="s">
        <v>82</v>
      </c>
      <c r="O1153" t="s">
        <v>3875</v>
      </c>
      <c r="P1153" t="s">
        <v>76</v>
      </c>
      <c r="Q1153" t="s">
        <v>76</v>
      </c>
      <c r="R1153" t="s">
        <v>95</v>
      </c>
      <c r="S1153" t="s">
        <v>76</v>
      </c>
      <c r="T1153" t="s">
        <v>76</v>
      </c>
      <c r="U1153">
        <v>1</v>
      </c>
      <c r="V1153" s="13">
        <v>45175</v>
      </c>
      <c r="W1153">
        <v>1</v>
      </c>
      <c r="X1153">
        <v>1</v>
      </c>
      <c r="Y1153" t="s">
        <v>3740</v>
      </c>
      <c r="AC1153">
        <v>4697</v>
      </c>
      <c r="AD1153" t="e" vm="1144">
        <v>#VALUE!</v>
      </c>
    </row>
    <row r="1154" spans="2:30" x14ac:dyDescent="0.25">
      <c r="B1154">
        <v>4698</v>
      </c>
      <c r="C1154" t="s">
        <v>3668</v>
      </c>
      <c r="D1154" t="s">
        <v>3739</v>
      </c>
      <c r="E1154" t="s">
        <v>3818</v>
      </c>
      <c r="F1154" t="s">
        <v>83</v>
      </c>
      <c r="G1154" t="s">
        <v>113</v>
      </c>
      <c r="H1154" t="s">
        <v>3808</v>
      </c>
      <c r="I1154" t="s">
        <v>3839</v>
      </c>
      <c r="J1154" t="s">
        <v>3864</v>
      </c>
      <c r="K1154" t="s">
        <v>101</v>
      </c>
      <c r="L1154" s="13">
        <v>38422</v>
      </c>
      <c r="M1154">
        <v>19</v>
      </c>
      <c r="N1154" t="s">
        <v>82</v>
      </c>
      <c r="O1154" t="s">
        <v>3875</v>
      </c>
      <c r="P1154" t="s">
        <v>76</v>
      </c>
      <c r="Q1154" t="s">
        <v>76</v>
      </c>
      <c r="R1154" t="s">
        <v>95</v>
      </c>
      <c r="S1154" t="s">
        <v>76</v>
      </c>
      <c r="T1154" t="s">
        <v>76</v>
      </c>
      <c r="U1154">
        <v>1</v>
      </c>
      <c r="V1154" s="13">
        <v>45175</v>
      </c>
      <c r="W1154">
        <v>1</v>
      </c>
      <c r="X1154">
        <v>1</v>
      </c>
      <c r="Y1154" t="s">
        <v>3740</v>
      </c>
      <c r="AC1154">
        <v>4698</v>
      </c>
      <c r="AD1154" t="e" vm="1145">
        <v>#VALUE!</v>
      </c>
    </row>
    <row r="1155" spans="2:30" x14ac:dyDescent="0.25">
      <c r="B1155">
        <v>4699</v>
      </c>
      <c r="C1155" t="s">
        <v>3668</v>
      </c>
      <c r="D1155" t="s">
        <v>3739</v>
      </c>
      <c r="E1155" t="s">
        <v>3818</v>
      </c>
      <c r="F1155" t="s">
        <v>83</v>
      </c>
      <c r="G1155" t="s">
        <v>113</v>
      </c>
      <c r="H1155" t="s">
        <v>3808</v>
      </c>
      <c r="I1155" t="s">
        <v>3839</v>
      </c>
      <c r="J1155" t="s">
        <v>3864</v>
      </c>
      <c r="K1155" t="s">
        <v>101</v>
      </c>
      <c r="L1155" s="13">
        <v>38442</v>
      </c>
      <c r="M1155">
        <v>18</v>
      </c>
      <c r="N1155" t="s">
        <v>82</v>
      </c>
      <c r="O1155" t="s">
        <v>3875</v>
      </c>
      <c r="P1155" t="s">
        <v>76</v>
      </c>
      <c r="Q1155" t="s">
        <v>76</v>
      </c>
      <c r="R1155" t="s">
        <v>95</v>
      </c>
      <c r="S1155" t="s">
        <v>76</v>
      </c>
      <c r="T1155" t="s">
        <v>76</v>
      </c>
      <c r="U1155">
        <v>1</v>
      </c>
      <c r="V1155" s="13">
        <v>45175</v>
      </c>
      <c r="W1155">
        <v>1</v>
      </c>
      <c r="X1155">
        <v>1</v>
      </c>
      <c r="Y1155" t="s">
        <v>3740</v>
      </c>
      <c r="AC1155">
        <v>4699</v>
      </c>
      <c r="AD1155" t="e" vm="1146">
        <v>#VALUE!</v>
      </c>
    </row>
    <row r="1156" spans="2:30" x14ac:dyDescent="0.25">
      <c r="B1156">
        <v>4700</v>
      </c>
      <c r="C1156" t="s">
        <v>3668</v>
      </c>
      <c r="D1156" t="s">
        <v>3671</v>
      </c>
      <c r="E1156" t="s">
        <v>3818</v>
      </c>
      <c r="F1156" t="s">
        <v>83</v>
      </c>
      <c r="G1156" t="s">
        <v>77</v>
      </c>
      <c r="H1156" t="s">
        <v>3808</v>
      </c>
      <c r="I1156" t="s">
        <v>3839</v>
      </c>
      <c r="J1156" t="s">
        <v>3864</v>
      </c>
      <c r="K1156" t="s">
        <v>101</v>
      </c>
      <c r="L1156" s="13">
        <v>38442</v>
      </c>
      <c r="M1156">
        <v>18</v>
      </c>
      <c r="N1156" t="s">
        <v>82</v>
      </c>
      <c r="O1156" t="s">
        <v>3875</v>
      </c>
      <c r="P1156" t="s">
        <v>76</v>
      </c>
      <c r="Q1156" t="s">
        <v>76</v>
      </c>
      <c r="R1156" t="s">
        <v>95</v>
      </c>
      <c r="S1156" t="s">
        <v>76</v>
      </c>
      <c r="T1156" t="s">
        <v>76</v>
      </c>
      <c r="U1156">
        <v>1</v>
      </c>
      <c r="V1156" s="13">
        <v>45175</v>
      </c>
      <c r="W1156">
        <v>1</v>
      </c>
      <c r="X1156">
        <v>1</v>
      </c>
      <c r="Y1156" t="s">
        <v>3672</v>
      </c>
      <c r="AC1156">
        <v>4700</v>
      </c>
      <c r="AD1156" t="e" vm="1147">
        <v>#VALUE!</v>
      </c>
    </row>
    <row r="1157" spans="2:30" x14ac:dyDescent="0.25">
      <c r="B1157">
        <v>4701</v>
      </c>
      <c r="C1157" t="s">
        <v>3668</v>
      </c>
      <c r="D1157" t="s">
        <v>3671</v>
      </c>
      <c r="E1157" t="s">
        <v>3818</v>
      </c>
      <c r="F1157" t="s">
        <v>83</v>
      </c>
      <c r="G1157" t="s">
        <v>77</v>
      </c>
      <c r="H1157" t="s">
        <v>3808</v>
      </c>
      <c r="I1157" t="s">
        <v>3839</v>
      </c>
      <c r="J1157" t="s">
        <v>3864</v>
      </c>
      <c r="K1157" t="s">
        <v>101</v>
      </c>
      <c r="L1157" s="13">
        <v>38464</v>
      </c>
      <c r="M1157">
        <v>18</v>
      </c>
      <c r="N1157" t="s">
        <v>82</v>
      </c>
      <c r="O1157" t="s">
        <v>3875</v>
      </c>
      <c r="P1157" t="s">
        <v>76</v>
      </c>
      <c r="Q1157" t="s">
        <v>76</v>
      </c>
      <c r="R1157" t="s">
        <v>95</v>
      </c>
      <c r="S1157" t="s">
        <v>76</v>
      </c>
      <c r="T1157" t="s">
        <v>76</v>
      </c>
      <c r="U1157">
        <v>1</v>
      </c>
      <c r="V1157" s="13">
        <v>45175</v>
      </c>
      <c r="W1157">
        <v>1</v>
      </c>
      <c r="X1157">
        <v>1</v>
      </c>
      <c r="Y1157" t="s">
        <v>3672</v>
      </c>
      <c r="AC1157">
        <v>4701</v>
      </c>
      <c r="AD1157" t="e" vm="1148">
        <v>#VALUE!</v>
      </c>
    </row>
    <row r="1158" spans="2:30" x14ac:dyDescent="0.25">
      <c r="B1158">
        <v>4702</v>
      </c>
      <c r="C1158" t="s">
        <v>3668</v>
      </c>
      <c r="D1158" t="s">
        <v>3671</v>
      </c>
      <c r="E1158" t="s">
        <v>3818</v>
      </c>
      <c r="F1158" t="s">
        <v>83</v>
      </c>
      <c r="G1158" t="s">
        <v>77</v>
      </c>
      <c r="H1158" t="s">
        <v>3808</v>
      </c>
      <c r="I1158" t="s">
        <v>3839</v>
      </c>
      <c r="J1158" t="s">
        <v>3864</v>
      </c>
      <c r="K1158" t="s">
        <v>101</v>
      </c>
      <c r="L1158" s="13">
        <v>38464</v>
      </c>
      <c r="M1158">
        <v>18</v>
      </c>
      <c r="N1158" t="s">
        <v>82</v>
      </c>
      <c r="O1158" t="s">
        <v>3875</v>
      </c>
      <c r="P1158" t="s">
        <v>76</v>
      </c>
      <c r="Q1158" t="s">
        <v>76</v>
      </c>
      <c r="R1158" t="s">
        <v>95</v>
      </c>
      <c r="S1158" t="s">
        <v>76</v>
      </c>
      <c r="T1158" t="s">
        <v>76</v>
      </c>
      <c r="U1158">
        <v>1</v>
      </c>
      <c r="V1158" s="13">
        <v>45175</v>
      </c>
      <c r="W1158">
        <v>1</v>
      </c>
      <c r="X1158">
        <v>1</v>
      </c>
      <c r="Y1158" t="s">
        <v>3672</v>
      </c>
      <c r="AC1158">
        <v>4702</v>
      </c>
      <c r="AD1158" t="e" vm="1149">
        <v>#VALUE!</v>
      </c>
    </row>
    <row r="1159" spans="2:30" x14ac:dyDescent="0.25">
      <c r="B1159">
        <v>4703</v>
      </c>
      <c r="C1159" t="s">
        <v>3668</v>
      </c>
      <c r="D1159" t="s">
        <v>3673</v>
      </c>
      <c r="E1159" t="s">
        <v>3819</v>
      </c>
      <c r="F1159" t="s">
        <v>87</v>
      </c>
      <c r="G1159" t="s">
        <v>84</v>
      </c>
      <c r="H1159" t="s">
        <v>3808</v>
      </c>
      <c r="I1159" t="s">
        <v>3839</v>
      </c>
      <c r="J1159" t="s">
        <v>3864</v>
      </c>
      <c r="K1159" t="s">
        <v>101</v>
      </c>
      <c r="L1159" s="13">
        <v>38455</v>
      </c>
      <c r="M1159">
        <v>18</v>
      </c>
      <c r="N1159" t="s">
        <v>82</v>
      </c>
      <c r="O1159" t="s">
        <v>3875</v>
      </c>
      <c r="P1159" t="s">
        <v>76</v>
      </c>
      <c r="Q1159" t="s">
        <v>76</v>
      </c>
      <c r="R1159" t="s">
        <v>95</v>
      </c>
      <c r="S1159" t="s">
        <v>76</v>
      </c>
      <c r="T1159" t="s">
        <v>76</v>
      </c>
      <c r="U1159">
        <v>1</v>
      </c>
      <c r="V1159" s="13">
        <v>45175</v>
      </c>
      <c r="W1159">
        <v>1</v>
      </c>
      <c r="X1159">
        <v>1</v>
      </c>
      <c r="Y1159" t="s">
        <v>3674</v>
      </c>
      <c r="AC1159">
        <v>4703</v>
      </c>
      <c r="AD1159" t="e" vm="1150">
        <v>#VALUE!</v>
      </c>
    </row>
    <row r="1160" spans="2:30" x14ac:dyDescent="0.25">
      <c r="B1160">
        <v>4704</v>
      </c>
      <c r="C1160" t="s">
        <v>3668</v>
      </c>
      <c r="D1160" t="s">
        <v>3673</v>
      </c>
      <c r="E1160" t="s">
        <v>3819</v>
      </c>
      <c r="F1160" t="s">
        <v>87</v>
      </c>
      <c r="G1160" t="s">
        <v>84</v>
      </c>
      <c r="H1160" t="s">
        <v>3808</v>
      </c>
      <c r="I1160" t="s">
        <v>3839</v>
      </c>
      <c r="J1160" t="s">
        <v>3864</v>
      </c>
      <c r="K1160" t="s">
        <v>101</v>
      </c>
      <c r="L1160" s="13">
        <v>38464</v>
      </c>
      <c r="M1160">
        <v>18</v>
      </c>
      <c r="N1160" t="s">
        <v>82</v>
      </c>
      <c r="O1160" t="s">
        <v>3875</v>
      </c>
      <c r="P1160" t="s">
        <v>76</v>
      </c>
      <c r="Q1160" t="s">
        <v>76</v>
      </c>
      <c r="R1160" t="s">
        <v>95</v>
      </c>
      <c r="S1160" t="s">
        <v>76</v>
      </c>
      <c r="T1160" t="s">
        <v>76</v>
      </c>
      <c r="U1160">
        <v>1</v>
      </c>
      <c r="V1160" s="13">
        <v>45175</v>
      </c>
      <c r="W1160">
        <v>1</v>
      </c>
      <c r="X1160">
        <v>1</v>
      </c>
      <c r="Y1160" t="s">
        <v>3674</v>
      </c>
      <c r="AC1160">
        <v>4704</v>
      </c>
      <c r="AD1160" t="e" vm="1151">
        <v>#VALUE!</v>
      </c>
    </row>
    <row r="1161" spans="2:30" x14ac:dyDescent="0.25">
      <c r="B1161">
        <v>4705</v>
      </c>
      <c r="C1161" t="s">
        <v>3668</v>
      </c>
      <c r="D1161" t="s">
        <v>3673</v>
      </c>
      <c r="E1161" t="s">
        <v>3819</v>
      </c>
      <c r="F1161" t="s">
        <v>87</v>
      </c>
      <c r="G1161" t="s">
        <v>84</v>
      </c>
      <c r="H1161" t="s">
        <v>3808</v>
      </c>
      <c r="I1161" t="s">
        <v>3839</v>
      </c>
      <c r="J1161" t="s">
        <v>3864</v>
      </c>
      <c r="K1161" t="s">
        <v>101</v>
      </c>
      <c r="L1161" s="13">
        <v>38464</v>
      </c>
      <c r="M1161">
        <v>18</v>
      </c>
      <c r="N1161" t="s">
        <v>82</v>
      </c>
      <c r="O1161" t="s">
        <v>3875</v>
      </c>
      <c r="P1161" t="s">
        <v>76</v>
      </c>
      <c r="Q1161" t="s">
        <v>76</v>
      </c>
      <c r="R1161" t="s">
        <v>95</v>
      </c>
      <c r="S1161" t="s">
        <v>76</v>
      </c>
      <c r="T1161" t="s">
        <v>76</v>
      </c>
      <c r="U1161">
        <v>1</v>
      </c>
      <c r="V1161" s="13">
        <v>45175</v>
      </c>
      <c r="W1161">
        <v>1</v>
      </c>
      <c r="X1161">
        <v>1</v>
      </c>
      <c r="Y1161" t="s">
        <v>3674</v>
      </c>
      <c r="AC1161">
        <v>4705</v>
      </c>
      <c r="AD1161" t="e" vm="1152">
        <v>#VALUE!</v>
      </c>
    </row>
    <row r="1162" spans="2:30" x14ac:dyDescent="0.25">
      <c r="B1162">
        <v>4706</v>
      </c>
      <c r="C1162" t="s">
        <v>3668</v>
      </c>
      <c r="D1162" t="s">
        <v>3673</v>
      </c>
      <c r="E1162" t="s">
        <v>3819</v>
      </c>
      <c r="F1162" t="s">
        <v>87</v>
      </c>
      <c r="G1162" t="s">
        <v>84</v>
      </c>
      <c r="H1162" t="s">
        <v>3808</v>
      </c>
      <c r="I1162" t="s">
        <v>3839</v>
      </c>
      <c r="J1162" t="s">
        <v>3864</v>
      </c>
      <c r="K1162" t="s">
        <v>101</v>
      </c>
      <c r="L1162" s="13">
        <v>38475</v>
      </c>
      <c r="M1162">
        <v>18</v>
      </c>
      <c r="N1162" t="s">
        <v>82</v>
      </c>
      <c r="O1162" t="s">
        <v>3875</v>
      </c>
      <c r="P1162" t="s">
        <v>76</v>
      </c>
      <c r="Q1162" t="s">
        <v>76</v>
      </c>
      <c r="R1162" t="s">
        <v>95</v>
      </c>
      <c r="S1162" t="s">
        <v>76</v>
      </c>
      <c r="T1162" t="s">
        <v>76</v>
      </c>
      <c r="U1162">
        <v>1</v>
      </c>
      <c r="V1162" s="13">
        <v>45175</v>
      </c>
      <c r="W1162">
        <v>1</v>
      </c>
      <c r="X1162">
        <v>1</v>
      </c>
      <c r="Y1162" t="s">
        <v>3674</v>
      </c>
      <c r="AC1162">
        <v>4706</v>
      </c>
      <c r="AD1162" t="e" vm="1153">
        <v>#VALUE!</v>
      </c>
    </row>
    <row r="1163" spans="2:30" x14ac:dyDescent="0.25">
      <c r="B1163">
        <v>4707</v>
      </c>
      <c r="C1163" t="s">
        <v>3698</v>
      </c>
      <c r="D1163" t="s">
        <v>73</v>
      </c>
      <c r="E1163" t="s">
        <v>73</v>
      </c>
      <c r="F1163" t="s">
        <v>3816</v>
      </c>
      <c r="G1163" t="s">
        <v>3816</v>
      </c>
      <c r="H1163" t="s">
        <v>3808</v>
      </c>
      <c r="I1163" t="s">
        <v>3839</v>
      </c>
      <c r="J1163" t="s">
        <v>3864</v>
      </c>
      <c r="K1163" t="s">
        <v>101</v>
      </c>
      <c r="L1163" s="13">
        <v>38495</v>
      </c>
      <c r="M1163">
        <v>18</v>
      </c>
      <c r="N1163" t="s">
        <v>98</v>
      </c>
      <c r="O1163" t="s">
        <v>3875</v>
      </c>
      <c r="P1163" t="s">
        <v>76</v>
      </c>
      <c r="Q1163" t="s">
        <v>76</v>
      </c>
      <c r="R1163" t="s">
        <v>95</v>
      </c>
      <c r="S1163" t="s">
        <v>76</v>
      </c>
      <c r="T1163" t="s">
        <v>76</v>
      </c>
      <c r="U1163">
        <v>1</v>
      </c>
      <c r="V1163" s="13">
        <v>45175</v>
      </c>
      <c r="W1163">
        <v>1</v>
      </c>
      <c r="X1163">
        <v>1</v>
      </c>
      <c r="Y1163" t="s">
        <v>3724</v>
      </c>
      <c r="AC1163">
        <v>4707</v>
      </c>
      <c r="AD1163" t="e" vm="1154">
        <v>#VALUE!</v>
      </c>
    </row>
    <row r="1164" spans="2:30" x14ac:dyDescent="0.25">
      <c r="B1164">
        <v>4708</v>
      </c>
      <c r="C1164" t="s">
        <v>3646</v>
      </c>
      <c r="D1164" t="s">
        <v>3647</v>
      </c>
      <c r="E1164" t="s">
        <v>3807</v>
      </c>
      <c r="F1164" t="s">
        <v>105</v>
      </c>
      <c r="G1164" t="s">
        <v>108</v>
      </c>
      <c r="H1164" t="s">
        <v>3808</v>
      </c>
      <c r="I1164" t="s">
        <v>3821</v>
      </c>
      <c r="J1164" t="s">
        <v>3810</v>
      </c>
      <c r="K1164" t="s">
        <v>101</v>
      </c>
      <c r="L1164" s="13">
        <v>38111</v>
      </c>
      <c r="M1164">
        <v>19</v>
      </c>
      <c r="N1164" t="s">
        <v>90</v>
      </c>
      <c r="O1164" t="s">
        <v>3877</v>
      </c>
      <c r="P1164" t="s">
        <v>76</v>
      </c>
      <c r="Q1164" t="s">
        <v>76</v>
      </c>
      <c r="R1164" t="s">
        <v>95</v>
      </c>
      <c r="S1164" t="s">
        <v>76</v>
      </c>
      <c r="T1164" t="s">
        <v>76</v>
      </c>
      <c r="U1164">
        <v>1</v>
      </c>
      <c r="V1164" s="13">
        <v>45175</v>
      </c>
      <c r="W1164">
        <v>1</v>
      </c>
      <c r="X1164">
        <v>1</v>
      </c>
      <c r="Y1164" t="s">
        <v>3648</v>
      </c>
      <c r="AC1164">
        <v>4708</v>
      </c>
      <c r="AD1164" t="e" vm="1155">
        <v>#VALUE!</v>
      </c>
    </row>
    <row r="1165" spans="2:30" x14ac:dyDescent="0.25">
      <c r="B1165">
        <v>4709</v>
      </c>
      <c r="C1165" t="s">
        <v>3646</v>
      </c>
      <c r="D1165" t="s">
        <v>3647</v>
      </c>
      <c r="E1165" t="s">
        <v>3807</v>
      </c>
      <c r="F1165" t="s">
        <v>105</v>
      </c>
      <c r="G1165" t="s">
        <v>108</v>
      </c>
      <c r="H1165" t="s">
        <v>3808</v>
      </c>
      <c r="I1165" t="s">
        <v>3821</v>
      </c>
      <c r="J1165" t="s">
        <v>3810</v>
      </c>
      <c r="K1165" t="s">
        <v>101</v>
      </c>
      <c r="L1165" s="13">
        <v>38058</v>
      </c>
      <c r="M1165">
        <v>20</v>
      </c>
      <c r="N1165" t="s">
        <v>90</v>
      </c>
      <c r="O1165" t="s">
        <v>3877</v>
      </c>
      <c r="P1165" t="s">
        <v>76</v>
      </c>
      <c r="Q1165" t="s">
        <v>76</v>
      </c>
      <c r="R1165" t="s">
        <v>95</v>
      </c>
      <c r="S1165" t="s">
        <v>76</v>
      </c>
      <c r="T1165" t="s">
        <v>76</v>
      </c>
      <c r="U1165">
        <v>1</v>
      </c>
      <c r="V1165" s="13">
        <v>45175</v>
      </c>
      <c r="W1165">
        <v>1</v>
      </c>
      <c r="X1165">
        <v>1</v>
      </c>
      <c r="Y1165" t="s">
        <v>3648</v>
      </c>
      <c r="AC1165">
        <v>4709</v>
      </c>
      <c r="AD1165" t="e" vm="1156">
        <v>#VALUE!</v>
      </c>
    </row>
    <row r="1166" spans="2:30" x14ac:dyDescent="0.25">
      <c r="B1166">
        <v>4710</v>
      </c>
      <c r="C1166" t="s">
        <v>3698</v>
      </c>
      <c r="D1166" t="s">
        <v>3647</v>
      </c>
      <c r="E1166" t="s">
        <v>3807</v>
      </c>
      <c r="F1166" t="s">
        <v>105</v>
      </c>
      <c r="G1166" t="s">
        <v>108</v>
      </c>
      <c r="H1166" t="s">
        <v>3808</v>
      </c>
      <c r="I1166" t="s">
        <v>3821</v>
      </c>
      <c r="J1166" t="s">
        <v>3810</v>
      </c>
      <c r="K1166" t="s">
        <v>101</v>
      </c>
      <c r="L1166" s="13">
        <v>38058</v>
      </c>
      <c r="M1166">
        <v>20</v>
      </c>
      <c r="N1166" t="s">
        <v>98</v>
      </c>
      <c r="O1166" t="s">
        <v>3877</v>
      </c>
      <c r="P1166" t="s">
        <v>76</v>
      </c>
      <c r="Q1166" t="s">
        <v>76</v>
      </c>
      <c r="R1166" t="s">
        <v>95</v>
      </c>
      <c r="S1166" t="s">
        <v>76</v>
      </c>
      <c r="T1166" t="s">
        <v>76</v>
      </c>
      <c r="U1166">
        <v>1</v>
      </c>
      <c r="V1166" s="13">
        <v>45175</v>
      </c>
      <c r="W1166">
        <v>2</v>
      </c>
      <c r="X1166">
        <v>1</v>
      </c>
      <c r="Y1166" t="s">
        <v>3730</v>
      </c>
      <c r="AC1166">
        <v>4710</v>
      </c>
      <c r="AD1166" t="e" vm="1157">
        <v>#VALUE!</v>
      </c>
    </row>
    <row r="1167" spans="2:30" x14ac:dyDescent="0.25">
      <c r="B1167">
        <v>4711</v>
      </c>
      <c r="C1167" t="s">
        <v>3646</v>
      </c>
      <c r="D1167" t="s">
        <v>3647</v>
      </c>
      <c r="E1167" t="s">
        <v>3807</v>
      </c>
      <c r="F1167" t="s">
        <v>105</v>
      </c>
      <c r="G1167" t="s">
        <v>108</v>
      </c>
      <c r="H1167" t="s">
        <v>3808</v>
      </c>
      <c r="I1167" t="s">
        <v>3821</v>
      </c>
      <c r="J1167" t="s">
        <v>3810</v>
      </c>
      <c r="K1167" t="s">
        <v>101</v>
      </c>
      <c r="L1167" s="13">
        <v>38106</v>
      </c>
      <c r="M1167">
        <v>19</v>
      </c>
      <c r="N1167" t="s">
        <v>90</v>
      </c>
      <c r="O1167" t="s">
        <v>3877</v>
      </c>
      <c r="P1167" t="s">
        <v>76</v>
      </c>
      <c r="Q1167" t="s">
        <v>76</v>
      </c>
      <c r="R1167" t="s">
        <v>95</v>
      </c>
      <c r="S1167" t="s">
        <v>76</v>
      </c>
      <c r="T1167" t="s">
        <v>76</v>
      </c>
      <c r="U1167">
        <v>1</v>
      </c>
      <c r="V1167" s="13">
        <v>45175</v>
      </c>
      <c r="W1167">
        <v>1</v>
      </c>
      <c r="X1167">
        <v>1</v>
      </c>
      <c r="Y1167" t="s">
        <v>3648</v>
      </c>
      <c r="AC1167">
        <v>4711</v>
      </c>
      <c r="AD1167" t="e" vm="1158">
        <v>#VALUE!</v>
      </c>
    </row>
    <row r="1168" spans="2:30" x14ac:dyDescent="0.25">
      <c r="B1168">
        <v>4712</v>
      </c>
      <c r="C1168" t="s">
        <v>3646</v>
      </c>
      <c r="D1168" t="s">
        <v>3647</v>
      </c>
      <c r="E1168" t="s">
        <v>3807</v>
      </c>
      <c r="F1168" t="s">
        <v>105</v>
      </c>
      <c r="G1168" t="s">
        <v>108</v>
      </c>
      <c r="H1168" t="s">
        <v>3808</v>
      </c>
      <c r="I1168" t="s">
        <v>3821</v>
      </c>
      <c r="J1168" t="s">
        <v>3810</v>
      </c>
      <c r="K1168" t="s">
        <v>101</v>
      </c>
      <c r="L1168" s="13">
        <v>38106</v>
      </c>
      <c r="M1168">
        <v>19</v>
      </c>
      <c r="N1168" t="s">
        <v>90</v>
      </c>
      <c r="O1168" t="s">
        <v>3877</v>
      </c>
      <c r="P1168" t="s">
        <v>76</v>
      </c>
      <c r="Q1168" t="s">
        <v>76</v>
      </c>
      <c r="R1168" t="s">
        <v>95</v>
      </c>
      <c r="S1168" t="s">
        <v>76</v>
      </c>
      <c r="T1168" t="s">
        <v>76</v>
      </c>
      <c r="U1168">
        <v>1</v>
      </c>
      <c r="V1168" s="13">
        <v>45175</v>
      </c>
      <c r="W1168">
        <v>1</v>
      </c>
      <c r="X1168">
        <v>1</v>
      </c>
      <c r="Y1168" t="s">
        <v>3648</v>
      </c>
      <c r="AC1168">
        <v>4712</v>
      </c>
      <c r="AD1168" t="e" vm="1159">
        <v>#VALUE!</v>
      </c>
    </row>
    <row r="1169" spans="2:30" x14ac:dyDescent="0.25">
      <c r="B1169">
        <v>4714</v>
      </c>
      <c r="C1169" t="s">
        <v>3646</v>
      </c>
      <c r="D1169" t="s">
        <v>3647</v>
      </c>
      <c r="E1169" t="s">
        <v>3807</v>
      </c>
      <c r="F1169" t="s">
        <v>105</v>
      </c>
      <c r="G1169" t="s">
        <v>108</v>
      </c>
      <c r="H1169" t="s">
        <v>3808</v>
      </c>
      <c r="I1169" t="s">
        <v>3821</v>
      </c>
      <c r="J1169" t="s">
        <v>3810</v>
      </c>
      <c r="K1169" t="s">
        <v>101</v>
      </c>
      <c r="L1169" s="13">
        <v>38051</v>
      </c>
      <c r="M1169">
        <v>20</v>
      </c>
      <c r="N1169" t="s">
        <v>90</v>
      </c>
      <c r="O1169" t="s">
        <v>3877</v>
      </c>
      <c r="P1169" t="s">
        <v>76</v>
      </c>
      <c r="Q1169" t="s">
        <v>76</v>
      </c>
      <c r="R1169" t="s">
        <v>95</v>
      </c>
      <c r="S1169" t="s">
        <v>76</v>
      </c>
      <c r="T1169" t="s">
        <v>76</v>
      </c>
      <c r="U1169">
        <v>1</v>
      </c>
      <c r="V1169" s="13">
        <v>45175</v>
      </c>
      <c r="W1169">
        <v>1</v>
      </c>
      <c r="X1169">
        <v>1</v>
      </c>
      <c r="Y1169" t="s">
        <v>3648</v>
      </c>
      <c r="AC1169">
        <v>4714</v>
      </c>
      <c r="AD1169" t="e" vm="1160">
        <v>#VALUE!</v>
      </c>
    </row>
    <row r="1170" spans="2:30" x14ac:dyDescent="0.25">
      <c r="B1170">
        <v>4716</v>
      </c>
      <c r="C1170" t="s">
        <v>3646</v>
      </c>
      <c r="D1170" t="s">
        <v>3647</v>
      </c>
      <c r="E1170" t="s">
        <v>3807</v>
      </c>
      <c r="F1170" t="s">
        <v>105</v>
      </c>
      <c r="G1170" t="s">
        <v>108</v>
      </c>
      <c r="H1170" t="s">
        <v>3808</v>
      </c>
      <c r="I1170" t="s">
        <v>3821</v>
      </c>
      <c r="J1170" t="s">
        <v>3810</v>
      </c>
      <c r="K1170" t="s">
        <v>101</v>
      </c>
      <c r="L1170" s="13">
        <v>38054</v>
      </c>
      <c r="M1170">
        <v>20</v>
      </c>
      <c r="N1170" t="s">
        <v>90</v>
      </c>
      <c r="O1170" t="s">
        <v>3877</v>
      </c>
      <c r="P1170" t="s">
        <v>76</v>
      </c>
      <c r="Q1170" t="s">
        <v>76</v>
      </c>
      <c r="R1170" t="s">
        <v>95</v>
      </c>
      <c r="S1170" t="s">
        <v>76</v>
      </c>
      <c r="T1170" t="s">
        <v>76</v>
      </c>
      <c r="U1170">
        <v>1</v>
      </c>
      <c r="V1170" s="13">
        <v>45175</v>
      </c>
      <c r="W1170">
        <v>1</v>
      </c>
      <c r="X1170">
        <v>1</v>
      </c>
      <c r="Y1170" t="s">
        <v>3648</v>
      </c>
      <c r="AC1170">
        <v>4716</v>
      </c>
      <c r="AD1170" t="e" vm="1161">
        <v>#VALUE!</v>
      </c>
    </row>
    <row r="1171" spans="2:30" x14ac:dyDescent="0.25">
      <c r="B1171">
        <v>4722</v>
      </c>
      <c r="C1171" t="s">
        <v>3646</v>
      </c>
      <c r="D1171" t="s">
        <v>3649</v>
      </c>
      <c r="E1171" t="s">
        <v>3812</v>
      </c>
      <c r="F1171" t="s">
        <v>85</v>
      </c>
      <c r="G1171" t="s">
        <v>112</v>
      </c>
      <c r="H1171" t="s">
        <v>3808</v>
      </c>
      <c r="I1171" t="s">
        <v>3821</v>
      </c>
      <c r="J1171" t="s">
        <v>3810</v>
      </c>
      <c r="K1171" t="s">
        <v>101</v>
      </c>
      <c r="L1171" s="13">
        <v>38063</v>
      </c>
      <c r="M1171">
        <v>20</v>
      </c>
      <c r="N1171" t="s">
        <v>90</v>
      </c>
      <c r="O1171" t="s">
        <v>3877</v>
      </c>
      <c r="P1171" t="s">
        <v>76</v>
      </c>
      <c r="Q1171" t="s">
        <v>76</v>
      </c>
      <c r="R1171" t="s">
        <v>95</v>
      </c>
      <c r="S1171" t="s">
        <v>76</v>
      </c>
      <c r="T1171" t="s">
        <v>76</v>
      </c>
      <c r="U1171">
        <v>1</v>
      </c>
      <c r="V1171" s="13">
        <v>45175</v>
      </c>
      <c r="W1171">
        <v>1</v>
      </c>
      <c r="X1171">
        <v>1</v>
      </c>
      <c r="Y1171" t="s">
        <v>3650</v>
      </c>
      <c r="AC1171">
        <v>4722</v>
      </c>
      <c r="AD1171" t="e" vm="1162">
        <v>#VALUE!</v>
      </c>
    </row>
    <row r="1172" spans="2:30" x14ac:dyDescent="0.25">
      <c r="B1172">
        <v>4724</v>
      </c>
      <c r="C1172" t="s">
        <v>3698</v>
      </c>
      <c r="D1172" t="s">
        <v>3660</v>
      </c>
      <c r="E1172" t="s">
        <v>3813</v>
      </c>
      <c r="F1172" t="s">
        <v>83</v>
      </c>
      <c r="G1172" t="s">
        <v>103</v>
      </c>
      <c r="H1172" t="s">
        <v>3808</v>
      </c>
      <c r="I1172" t="s">
        <v>3821</v>
      </c>
      <c r="J1172" t="s">
        <v>3810</v>
      </c>
      <c r="K1172" t="s">
        <v>101</v>
      </c>
      <c r="L1172" s="13">
        <v>38069</v>
      </c>
      <c r="M1172">
        <v>19</v>
      </c>
      <c r="N1172" t="s">
        <v>98</v>
      </c>
      <c r="O1172" t="s">
        <v>3877</v>
      </c>
      <c r="P1172" t="s">
        <v>76</v>
      </c>
      <c r="Q1172" t="s">
        <v>76</v>
      </c>
      <c r="R1172" t="s">
        <v>95</v>
      </c>
      <c r="S1172" t="s">
        <v>76</v>
      </c>
      <c r="T1172" t="s">
        <v>76</v>
      </c>
      <c r="U1172">
        <v>1</v>
      </c>
      <c r="V1172" s="13">
        <v>45175</v>
      </c>
      <c r="W1172">
        <v>2</v>
      </c>
      <c r="X1172">
        <v>1</v>
      </c>
      <c r="Y1172" t="s">
        <v>3736</v>
      </c>
      <c r="AC1172">
        <v>4724</v>
      </c>
      <c r="AD1172" t="e" vm="1163">
        <v>#VALUE!</v>
      </c>
    </row>
    <row r="1173" spans="2:30" x14ac:dyDescent="0.25">
      <c r="B1173">
        <v>4727</v>
      </c>
      <c r="C1173" t="s">
        <v>3698</v>
      </c>
      <c r="D1173" t="s">
        <v>73</v>
      </c>
      <c r="E1173" t="s">
        <v>73</v>
      </c>
      <c r="F1173" t="s">
        <v>3816</v>
      </c>
      <c r="G1173" t="s">
        <v>3816</v>
      </c>
      <c r="H1173" t="s">
        <v>3808</v>
      </c>
      <c r="I1173" t="s">
        <v>3821</v>
      </c>
      <c r="J1173" t="s">
        <v>3810</v>
      </c>
      <c r="K1173" t="s">
        <v>101</v>
      </c>
      <c r="L1173" s="13">
        <v>38071</v>
      </c>
      <c r="M1173">
        <v>19</v>
      </c>
      <c r="N1173" t="s">
        <v>98</v>
      </c>
      <c r="O1173" t="s">
        <v>3877</v>
      </c>
      <c r="P1173" t="s">
        <v>76</v>
      </c>
      <c r="Q1173" t="s">
        <v>76</v>
      </c>
      <c r="R1173" t="s">
        <v>95</v>
      </c>
      <c r="S1173" t="s">
        <v>76</v>
      </c>
      <c r="T1173" t="s">
        <v>76</v>
      </c>
      <c r="U1173">
        <v>1</v>
      </c>
      <c r="V1173" s="13">
        <v>45175</v>
      </c>
      <c r="W1173">
        <v>2</v>
      </c>
      <c r="X1173">
        <v>1</v>
      </c>
      <c r="Y1173" t="s">
        <v>3724</v>
      </c>
      <c r="AC1173">
        <v>4727</v>
      </c>
      <c r="AD1173" t="e" vm="1164">
        <v>#VALUE!</v>
      </c>
    </row>
    <row r="1174" spans="2:30" x14ac:dyDescent="0.25">
      <c r="B1174">
        <v>4728</v>
      </c>
      <c r="C1174" t="s">
        <v>3646</v>
      </c>
      <c r="D1174" t="s">
        <v>3649</v>
      </c>
      <c r="E1174" t="s">
        <v>3812</v>
      </c>
      <c r="F1174" t="s">
        <v>85</v>
      </c>
      <c r="G1174" t="s">
        <v>112</v>
      </c>
      <c r="H1174" t="s">
        <v>3808</v>
      </c>
      <c r="I1174" t="s">
        <v>3821</v>
      </c>
      <c r="J1174" t="s">
        <v>3810</v>
      </c>
      <c r="K1174" t="s">
        <v>101</v>
      </c>
      <c r="L1174" s="13">
        <v>38071</v>
      </c>
      <c r="M1174">
        <v>19</v>
      </c>
      <c r="N1174" t="s">
        <v>90</v>
      </c>
      <c r="O1174" t="s">
        <v>3877</v>
      </c>
      <c r="P1174" t="s">
        <v>76</v>
      </c>
      <c r="Q1174" t="s">
        <v>76</v>
      </c>
      <c r="R1174" t="s">
        <v>95</v>
      </c>
      <c r="S1174" t="s">
        <v>76</v>
      </c>
      <c r="T1174" t="s">
        <v>76</v>
      </c>
      <c r="U1174">
        <v>1</v>
      </c>
      <c r="V1174" s="13">
        <v>45175</v>
      </c>
      <c r="W1174">
        <v>1</v>
      </c>
      <c r="X1174">
        <v>1</v>
      </c>
      <c r="Y1174" t="s">
        <v>3650</v>
      </c>
      <c r="AC1174">
        <v>4728</v>
      </c>
      <c r="AD1174" t="e" vm="1165">
        <v>#VALUE!</v>
      </c>
    </row>
    <row r="1175" spans="2:30" x14ac:dyDescent="0.25">
      <c r="B1175">
        <v>4729</v>
      </c>
      <c r="C1175" t="s">
        <v>3659</v>
      </c>
      <c r="D1175" t="s">
        <v>3660</v>
      </c>
      <c r="E1175" t="s">
        <v>3813</v>
      </c>
      <c r="F1175" t="s">
        <v>83</v>
      </c>
      <c r="G1175" t="s">
        <v>103</v>
      </c>
      <c r="H1175" t="s">
        <v>3808</v>
      </c>
      <c r="I1175" t="s">
        <v>3821</v>
      </c>
      <c r="J1175" t="s">
        <v>3810</v>
      </c>
      <c r="K1175" t="s">
        <v>101</v>
      </c>
      <c r="L1175" s="13">
        <v>38071</v>
      </c>
      <c r="M1175">
        <v>19</v>
      </c>
      <c r="N1175" t="s">
        <v>88</v>
      </c>
      <c r="O1175" t="s">
        <v>3877</v>
      </c>
      <c r="P1175" t="s">
        <v>76</v>
      </c>
      <c r="Q1175" t="s">
        <v>76</v>
      </c>
      <c r="R1175" t="s">
        <v>95</v>
      </c>
      <c r="S1175" t="s">
        <v>76</v>
      </c>
      <c r="T1175" t="s">
        <v>76</v>
      </c>
      <c r="U1175">
        <v>1</v>
      </c>
      <c r="V1175" s="13">
        <v>45175</v>
      </c>
      <c r="W1175">
        <v>1</v>
      </c>
      <c r="X1175">
        <v>1</v>
      </c>
      <c r="Y1175" t="s">
        <v>3661</v>
      </c>
      <c r="AC1175">
        <v>4729</v>
      </c>
      <c r="AD1175" t="e" vm="1166">
        <v>#VALUE!</v>
      </c>
    </row>
    <row r="1176" spans="2:30" x14ac:dyDescent="0.25">
      <c r="B1176">
        <v>4732</v>
      </c>
      <c r="C1176" t="s">
        <v>3659</v>
      </c>
      <c r="D1176" t="s">
        <v>3660</v>
      </c>
      <c r="E1176" t="s">
        <v>3813</v>
      </c>
      <c r="F1176" t="s">
        <v>83</v>
      </c>
      <c r="G1176" t="s">
        <v>103</v>
      </c>
      <c r="H1176" t="s">
        <v>3808</v>
      </c>
      <c r="I1176" t="s">
        <v>3821</v>
      </c>
      <c r="J1176" t="s">
        <v>3810</v>
      </c>
      <c r="K1176" t="s">
        <v>101</v>
      </c>
      <c r="L1176" s="13">
        <v>38076</v>
      </c>
      <c r="M1176">
        <v>19</v>
      </c>
      <c r="N1176" t="s">
        <v>88</v>
      </c>
      <c r="O1176" t="s">
        <v>3877</v>
      </c>
      <c r="P1176" t="s">
        <v>76</v>
      </c>
      <c r="Q1176" t="s">
        <v>76</v>
      </c>
      <c r="R1176" t="s">
        <v>95</v>
      </c>
      <c r="S1176" t="s">
        <v>76</v>
      </c>
      <c r="T1176" t="s">
        <v>76</v>
      </c>
      <c r="U1176">
        <v>1</v>
      </c>
      <c r="V1176" s="13">
        <v>45175</v>
      </c>
      <c r="W1176">
        <v>1</v>
      </c>
      <c r="X1176">
        <v>1</v>
      </c>
      <c r="Y1176" t="s">
        <v>3661</v>
      </c>
      <c r="AC1176">
        <v>4732</v>
      </c>
      <c r="AD1176" t="e" vm="1167">
        <v>#VALUE!</v>
      </c>
    </row>
    <row r="1177" spans="2:30" x14ac:dyDescent="0.25">
      <c r="B1177">
        <v>4734</v>
      </c>
      <c r="C1177" t="s">
        <v>3646</v>
      </c>
      <c r="D1177" t="s">
        <v>3711</v>
      </c>
      <c r="E1177" t="s">
        <v>3849</v>
      </c>
      <c r="F1177" t="s">
        <v>83</v>
      </c>
      <c r="G1177" t="s">
        <v>103</v>
      </c>
      <c r="H1177" t="s">
        <v>3808</v>
      </c>
      <c r="I1177" t="s">
        <v>3821</v>
      </c>
      <c r="J1177" t="s">
        <v>3810</v>
      </c>
      <c r="K1177" t="s">
        <v>101</v>
      </c>
      <c r="L1177" s="13">
        <v>38083</v>
      </c>
      <c r="M1177">
        <v>19</v>
      </c>
      <c r="N1177" t="s">
        <v>90</v>
      </c>
      <c r="O1177" t="s">
        <v>3877</v>
      </c>
      <c r="P1177" t="s">
        <v>76</v>
      </c>
      <c r="Q1177" t="s">
        <v>76</v>
      </c>
      <c r="R1177" t="s">
        <v>95</v>
      </c>
      <c r="S1177" t="s">
        <v>76</v>
      </c>
      <c r="T1177" t="s">
        <v>76</v>
      </c>
      <c r="U1177">
        <v>1</v>
      </c>
      <c r="V1177" s="13">
        <v>45175</v>
      </c>
      <c r="W1177">
        <v>1</v>
      </c>
      <c r="X1177">
        <v>1</v>
      </c>
      <c r="Y1177" t="s">
        <v>3712</v>
      </c>
      <c r="AC1177">
        <v>4734</v>
      </c>
      <c r="AD1177" t="e" vm="1168">
        <v>#VALUE!</v>
      </c>
    </row>
    <row r="1178" spans="2:30" x14ac:dyDescent="0.25">
      <c r="B1178">
        <v>4739</v>
      </c>
      <c r="C1178" t="s">
        <v>3646</v>
      </c>
      <c r="D1178" t="s">
        <v>3711</v>
      </c>
      <c r="E1178" t="s">
        <v>3849</v>
      </c>
      <c r="F1178" t="s">
        <v>83</v>
      </c>
      <c r="G1178" t="s">
        <v>103</v>
      </c>
      <c r="H1178" t="s">
        <v>3808</v>
      </c>
      <c r="I1178" t="s">
        <v>3821</v>
      </c>
      <c r="J1178" t="s">
        <v>3810</v>
      </c>
      <c r="K1178" t="s">
        <v>101</v>
      </c>
      <c r="L1178" s="13">
        <v>38086</v>
      </c>
      <c r="M1178">
        <v>19</v>
      </c>
      <c r="N1178" t="s">
        <v>90</v>
      </c>
      <c r="O1178" t="s">
        <v>3877</v>
      </c>
      <c r="P1178" t="s">
        <v>76</v>
      </c>
      <c r="Q1178" t="s">
        <v>76</v>
      </c>
      <c r="R1178" t="s">
        <v>95</v>
      </c>
      <c r="S1178" t="s">
        <v>76</v>
      </c>
      <c r="T1178" t="s">
        <v>76</v>
      </c>
      <c r="U1178">
        <v>1</v>
      </c>
      <c r="V1178" s="13">
        <v>45175</v>
      </c>
      <c r="W1178">
        <v>1</v>
      </c>
      <c r="X1178">
        <v>1</v>
      </c>
      <c r="Y1178" t="s">
        <v>3712</v>
      </c>
      <c r="AC1178">
        <v>4739</v>
      </c>
      <c r="AD1178" t="e" vm="1169">
        <v>#VALUE!</v>
      </c>
    </row>
    <row r="1179" spans="2:30" x14ac:dyDescent="0.25">
      <c r="B1179">
        <v>4745</v>
      </c>
      <c r="C1179" t="s">
        <v>3646</v>
      </c>
      <c r="D1179" t="s">
        <v>3711</v>
      </c>
      <c r="E1179" t="s">
        <v>3849</v>
      </c>
      <c r="F1179" t="s">
        <v>83</v>
      </c>
      <c r="G1179" t="s">
        <v>103</v>
      </c>
      <c r="H1179" t="s">
        <v>3808</v>
      </c>
      <c r="I1179" t="s">
        <v>3821</v>
      </c>
      <c r="J1179" t="s">
        <v>3810</v>
      </c>
      <c r="K1179" t="s">
        <v>101</v>
      </c>
      <c r="L1179" s="13">
        <v>38098</v>
      </c>
      <c r="M1179">
        <v>19</v>
      </c>
      <c r="N1179" t="s">
        <v>90</v>
      </c>
      <c r="O1179" t="s">
        <v>3877</v>
      </c>
      <c r="P1179" t="s">
        <v>76</v>
      </c>
      <c r="Q1179" t="s">
        <v>76</v>
      </c>
      <c r="R1179" t="s">
        <v>95</v>
      </c>
      <c r="S1179" t="s">
        <v>76</v>
      </c>
      <c r="T1179" t="s">
        <v>76</v>
      </c>
      <c r="U1179">
        <v>1</v>
      </c>
      <c r="V1179" s="13">
        <v>45175</v>
      </c>
      <c r="W1179">
        <v>1</v>
      </c>
      <c r="X1179">
        <v>1</v>
      </c>
      <c r="Y1179" t="s">
        <v>3712</v>
      </c>
      <c r="AC1179">
        <v>4745</v>
      </c>
      <c r="AD1179" t="e" vm="1170">
        <v>#VALUE!</v>
      </c>
    </row>
    <row r="1180" spans="2:30" x14ac:dyDescent="0.25">
      <c r="B1180">
        <v>4747</v>
      </c>
      <c r="C1180" t="s">
        <v>3646</v>
      </c>
      <c r="D1180" t="s">
        <v>3711</v>
      </c>
      <c r="E1180" t="s">
        <v>3849</v>
      </c>
      <c r="F1180" t="s">
        <v>83</v>
      </c>
      <c r="G1180" t="s">
        <v>103</v>
      </c>
      <c r="H1180" t="s">
        <v>3808</v>
      </c>
      <c r="I1180" t="s">
        <v>3821</v>
      </c>
      <c r="J1180" t="s">
        <v>3810</v>
      </c>
      <c r="K1180" t="s">
        <v>101</v>
      </c>
      <c r="L1180" s="13">
        <v>38104</v>
      </c>
      <c r="M1180">
        <v>19</v>
      </c>
      <c r="N1180" t="s">
        <v>90</v>
      </c>
      <c r="O1180" t="s">
        <v>3877</v>
      </c>
      <c r="P1180" t="s">
        <v>76</v>
      </c>
      <c r="Q1180" t="s">
        <v>76</v>
      </c>
      <c r="R1180" t="s">
        <v>95</v>
      </c>
      <c r="S1180" t="s">
        <v>76</v>
      </c>
      <c r="T1180" t="s">
        <v>76</v>
      </c>
      <c r="U1180">
        <v>1</v>
      </c>
      <c r="V1180" s="13">
        <v>45175</v>
      </c>
      <c r="W1180">
        <v>1</v>
      </c>
      <c r="X1180">
        <v>1</v>
      </c>
      <c r="Y1180" t="s">
        <v>3712</v>
      </c>
      <c r="AC1180">
        <v>4747</v>
      </c>
      <c r="AD1180" t="e" vm="1171">
        <v>#VALUE!</v>
      </c>
    </row>
    <row r="1181" spans="2:30" x14ac:dyDescent="0.25">
      <c r="B1181">
        <v>4748</v>
      </c>
      <c r="C1181" t="s">
        <v>3646</v>
      </c>
      <c r="D1181" t="s">
        <v>3711</v>
      </c>
      <c r="E1181" t="s">
        <v>3849</v>
      </c>
      <c r="F1181" t="s">
        <v>83</v>
      </c>
      <c r="G1181" t="s">
        <v>103</v>
      </c>
      <c r="H1181" t="s">
        <v>3808</v>
      </c>
      <c r="I1181" t="s">
        <v>3821</v>
      </c>
      <c r="J1181" t="s">
        <v>3810</v>
      </c>
      <c r="K1181" t="s">
        <v>101</v>
      </c>
      <c r="L1181" s="13">
        <v>38106</v>
      </c>
      <c r="M1181">
        <v>19</v>
      </c>
      <c r="N1181" t="s">
        <v>90</v>
      </c>
      <c r="O1181" t="s">
        <v>3877</v>
      </c>
      <c r="P1181" t="s">
        <v>76</v>
      </c>
      <c r="Q1181" t="s">
        <v>76</v>
      </c>
      <c r="R1181" t="s">
        <v>95</v>
      </c>
      <c r="S1181" t="s">
        <v>76</v>
      </c>
      <c r="T1181" t="s">
        <v>76</v>
      </c>
      <c r="U1181">
        <v>1</v>
      </c>
      <c r="V1181" s="13">
        <v>45175</v>
      </c>
      <c r="W1181">
        <v>1</v>
      </c>
      <c r="X1181">
        <v>1</v>
      </c>
      <c r="Y1181" t="s">
        <v>3712</v>
      </c>
      <c r="AC1181">
        <v>4748</v>
      </c>
      <c r="AD1181" t="e" vm="1172">
        <v>#VALUE!</v>
      </c>
    </row>
    <row r="1182" spans="2:30" x14ac:dyDescent="0.25">
      <c r="B1182">
        <v>4749</v>
      </c>
      <c r="C1182" t="s">
        <v>3646</v>
      </c>
      <c r="D1182" t="s">
        <v>3711</v>
      </c>
      <c r="E1182" t="s">
        <v>3849</v>
      </c>
      <c r="F1182" t="s">
        <v>83</v>
      </c>
      <c r="G1182" t="s">
        <v>103</v>
      </c>
      <c r="H1182" t="s">
        <v>3808</v>
      </c>
      <c r="I1182" t="s">
        <v>3821</v>
      </c>
      <c r="J1182" t="s">
        <v>3810</v>
      </c>
      <c r="K1182" t="s">
        <v>101</v>
      </c>
      <c r="L1182" s="13">
        <v>38106</v>
      </c>
      <c r="M1182">
        <v>19</v>
      </c>
      <c r="N1182" t="s">
        <v>90</v>
      </c>
      <c r="O1182" t="s">
        <v>3877</v>
      </c>
      <c r="P1182" t="s">
        <v>76</v>
      </c>
      <c r="Q1182" t="s">
        <v>76</v>
      </c>
      <c r="R1182" t="s">
        <v>95</v>
      </c>
      <c r="S1182" t="s">
        <v>76</v>
      </c>
      <c r="T1182" t="s">
        <v>76</v>
      </c>
      <c r="U1182">
        <v>1</v>
      </c>
      <c r="V1182" s="13">
        <v>45175</v>
      </c>
      <c r="W1182">
        <v>1</v>
      </c>
      <c r="X1182">
        <v>1</v>
      </c>
      <c r="Y1182" t="s">
        <v>3712</v>
      </c>
      <c r="AC1182">
        <v>4749</v>
      </c>
      <c r="AD1182" t="e" vm="1173">
        <v>#VALUE!</v>
      </c>
    </row>
    <row r="1183" spans="2:30" x14ac:dyDescent="0.25">
      <c r="B1183">
        <v>4750</v>
      </c>
      <c r="C1183" t="s">
        <v>3646</v>
      </c>
      <c r="D1183" t="s">
        <v>3711</v>
      </c>
      <c r="E1183" t="s">
        <v>3849</v>
      </c>
      <c r="F1183" t="s">
        <v>83</v>
      </c>
      <c r="G1183" t="s">
        <v>103</v>
      </c>
      <c r="H1183" t="s">
        <v>3808</v>
      </c>
      <c r="I1183" t="s">
        <v>3821</v>
      </c>
      <c r="J1183" t="s">
        <v>3810</v>
      </c>
      <c r="K1183" t="s">
        <v>101</v>
      </c>
      <c r="L1183" s="13">
        <v>38106</v>
      </c>
      <c r="M1183">
        <v>19</v>
      </c>
      <c r="N1183" t="s">
        <v>90</v>
      </c>
      <c r="O1183" t="s">
        <v>3877</v>
      </c>
      <c r="P1183" t="s">
        <v>76</v>
      </c>
      <c r="Q1183" t="s">
        <v>76</v>
      </c>
      <c r="R1183" t="s">
        <v>95</v>
      </c>
      <c r="S1183" t="s">
        <v>76</v>
      </c>
      <c r="T1183" t="s">
        <v>76</v>
      </c>
      <c r="U1183">
        <v>1</v>
      </c>
      <c r="V1183" s="13">
        <v>45175</v>
      </c>
      <c r="W1183">
        <v>1</v>
      </c>
      <c r="X1183">
        <v>1</v>
      </c>
      <c r="Y1183" t="s">
        <v>3712</v>
      </c>
      <c r="AC1183">
        <v>4750</v>
      </c>
      <c r="AD1183" t="e" vm="1174">
        <v>#VALUE!</v>
      </c>
    </row>
    <row r="1184" spans="2:30" x14ac:dyDescent="0.25">
      <c r="B1184">
        <v>4752</v>
      </c>
      <c r="C1184" t="s">
        <v>3646</v>
      </c>
      <c r="D1184" t="s">
        <v>3713</v>
      </c>
      <c r="E1184" t="s">
        <v>3849</v>
      </c>
      <c r="F1184" t="s">
        <v>83</v>
      </c>
      <c r="G1184" t="s">
        <v>107</v>
      </c>
      <c r="H1184" t="s">
        <v>3808</v>
      </c>
      <c r="I1184" t="s">
        <v>3821</v>
      </c>
      <c r="J1184" t="s">
        <v>3810</v>
      </c>
      <c r="K1184" t="s">
        <v>101</v>
      </c>
      <c r="L1184" s="13">
        <v>38111</v>
      </c>
      <c r="M1184">
        <v>19</v>
      </c>
      <c r="N1184" t="s">
        <v>90</v>
      </c>
      <c r="O1184" t="s">
        <v>3877</v>
      </c>
      <c r="P1184" t="s">
        <v>76</v>
      </c>
      <c r="Q1184" t="s">
        <v>76</v>
      </c>
      <c r="R1184" t="s">
        <v>95</v>
      </c>
      <c r="S1184" t="s">
        <v>76</v>
      </c>
      <c r="T1184" t="s">
        <v>76</v>
      </c>
      <c r="U1184">
        <v>1</v>
      </c>
      <c r="V1184" s="13">
        <v>45175</v>
      </c>
      <c r="W1184">
        <v>1</v>
      </c>
      <c r="X1184">
        <v>1</v>
      </c>
      <c r="Y1184" t="s">
        <v>3714</v>
      </c>
      <c r="AC1184">
        <v>4752</v>
      </c>
      <c r="AD1184" t="e" vm="1175">
        <v>#VALUE!</v>
      </c>
    </row>
    <row r="1185" spans="2:30" x14ac:dyDescent="0.25">
      <c r="B1185">
        <v>4755</v>
      </c>
      <c r="C1185" t="s">
        <v>3646</v>
      </c>
      <c r="D1185" t="s">
        <v>3713</v>
      </c>
      <c r="E1185" t="s">
        <v>3849</v>
      </c>
      <c r="F1185" t="s">
        <v>83</v>
      </c>
      <c r="G1185" t="s">
        <v>107</v>
      </c>
      <c r="H1185" t="s">
        <v>3808</v>
      </c>
      <c r="I1185" t="s">
        <v>3821</v>
      </c>
      <c r="J1185" t="s">
        <v>3810</v>
      </c>
      <c r="K1185" t="s">
        <v>101</v>
      </c>
      <c r="L1185" s="13">
        <v>38112</v>
      </c>
      <c r="M1185">
        <v>19</v>
      </c>
      <c r="N1185" t="s">
        <v>90</v>
      </c>
      <c r="O1185" t="s">
        <v>3877</v>
      </c>
      <c r="P1185" t="s">
        <v>76</v>
      </c>
      <c r="Q1185" t="s">
        <v>76</v>
      </c>
      <c r="R1185" t="s">
        <v>95</v>
      </c>
      <c r="S1185" t="s">
        <v>76</v>
      </c>
      <c r="T1185" t="s">
        <v>76</v>
      </c>
      <c r="U1185">
        <v>1</v>
      </c>
      <c r="V1185" s="13">
        <v>45175</v>
      </c>
      <c r="W1185">
        <v>1</v>
      </c>
      <c r="X1185">
        <v>1</v>
      </c>
      <c r="Y1185" t="s">
        <v>3714</v>
      </c>
      <c r="AC1185">
        <v>4755</v>
      </c>
      <c r="AD1185" t="e" vm="1176">
        <v>#VALUE!</v>
      </c>
    </row>
    <row r="1186" spans="2:30" x14ac:dyDescent="0.25">
      <c r="B1186">
        <v>4756</v>
      </c>
      <c r="C1186" t="s">
        <v>3646</v>
      </c>
      <c r="D1186" t="s">
        <v>3713</v>
      </c>
      <c r="E1186" t="s">
        <v>3849</v>
      </c>
      <c r="F1186" t="s">
        <v>83</v>
      </c>
      <c r="G1186" t="s">
        <v>107</v>
      </c>
      <c r="H1186" t="s">
        <v>3808</v>
      </c>
      <c r="I1186" t="s">
        <v>3821</v>
      </c>
      <c r="J1186" t="s">
        <v>3810</v>
      </c>
      <c r="K1186" t="s">
        <v>101</v>
      </c>
      <c r="L1186" s="13">
        <v>38113</v>
      </c>
      <c r="M1186">
        <v>19</v>
      </c>
      <c r="N1186" t="s">
        <v>90</v>
      </c>
      <c r="O1186" t="s">
        <v>3877</v>
      </c>
      <c r="P1186" t="s">
        <v>76</v>
      </c>
      <c r="Q1186" t="s">
        <v>76</v>
      </c>
      <c r="R1186" t="s">
        <v>95</v>
      </c>
      <c r="S1186" t="s">
        <v>76</v>
      </c>
      <c r="T1186" t="s">
        <v>76</v>
      </c>
      <c r="U1186">
        <v>1</v>
      </c>
      <c r="V1186" s="13">
        <v>45175</v>
      </c>
      <c r="W1186">
        <v>1</v>
      </c>
      <c r="X1186">
        <v>1</v>
      </c>
      <c r="Y1186" t="s">
        <v>3714</v>
      </c>
      <c r="AC1186">
        <v>4756</v>
      </c>
      <c r="AD1186" t="e" vm="1177">
        <v>#VALUE!</v>
      </c>
    </row>
    <row r="1187" spans="2:30" x14ac:dyDescent="0.25">
      <c r="B1187">
        <v>4758</v>
      </c>
      <c r="C1187" t="s">
        <v>3646</v>
      </c>
      <c r="D1187" t="s">
        <v>3713</v>
      </c>
      <c r="E1187" t="s">
        <v>3849</v>
      </c>
      <c r="F1187" t="s">
        <v>83</v>
      </c>
      <c r="G1187" t="s">
        <v>107</v>
      </c>
      <c r="H1187" t="s">
        <v>3808</v>
      </c>
      <c r="I1187" t="s">
        <v>3821</v>
      </c>
      <c r="J1187" t="s">
        <v>3810</v>
      </c>
      <c r="K1187" t="s">
        <v>101</v>
      </c>
      <c r="L1187" s="13">
        <v>38112</v>
      </c>
      <c r="M1187">
        <v>19</v>
      </c>
      <c r="N1187" t="s">
        <v>90</v>
      </c>
      <c r="O1187" t="s">
        <v>3877</v>
      </c>
      <c r="P1187" t="s">
        <v>76</v>
      </c>
      <c r="Q1187" t="s">
        <v>76</v>
      </c>
      <c r="R1187" t="s">
        <v>95</v>
      </c>
      <c r="S1187" t="s">
        <v>76</v>
      </c>
      <c r="T1187" t="s">
        <v>76</v>
      </c>
      <c r="U1187">
        <v>1</v>
      </c>
      <c r="V1187" s="13">
        <v>45175</v>
      </c>
      <c r="W1187">
        <v>1</v>
      </c>
      <c r="X1187">
        <v>1</v>
      </c>
      <c r="Y1187" t="s">
        <v>3714</v>
      </c>
      <c r="AC1187">
        <v>4758</v>
      </c>
      <c r="AD1187" t="e" vm="1178">
        <v>#VALUE!</v>
      </c>
    </row>
    <row r="1188" spans="2:30" x14ac:dyDescent="0.25">
      <c r="B1188">
        <v>4760</v>
      </c>
      <c r="C1188" t="s">
        <v>3668</v>
      </c>
      <c r="D1188" t="s">
        <v>3673</v>
      </c>
      <c r="E1188" t="s">
        <v>3819</v>
      </c>
      <c r="F1188" t="s">
        <v>87</v>
      </c>
      <c r="G1188" t="s">
        <v>84</v>
      </c>
      <c r="H1188" t="s">
        <v>3808</v>
      </c>
      <c r="I1188" t="s">
        <v>3821</v>
      </c>
      <c r="J1188" t="s">
        <v>3810</v>
      </c>
      <c r="K1188" t="s">
        <v>101</v>
      </c>
      <c r="L1188" s="13">
        <v>38112</v>
      </c>
      <c r="M1188">
        <v>19</v>
      </c>
      <c r="N1188" t="s">
        <v>82</v>
      </c>
      <c r="O1188" t="s">
        <v>3877</v>
      </c>
      <c r="P1188" t="s">
        <v>76</v>
      </c>
      <c r="Q1188" t="s">
        <v>76</v>
      </c>
      <c r="R1188" t="s">
        <v>95</v>
      </c>
      <c r="S1188" t="s">
        <v>76</v>
      </c>
      <c r="T1188" t="s">
        <v>76</v>
      </c>
      <c r="U1188">
        <v>1</v>
      </c>
      <c r="V1188" s="13">
        <v>45175</v>
      </c>
      <c r="W1188">
        <v>1</v>
      </c>
      <c r="X1188">
        <v>1</v>
      </c>
      <c r="Y1188" t="s">
        <v>3674</v>
      </c>
      <c r="AC1188">
        <v>4760</v>
      </c>
      <c r="AD1188" t="e" vm="1179">
        <v>#VALUE!</v>
      </c>
    </row>
    <row r="1189" spans="2:30" x14ac:dyDescent="0.25">
      <c r="B1189">
        <v>4762</v>
      </c>
      <c r="C1189" t="s">
        <v>3646</v>
      </c>
      <c r="D1189" t="s">
        <v>3653</v>
      </c>
      <c r="E1189" t="s">
        <v>3812</v>
      </c>
      <c r="F1189" t="s">
        <v>85</v>
      </c>
      <c r="G1189" t="s">
        <v>114</v>
      </c>
      <c r="H1189" t="s">
        <v>3808</v>
      </c>
      <c r="I1189" t="s">
        <v>3821</v>
      </c>
      <c r="J1189" t="s">
        <v>3810</v>
      </c>
      <c r="K1189" t="s">
        <v>101</v>
      </c>
      <c r="L1189" s="13">
        <v>38117</v>
      </c>
      <c r="M1189">
        <v>19</v>
      </c>
      <c r="N1189" t="s">
        <v>90</v>
      </c>
      <c r="O1189" t="s">
        <v>3877</v>
      </c>
      <c r="P1189" t="s">
        <v>76</v>
      </c>
      <c r="Q1189" t="s">
        <v>76</v>
      </c>
      <c r="R1189" t="s">
        <v>95</v>
      </c>
      <c r="S1189" t="s">
        <v>76</v>
      </c>
      <c r="T1189" t="s">
        <v>76</v>
      </c>
      <c r="U1189">
        <v>1</v>
      </c>
      <c r="V1189" s="13">
        <v>45175</v>
      </c>
      <c r="W1189">
        <v>1</v>
      </c>
      <c r="X1189">
        <v>1</v>
      </c>
      <c r="Y1189" t="s">
        <v>3654</v>
      </c>
      <c r="AC1189">
        <v>4762</v>
      </c>
      <c r="AD1189" t="e" vm="5">
        <v>#VALUE!</v>
      </c>
    </row>
    <row r="1190" spans="2:30" x14ac:dyDescent="0.25">
      <c r="B1190">
        <v>4763</v>
      </c>
      <c r="C1190" t="s">
        <v>3646</v>
      </c>
      <c r="D1190" t="s">
        <v>3653</v>
      </c>
      <c r="E1190" t="s">
        <v>3812</v>
      </c>
      <c r="F1190" t="s">
        <v>85</v>
      </c>
      <c r="G1190" t="s">
        <v>114</v>
      </c>
      <c r="H1190" t="s">
        <v>3808</v>
      </c>
      <c r="I1190" t="s">
        <v>3821</v>
      </c>
      <c r="J1190" t="s">
        <v>3810</v>
      </c>
      <c r="K1190" t="s">
        <v>101</v>
      </c>
      <c r="L1190" s="13">
        <v>38118</v>
      </c>
      <c r="M1190">
        <v>19</v>
      </c>
      <c r="N1190" t="s">
        <v>90</v>
      </c>
      <c r="O1190" t="s">
        <v>3877</v>
      </c>
      <c r="P1190" t="s">
        <v>76</v>
      </c>
      <c r="Q1190" t="s">
        <v>76</v>
      </c>
      <c r="R1190" t="s">
        <v>95</v>
      </c>
      <c r="S1190" t="s">
        <v>76</v>
      </c>
      <c r="T1190" t="s">
        <v>76</v>
      </c>
      <c r="U1190">
        <v>1</v>
      </c>
      <c r="V1190" s="13">
        <v>45175</v>
      </c>
      <c r="W1190">
        <v>1</v>
      </c>
      <c r="X1190">
        <v>1</v>
      </c>
      <c r="Y1190" t="s">
        <v>3654</v>
      </c>
      <c r="AC1190">
        <v>4763</v>
      </c>
      <c r="AD1190" t="e" vm="1180">
        <v>#VALUE!</v>
      </c>
    </row>
    <row r="1191" spans="2:30" x14ac:dyDescent="0.25">
      <c r="B1191">
        <v>4765</v>
      </c>
      <c r="C1191" t="s">
        <v>3698</v>
      </c>
      <c r="D1191" t="s">
        <v>73</v>
      </c>
      <c r="E1191" t="s">
        <v>73</v>
      </c>
      <c r="F1191" t="s">
        <v>3816</v>
      </c>
      <c r="G1191" t="s">
        <v>3816</v>
      </c>
      <c r="H1191" t="s">
        <v>3808</v>
      </c>
      <c r="I1191" t="s">
        <v>3821</v>
      </c>
      <c r="J1191" t="s">
        <v>3810</v>
      </c>
      <c r="K1191" t="s">
        <v>101</v>
      </c>
      <c r="L1191" s="13">
        <v>38124</v>
      </c>
      <c r="M1191">
        <v>19</v>
      </c>
      <c r="N1191" t="s">
        <v>98</v>
      </c>
      <c r="O1191" t="s">
        <v>3877</v>
      </c>
      <c r="P1191" t="s">
        <v>76</v>
      </c>
      <c r="Q1191" t="s">
        <v>76</v>
      </c>
      <c r="R1191" t="s">
        <v>95</v>
      </c>
      <c r="S1191" t="s">
        <v>76</v>
      </c>
      <c r="T1191" t="s">
        <v>76</v>
      </c>
      <c r="U1191">
        <v>1</v>
      </c>
      <c r="V1191" s="13">
        <v>45175</v>
      </c>
      <c r="W1191">
        <v>2</v>
      </c>
      <c r="X1191">
        <v>1</v>
      </c>
      <c r="Y1191" t="s">
        <v>3724</v>
      </c>
      <c r="AC1191">
        <v>4765</v>
      </c>
      <c r="AD1191" t="e" vm="1181">
        <v>#VALUE!</v>
      </c>
    </row>
    <row r="1192" spans="2:30" x14ac:dyDescent="0.25">
      <c r="B1192">
        <v>4767</v>
      </c>
      <c r="C1192" t="s">
        <v>3646</v>
      </c>
      <c r="D1192" t="s">
        <v>3653</v>
      </c>
      <c r="E1192" t="s">
        <v>3812</v>
      </c>
      <c r="F1192" t="s">
        <v>85</v>
      </c>
      <c r="G1192" t="s">
        <v>114</v>
      </c>
      <c r="H1192" t="s">
        <v>3808</v>
      </c>
      <c r="I1192" t="s">
        <v>3821</v>
      </c>
      <c r="J1192" t="s">
        <v>3810</v>
      </c>
      <c r="K1192" t="s">
        <v>101</v>
      </c>
      <c r="L1192" s="13">
        <v>38132</v>
      </c>
      <c r="M1192">
        <v>19</v>
      </c>
      <c r="N1192" t="s">
        <v>90</v>
      </c>
      <c r="O1192" t="s">
        <v>3877</v>
      </c>
      <c r="P1192" t="s">
        <v>76</v>
      </c>
      <c r="Q1192" t="s">
        <v>76</v>
      </c>
      <c r="R1192" t="s">
        <v>95</v>
      </c>
      <c r="S1192" t="s">
        <v>76</v>
      </c>
      <c r="T1192" t="s">
        <v>76</v>
      </c>
      <c r="U1192">
        <v>1</v>
      </c>
      <c r="V1192" s="13">
        <v>45175</v>
      </c>
      <c r="W1192">
        <v>1</v>
      </c>
      <c r="X1192">
        <v>1</v>
      </c>
      <c r="Y1192" t="s">
        <v>3654</v>
      </c>
      <c r="AC1192">
        <v>4767</v>
      </c>
      <c r="AD1192" t="e" vm="1182">
        <v>#VALUE!</v>
      </c>
    </row>
    <row r="1193" spans="2:30" x14ac:dyDescent="0.25">
      <c r="B1193">
        <v>4768</v>
      </c>
      <c r="C1193" t="s">
        <v>3698</v>
      </c>
      <c r="D1193" t="s">
        <v>73</v>
      </c>
      <c r="E1193" t="s">
        <v>73</v>
      </c>
      <c r="F1193" t="s">
        <v>3816</v>
      </c>
      <c r="G1193" t="s">
        <v>3816</v>
      </c>
      <c r="H1193" t="s">
        <v>3808</v>
      </c>
      <c r="I1193" t="s">
        <v>3821</v>
      </c>
      <c r="J1193" t="s">
        <v>3810</v>
      </c>
      <c r="K1193" t="s">
        <v>101</v>
      </c>
      <c r="L1193" s="13">
        <v>38135</v>
      </c>
      <c r="M1193">
        <v>19</v>
      </c>
      <c r="N1193" t="s">
        <v>98</v>
      </c>
      <c r="O1193" t="s">
        <v>3877</v>
      </c>
      <c r="P1193" t="s">
        <v>76</v>
      </c>
      <c r="Q1193" t="s">
        <v>76</v>
      </c>
      <c r="R1193" t="s">
        <v>95</v>
      </c>
      <c r="S1193" t="s">
        <v>76</v>
      </c>
      <c r="T1193" t="s">
        <v>76</v>
      </c>
      <c r="U1193">
        <v>1</v>
      </c>
      <c r="V1193" s="13">
        <v>45175</v>
      </c>
      <c r="W1193">
        <v>2</v>
      </c>
      <c r="X1193">
        <v>1</v>
      </c>
      <c r="Y1193" t="s">
        <v>3724</v>
      </c>
      <c r="AC1193">
        <v>4768</v>
      </c>
      <c r="AD1193" t="e" vm="1183">
        <v>#VALUE!</v>
      </c>
    </row>
    <row r="1194" spans="2:30" x14ac:dyDescent="0.25">
      <c r="B1194">
        <v>4769</v>
      </c>
      <c r="C1194" t="s">
        <v>3668</v>
      </c>
      <c r="D1194" t="s">
        <v>3673</v>
      </c>
      <c r="E1194" t="s">
        <v>3819</v>
      </c>
      <c r="F1194" t="s">
        <v>87</v>
      </c>
      <c r="G1194" t="s">
        <v>84</v>
      </c>
      <c r="H1194" t="s">
        <v>3808</v>
      </c>
      <c r="I1194" t="s">
        <v>3821</v>
      </c>
      <c r="J1194" t="s">
        <v>3810</v>
      </c>
      <c r="K1194" t="s">
        <v>101</v>
      </c>
      <c r="L1194" s="13">
        <v>38135</v>
      </c>
      <c r="M1194">
        <v>19</v>
      </c>
      <c r="N1194" t="s">
        <v>82</v>
      </c>
      <c r="O1194" t="s">
        <v>3877</v>
      </c>
      <c r="P1194" t="s">
        <v>76</v>
      </c>
      <c r="Q1194" t="s">
        <v>76</v>
      </c>
      <c r="R1194" t="s">
        <v>95</v>
      </c>
      <c r="S1194" t="s">
        <v>76</v>
      </c>
      <c r="T1194" t="s">
        <v>76</v>
      </c>
      <c r="U1194">
        <v>1</v>
      </c>
      <c r="V1194" s="13">
        <v>45175</v>
      </c>
      <c r="W1194">
        <v>1</v>
      </c>
      <c r="X1194">
        <v>1</v>
      </c>
      <c r="Y1194" t="s">
        <v>3674</v>
      </c>
      <c r="AC1194">
        <v>4769</v>
      </c>
      <c r="AD1194" t="e" vm="1184">
        <v>#VALUE!</v>
      </c>
    </row>
    <row r="1195" spans="2:30" x14ac:dyDescent="0.25">
      <c r="B1195">
        <v>4770</v>
      </c>
      <c r="C1195" t="s">
        <v>3668</v>
      </c>
      <c r="D1195" t="s">
        <v>3673</v>
      </c>
      <c r="E1195" t="s">
        <v>3819</v>
      </c>
      <c r="F1195" t="s">
        <v>87</v>
      </c>
      <c r="G1195" t="s">
        <v>84</v>
      </c>
      <c r="H1195" t="s">
        <v>3808</v>
      </c>
      <c r="I1195" t="s">
        <v>3821</v>
      </c>
      <c r="J1195" t="s">
        <v>3810</v>
      </c>
      <c r="K1195" t="s">
        <v>101</v>
      </c>
      <c r="L1195" s="13">
        <v>38139</v>
      </c>
      <c r="M1195">
        <v>19</v>
      </c>
      <c r="N1195" t="s">
        <v>82</v>
      </c>
      <c r="O1195" t="s">
        <v>3877</v>
      </c>
      <c r="P1195" t="s">
        <v>76</v>
      </c>
      <c r="Q1195" t="s">
        <v>76</v>
      </c>
      <c r="R1195" t="s">
        <v>95</v>
      </c>
      <c r="S1195" t="s">
        <v>76</v>
      </c>
      <c r="T1195" t="s">
        <v>76</v>
      </c>
      <c r="U1195">
        <v>1</v>
      </c>
      <c r="V1195" s="13">
        <v>45175</v>
      </c>
      <c r="W1195">
        <v>1</v>
      </c>
      <c r="X1195">
        <v>1</v>
      </c>
      <c r="Y1195" t="s">
        <v>3674</v>
      </c>
      <c r="AC1195">
        <v>4770</v>
      </c>
      <c r="AD1195" t="e" vm="1185">
        <v>#VALUE!</v>
      </c>
    </row>
    <row r="1196" spans="2:30" x14ac:dyDescent="0.25">
      <c r="B1196">
        <v>4771</v>
      </c>
      <c r="C1196" t="s">
        <v>3668</v>
      </c>
      <c r="D1196" t="s">
        <v>3673</v>
      </c>
      <c r="E1196" t="s">
        <v>3819</v>
      </c>
      <c r="F1196" t="s">
        <v>87</v>
      </c>
      <c r="G1196" t="s">
        <v>84</v>
      </c>
      <c r="H1196" t="s">
        <v>3808</v>
      </c>
      <c r="I1196" t="s">
        <v>3821</v>
      </c>
      <c r="J1196" t="s">
        <v>3810</v>
      </c>
      <c r="K1196" t="s">
        <v>101</v>
      </c>
      <c r="L1196" s="13">
        <v>38135</v>
      </c>
      <c r="M1196">
        <v>19</v>
      </c>
      <c r="N1196" t="s">
        <v>82</v>
      </c>
      <c r="O1196" t="s">
        <v>3877</v>
      </c>
      <c r="P1196" t="s">
        <v>76</v>
      </c>
      <c r="Q1196" t="s">
        <v>76</v>
      </c>
      <c r="R1196" t="s">
        <v>95</v>
      </c>
      <c r="S1196" t="s">
        <v>76</v>
      </c>
      <c r="T1196" t="s">
        <v>76</v>
      </c>
      <c r="U1196">
        <v>1</v>
      </c>
      <c r="V1196" s="13">
        <v>45175</v>
      </c>
      <c r="W1196">
        <v>1</v>
      </c>
      <c r="X1196">
        <v>1</v>
      </c>
      <c r="Y1196" t="s">
        <v>3674</v>
      </c>
      <c r="AC1196">
        <v>4771</v>
      </c>
      <c r="AD1196" t="e" vm="1186">
        <v>#VALUE!</v>
      </c>
    </row>
    <row r="1197" spans="2:30" x14ac:dyDescent="0.25">
      <c r="B1197">
        <v>4772</v>
      </c>
      <c r="C1197" t="s">
        <v>3668</v>
      </c>
      <c r="D1197" t="s">
        <v>3673</v>
      </c>
      <c r="E1197" t="s">
        <v>3819</v>
      </c>
      <c r="F1197" t="s">
        <v>87</v>
      </c>
      <c r="G1197" t="s">
        <v>84</v>
      </c>
      <c r="H1197" t="s">
        <v>3808</v>
      </c>
      <c r="I1197" t="s">
        <v>3821</v>
      </c>
      <c r="J1197" t="s">
        <v>3810</v>
      </c>
      <c r="K1197" t="s">
        <v>101</v>
      </c>
      <c r="L1197" s="13">
        <v>38139</v>
      </c>
      <c r="M1197">
        <v>19</v>
      </c>
      <c r="N1197" t="s">
        <v>82</v>
      </c>
      <c r="O1197" t="s">
        <v>3877</v>
      </c>
      <c r="P1197" t="s">
        <v>76</v>
      </c>
      <c r="Q1197" t="s">
        <v>76</v>
      </c>
      <c r="R1197" t="s">
        <v>95</v>
      </c>
      <c r="S1197" t="s">
        <v>76</v>
      </c>
      <c r="T1197" t="s">
        <v>76</v>
      </c>
      <c r="U1197">
        <v>1</v>
      </c>
      <c r="V1197" s="13">
        <v>45175</v>
      </c>
      <c r="W1197">
        <v>1</v>
      </c>
      <c r="X1197">
        <v>1</v>
      </c>
      <c r="Y1197" t="s">
        <v>3674</v>
      </c>
      <c r="AC1197">
        <v>4772</v>
      </c>
      <c r="AD1197" t="e" vm="1187">
        <v>#VALUE!</v>
      </c>
    </row>
    <row r="1198" spans="2:30" x14ac:dyDescent="0.25">
      <c r="B1198">
        <v>4773</v>
      </c>
      <c r="C1198" t="s">
        <v>3668</v>
      </c>
      <c r="D1198" t="s">
        <v>3673</v>
      </c>
      <c r="E1198" t="s">
        <v>3819</v>
      </c>
      <c r="F1198" t="s">
        <v>87</v>
      </c>
      <c r="G1198" t="s">
        <v>84</v>
      </c>
      <c r="H1198" t="s">
        <v>3808</v>
      </c>
      <c r="I1198" t="s">
        <v>3821</v>
      </c>
      <c r="J1198" t="s">
        <v>3810</v>
      </c>
      <c r="K1198" t="s">
        <v>101</v>
      </c>
      <c r="L1198" s="13">
        <v>38133</v>
      </c>
      <c r="M1198">
        <v>19</v>
      </c>
      <c r="N1198" t="s">
        <v>82</v>
      </c>
      <c r="O1198" t="s">
        <v>3877</v>
      </c>
      <c r="P1198" t="s">
        <v>76</v>
      </c>
      <c r="Q1198" t="s">
        <v>76</v>
      </c>
      <c r="R1198" t="s">
        <v>95</v>
      </c>
      <c r="S1198" t="s">
        <v>76</v>
      </c>
      <c r="T1198" t="s">
        <v>76</v>
      </c>
      <c r="U1198">
        <v>1</v>
      </c>
      <c r="V1198" s="13">
        <v>45175</v>
      </c>
      <c r="W1198">
        <v>1</v>
      </c>
      <c r="X1198">
        <v>1</v>
      </c>
      <c r="Y1198" t="s">
        <v>3674</v>
      </c>
      <c r="AC1198">
        <v>4773</v>
      </c>
      <c r="AD1198" t="e" vm="1188">
        <v>#VALUE!</v>
      </c>
    </row>
    <row r="1199" spans="2:30" x14ac:dyDescent="0.25">
      <c r="B1199">
        <v>4774</v>
      </c>
      <c r="C1199" t="s">
        <v>3668</v>
      </c>
      <c r="D1199" t="s">
        <v>3673</v>
      </c>
      <c r="E1199" t="s">
        <v>3819</v>
      </c>
      <c r="F1199" t="s">
        <v>87</v>
      </c>
      <c r="G1199" t="s">
        <v>84</v>
      </c>
      <c r="H1199" t="s">
        <v>3808</v>
      </c>
      <c r="I1199" t="s">
        <v>3821</v>
      </c>
      <c r="J1199" t="s">
        <v>3810</v>
      </c>
      <c r="K1199" t="s">
        <v>101</v>
      </c>
      <c r="L1199" s="13">
        <v>38140</v>
      </c>
      <c r="M1199">
        <v>19</v>
      </c>
      <c r="N1199" t="s">
        <v>82</v>
      </c>
      <c r="O1199" t="s">
        <v>3877</v>
      </c>
      <c r="P1199" t="s">
        <v>76</v>
      </c>
      <c r="Q1199" t="s">
        <v>76</v>
      </c>
      <c r="R1199" t="s">
        <v>95</v>
      </c>
      <c r="S1199" t="s">
        <v>76</v>
      </c>
      <c r="T1199" t="s">
        <v>76</v>
      </c>
      <c r="U1199">
        <v>1</v>
      </c>
      <c r="V1199" s="13">
        <v>45175</v>
      </c>
      <c r="W1199">
        <v>1</v>
      </c>
      <c r="X1199">
        <v>1</v>
      </c>
      <c r="Y1199" t="s">
        <v>3674</v>
      </c>
      <c r="AC1199">
        <v>4774</v>
      </c>
      <c r="AD1199" t="e" vm="1189">
        <v>#VALUE!</v>
      </c>
    </row>
    <row r="1200" spans="2:30" x14ac:dyDescent="0.25">
      <c r="B1200">
        <v>4776</v>
      </c>
      <c r="C1200" t="s">
        <v>3646</v>
      </c>
      <c r="D1200" t="s">
        <v>3741</v>
      </c>
      <c r="E1200" t="s">
        <v>3849</v>
      </c>
      <c r="F1200" t="s">
        <v>83</v>
      </c>
      <c r="G1200" t="s">
        <v>109</v>
      </c>
      <c r="H1200" t="s">
        <v>3808</v>
      </c>
      <c r="I1200" t="s">
        <v>3821</v>
      </c>
      <c r="J1200" t="s">
        <v>3810</v>
      </c>
      <c r="K1200" t="s">
        <v>101</v>
      </c>
      <c r="L1200" s="13">
        <v>38140</v>
      </c>
      <c r="M1200">
        <v>19</v>
      </c>
      <c r="N1200" t="s">
        <v>90</v>
      </c>
      <c r="O1200" t="s">
        <v>3877</v>
      </c>
      <c r="P1200" t="s">
        <v>76</v>
      </c>
      <c r="Q1200" t="s">
        <v>76</v>
      </c>
      <c r="R1200" t="s">
        <v>95</v>
      </c>
      <c r="S1200" t="s">
        <v>76</v>
      </c>
      <c r="T1200" t="s">
        <v>76</v>
      </c>
      <c r="U1200">
        <v>1</v>
      </c>
      <c r="V1200" s="13">
        <v>45175</v>
      </c>
      <c r="W1200">
        <v>1</v>
      </c>
      <c r="X1200">
        <v>1</v>
      </c>
      <c r="Y1200" t="s">
        <v>3742</v>
      </c>
      <c r="AC1200">
        <v>4776</v>
      </c>
      <c r="AD1200" t="e" vm="1190">
        <v>#VALUE!</v>
      </c>
    </row>
    <row r="1201" spans="2:30" x14ac:dyDescent="0.25">
      <c r="B1201">
        <v>4778</v>
      </c>
      <c r="C1201" t="s">
        <v>3646</v>
      </c>
      <c r="D1201" t="s">
        <v>73</v>
      </c>
      <c r="E1201" t="s">
        <v>73</v>
      </c>
      <c r="F1201" t="s">
        <v>3816</v>
      </c>
      <c r="G1201" t="s">
        <v>3816</v>
      </c>
      <c r="H1201" t="s">
        <v>3808</v>
      </c>
      <c r="I1201" t="s">
        <v>3821</v>
      </c>
      <c r="J1201" t="s">
        <v>3810</v>
      </c>
      <c r="K1201" t="s">
        <v>101</v>
      </c>
      <c r="L1201" s="13">
        <v>38141</v>
      </c>
      <c r="M1201">
        <v>19</v>
      </c>
      <c r="N1201" t="s">
        <v>90</v>
      </c>
      <c r="O1201" t="s">
        <v>3877</v>
      </c>
      <c r="P1201" t="s">
        <v>76</v>
      </c>
      <c r="Q1201" t="s">
        <v>76</v>
      </c>
      <c r="R1201" t="s">
        <v>95</v>
      </c>
      <c r="S1201" t="s">
        <v>76</v>
      </c>
      <c r="T1201" t="s">
        <v>76</v>
      </c>
      <c r="U1201">
        <v>1</v>
      </c>
      <c r="V1201" s="13">
        <v>45175</v>
      </c>
      <c r="W1201">
        <v>1</v>
      </c>
      <c r="X1201">
        <v>1</v>
      </c>
      <c r="Y1201" t="s">
        <v>3667</v>
      </c>
      <c r="AC1201">
        <v>4778</v>
      </c>
      <c r="AD1201" t="e" vm="1191">
        <v>#VALUE!</v>
      </c>
    </row>
    <row r="1202" spans="2:30" x14ac:dyDescent="0.25">
      <c r="B1202">
        <v>4784</v>
      </c>
      <c r="C1202" t="s">
        <v>3646</v>
      </c>
      <c r="D1202" t="s">
        <v>3743</v>
      </c>
      <c r="E1202" t="s">
        <v>3849</v>
      </c>
      <c r="F1202" t="s">
        <v>83</v>
      </c>
      <c r="G1202" t="s">
        <v>113</v>
      </c>
      <c r="H1202" t="s">
        <v>3808</v>
      </c>
      <c r="I1202" t="s">
        <v>3821</v>
      </c>
      <c r="J1202" t="s">
        <v>3810</v>
      </c>
      <c r="K1202" t="s">
        <v>101</v>
      </c>
      <c r="L1202" s="13">
        <v>38146</v>
      </c>
      <c r="M1202">
        <v>19</v>
      </c>
      <c r="N1202" t="s">
        <v>90</v>
      </c>
      <c r="O1202" t="s">
        <v>3877</v>
      </c>
      <c r="P1202" t="s">
        <v>76</v>
      </c>
      <c r="Q1202" t="s">
        <v>76</v>
      </c>
      <c r="R1202" t="s">
        <v>95</v>
      </c>
      <c r="S1202" t="s">
        <v>76</v>
      </c>
      <c r="T1202" t="s">
        <v>76</v>
      </c>
      <c r="U1202">
        <v>1</v>
      </c>
      <c r="V1202" s="13">
        <v>45175</v>
      </c>
      <c r="W1202">
        <v>1</v>
      </c>
      <c r="X1202">
        <v>1</v>
      </c>
      <c r="Y1202" t="s">
        <v>3744</v>
      </c>
      <c r="AC1202">
        <v>4784</v>
      </c>
      <c r="AD1202" t="e" vm="1192">
        <v>#VALUE!</v>
      </c>
    </row>
    <row r="1203" spans="2:30" x14ac:dyDescent="0.25">
      <c r="B1203">
        <v>4789</v>
      </c>
      <c r="C1203" t="s">
        <v>3646</v>
      </c>
      <c r="D1203" t="s">
        <v>3743</v>
      </c>
      <c r="E1203" t="s">
        <v>3849</v>
      </c>
      <c r="F1203" t="s">
        <v>83</v>
      </c>
      <c r="G1203" t="s">
        <v>113</v>
      </c>
      <c r="H1203" t="s">
        <v>3808</v>
      </c>
      <c r="I1203" t="s">
        <v>3821</v>
      </c>
      <c r="J1203" t="s">
        <v>3810</v>
      </c>
      <c r="K1203" t="s">
        <v>101</v>
      </c>
      <c r="L1203" s="13">
        <v>38148</v>
      </c>
      <c r="M1203">
        <v>19</v>
      </c>
      <c r="N1203" t="s">
        <v>90</v>
      </c>
      <c r="O1203" t="s">
        <v>3877</v>
      </c>
      <c r="P1203" t="s">
        <v>76</v>
      </c>
      <c r="Q1203" t="s">
        <v>76</v>
      </c>
      <c r="R1203" t="s">
        <v>95</v>
      </c>
      <c r="S1203" t="s">
        <v>76</v>
      </c>
      <c r="T1203" t="s">
        <v>76</v>
      </c>
      <c r="U1203">
        <v>1</v>
      </c>
      <c r="V1203" s="13">
        <v>45175</v>
      </c>
      <c r="W1203">
        <v>1</v>
      </c>
      <c r="X1203">
        <v>1</v>
      </c>
      <c r="Y1203" t="s">
        <v>3744</v>
      </c>
      <c r="AC1203">
        <v>4789</v>
      </c>
      <c r="AD1203" t="e" vm="1193">
        <v>#VALUE!</v>
      </c>
    </row>
    <row r="1204" spans="2:30" x14ac:dyDescent="0.25">
      <c r="B1204">
        <v>4792</v>
      </c>
      <c r="C1204" t="s">
        <v>3646</v>
      </c>
      <c r="D1204" t="s">
        <v>3743</v>
      </c>
      <c r="E1204" t="s">
        <v>3849</v>
      </c>
      <c r="F1204" t="s">
        <v>83</v>
      </c>
      <c r="G1204" t="s">
        <v>113</v>
      </c>
      <c r="H1204" t="s">
        <v>3808</v>
      </c>
      <c r="I1204" t="s">
        <v>3821</v>
      </c>
      <c r="J1204" t="s">
        <v>3810</v>
      </c>
      <c r="K1204" t="s">
        <v>101</v>
      </c>
      <c r="L1204" s="13">
        <v>38161</v>
      </c>
      <c r="M1204">
        <v>19</v>
      </c>
      <c r="N1204" t="s">
        <v>90</v>
      </c>
      <c r="O1204" t="s">
        <v>3877</v>
      </c>
      <c r="P1204" t="s">
        <v>76</v>
      </c>
      <c r="Q1204" t="s">
        <v>76</v>
      </c>
      <c r="R1204" t="s">
        <v>95</v>
      </c>
      <c r="S1204" t="s">
        <v>76</v>
      </c>
      <c r="T1204" t="s">
        <v>76</v>
      </c>
      <c r="U1204">
        <v>1</v>
      </c>
      <c r="V1204" s="13">
        <v>45175</v>
      </c>
      <c r="W1204">
        <v>1</v>
      </c>
      <c r="X1204">
        <v>1</v>
      </c>
      <c r="Y1204" t="s">
        <v>3744</v>
      </c>
      <c r="AC1204">
        <v>4792</v>
      </c>
      <c r="AD1204" t="e" vm="1194">
        <v>#VALUE!</v>
      </c>
    </row>
    <row r="1205" spans="2:30" x14ac:dyDescent="0.25">
      <c r="B1205">
        <v>4793</v>
      </c>
      <c r="C1205" t="s">
        <v>3646</v>
      </c>
      <c r="D1205" t="s">
        <v>3713</v>
      </c>
      <c r="E1205" t="s">
        <v>3849</v>
      </c>
      <c r="F1205" t="s">
        <v>83</v>
      </c>
      <c r="G1205" t="s">
        <v>107</v>
      </c>
      <c r="H1205" t="s">
        <v>3808</v>
      </c>
      <c r="I1205" t="s">
        <v>3821</v>
      </c>
      <c r="J1205" t="s">
        <v>3810</v>
      </c>
      <c r="K1205" t="s">
        <v>101</v>
      </c>
      <c r="L1205" s="13">
        <v>38148</v>
      </c>
      <c r="M1205">
        <v>19</v>
      </c>
      <c r="N1205" t="s">
        <v>90</v>
      </c>
      <c r="O1205" t="s">
        <v>3877</v>
      </c>
      <c r="P1205" t="s">
        <v>76</v>
      </c>
      <c r="Q1205" t="s">
        <v>76</v>
      </c>
      <c r="R1205" t="s">
        <v>95</v>
      </c>
      <c r="S1205" t="s">
        <v>76</v>
      </c>
      <c r="T1205" t="s">
        <v>76</v>
      </c>
      <c r="U1205">
        <v>1</v>
      </c>
      <c r="V1205" s="13">
        <v>45175</v>
      </c>
      <c r="W1205">
        <v>1</v>
      </c>
      <c r="X1205">
        <v>1</v>
      </c>
      <c r="Y1205" t="s">
        <v>3714</v>
      </c>
      <c r="AC1205">
        <v>4793</v>
      </c>
      <c r="AD1205" t="e" vm="1195">
        <v>#VALUE!</v>
      </c>
    </row>
    <row r="1206" spans="2:30" x14ac:dyDescent="0.25">
      <c r="B1206">
        <v>4795</v>
      </c>
      <c r="C1206" t="s">
        <v>3646</v>
      </c>
      <c r="D1206" t="s">
        <v>3713</v>
      </c>
      <c r="E1206" t="s">
        <v>3849</v>
      </c>
      <c r="F1206" t="s">
        <v>83</v>
      </c>
      <c r="G1206" t="s">
        <v>107</v>
      </c>
      <c r="H1206" t="s">
        <v>3808</v>
      </c>
      <c r="I1206" t="s">
        <v>3821</v>
      </c>
      <c r="J1206" t="s">
        <v>3810</v>
      </c>
      <c r="K1206" t="s">
        <v>101</v>
      </c>
      <c r="L1206" s="13">
        <v>38152</v>
      </c>
      <c r="M1206">
        <v>19</v>
      </c>
      <c r="N1206" t="s">
        <v>90</v>
      </c>
      <c r="O1206" t="s">
        <v>3877</v>
      </c>
      <c r="P1206" t="s">
        <v>76</v>
      </c>
      <c r="Q1206" t="s">
        <v>76</v>
      </c>
      <c r="R1206" t="s">
        <v>95</v>
      </c>
      <c r="S1206" t="s">
        <v>76</v>
      </c>
      <c r="T1206" t="s">
        <v>76</v>
      </c>
      <c r="U1206">
        <v>1</v>
      </c>
      <c r="V1206" s="13">
        <v>45175</v>
      </c>
      <c r="W1206">
        <v>1</v>
      </c>
      <c r="X1206">
        <v>1</v>
      </c>
      <c r="Y1206" t="s">
        <v>3714</v>
      </c>
      <c r="AC1206">
        <v>4795</v>
      </c>
      <c r="AD1206" t="e" vm="1196">
        <v>#VALUE!</v>
      </c>
    </row>
    <row r="1207" spans="2:30" x14ac:dyDescent="0.25">
      <c r="B1207">
        <v>4796</v>
      </c>
      <c r="C1207" t="s">
        <v>3646</v>
      </c>
      <c r="D1207" t="s">
        <v>3649</v>
      </c>
      <c r="E1207" t="s">
        <v>3812</v>
      </c>
      <c r="F1207" t="s">
        <v>85</v>
      </c>
      <c r="G1207" t="s">
        <v>112</v>
      </c>
      <c r="H1207" t="s">
        <v>3808</v>
      </c>
      <c r="I1207" t="s">
        <v>3821</v>
      </c>
      <c r="J1207" t="s">
        <v>3810</v>
      </c>
      <c r="K1207" t="s">
        <v>101</v>
      </c>
      <c r="L1207" s="13">
        <v>38154</v>
      </c>
      <c r="M1207">
        <v>19</v>
      </c>
      <c r="N1207" t="s">
        <v>90</v>
      </c>
      <c r="O1207" t="s">
        <v>3877</v>
      </c>
      <c r="P1207" t="s">
        <v>76</v>
      </c>
      <c r="Q1207" t="s">
        <v>76</v>
      </c>
      <c r="R1207" t="s">
        <v>95</v>
      </c>
      <c r="S1207" t="s">
        <v>76</v>
      </c>
      <c r="T1207" t="s">
        <v>76</v>
      </c>
      <c r="U1207">
        <v>1</v>
      </c>
      <c r="V1207" s="13">
        <v>45175</v>
      </c>
      <c r="W1207">
        <v>1</v>
      </c>
      <c r="X1207">
        <v>1</v>
      </c>
      <c r="Y1207" t="s">
        <v>3650</v>
      </c>
      <c r="AC1207">
        <v>4796</v>
      </c>
      <c r="AD1207" t="e" vm="1197">
        <v>#VALUE!</v>
      </c>
    </row>
    <row r="1208" spans="2:30" x14ac:dyDescent="0.25">
      <c r="B1208">
        <v>4797</v>
      </c>
      <c r="C1208" t="s">
        <v>3646</v>
      </c>
      <c r="D1208" t="s">
        <v>3649</v>
      </c>
      <c r="E1208" t="s">
        <v>3812</v>
      </c>
      <c r="F1208" t="s">
        <v>85</v>
      </c>
      <c r="G1208" t="s">
        <v>112</v>
      </c>
      <c r="H1208" t="s">
        <v>3808</v>
      </c>
      <c r="I1208" t="s">
        <v>3821</v>
      </c>
      <c r="J1208" t="s">
        <v>3810</v>
      </c>
      <c r="K1208" t="s">
        <v>101</v>
      </c>
      <c r="L1208" s="13">
        <v>38154</v>
      </c>
      <c r="M1208">
        <v>19</v>
      </c>
      <c r="N1208" t="s">
        <v>90</v>
      </c>
      <c r="O1208" t="s">
        <v>3877</v>
      </c>
      <c r="P1208" t="s">
        <v>76</v>
      </c>
      <c r="Q1208" t="s">
        <v>76</v>
      </c>
      <c r="R1208" t="s">
        <v>95</v>
      </c>
      <c r="S1208" t="s">
        <v>76</v>
      </c>
      <c r="T1208" t="s">
        <v>76</v>
      </c>
      <c r="U1208">
        <v>1</v>
      </c>
      <c r="V1208" s="13">
        <v>45175</v>
      </c>
      <c r="W1208">
        <v>1</v>
      </c>
      <c r="X1208">
        <v>1</v>
      </c>
      <c r="Y1208" t="s">
        <v>3650</v>
      </c>
      <c r="AC1208">
        <v>4797</v>
      </c>
      <c r="AD1208" t="e" vm="1198">
        <v>#VALUE!</v>
      </c>
    </row>
    <row r="1209" spans="2:30" x14ac:dyDescent="0.25">
      <c r="B1209">
        <v>4798</v>
      </c>
      <c r="C1209" t="s">
        <v>3646</v>
      </c>
      <c r="D1209" t="s">
        <v>3649</v>
      </c>
      <c r="E1209" t="s">
        <v>3812</v>
      </c>
      <c r="F1209" t="s">
        <v>85</v>
      </c>
      <c r="G1209" t="s">
        <v>112</v>
      </c>
      <c r="H1209" t="s">
        <v>3808</v>
      </c>
      <c r="I1209" t="s">
        <v>3821</v>
      </c>
      <c r="J1209" t="s">
        <v>3810</v>
      </c>
      <c r="K1209" t="s">
        <v>101</v>
      </c>
      <c r="L1209" s="13">
        <v>38154</v>
      </c>
      <c r="M1209">
        <v>19</v>
      </c>
      <c r="N1209" t="s">
        <v>90</v>
      </c>
      <c r="O1209" t="s">
        <v>3877</v>
      </c>
      <c r="P1209" t="s">
        <v>76</v>
      </c>
      <c r="Q1209" t="s">
        <v>76</v>
      </c>
      <c r="R1209" t="s">
        <v>95</v>
      </c>
      <c r="S1209" t="s">
        <v>76</v>
      </c>
      <c r="T1209" t="s">
        <v>76</v>
      </c>
      <c r="U1209">
        <v>1</v>
      </c>
      <c r="V1209" s="13">
        <v>45175</v>
      </c>
      <c r="W1209">
        <v>1</v>
      </c>
      <c r="X1209">
        <v>1</v>
      </c>
      <c r="Y1209" t="s">
        <v>3650</v>
      </c>
      <c r="AC1209">
        <v>4798</v>
      </c>
      <c r="AD1209" t="e" vm="1199">
        <v>#VALUE!</v>
      </c>
    </row>
    <row r="1210" spans="2:30" x14ac:dyDescent="0.25">
      <c r="B1210">
        <v>4800</v>
      </c>
      <c r="C1210" t="s">
        <v>3646</v>
      </c>
      <c r="D1210" t="s">
        <v>3649</v>
      </c>
      <c r="E1210" t="s">
        <v>3812</v>
      </c>
      <c r="F1210" t="s">
        <v>85</v>
      </c>
      <c r="G1210" t="s">
        <v>112</v>
      </c>
      <c r="H1210" t="s">
        <v>3808</v>
      </c>
      <c r="I1210" t="s">
        <v>3821</v>
      </c>
      <c r="J1210" t="s">
        <v>3810</v>
      </c>
      <c r="K1210" t="s">
        <v>101</v>
      </c>
      <c r="L1210" s="13">
        <v>38155</v>
      </c>
      <c r="M1210">
        <v>19</v>
      </c>
      <c r="N1210" t="s">
        <v>90</v>
      </c>
      <c r="O1210" t="s">
        <v>3877</v>
      </c>
      <c r="P1210" t="s">
        <v>76</v>
      </c>
      <c r="Q1210" t="s">
        <v>76</v>
      </c>
      <c r="R1210" t="s">
        <v>95</v>
      </c>
      <c r="S1210" t="s">
        <v>76</v>
      </c>
      <c r="T1210" t="s">
        <v>76</v>
      </c>
      <c r="U1210">
        <v>1</v>
      </c>
      <c r="V1210" s="13">
        <v>45175</v>
      </c>
      <c r="W1210">
        <v>1</v>
      </c>
      <c r="X1210">
        <v>1</v>
      </c>
      <c r="Y1210" t="s">
        <v>3650</v>
      </c>
      <c r="AC1210">
        <v>4800</v>
      </c>
      <c r="AD1210" t="e" vm="1200">
        <v>#VALUE!</v>
      </c>
    </row>
    <row r="1211" spans="2:30" x14ac:dyDescent="0.25">
      <c r="B1211">
        <v>4803</v>
      </c>
      <c r="C1211" t="s">
        <v>3698</v>
      </c>
      <c r="D1211" t="s">
        <v>3660</v>
      </c>
      <c r="E1211" t="s">
        <v>3813</v>
      </c>
      <c r="F1211" t="s">
        <v>83</v>
      </c>
      <c r="G1211" t="s">
        <v>103</v>
      </c>
      <c r="H1211" t="s">
        <v>3808</v>
      </c>
      <c r="I1211" t="s">
        <v>3821</v>
      </c>
      <c r="J1211" t="s">
        <v>3810</v>
      </c>
      <c r="K1211" t="s">
        <v>101</v>
      </c>
      <c r="L1211" s="13">
        <v>38156</v>
      </c>
      <c r="M1211">
        <v>19</v>
      </c>
      <c r="N1211" t="s">
        <v>98</v>
      </c>
      <c r="O1211" t="s">
        <v>3877</v>
      </c>
      <c r="P1211" t="s">
        <v>76</v>
      </c>
      <c r="Q1211" t="s">
        <v>76</v>
      </c>
      <c r="R1211" t="s">
        <v>95</v>
      </c>
      <c r="S1211" t="s">
        <v>76</v>
      </c>
      <c r="T1211" t="s">
        <v>76</v>
      </c>
      <c r="U1211">
        <v>1</v>
      </c>
      <c r="V1211" s="13">
        <v>45175</v>
      </c>
      <c r="W1211">
        <v>2</v>
      </c>
      <c r="X1211">
        <v>1</v>
      </c>
      <c r="Y1211" t="s">
        <v>3736</v>
      </c>
      <c r="AC1211">
        <v>4803</v>
      </c>
      <c r="AD1211" t="e" vm="1201">
        <v>#VALUE!</v>
      </c>
    </row>
    <row r="1212" spans="2:30" x14ac:dyDescent="0.25">
      <c r="B1212">
        <v>4804</v>
      </c>
      <c r="C1212" t="s">
        <v>3646</v>
      </c>
      <c r="D1212" t="s">
        <v>3657</v>
      </c>
      <c r="E1212" t="s">
        <v>3812</v>
      </c>
      <c r="F1212" t="s">
        <v>85</v>
      </c>
      <c r="G1212" t="s">
        <v>77</v>
      </c>
      <c r="H1212" t="s">
        <v>3808</v>
      </c>
      <c r="I1212" t="s">
        <v>3821</v>
      </c>
      <c r="J1212" t="s">
        <v>3810</v>
      </c>
      <c r="K1212" t="s">
        <v>101</v>
      </c>
      <c r="L1212" s="13">
        <v>38159</v>
      </c>
      <c r="M1212">
        <v>19</v>
      </c>
      <c r="N1212" t="s">
        <v>90</v>
      </c>
      <c r="O1212" t="s">
        <v>3877</v>
      </c>
      <c r="P1212" t="s">
        <v>76</v>
      </c>
      <c r="Q1212" t="s">
        <v>76</v>
      </c>
      <c r="R1212" t="s">
        <v>95</v>
      </c>
      <c r="S1212" t="s">
        <v>76</v>
      </c>
      <c r="T1212" t="s">
        <v>76</v>
      </c>
      <c r="U1212">
        <v>1</v>
      </c>
      <c r="V1212" s="13">
        <v>45175</v>
      </c>
      <c r="W1212">
        <v>1</v>
      </c>
      <c r="X1212">
        <v>1</v>
      </c>
      <c r="Y1212" t="s">
        <v>3658</v>
      </c>
      <c r="AC1212">
        <v>4804</v>
      </c>
      <c r="AD1212" t="e" vm="1202">
        <v>#VALUE!</v>
      </c>
    </row>
    <row r="1213" spans="2:30" x14ac:dyDescent="0.25">
      <c r="B1213">
        <v>4805</v>
      </c>
      <c r="C1213" t="s">
        <v>3646</v>
      </c>
      <c r="D1213" t="s">
        <v>3657</v>
      </c>
      <c r="E1213" t="s">
        <v>3812</v>
      </c>
      <c r="F1213" t="s">
        <v>85</v>
      </c>
      <c r="G1213" t="s">
        <v>77</v>
      </c>
      <c r="H1213" t="s">
        <v>3808</v>
      </c>
      <c r="I1213" t="s">
        <v>3821</v>
      </c>
      <c r="J1213" t="s">
        <v>3810</v>
      </c>
      <c r="K1213" t="s">
        <v>101</v>
      </c>
      <c r="L1213" s="13">
        <v>38159</v>
      </c>
      <c r="M1213">
        <v>19</v>
      </c>
      <c r="N1213" t="s">
        <v>90</v>
      </c>
      <c r="O1213" t="s">
        <v>3877</v>
      </c>
      <c r="P1213" t="s">
        <v>76</v>
      </c>
      <c r="Q1213" t="s">
        <v>76</v>
      </c>
      <c r="R1213" t="s">
        <v>95</v>
      </c>
      <c r="S1213" t="s">
        <v>76</v>
      </c>
      <c r="T1213" t="s">
        <v>76</v>
      </c>
      <c r="U1213">
        <v>1</v>
      </c>
      <c r="V1213" s="13">
        <v>45175</v>
      </c>
      <c r="W1213">
        <v>1</v>
      </c>
      <c r="X1213">
        <v>1</v>
      </c>
      <c r="Y1213" t="s">
        <v>3658</v>
      </c>
      <c r="AC1213">
        <v>4805</v>
      </c>
      <c r="AD1213" t="e" vm="1203">
        <v>#VALUE!</v>
      </c>
    </row>
    <row r="1214" spans="2:30" x14ac:dyDescent="0.25">
      <c r="B1214">
        <v>4808</v>
      </c>
      <c r="C1214" t="s">
        <v>3646</v>
      </c>
      <c r="D1214" t="s">
        <v>3657</v>
      </c>
      <c r="E1214" t="s">
        <v>3812</v>
      </c>
      <c r="F1214" t="s">
        <v>85</v>
      </c>
      <c r="G1214" t="s">
        <v>77</v>
      </c>
      <c r="H1214" t="s">
        <v>3808</v>
      </c>
      <c r="I1214" t="s">
        <v>3821</v>
      </c>
      <c r="J1214" t="s">
        <v>3810</v>
      </c>
      <c r="K1214" t="s">
        <v>101</v>
      </c>
      <c r="L1214" s="13">
        <v>38161</v>
      </c>
      <c r="M1214">
        <v>19</v>
      </c>
      <c r="N1214" t="s">
        <v>90</v>
      </c>
      <c r="O1214" t="s">
        <v>3877</v>
      </c>
      <c r="P1214" t="s">
        <v>76</v>
      </c>
      <c r="Q1214" t="s">
        <v>76</v>
      </c>
      <c r="R1214" t="s">
        <v>95</v>
      </c>
      <c r="S1214" t="s">
        <v>76</v>
      </c>
      <c r="T1214" t="s">
        <v>76</v>
      </c>
      <c r="U1214">
        <v>1</v>
      </c>
      <c r="V1214" s="13">
        <v>45175</v>
      </c>
      <c r="W1214">
        <v>1</v>
      </c>
      <c r="X1214">
        <v>1</v>
      </c>
      <c r="Y1214" t="s">
        <v>3658</v>
      </c>
      <c r="AC1214">
        <v>4808</v>
      </c>
      <c r="AD1214" t="e" vm="1204">
        <v>#VALUE!</v>
      </c>
    </row>
    <row r="1215" spans="2:30" x14ac:dyDescent="0.25">
      <c r="B1215">
        <v>4809</v>
      </c>
      <c r="C1215" t="s">
        <v>3646</v>
      </c>
      <c r="D1215" t="s">
        <v>3657</v>
      </c>
      <c r="E1215" t="s">
        <v>3812</v>
      </c>
      <c r="F1215" t="s">
        <v>85</v>
      </c>
      <c r="G1215" t="s">
        <v>77</v>
      </c>
      <c r="H1215" t="s">
        <v>3808</v>
      </c>
      <c r="I1215" t="s">
        <v>3821</v>
      </c>
      <c r="J1215" t="s">
        <v>3810</v>
      </c>
      <c r="K1215" t="s">
        <v>101</v>
      </c>
      <c r="L1215" s="13">
        <v>38163</v>
      </c>
      <c r="M1215">
        <v>19</v>
      </c>
      <c r="N1215" t="s">
        <v>90</v>
      </c>
      <c r="O1215" t="s">
        <v>3877</v>
      </c>
      <c r="P1215" t="s">
        <v>76</v>
      </c>
      <c r="Q1215" t="s">
        <v>76</v>
      </c>
      <c r="R1215" t="s">
        <v>95</v>
      </c>
      <c r="S1215" t="s">
        <v>76</v>
      </c>
      <c r="T1215" t="s">
        <v>76</v>
      </c>
      <c r="U1215">
        <v>1</v>
      </c>
      <c r="V1215" s="13">
        <v>45175</v>
      </c>
      <c r="W1215">
        <v>1</v>
      </c>
      <c r="X1215">
        <v>1</v>
      </c>
      <c r="Y1215" t="s">
        <v>3658</v>
      </c>
      <c r="AC1215">
        <v>4809</v>
      </c>
      <c r="AD1215" t="e" vm="1205">
        <v>#VALUE!</v>
      </c>
    </row>
    <row r="1216" spans="2:30" x14ac:dyDescent="0.25">
      <c r="B1216">
        <v>4812</v>
      </c>
      <c r="C1216" t="s">
        <v>3646</v>
      </c>
      <c r="D1216" t="s">
        <v>3647</v>
      </c>
      <c r="E1216" t="s">
        <v>3807</v>
      </c>
      <c r="F1216" t="s">
        <v>105</v>
      </c>
      <c r="G1216" t="s">
        <v>108</v>
      </c>
      <c r="H1216" t="s">
        <v>3808</v>
      </c>
      <c r="I1216" t="s">
        <v>3821</v>
      </c>
      <c r="J1216" t="s">
        <v>3810</v>
      </c>
      <c r="K1216" t="s">
        <v>101</v>
      </c>
      <c r="L1216" s="13">
        <v>38166</v>
      </c>
      <c r="M1216">
        <v>19</v>
      </c>
      <c r="N1216" t="s">
        <v>90</v>
      </c>
      <c r="O1216" t="s">
        <v>3877</v>
      </c>
      <c r="P1216" t="s">
        <v>76</v>
      </c>
      <c r="Q1216" t="s">
        <v>76</v>
      </c>
      <c r="R1216" t="s">
        <v>95</v>
      </c>
      <c r="S1216" t="s">
        <v>76</v>
      </c>
      <c r="T1216" t="s">
        <v>76</v>
      </c>
      <c r="U1216">
        <v>1</v>
      </c>
      <c r="V1216" s="13">
        <v>45175</v>
      </c>
      <c r="W1216">
        <v>1</v>
      </c>
      <c r="X1216">
        <v>1</v>
      </c>
      <c r="Y1216" t="s">
        <v>3648</v>
      </c>
      <c r="AC1216">
        <v>4812</v>
      </c>
      <c r="AD1216" t="e" vm="1206">
        <v>#VALUE!</v>
      </c>
    </row>
    <row r="1217" spans="2:30" x14ac:dyDescent="0.25">
      <c r="B1217">
        <v>4813</v>
      </c>
      <c r="C1217" t="s">
        <v>3646</v>
      </c>
      <c r="D1217" t="s">
        <v>3647</v>
      </c>
      <c r="E1217" t="s">
        <v>3807</v>
      </c>
      <c r="F1217" t="s">
        <v>105</v>
      </c>
      <c r="G1217" t="s">
        <v>108</v>
      </c>
      <c r="H1217" t="s">
        <v>3808</v>
      </c>
      <c r="I1217" t="s">
        <v>3821</v>
      </c>
      <c r="J1217" t="s">
        <v>3810</v>
      </c>
      <c r="K1217" t="s">
        <v>101</v>
      </c>
      <c r="L1217" s="13">
        <v>38166</v>
      </c>
      <c r="M1217">
        <v>19</v>
      </c>
      <c r="N1217" t="s">
        <v>90</v>
      </c>
      <c r="O1217" t="s">
        <v>3877</v>
      </c>
      <c r="P1217" t="s">
        <v>76</v>
      </c>
      <c r="Q1217" t="s">
        <v>76</v>
      </c>
      <c r="R1217" t="s">
        <v>95</v>
      </c>
      <c r="S1217" t="s">
        <v>76</v>
      </c>
      <c r="T1217" t="s">
        <v>76</v>
      </c>
      <c r="U1217">
        <v>1</v>
      </c>
      <c r="V1217" s="13">
        <v>45175</v>
      </c>
      <c r="W1217">
        <v>1</v>
      </c>
      <c r="X1217">
        <v>1</v>
      </c>
      <c r="Y1217" t="s">
        <v>3648</v>
      </c>
      <c r="AC1217">
        <v>4813</v>
      </c>
      <c r="AD1217" t="e" vm="1207">
        <v>#VALUE!</v>
      </c>
    </row>
    <row r="1218" spans="2:30" x14ac:dyDescent="0.25">
      <c r="B1218">
        <v>4814</v>
      </c>
      <c r="C1218" t="s">
        <v>3646</v>
      </c>
      <c r="D1218" t="s">
        <v>3647</v>
      </c>
      <c r="E1218" t="s">
        <v>3807</v>
      </c>
      <c r="F1218" t="s">
        <v>105</v>
      </c>
      <c r="G1218" t="s">
        <v>108</v>
      </c>
      <c r="H1218" t="s">
        <v>3808</v>
      </c>
      <c r="I1218" t="s">
        <v>3821</v>
      </c>
      <c r="J1218" t="s">
        <v>3810</v>
      </c>
      <c r="K1218" t="s">
        <v>101</v>
      </c>
      <c r="L1218" s="13">
        <v>38167</v>
      </c>
      <c r="M1218">
        <v>19</v>
      </c>
      <c r="N1218" t="s">
        <v>90</v>
      </c>
      <c r="O1218" t="s">
        <v>3877</v>
      </c>
      <c r="P1218" t="s">
        <v>76</v>
      </c>
      <c r="Q1218" t="s">
        <v>76</v>
      </c>
      <c r="R1218" t="s">
        <v>95</v>
      </c>
      <c r="S1218" t="s">
        <v>76</v>
      </c>
      <c r="T1218" t="s">
        <v>76</v>
      </c>
      <c r="U1218">
        <v>1</v>
      </c>
      <c r="V1218" s="13">
        <v>45175</v>
      </c>
      <c r="W1218">
        <v>1</v>
      </c>
      <c r="X1218">
        <v>1</v>
      </c>
      <c r="Y1218" t="s">
        <v>3648</v>
      </c>
      <c r="AC1218">
        <v>4814</v>
      </c>
      <c r="AD1218" t="e" vm="1208">
        <v>#VALUE!</v>
      </c>
    </row>
    <row r="1219" spans="2:30" x14ac:dyDescent="0.25">
      <c r="B1219">
        <v>4815</v>
      </c>
      <c r="C1219" t="s">
        <v>3646</v>
      </c>
      <c r="D1219" t="s">
        <v>3647</v>
      </c>
      <c r="E1219" t="s">
        <v>3807</v>
      </c>
      <c r="F1219" t="s">
        <v>105</v>
      </c>
      <c r="G1219" t="s">
        <v>108</v>
      </c>
      <c r="H1219" t="s">
        <v>3808</v>
      </c>
      <c r="I1219" t="s">
        <v>3821</v>
      </c>
      <c r="J1219" t="s">
        <v>3810</v>
      </c>
      <c r="K1219" t="s">
        <v>101</v>
      </c>
      <c r="L1219" s="13">
        <v>38167</v>
      </c>
      <c r="M1219">
        <v>19</v>
      </c>
      <c r="N1219" t="s">
        <v>90</v>
      </c>
      <c r="O1219" t="s">
        <v>3877</v>
      </c>
      <c r="P1219" t="s">
        <v>76</v>
      </c>
      <c r="Q1219" t="s">
        <v>76</v>
      </c>
      <c r="R1219" t="s">
        <v>95</v>
      </c>
      <c r="S1219" t="s">
        <v>76</v>
      </c>
      <c r="T1219" t="s">
        <v>76</v>
      </c>
      <c r="U1219">
        <v>1</v>
      </c>
      <c r="V1219" s="13">
        <v>45175</v>
      </c>
      <c r="W1219">
        <v>2</v>
      </c>
      <c r="X1219">
        <v>1</v>
      </c>
      <c r="Y1219" t="s">
        <v>3648</v>
      </c>
      <c r="AC1219">
        <v>4815</v>
      </c>
      <c r="AD1219" t="e" vm="1209">
        <v>#VALUE!</v>
      </c>
    </row>
    <row r="1220" spans="2:30" x14ac:dyDescent="0.25">
      <c r="B1220">
        <v>4816</v>
      </c>
      <c r="C1220" t="s">
        <v>3646</v>
      </c>
      <c r="D1220" t="s">
        <v>3647</v>
      </c>
      <c r="E1220" t="s">
        <v>3807</v>
      </c>
      <c r="F1220" t="s">
        <v>105</v>
      </c>
      <c r="G1220" t="s">
        <v>108</v>
      </c>
      <c r="H1220" t="s">
        <v>3808</v>
      </c>
      <c r="I1220" t="s">
        <v>3821</v>
      </c>
      <c r="J1220" t="s">
        <v>3810</v>
      </c>
      <c r="K1220" t="s">
        <v>101</v>
      </c>
      <c r="L1220" s="13">
        <v>38168</v>
      </c>
      <c r="M1220">
        <v>19</v>
      </c>
      <c r="N1220" t="s">
        <v>90</v>
      </c>
      <c r="O1220" t="s">
        <v>3877</v>
      </c>
      <c r="P1220" t="s">
        <v>76</v>
      </c>
      <c r="Q1220" t="s">
        <v>76</v>
      </c>
      <c r="R1220" t="s">
        <v>95</v>
      </c>
      <c r="S1220" t="s">
        <v>76</v>
      </c>
      <c r="T1220" t="s">
        <v>76</v>
      </c>
      <c r="U1220">
        <v>1</v>
      </c>
      <c r="V1220" s="13">
        <v>45175</v>
      </c>
      <c r="W1220">
        <v>1</v>
      </c>
      <c r="X1220">
        <v>1</v>
      </c>
      <c r="Y1220" t="s">
        <v>3648</v>
      </c>
      <c r="AC1220">
        <v>4816</v>
      </c>
      <c r="AD1220" t="e" vm="1210">
        <v>#VALUE!</v>
      </c>
    </row>
    <row r="1221" spans="2:30" x14ac:dyDescent="0.25">
      <c r="B1221">
        <v>4817</v>
      </c>
      <c r="C1221" t="s">
        <v>3646</v>
      </c>
      <c r="D1221" t="s">
        <v>3647</v>
      </c>
      <c r="E1221" t="s">
        <v>3807</v>
      </c>
      <c r="F1221" t="s">
        <v>105</v>
      </c>
      <c r="G1221" t="s">
        <v>108</v>
      </c>
      <c r="H1221" t="s">
        <v>3808</v>
      </c>
      <c r="I1221" t="s">
        <v>3821</v>
      </c>
      <c r="J1221" t="s">
        <v>3810</v>
      </c>
      <c r="K1221" t="s">
        <v>101</v>
      </c>
      <c r="L1221" s="13">
        <v>38169</v>
      </c>
      <c r="M1221">
        <v>19</v>
      </c>
      <c r="N1221" t="s">
        <v>90</v>
      </c>
      <c r="O1221" t="s">
        <v>3877</v>
      </c>
      <c r="P1221" t="s">
        <v>76</v>
      </c>
      <c r="Q1221" t="s">
        <v>76</v>
      </c>
      <c r="R1221" t="s">
        <v>95</v>
      </c>
      <c r="S1221" t="s">
        <v>76</v>
      </c>
      <c r="T1221" t="s">
        <v>76</v>
      </c>
      <c r="U1221">
        <v>1</v>
      </c>
      <c r="V1221" s="13">
        <v>45175</v>
      </c>
      <c r="W1221">
        <v>1</v>
      </c>
      <c r="X1221">
        <v>1</v>
      </c>
      <c r="Y1221" t="s">
        <v>3648</v>
      </c>
      <c r="AC1221">
        <v>4817</v>
      </c>
      <c r="AD1221" t="e" vm="1211">
        <v>#VALUE!</v>
      </c>
    </row>
    <row r="1222" spans="2:30" x14ac:dyDescent="0.25">
      <c r="B1222">
        <v>4818</v>
      </c>
      <c r="C1222" t="s">
        <v>3646</v>
      </c>
      <c r="D1222" t="s">
        <v>3647</v>
      </c>
      <c r="E1222" t="s">
        <v>3807</v>
      </c>
      <c r="F1222" t="s">
        <v>105</v>
      </c>
      <c r="G1222" t="s">
        <v>108</v>
      </c>
      <c r="H1222" t="s">
        <v>3808</v>
      </c>
      <c r="I1222" t="s">
        <v>3821</v>
      </c>
      <c r="J1222" t="s">
        <v>3810</v>
      </c>
      <c r="K1222" t="s">
        <v>101</v>
      </c>
      <c r="L1222" s="13">
        <v>38169</v>
      </c>
      <c r="M1222">
        <v>19</v>
      </c>
      <c r="N1222" t="s">
        <v>90</v>
      </c>
      <c r="O1222" t="s">
        <v>3877</v>
      </c>
      <c r="P1222" t="s">
        <v>76</v>
      </c>
      <c r="Q1222" t="s">
        <v>76</v>
      </c>
      <c r="R1222" t="s">
        <v>95</v>
      </c>
      <c r="S1222" t="s">
        <v>76</v>
      </c>
      <c r="T1222" t="s">
        <v>76</v>
      </c>
      <c r="U1222">
        <v>1</v>
      </c>
      <c r="V1222" s="13">
        <v>45175</v>
      </c>
      <c r="W1222">
        <v>1</v>
      </c>
      <c r="X1222">
        <v>1</v>
      </c>
      <c r="Y1222" t="s">
        <v>3648</v>
      </c>
      <c r="AC1222">
        <v>4818</v>
      </c>
      <c r="AD1222" t="e" vm="1212">
        <v>#VALUE!</v>
      </c>
    </row>
    <row r="1223" spans="2:30" x14ac:dyDescent="0.25">
      <c r="B1223">
        <v>4819</v>
      </c>
      <c r="C1223" t="s">
        <v>3646</v>
      </c>
      <c r="D1223" t="s">
        <v>3647</v>
      </c>
      <c r="E1223" t="s">
        <v>3807</v>
      </c>
      <c r="F1223" t="s">
        <v>105</v>
      </c>
      <c r="G1223" t="s">
        <v>108</v>
      </c>
      <c r="H1223" t="s">
        <v>3808</v>
      </c>
      <c r="I1223" t="s">
        <v>3821</v>
      </c>
      <c r="J1223" t="s">
        <v>3810</v>
      </c>
      <c r="K1223" t="s">
        <v>101</v>
      </c>
      <c r="L1223" s="13">
        <v>38170</v>
      </c>
      <c r="M1223">
        <v>19</v>
      </c>
      <c r="N1223" t="s">
        <v>90</v>
      </c>
      <c r="O1223" t="s">
        <v>3877</v>
      </c>
      <c r="P1223" t="s">
        <v>76</v>
      </c>
      <c r="Q1223" t="s">
        <v>76</v>
      </c>
      <c r="R1223" t="s">
        <v>95</v>
      </c>
      <c r="S1223" t="s">
        <v>76</v>
      </c>
      <c r="T1223" t="s">
        <v>76</v>
      </c>
      <c r="U1223">
        <v>1</v>
      </c>
      <c r="V1223" s="13">
        <v>45175</v>
      </c>
      <c r="W1223">
        <v>1</v>
      </c>
      <c r="X1223">
        <v>1</v>
      </c>
      <c r="Y1223" t="s">
        <v>3648</v>
      </c>
      <c r="AC1223">
        <v>4819</v>
      </c>
      <c r="AD1223" t="e" vm="1213">
        <v>#VALUE!</v>
      </c>
    </row>
    <row r="1224" spans="2:30" x14ac:dyDescent="0.25">
      <c r="B1224">
        <v>4820</v>
      </c>
      <c r="C1224" t="s">
        <v>3646</v>
      </c>
      <c r="D1224" t="s">
        <v>3647</v>
      </c>
      <c r="E1224" t="s">
        <v>3807</v>
      </c>
      <c r="F1224" t="s">
        <v>105</v>
      </c>
      <c r="G1224" t="s">
        <v>108</v>
      </c>
      <c r="H1224" t="s">
        <v>3808</v>
      </c>
      <c r="I1224" t="s">
        <v>3821</v>
      </c>
      <c r="J1224" t="s">
        <v>3810</v>
      </c>
      <c r="K1224" t="s">
        <v>101</v>
      </c>
      <c r="L1224" s="13">
        <v>38170</v>
      </c>
      <c r="M1224">
        <v>19</v>
      </c>
      <c r="N1224" t="s">
        <v>90</v>
      </c>
      <c r="O1224" t="s">
        <v>3877</v>
      </c>
      <c r="P1224" t="s">
        <v>76</v>
      </c>
      <c r="Q1224" t="s">
        <v>76</v>
      </c>
      <c r="R1224" t="s">
        <v>95</v>
      </c>
      <c r="S1224" t="s">
        <v>76</v>
      </c>
      <c r="T1224" t="s">
        <v>76</v>
      </c>
      <c r="U1224">
        <v>1</v>
      </c>
      <c r="V1224" s="13">
        <v>45175</v>
      </c>
      <c r="W1224">
        <v>1</v>
      </c>
      <c r="X1224">
        <v>1</v>
      </c>
      <c r="Y1224" t="s">
        <v>3648</v>
      </c>
      <c r="AC1224">
        <v>4820</v>
      </c>
      <c r="AD1224" t="e" vm="1214">
        <v>#VALUE!</v>
      </c>
    </row>
    <row r="1225" spans="2:30" x14ac:dyDescent="0.25">
      <c r="B1225">
        <v>4821</v>
      </c>
      <c r="C1225" t="s">
        <v>3646</v>
      </c>
      <c r="D1225" t="s">
        <v>3647</v>
      </c>
      <c r="E1225" t="s">
        <v>3807</v>
      </c>
      <c r="F1225" t="s">
        <v>105</v>
      </c>
      <c r="G1225" t="s">
        <v>108</v>
      </c>
      <c r="H1225" t="s">
        <v>3808</v>
      </c>
      <c r="I1225" t="s">
        <v>3821</v>
      </c>
      <c r="J1225" t="s">
        <v>3810</v>
      </c>
      <c r="K1225" t="s">
        <v>101</v>
      </c>
      <c r="L1225" s="13">
        <v>38174</v>
      </c>
      <c r="M1225">
        <v>19</v>
      </c>
      <c r="N1225" t="s">
        <v>90</v>
      </c>
      <c r="O1225" t="s">
        <v>3877</v>
      </c>
      <c r="P1225" t="s">
        <v>76</v>
      </c>
      <c r="Q1225" t="s">
        <v>76</v>
      </c>
      <c r="R1225" t="s">
        <v>95</v>
      </c>
      <c r="S1225" t="s">
        <v>76</v>
      </c>
      <c r="T1225" t="s">
        <v>76</v>
      </c>
      <c r="U1225">
        <v>1</v>
      </c>
      <c r="V1225" s="13">
        <v>45175</v>
      </c>
      <c r="W1225">
        <v>1</v>
      </c>
      <c r="X1225">
        <v>1</v>
      </c>
      <c r="Y1225" t="s">
        <v>3648</v>
      </c>
      <c r="AC1225">
        <v>4821</v>
      </c>
      <c r="AD1225" t="e" vm="1215">
        <v>#VALUE!</v>
      </c>
    </row>
    <row r="1226" spans="2:30" x14ac:dyDescent="0.25">
      <c r="B1226">
        <v>4822</v>
      </c>
      <c r="C1226" t="s">
        <v>3646</v>
      </c>
      <c r="D1226" t="s">
        <v>3647</v>
      </c>
      <c r="E1226" t="s">
        <v>3807</v>
      </c>
      <c r="F1226" t="s">
        <v>105</v>
      </c>
      <c r="G1226" t="s">
        <v>108</v>
      </c>
      <c r="H1226" t="s">
        <v>3808</v>
      </c>
      <c r="I1226" t="s">
        <v>3821</v>
      </c>
      <c r="J1226" t="s">
        <v>3810</v>
      </c>
      <c r="K1226" t="s">
        <v>101</v>
      </c>
      <c r="L1226" s="13">
        <v>38174</v>
      </c>
      <c r="M1226">
        <v>19</v>
      </c>
      <c r="N1226" t="s">
        <v>90</v>
      </c>
      <c r="O1226" t="s">
        <v>3877</v>
      </c>
      <c r="P1226" t="s">
        <v>76</v>
      </c>
      <c r="Q1226" t="s">
        <v>76</v>
      </c>
      <c r="R1226" t="s">
        <v>95</v>
      </c>
      <c r="S1226" t="s">
        <v>76</v>
      </c>
      <c r="T1226" t="s">
        <v>76</v>
      </c>
      <c r="U1226">
        <v>1</v>
      </c>
      <c r="V1226" s="13">
        <v>45175</v>
      </c>
      <c r="W1226">
        <v>1</v>
      </c>
      <c r="X1226">
        <v>1</v>
      </c>
      <c r="Y1226" t="s">
        <v>3648</v>
      </c>
      <c r="AC1226">
        <v>4822</v>
      </c>
      <c r="AD1226" t="e" vm="1216">
        <v>#VALUE!</v>
      </c>
    </row>
    <row r="1227" spans="2:30" x14ac:dyDescent="0.25">
      <c r="B1227">
        <v>4823</v>
      </c>
      <c r="C1227" t="s">
        <v>3646</v>
      </c>
      <c r="D1227" t="s">
        <v>3647</v>
      </c>
      <c r="E1227" t="s">
        <v>3807</v>
      </c>
      <c r="F1227" t="s">
        <v>105</v>
      </c>
      <c r="G1227" t="s">
        <v>108</v>
      </c>
      <c r="H1227" t="s">
        <v>3808</v>
      </c>
      <c r="I1227" t="s">
        <v>3821</v>
      </c>
      <c r="J1227" t="s">
        <v>3810</v>
      </c>
      <c r="K1227" t="s">
        <v>101</v>
      </c>
      <c r="L1227" s="13">
        <v>38174</v>
      </c>
      <c r="M1227">
        <v>19</v>
      </c>
      <c r="N1227" t="s">
        <v>90</v>
      </c>
      <c r="O1227" t="s">
        <v>3877</v>
      </c>
      <c r="P1227" t="s">
        <v>76</v>
      </c>
      <c r="Q1227" t="s">
        <v>76</v>
      </c>
      <c r="R1227" t="s">
        <v>95</v>
      </c>
      <c r="S1227" t="s">
        <v>76</v>
      </c>
      <c r="T1227" t="s">
        <v>76</v>
      </c>
      <c r="U1227">
        <v>1</v>
      </c>
      <c r="V1227" s="13">
        <v>45175</v>
      </c>
      <c r="W1227">
        <v>2</v>
      </c>
      <c r="X1227">
        <v>1</v>
      </c>
      <c r="Y1227" t="s">
        <v>3648</v>
      </c>
      <c r="AC1227">
        <v>4823</v>
      </c>
      <c r="AD1227" t="e" vm="1217">
        <v>#VALUE!</v>
      </c>
    </row>
    <row r="1228" spans="2:30" x14ac:dyDescent="0.25">
      <c r="B1228">
        <v>4824</v>
      </c>
      <c r="C1228" t="s">
        <v>3646</v>
      </c>
      <c r="D1228" t="s">
        <v>3647</v>
      </c>
      <c r="E1228" t="s">
        <v>3807</v>
      </c>
      <c r="F1228" t="s">
        <v>105</v>
      </c>
      <c r="G1228" t="s">
        <v>108</v>
      </c>
      <c r="H1228" t="s">
        <v>3808</v>
      </c>
      <c r="I1228" t="s">
        <v>3821</v>
      </c>
      <c r="J1228" t="s">
        <v>3810</v>
      </c>
      <c r="K1228" t="s">
        <v>101</v>
      </c>
      <c r="L1228" s="13">
        <v>38174</v>
      </c>
      <c r="M1228">
        <v>19</v>
      </c>
      <c r="N1228" t="s">
        <v>90</v>
      </c>
      <c r="O1228" t="s">
        <v>3877</v>
      </c>
      <c r="P1228" t="s">
        <v>76</v>
      </c>
      <c r="Q1228" t="s">
        <v>76</v>
      </c>
      <c r="R1228" t="s">
        <v>95</v>
      </c>
      <c r="S1228" t="s">
        <v>76</v>
      </c>
      <c r="T1228" t="s">
        <v>76</v>
      </c>
      <c r="U1228">
        <v>1</v>
      </c>
      <c r="V1228" s="13">
        <v>45175</v>
      </c>
      <c r="W1228">
        <v>1</v>
      </c>
      <c r="X1228">
        <v>1</v>
      </c>
      <c r="Y1228" t="s">
        <v>3648</v>
      </c>
      <c r="AC1228">
        <v>4824</v>
      </c>
      <c r="AD1228" t="e" vm="1218">
        <v>#VALUE!</v>
      </c>
    </row>
    <row r="1229" spans="2:30" x14ac:dyDescent="0.25">
      <c r="B1229">
        <v>4825</v>
      </c>
      <c r="C1229" t="s">
        <v>3646</v>
      </c>
      <c r="D1229" t="s">
        <v>3647</v>
      </c>
      <c r="E1229" t="s">
        <v>3807</v>
      </c>
      <c r="F1229" t="s">
        <v>105</v>
      </c>
      <c r="G1229" t="s">
        <v>108</v>
      </c>
      <c r="H1229" t="s">
        <v>3808</v>
      </c>
      <c r="I1229" t="s">
        <v>3821</v>
      </c>
      <c r="J1229" t="s">
        <v>3810</v>
      </c>
      <c r="K1229" t="s">
        <v>101</v>
      </c>
      <c r="L1229" s="13">
        <v>38174</v>
      </c>
      <c r="M1229">
        <v>19</v>
      </c>
      <c r="N1229" t="s">
        <v>90</v>
      </c>
      <c r="O1229" t="s">
        <v>3877</v>
      </c>
      <c r="P1229" t="s">
        <v>76</v>
      </c>
      <c r="Q1229" t="s">
        <v>76</v>
      </c>
      <c r="R1229" t="s">
        <v>95</v>
      </c>
      <c r="S1229" t="s">
        <v>76</v>
      </c>
      <c r="T1229" t="s">
        <v>76</v>
      </c>
      <c r="U1229">
        <v>1</v>
      </c>
      <c r="V1229" s="13">
        <v>45175</v>
      </c>
      <c r="W1229">
        <v>1</v>
      </c>
      <c r="X1229">
        <v>1</v>
      </c>
      <c r="Y1229" t="s">
        <v>3648</v>
      </c>
      <c r="AC1229">
        <v>4825</v>
      </c>
      <c r="AD1229" t="e" vm="1219">
        <v>#VALUE!</v>
      </c>
    </row>
    <row r="1230" spans="2:30" x14ac:dyDescent="0.25">
      <c r="B1230">
        <v>4826</v>
      </c>
      <c r="C1230" t="s">
        <v>3646</v>
      </c>
      <c r="D1230" t="s">
        <v>3647</v>
      </c>
      <c r="E1230" t="s">
        <v>3807</v>
      </c>
      <c r="F1230" t="s">
        <v>105</v>
      </c>
      <c r="G1230" t="s">
        <v>108</v>
      </c>
      <c r="H1230" t="s">
        <v>3808</v>
      </c>
      <c r="I1230" t="s">
        <v>3821</v>
      </c>
      <c r="J1230" t="s">
        <v>3810</v>
      </c>
      <c r="K1230" t="s">
        <v>101</v>
      </c>
      <c r="L1230" s="13">
        <v>38175</v>
      </c>
      <c r="M1230">
        <v>19</v>
      </c>
      <c r="N1230" t="s">
        <v>90</v>
      </c>
      <c r="O1230" t="s">
        <v>3877</v>
      </c>
      <c r="P1230" t="s">
        <v>76</v>
      </c>
      <c r="Q1230" t="s">
        <v>76</v>
      </c>
      <c r="R1230" t="s">
        <v>95</v>
      </c>
      <c r="S1230" t="s">
        <v>76</v>
      </c>
      <c r="T1230" t="s">
        <v>76</v>
      </c>
      <c r="U1230">
        <v>1</v>
      </c>
      <c r="V1230" s="13">
        <v>45175</v>
      </c>
      <c r="W1230">
        <v>1</v>
      </c>
      <c r="X1230">
        <v>1</v>
      </c>
      <c r="Y1230" t="s">
        <v>3648</v>
      </c>
      <c r="AC1230">
        <v>4826</v>
      </c>
      <c r="AD1230" t="e" vm="1220">
        <v>#VALUE!</v>
      </c>
    </row>
    <row r="1231" spans="2:30" x14ac:dyDescent="0.25">
      <c r="B1231">
        <v>4827</v>
      </c>
      <c r="C1231" t="s">
        <v>3646</v>
      </c>
      <c r="D1231" t="s">
        <v>3647</v>
      </c>
      <c r="E1231" t="s">
        <v>3807</v>
      </c>
      <c r="F1231" t="s">
        <v>105</v>
      </c>
      <c r="G1231" t="s">
        <v>108</v>
      </c>
      <c r="H1231" t="s">
        <v>3808</v>
      </c>
      <c r="I1231" t="s">
        <v>3821</v>
      </c>
      <c r="J1231" t="s">
        <v>3810</v>
      </c>
      <c r="K1231" t="s">
        <v>101</v>
      </c>
      <c r="L1231" s="13">
        <v>38175</v>
      </c>
      <c r="M1231">
        <v>19</v>
      </c>
      <c r="N1231" t="s">
        <v>90</v>
      </c>
      <c r="O1231" t="s">
        <v>3877</v>
      </c>
      <c r="P1231" t="s">
        <v>76</v>
      </c>
      <c r="Q1231" t="s">
        <v>76</v>
      </c>
      <c r="R1231" t="s">
        <v>95</v>
      </c>
      <c r="S1231" t="s">
        <v>76</v>
      </c>
      <c r="T1231" t="s">
        <v>76</v>
      </c>
      <c r="U1231">
        <v>1</v>
      </c>
      <c r="V1231" s="13">
        <v>45175</v>
      </c>
      <c r="W1231">
        <v>1</v>
      </c>
      <c r="X1231">
        <v>1</v>
      </c>
      <c r="Y1231" t="s">
        <v>3648</v>
      </c>
      <c r="AC1231">
        <v>4827</v>
      </c>
      <c r="AD1231" t="e" vm="1221">
        <v>#VALUE!</v>
      </c>
    </row>
    <row r="1232" spans="2:30" x14ac:dyDescent="0.25">
      <c r="B1232">
        <v>4828</v>
      </c>
      <c r="C1232" t="s">
        <v>3646</v>
      </c>
      <c r="D1232" t="s">
        <v>3647</v>
      </c>
      <c r="E1232" t="s">
        <v>3807</v>
      </c>
      <c r="F1232" t="s">
        <v>105</v>
      </c>
      <c r="G1232" t="s">
        <v>108</v>
      </c>
      <c r="H1232" t="s">
        <v>3808</v>
      </c>
      <c r="I1232" t="s">
        <v>3821</v>
      </c>
      <c r="J1232" t="s">
        <v>3810</v>
      </c>
      <c r="K1232" t="s">
        <v>101</v>
      </c>
      <c r="L1232" s="13">
        <v>38176</v>
      </c>
      <c r="M1232">
        <v>19</v>
      </c>
      <c r="N1232" t="s">
        <v>90</v>
      </c>
      <c r="O1232" t="s">
        <v>3877</v>
      </c>
      <c r="P1232" t="s">
        <v>76</v>
      </c>
      <c r="Q1232" t="s">
        <v>76</v>
      </c>
      <c r="R1232" t="s">
        <v>95</v>
      </c>
      <c r="S1232" t="s">
        <v>76</v>
      </c>
      <c r="T1232" t="s">
        <v>76</v>
      </c>
      <c r="U1232">
        <v>1</v>
      </c>
      <c r="V1232" s="13">
        <v>45175</v>
      </c>
      <c r="W1232">
        <v>1</v>
      </c>
      <c r="X1232">
        <v>1</v>
      </c>
      <c r="Y1232" t="s">
        <v>3648</v>
      </c>
      <c r="AC1232">
        <v>4828</v>
      </c>
      <c r="AD1232" t="e" vm="1222">
        <v>#VALUE!</v>
      </c>
    </row>
    <row r="1233" spans="2:30" x14ac:dyDescent="0.25">
      <c r="B1233">
        <v>4829</v>
      </c>
      <c r="C1233" t="s">
        <v>3698</v>
      </c>
      <c r="D1233" t="s">
        <v>73</v>
      </c>
      <c r="E1233" t="s">
        <v>73</v>
      </c>
      <c r="F1233" t="s">
        <v>3816</v>
      </c>
      <c r="G1233" t="s">
        <v>3816</v>
      </c>
      <c r="H1233" t="s">
        <v>3808</v>
      </c>
      <c r="I1233" t="s">
        <v>3821</v>
      </c>
      <c r="J1233" t="s">
        <v>3810</v>
      </c>
      <c r="K1233" t="s">
        <v>101</v>
      </c>
      <c r="L1233" s="13">
        <v>38181</v>
      </c>
      <c r="M1233">
        <v>19</v>
      </c>
      <c r="N1233" t="s">
        <v>98</v>
      </c>
      <c r="O1233" t="s">
        <v>3877</v>
      </c>
      <c r="P1233" t="s">
        <v>76</v>
      </c>
      <c r="Q1233" t="s">
        <v>76</v>
      </c>
      <c r="R1233" t="s">
        <v>95</v>
      </c>
      <c r="S1233" t="s">
        <v>76</v>
      </c>
      <c r="T1233" t="s">
        <v>76</v>
      </c>
      <c r="U1233">
        <v>1</v>
      </c>
      <c r="V1233" s="13">
        <v>45175</v>
      </c>
      <c r="W1233">
        <v>2</v>
      </c>
      <c r="X1233">
        <v>1</v>
      </c>
      <c r="Y1233" t="s">
        <v>3724</v>
      </c>
      <c r="AC1233">
        <v>4829</v>
      </c>
      <c r="AD1233" t="e" vm="1223">
        <v>#VALUE!</v>
      </c>
    </row>
    <row r="1234" spans="2:30" x14ac:dyDescent="0.25">
      <c r="B1234">
        <v>4830</v>
      </c>
      <c r="C1234" t="s">
        <v>3646</v>
      </c>
      <c r="D1234" t="s">
        <v>3647</v>
      </c>
      <c r="E1234" t="s">
        <v>3807</v>
      </c>
      <c r="F1234" t="s">
        <v>105</v>
      </c>
      <c r="G1234" t="s">
        <v>108</v>
      </c>
      <c r="H1234" t="s">
        <v>3808</v>
      </c>
      <c r="I1234" t="s">
        <v>3821</v>
      </c>
      <c r="J1234" t="s">
        <v>3810</v>
      </c>
      <c r="K1234" t="s">
        <v>101</v>
      </c>
      <c r="L1234" s="13">
        <v>38176</v>
      </c>
      <c r="M1234">
        <v>19</v>
      </c>
      <c r="N1234" t="s">
        <v>90</v>
      </c>
      <c r="O1234" t="s">
        <v>3877</v>
      </c>
      <c r="P1234" t="s">
        <v>76</v>
      </c>
      <c r="Q1234" t="s">
        <v>76</v>
      </c>
      <c r="R1234" t="s">
        <v>95</v>
      </c>
      <c r="S1234" t="s">
        <v>76</v>
      </c>
      <c r="T1234" t="s">
        <v>76</v>
      </c>
      <c r="U1234">
        <v>1</v>
      </c>
      <c r="V1234" s="13">
        <v>45175</v>
      </c>
      <c r="W1234">
        <v>1</v>
      </c>
      <c r="X1234">
        <v>1</v>
      </c>
      <c r="Y1234" t="s">
        <v>3648</v>
      </c>
      <c r="AC1234">
        <v>4830</v>
      </c>
      <c r="AD1234" t="e" vm="1224">
        <v>#VALUE!</v>
      </c>
    </row>
    <row r="1235" spans="2:30" x14ac:dyDescent="0.25">
      <c r="B1235">
        <v>4831</v>
      </c>
      <c r="C1235" t="s">
        <v>3646</v>
      </c>
      <c r="D1235" t="s">
        <v>3647</v>
      </c>
      <c r="E1235" t="s">
        <v>3807</v>
      </c>
      <c r="F1235" t="s">
        <v>105</v>
      </c>
      <c r="G1235" t="s">
        <v>108</v>
      </c>
      <c r="H1235" t="s">
        <v>3808</v>
      </c>
      <c r="I1235" t="s">
        <v>3821</v>
      </c>
      <c r="J1235" t="s">
        <v>3810</v>
      </c>
      <c r="K1235" t="s">
        <v>101</v>
      </c>
      <c r="L1235" s="13">
        <v>38181</v>
      </c>
      <c r="M1235">
        <v>19</v>
      </c>
      <c r="N1235" t="s">
        <v>90</v>
      </c>
      <c r="O1235" t="s">
        <v>3877</v>
      </c>
      <c r="P1235" t="s">
        <v>76</v>
      </c>
      <c r="Q1235" t="s">
        <v>76</v>
      </c>
      <c r="R1235" t="s">
        <v>95</v>
      </c>
      <c r="S1235" t="s">
        <v>76</v>
      </c>
      <c r="T1235" t="s">
        <v>76</v>
      </c>
      <c r="U1235">
        <v>1</v>
      </c>
      <c r="V1235" s="13">
        <v>45175</v>
      </c>
      <c r="W1235">
        <v>1</v>
      </c>
      <c r="X1235">
        <v>1</v>
      </c>
      <c r="Y1235" t="s">
        <v>3648</v>
      </c>
      <c r="AC1235">
        <v>4831</v>
      </c>
      <c r="AD1235" t="e" vm="1225">
        <v>#VALUE!</v>
      </c>
    </row>
    <row r="1236" spans="2:30" x14ac:dyDescent="0.25">
      <c r="B1236">
        <v>4832</v>
      </c>
      <c r="C1236" t="s">
        <v>3646</v>
      </c>
      <c r="D1236" t="s">
        <v>3647</v>
      </c>
      <c r="E1236" t="s">
        <v>3807</v>
      </c>
      <c r="F1236" t="s">
        <v>105</v>
      </c>
      <c r="G1236" t="s">
        <v>108</v>
      </c>
      <c r="H1236" t="s">
        <v>3808</v>
      </c>
      <c r="I1236" t="s">
        <v>3821</v>
      </c>
      <c r="J1236" t="s">
        <v>3810</v>
      </c>
      <c r="K1236" t="s">
        <v>101</v>
      </c>
      <c r="L1236" s="13">
        <v>38181</v>
      </c>
      <c r="M1236">
        <v>19</v>
      </c>
      <c r="N1236" t="s">
        <v>90</v>
      </c>
      <c r="O1236" t="s">
        <v>3877</v>
      </c>
      <c r="P1236" t="s">
        <v>76</v>
      </c>
      <c r="Q1236" t="s">
        <v>76</v>
      </c>
      <c r="R1236" t="s">
        <v>95</v>
      </c>
      <c r="S1236" t="s">
        <v>76</v>
      </c>
      <c r="T1236" t="s">
        <v>76</v>
      </c>
      <c r="U1236">
        <v>1</v>
      </c>
      <c r="V1236" s="13">
        <v>45175</v>
      </c>
      <c r="W1236">
        <v>1</v>
      </c>
      <c r="X1236">
        <v>1</v>
      </c>
      <c r="Y1236" t="s">
        <v>3648</v>
      </c>
      <c r="AC1236">
        <v>4832</v>
      </c>
      <c r="AD1236" t="e" vm="1226">
        <v>#VALUE!</v>
      </c>
    </row>
    <row r="1237" spans="2:30" x14ac:dyDescent="0.25">
      <c r="B1237">
        <v>4833</v>
      </c>
      <c r="C1237" t="s">
        <v>3698</v>
      </c>
      <c r="D1237" t="s">
        <v>73</v>
      </c>
      <c r="E1237" t="s">
        <v>73</v>
      </c>
      <c r="F1237" t="s">
        <v>3816</v>
      </c>
      <c r="G1237" t="s">
        <v>3816</v>
      </c>
      <c r="H1237" t="s">
        <v>3808</v>
      </c>
      <c r="I1237" t="s">
        <v>3821</v>
      </c>
      <c r="J1237" t="s">
        <v>3810</v>
      </c>
      <c r="K1237" t="s">
        <v>101</v>
      </c>
      <c r="L1237" s="13">
        <v>38181</v>
      </c>
      <c r="M1237">
        <v>19</v>
      </c>
      <c r="N1237" t="s">
        <v>98</v>
      </c>
      <c r="O1237" t="s">
        <v>3877</v>
      </c>
      <c r="P1237" t="s">
        <v>76</v>
      </c>
      <c r="Q1237" t="s">
        <v>76</v>
      </c>
      <c r="R1237" t="s">
        <v>95</v>
      </c>
      <c r="S1237" t="s">
        <v>76</v>
      </c>
      <c r="T1237" t="s">
        <v>76</v>
      </c>
      <c r="U1237">
        <v>1</v>
      </c>
      <c r="V1237" s="13">
        <v>45175</v>
      </c>
      <c r="W1237">
        <v>2</v>
      </c>
      <c r="X1237">
        <v>1</v>
      </c>
      <c r="Y1237" t="s">
        <v>3724</v>
      </c>
      <c r="AC1237">
        <v>4833</v>
      </c>
      <c r="AD1237" t="e" vm="1227">
        <v>#VALUE!</v>
      </c>
    </row>
    <row r="1238" spans="2:30" x14ac:dyDescent="0.25">
      <c r="B1238">
        <v>4834</v>
      </c>
      <c r="C1238" t="s">
        <v>3646</v>
      </c>
      <c r="D1238" t="s">
        <v>3647</v>
      </c>
      <c r="E1238" t="s">
        <v>3807</v>
      </c>
      <c r="F1238" t="s">
        <v>105</v>
      </c>
      <c r="G1238" t="s">
        <v>108</v>
      </c>
      <c r="H1238" t="s">
        <v>3808</v>
      </c>
      <c r="I1238" t="s">
        <v>3821</v>
      </c>
      <c r="J1238" t="s">
        <v>3810</v>
      </c>
      <c r="K1238" t="s">
        <v>101</v>
      </c>
      <c r="L1238" s="13">
        <v>38182</v>
      </c>
      <c r="M1238">
        <v>19</v>
      </c>
      <c r="N1238" t="s">
        <v>90</v>
      </c>
      <c r="O1238" t="s">
        <v>3877</v>
      </c>
      <c r="P1238" t="s">
        <v>76</v>
      </c>
      <c r="Q1238" t="s">
        <v>76</v>
      </c>
      <c r="R1238" t="s">
        <v>95</v>
      </c>
      <c r="S1238" t="s">
        <v>76</v>
      </c>
      <c r="T1238" t="s">
        <v>76</v>
      </c>
      <c r="U1238">
        <v>1</v>
      </c>
      <c r="V1238" s="13">
        <v>45175</v>
      </c>
      <c r="W1238">
        <v>1</v>
      </c>
      <c r="X1238">
        <v>1</v>
      </c>
      <c r="Y1238" t="s">
        <v>3648</v>
      </c>
      <c r="AC1238">
        <v>4834</v>
      </c>
      <c r="AD1238" t="e" vm="1228">
        <v>#VALUE!</v>
      </c>
    </row>
    <row r="1239" spans="2:30" x14ac:dyDescent="0.25">
      <c r="B1239">
        <v>4835</v>
      </c>
      <c r="C1239" t="s">
        <v>3646</v>
      </c>
      <c r="D1239" t="s">
        <v>3647</v>
      </c>
      <c r="E1239" t="s">
        <v>3807</v>
      </c>
      <c r="F1239" t="s">
        <v>105</v>
      </c>
      <c r="G1239" t="s">
        <v>108</v>
      </c>
      <c r="H1239" t="s">
        <v>3808</v>
      </c>
      <c r="I1239" t="s">
        <v>3821</v>
      </c>
      <c r="J1239" t="s">
        <v>3810</v>
      </c>
      <c r="K1239" t="s">
        <v>101</v>
      </c>
      <c r="L1239" s="13">
        <v>38181</v>
      </c>
      <c r="M1239">
        <v>19</v>
      </c>
      <c r="N1239" t="s">
        <v>90</v>
      </c>
      <c r="O1239" t="s">
        <v>3877</v>
      </c>
      <c r="P1239" t="s">
        <v>76</v>
      </c>
      <c r="Q1239" t="s">
        <v>76</v>
      </c>
      <c r="R1239" t="s">
        <v>95</v>
      </c>
      <c r="S1239" t="s">
        <v>76</v>
      </c>
      <c r="T1239" t="s">
        <v>76</v>
      </c>
      <c r="U1239">
        <v>1</v>
      </c>
      <c r="V1239" s="13">
        <v>45175</v>
      </c>
      <c r="W1239">
        <v>1</v>
      </c>
      <c r="X1239">
        <v>1</v>
      </c>
      <c r="Y1239" t="s">
        <v>3648</v>
      </c>
      <c r="AC1239">
        <v>4835</v>
      </c>
      <c r="AD1239" t="e" vm="1229">
        <v>#VALUE!</v>
      </c>
    </row>
    <row r="1240" spans="2:30" x14ac:dyDescent="0.25">
      <c r="B1240">
        <v>4836</v>
      </c>
      <c r="C1240" t="s">
        <v>3646</v>
      </c>
      <c r="D1240" t="s">
        <v>3647</v>
      </c>
      <c r="E1240" t="s">
        <v>3807</v>
      </c>
      <c r="F1240" t="s">
        <v>105</v>
      </c>
      <c r="G1240" t="s">
        <v>108</v>
      </c>
      <c r="H1240" t="s">
        <v>3808</v>
      </c>
      <c r="I1240" t="s">
        <v>3821</v>
      </c>
      <c r="J1240" t="s">
        <v>3810</v>
      </c>
      <c r="K1240" t="s">
        <v>101</v>
      </c>
      <c r="L1240" s="13">
        <v>38182</v>
      </c>
      <c r="M1240">
        <v>19</v>
      </c>
      <c r="N1240" t="s">
        <v>90</v>
      </c>
      <c r="O1240" t="s">
        <v>3877</v>
      </c>
      <c r="P1240" t="s">
        <v>76</v>
      </c>
      <c r="Q1240" t="s">
        <v>76</v>
      </c>
      <c r="R1240" t="s">
        <v>95</v>
      </c>
      <c r="S1240" t="s">
        <v>76</v>
      </c>
      <c r="T1240" t="s">
        <v>76</v>
      </c>
      <c r="U1240">
        <v>1</v>
      </c>
      <c r="V1240" s="13">
        <v>45175</v>
      </c>
      <c r="W1240">
        <v>1</v>
      </c>
      <c r="X1240">
        <v>1</v>
      </c>
      <c r="Y1240" t="s">
        <v>3648</v>
      </c>
      <c r="AC1240">
        <v>4836</v>
      </c>
      <c r="AD1240" t="e" vm="1230">
        <v>#VALUE!</v>
      </c>
    </row>
    <row r="1241" spans="2:30" x14ac:dyDescent="0.25">
      <c r="B1241">
        <v>4837</v>
      </c>
      <c r="C1241" t="s">
        <v>3646</v>
      </c>
      <c r="D1241" t="s">
        <v>3647</v>
      </c>
      <c r="E1241" t="s">
        <v>3807</v>
      </c>
      <c r="F1241" t="s">
        <v>105</v>
      </c>
      <c r="G1241" t="s">
        <v>108</v>
      </c>
      <c r="H1241" t="s">
        <v>3808</v>
      </c>
      <c r="I1241" t="s">
        <v>3821</v>
      </c>
      <c r="J1241" t="s">
        <v>3810</v>
      </c>
      <c r="K1241" t="s">
        <v>101</v>
      </c>
      <c r="L1241" s="13">
        <v>38183</v>
      </c>
      <c r="M1241">
        <v>19</v>
      </c>
      <c r="N1241" t="s">
        <v>90</v>
      </c>
      <c r="O1241" t="s">
        <v>3877</v>
      </c>
      <c r="P1241" t="s">
        <v>76</v>
      </c>
      <c r="Q1241" t="s">
        <v>76</v>
      </c>
      <c r="R1241" t="s">
        <v>95</v>
      </c>
      <c r="S1241" t="s">
        <v>76</v>
      </c>
      <c r="T1241" t="s">
        <v>76</v>
      </c>
      <c r="U1241">
        <v>1</v>
      </c>
      <c r="V1241" s="13">
        <v>45175</v>
      </c>
      <c r="W1241">
        <v>1</v>
      </c>
      <c r="X1241">
        <v>1</v>
      </c>
      <c r="Y1241" t="s">
        <v>3648</v>
      </c>
      <c r="AC1241">
        <v>4837</v>
      </c>
      <c r="AD1241" t="e" vm="1231">
        <v>#VALUE!</v>
      </c>
    </row>
    <row r="1242" spans="2:30" x14ac:dyDescent="0.25">
      <c r="B1242">
        <v>4838</v>
      </c>
      <c r="C1242" t="s">
        <v>3668</v>
      </c>
      <c r="D1242" t="s">
        <v>3671</v>
      </c>
      <c r="E1242" t="s">
        <v>3818</v>
      </c>
      <c r="F1242" t="s">
        <v>83</v>
      </c>
      <c r="G1242" t="s">
        <v>77</v>
      </c>
      <c r="H1242" t="s">
        <v>3808</v>
      </c>
      <c r="I1242" t="s">
        <v>3809</v>
      </c>
      <c r="J1242" t="s">
        <v>3810</v>
      </c>
      <c r="K1242" t="s">
        <v>79</v>
      </c>
      <c r="L1242" s="13">
        <v>39170</v>
      </c>
      <c r="M1242">
        <v>16</v>
      </c>
      <c r="N1242" t="s">
        <v>82</v>
      </c>
      <c r="O1242" t="s">
        <v>3878</v>
      </c>
      <c r="P1242" t="s">
        <v>76</v>
      </c>
      <c r="Q1242" t="s">
        <v>95</v>
      </c>
      <c r="R1242" t="s">
        <v>95</v>
      </c>
      <c r="S1242" t="s">
        <v>76</v>
      </c>
      <c r="T1242" t="s">
        <v>76</v>
      </c>
      <c r="U1242">
        <v>1</v>
      </c>
      <c r="V1242" s="13">
        <v>45175</v>
      </c>
      <c r="W1242">
        <v>1</v>
      </c>
      <c r="X1242">
        <v>1</v>
      </c>
      <c r="Y1242" t="s">
        <v>3672</v>
      </c>
      <c r="AC1242">
        <v>4838</v>
      </c>
      <c r="AD1242" t="e" vm="1232">
        <v>#VALUE!</v>
      </c>
    </row>
    <row r="1243" spans="2:30" x14ac:dyDescent="0.25">
      <c r="B1243">
        <v>4839</v>
      </c>
      <c r="C1243" t="s">
        <v>3668</v>
      </c>
      <c r="D1243" t="s">
        <v>3671</v>
      </c>
      <c r="E1243" t="s">
        <v>3818</v>
      </c>
      <c r="F1243" t="s">
        <v>83</v>
      </c>
      <c r="G1243" t="s">
        <v>77</v>
      </c>
      <c r="H1243" t="s">
        <v>3808</v>
      </c>
      <c r="I1243" t="s">
        <v>3809</v>
      </c>
      <c r="J1243" t="s">
        <v>3810</v>
      </c>
      <c r="K1243" t="s">
        <v>79</v>
      </c>
      <c r="L1243" s="13">
        <v>38996</v>
      </c>
      <c r="M1243">
        <v>17</v>
      </c>
      <c r="N1243" t="s">
        <v>82</v>
      </c>
      <c r="O1243" t="s">
        <v>3878</v>
      </c>
      <c r="P1243" t="s">
        <v>76</v>
      </c>
      <c r="Q1243" t="s">
        <v>95</v>
      </c>
      <c r="R1243" t="s">
        <v>95</v>
      </c>
      <c r="S1243" t="s">
        <v>76</v>
      </c>
      <c r="T1243" t="s">
        <v>76</v>
      </c>
      <c r="U1243">
        <v>1</v>
      </c>
      <c r="V1243" s="13">
        <v>45175</v>
      </c>
      <c r="W1243">
        <v>1</v>
      </c>
      <c r="X1243">
        <v>1</v>
      </c>
      <c r="Y1243" t="s">
        <v>3672</v>
      </c>
      <c r="AC1243">
        <v>4839</v>
      </c>
      <c r="AD1243" t="e" vm="1233">
        <v>#VALUE!</v>
      </c>
    </row>
    <row r="1244" spans="2:30" x14ac:dyDescent="0.25">
      <c r="B1244">
        <v>4840</v>
      </c>
      <c r="C1244" t="s">
        <v>3668</v>
      </c>
      <c r="D1244" t="s">
        <v>3671</v>
      </c>
      <c r="E1244" t="s">
        <v>3818</v>
      </c>
      <c r="F1244" t="s">
        <v>83</v>
      </c>
      <c r="G1244" t="s">
        <v>77</v>
      </c>
      <c r="H1244" t="s">
        <v>3808</v>
      </c>
      <c r="I1244" t="s">
        <v>3809</v>
      </c>
      <c r="J1244" t="s">
        <v>3810</v>
      </c>
      <c r="K1244" t="s">
        <v>79</v>
      </c>
      <c r="L1244" s="13">
        <v>39028</v>
      </c>
      <c r="M1244">
        <v>17</v>
      </c>
      <c r="N1244" t="s">
        <v>82</v>
      </c>
      <c r="O1244" t="s">
        <v>3878</v>
      </c>
      <c r="P1244" t="s">
        <v>76</v>
      </c>
      <c r="Q1244" t="s">
        <v>95</v>
      </c>
      <c r="R1244" t="s">
        <v>95</v>
      </c>
      <c r="S1244" t="s">
        <v>76</v>
      </c>
      <c r="T1244" t="s">
        <v>76</v>
      </c>
      <c r="U1244">
        <v>1</v>
      </c>
      <c r="V1244" s="13">
        <v>45175</v>
      </c>
      <c r="W1244">
        <v>1</v>
      </c>
      <c r="X1244">
        <v>1</v>
      </c>
      <c r="Y1244" t="s">
        <v>3672</v>
      </c>
      <c r="AC1244">
        <v>4840</v>
      </c>
      <c r="AD1244" t="e" vm="1234">
        <v>#VALUE!</v>
      </c>
    </row>
    <row r="1245" spans="2:30" x14ac:dyDescent="0.25">
      <c r="B1245">
        <v>4841</v>
      </c>
      <c r="C1245" t="s">
        <v>3668</v>
      </c>
      <c r="D1245" t="s">
        <v>3671</v>
      </c>
      <c r="E1245" t="s">
        <v>3818</v>
      </c>
      <c r="F1245" t="s">
        <v>83</v>
      </c>
      <c r="G1245" t="s">
        <v>77</v>
      </c>
      <c r="H1245" t="s">
        <v>3808</v>
      </c>
      <c r="I1245" t="s">
        <v>3809</v>
      </c>
      <c r="J1245" t="s">
        <v>3810</v>
      </c>
      <c r="K1245" t="s">
        <v>79</v>
      </c>
      <c r="L1245" s="13">
        <v>38987</v>
      </c>
      <c r="M1245">
        <v>17</v>
      </c>
      <c r="N1245" t="s">
        <v>82</v>
      </c>
      <c r="O1245" t="s">
        <v>3878</v>
      </c>
      <c r="P1245" t="s">
        <v>76</v>
      </c>
      <c r="Q1245" t="s">
        <v>95</v>
      </c>
      <c r="R1245" t="s">
        <v>95</v>
      </c>
      <c r="S1245" t="s">
        <v>76</v>
      </c>
      <c r="T1245" t="s">
        <v>76</v>
      </c>
      <c r="U1245">
        <v>1</v>
      </c>
      <c r="V1245" s="13">
        <v>45175</v>
      </c>
      <c r="W1245">
        <v>1</v>
      </c>
      <c r="X1245">
        <v>1</v>
      </c>
      <c r="Y1245" t="s">
        <v>3672</v>
      </c>
      <c r="AC1245">
        <v>4841</v>
      </c>
      <c r="AD1245" t="e" vm="1235">
        <v>#VALUE!</v>
      </c>
    </row>
    <row r="1246" spans="2:30" x14ac:dyDescent="0.25">
      <c r="B1246">
        <v>4842</v>
      </c>
      <c r="C1246" t="s">
        <v>3668</v>
      </c>
      <c r="D1246" t="s">
        <v>3671</v>
      </c>
      <c r="E1246" t="s">
        <v>3818</v>
      </c>
      <c r="F1246" t="s">
        <v>83</v>
      </c>
      <c r="G1246" t="s">
        <v>77</v>
      </c>
      <c r="H1246" t="s">
        <v>3808</v>
      </c>
      <c r="I1246" t="s">
        <v>3809</v>
      </c>
      <c r="J1246" t="s">
        <v>3810</v>
      </c>
      <c r="K1246" t="s">
        <v>79</v>
      </c>
      <c r="L1246" s="13">
        <v>38987</v>
      </c>
      <c r="M1246">
        <v>17</v>
      </c>
      <c r="N1246" t="s">
        <v>82</v>
      </c>
      <c r="O1246" t="s">
        <v>3878</v>
      </c>
      <c r="P1246" t="s">
        <v>76</v>
      </c>
      <c r="Q1246" t="s">
        <v>95</v>
      </c>
      <c r="R1246" t="s">
        <v>95</v>
      </c>
      <c r="S1246" t="s">
        <v>76</v>
      </c>
      <c r="T1246" t="s">
        <v>76</v>
      </c>
      <c r="U1246">
        <v>1</v>
      </c>
      <c r="V1246" s="13">
        <v>45175</v>
      </c>
      <c r="W1246">
        <v>1</v>
      </c>
      <c r="X1246">
        <v>1</v>
      </c>
      <c r="Y1246" t="s">
        <v>3672</v>
      </c>
      <c r="AC1246">
        <v>4842</v>
      </c>
      <c r="AD1246" t="e" vm="1236">
        <v>#VALUE!</v>
      </c>
    </row>
    <row r="1247" spans="2:30" x14ac:dyDescent="0.25">
      <c r="B1247">
        <v>4843</v>
      </c>
      <c r="C1247" t="s">
        <v>3668</v>
      </c>
      <c r="D1247" t="s">
        <v>3671</v>
      </c>
      <c r="E1247" t="s">
        <v>3818</v>
      </c>
      <c r="F1247" t="s">
        <v>83</v>
      </c>
      <c r="G1247" t="s">
        <v>77</v>
      </c>
      <c r="H1247" t="s">
        <v>3808</v>
      </c>
      <c r="I1247" t="s">
        <v>3809</v>
      </c>
      <c r="J1247" t="s">
        <v>3810</v>
      </c>
      <c r="K1247" t="s">
        <v>79</v>
      </c>
      <c r="L1247" s="13">
        <v>38988</v>
      </c>
      <c r="M1247">
        <v>17</v>
      </c>
      <c r="N1247" t="s">
        <v>82</v>
      </c>
      <c r="O1247" t="s">
        <v>3878</v>
      </c>
      <c r="P1247" t="s">
        <v>76</v>
      </c>
      <c r="Q1247" t="s">
        <v>95</v>
      </c>
      <c r="R1247" t="s">
        <v>95</v>
      </c>
      <c r="S1247" t="s">
        <v>76</v>
      </c>
      <c r="T1247" t="s">
        <v>76</v>
      </c>
      <c r="U1247">
        <v>1</v>
      </c>
      <c r="V1247" s="13">
        <v>45175</v>
      </c>
      <c r="W1247">
        <v>1</v>
      </c>
      <c r="X1247">
        <v>1</v>
      </c>
      <c r="Y1247" t="s">
        <v>3672</v>
      </c>
      <c r="AC1247">
        <v>4843</v>
      </c>
      <c r="AD1247" t="e" vm="1237">
        <v>#VALUE!</v>
      </c>
    </row>
    <row r="1248" spans="2:30" x14ac:dyDescent="0.25">
      <c r="B1248">
        <v>4844</v>
      </c>
      <c r="C1248" t="s">
        <v>3668</v>
      </c>
      <c r="D1248" t="s">
        <v>3671</v>
      </c>
      <c r="E1248" t="s">
        <v>3818</v>
      </c>
      <c r="F1248" t="s">
        <v>83</v>
      </c>
      <c r="G1248" t="s">
        <v>77</v>
      </c>
      <c r="H1248" t="s">
        <v>3808</v>
      </c>
      <c r="I1248" t="s">
        <v>3809</v>
      </c>
      <c r="J1248" t="s">
        <v>3810</v>
      </c>
      <c r="K1248" t="s">
        <v>79</v>
      </c>
      <c r="L1248" s="13">
        <v>38988</v>
      </c>
      <c r="M1248">
        <v>17</v>
      </c>
      <c r="N1248" t="s">
        <v>82</v>
      </c>
      <c r="O1248" t="s">
        <v>3878</v>
      </c>
      <c r="P1248" t="s">
        <v>76</v>
      </c>
      <c r="Q1248" t="s">
        <v>95</v>
      </c>
      <c r="R1248" t="s">
        <v>95</v>
      </c>
      <c r="S1248" t="s">
        <v>76</v>
      </c>
      <c r="T1248" t="s">
        <v>76</v>
      </c>
      <c r="U1248">
        <v>1</v>
      </c>
      <c r="V1248" s="13">
        <v>45175</v>
      </c>
      <c r="W1248">
        <v>1</v>
      </c>
      <c r="X1248">
        <v>1</v>
      </c>
      <c r="Y1248" t="s">
        <v>3672</v>
      </c>
      <c r="AC1248">
        <v>4844</v>
      </c>
      <c r="AD1248" t="e" vm="1238">
        <v>#VALUE!</v>
      </c>
    </row>
    <row r="1249" spans="2:30" x14ac:dyDescent="0.25">
      <c r="B1249">
        <v>4845</v>
      </c>
      <c r="C1249" t="s">
        <v>3668</v>
      </c>
      <c r="D1249" t="s">
        <v>3671</v>
      </c>
      <c r="E1249" t="s">
        <v>3818</v>
      </c>
      <c r="F1249" t="s">
        <v>83</v>
      </c>
      <c r="G1249" t="s">
        <v>77</v>
      </c>
      <c r="H1249" t="s">
        <v>3808</v>
      </c>
      <c r="I1249" t="s">
        <v>3809</v>
      </c>
      <c r="J1249" t="s">
        <v>3810</v>
      </c>
      <c r="K1249" t="s">
        <v>79</v>
      </c>
      <c r="L1249" s="13">
        <v>39028</v>
      </c>
      <c r="M1249">
        <v>17</v>
      </c>
      <c r="N1249" t="s">
        <v>82</v>
      </c>
      <c r="O1249" t="s">
        <v>3878</v>
      </c>
      <c r="P1249" t="s">
        <v>76</v>
      </c>
      <c r="Q1249" t="s">
        <v>95</v>
      </c>
      <c r="R1249" t="s">
        <v>95</v>
      </c>
      <c r="S1249" t="s">
        <v>76</v>
      </c>
      <c r="T1249" t="s">
        <v>76</v>
      </c>
      <c r="U1249">
        <v>1</v>
      </c>
      <c r="V1249" s="13">
        <v>45175</v>
      </c>
      <c r="W1249">
        <v>1</v>
      </c>
      <c r="X1249">
        <v>1</v>
      </c>
      <c r="Y1249" t="s">
        <v>3672</v>
      </c>
      <c r="AC1249">
        <v>4845</v>
      </c>
      <c r="AD1249" t="e" vm="1239">
        <v>#VALUE!</v>
      </c>
    </row>
    <row r="1250" spans="2:30" x14ac:dyDescent="0.25">
      <c r="B1250">
        <v>4846</v>
      </c>
      <c r="C1250" t="s">
        <v>3668</v>
      </c>
      <c r="D1250" t="s">
        <v>3671</v>
      </c>
      <c r="E1250" t="s">
        <v>3818</v>
      </c>
      <c r="F1250" t="s">
        <v>83</v>
      </c>
      <c r="G1250" t="s">
        <v>77</v>
      </c>
      <c r="H1250" t="s">
        <v>3808</v>
      </c>
      <c r="I1250" t="s">
        <v>3809</v>
      </c>
      <c r="J1250" t="s">
        <v>3810</v>
      </c>
      <c r="K1250" t="s">
        <v>79</v>
      </c>
      <c r="L1250" s="13">
        <v>39028</v>
      </c>
      <c r="M1250">
        <v>17</v>
      </c>
      <c r="N1250" t="s">
        <v>82</v>
      </c>
      <c r="O1250" t="s">
        <v>3878</v>
      </c>
      <c r="P1250" t="s">
        <v>76</v>
      </c>
      <c r="Q1250" t="s">
        <v>95</v>
      </c>
      <c r="R1250" t="s">
        <v>95</v>
      </c>
      <c r="S1250" t="s">
        <v>76</v>
      </c>
      <c r="T1250" t="s">
        <v>76</v>
      </c>
      <c r="U1250">
        <v>1</v>
      </c>
      <c r="V1250" s="13">
        <v>45175</v>
      </c>
      <c r="W1250">
        <v>1</v>
      </c>
      <c r="X1250">
        <v>1</v>
      </c>
      <c r="Y1250" t="s">
        <v>3672</v>
      </c>
      <c r="AC1250">
        <v>4846</v>
      </c>
      <c r="AD1250" t="e" vm="1240">
        <v>#VALUE!</v>
      </c>
    </row>
    <row r="1251" spans="2:30" x14ac:dyDescent="0.25">
      <c r="B1251">
        <v>4847</v>
      </c>
      <c r="C1251" t="s">
        <v>3668</v>
      </c>
      <c r="D1251" t="s">
        <v>3671</v>
      </c>
      <c r="E1251" t="s">
        <v>3818</v>
      </c>
      <c r="F1251" t="s">
        <v>83</v>
      </c>
      <c r="G1251" t="s">
        <v>77</v>
      </c>
      <c r="H1251" t="s">
        <v>3808</v>
      </c>
      <c r="I1251" t="s">
        <v>3809</v>
      </c>
      <c r="J1251" t="s">
        <v>3810</v>
      </c>
      <c r="K1251" t="s">
        <v>79</v>
      </c>
      <c r="L1251" s="13">
        <v>39028</v>
      </c>
      <c r="M1251">
        <v>17</v>
      </c>
      <c r="N1251" t="s">
        <v>82</v>
      </c>
      <c r="O1251" t="s">
        <v>3878</v>
      </c>
      <c r="P1251" t="s">
        <v>76</v>
      </c>
      <c r="Q1251" t="s">
        <v>95</v>
      </c>
      <c r="R1251" t="s">
        <v>95</v>
      </c>
      <c r="S1251" t="s">
        <v>76</v>
      </c>
      <c r="T1251" t="s">
        <v>76</v>
      </c>
      <c r="U1251">
        <v>1</v>
      </c>
      <c r="V1251" s="13">
        <v>45175</v>
      </c>
      <c r="W1251">
        <v>1</v>
      </c>
      <c r="X1251">
        <v>1</v>
      </c>
      <c r="Y1251" t="s">
        <v>3672</v>
      </c>
      <c r="AC1251">
        <v>4847</v>
      </c>
      <c r="AD1251" t="e" vm="1241">
        <v>#VALUE!</v>
      </c>
    </row>
    <row r="1252" spans="2:30" x14ac:dyDescent="0.25">
      <c r="B1252">
        <v>4848</v>
      </c>
      <c r="C1252" t="s">
        <v>3668</v>
      </c>
      <c r="D1252" t="s">
        <v>3671</v>
      </c>
      <c r="E1252" t="s">
        <v>3818</v>
      </c>
      <c r="F1252" t="s">
        <v>83</v>
      </c>
      <c r="G1252" t="s">
        <v>77</v>
      </c>
      <c r="H1252" t="s">
        <v>3808</v>
      </c>
      <c r="I1252" t="s">
        <v>3809</v>
      </c>
      <c r="J1252" t="s">
        <v>3810</v>
      </c>
      <c r="K1252" t="s">
        <v>79</v>
      </c>
      <c r="L1252" s="13">
        <v>39029</v>
      </c>
      <c r="M1252">
        <v>17</v>
      </c>
      <c r="N1252" t="s">
        <v>82</v>
      </c>
      <c r="O1252" t="s">
        <v>3878</v>
      </c>
      <c r="P1252" t="s">
        <v>76</v>
      </c>
      <c r="Q1252" t="s">
        <v>95</v>
      </c>
      <c r="R1252" t="s">
        <v>95</v>
      </c>
      <c r="S1252" t="s">
        <v>76</v>
      </c>
      <c r="T1252" t="s">
        <v>76</v>
      </c>
      <c r="U1252">
        <v>1</v>
      </c>
      <c r="V1252" s="13">
        <v>45175</v>
      </c>
      <c r="W1252">
        <v>1</v>
      </c>
      <c r="X1252">
        <v>1</v>
      </c>
      <c r="Y1252" t="s">
        <v>3672</v>
      </c>
      <c r="AC1252">
        <v>4848</v>
      </c>
      <c r="AD1252" t="e" vm="1242">
        <v>#VALUE!</v>
      </c>
    </row>
    <row r="1253" spans="2:30" x14ac:dyDescent="0.25">
      <c r="B1253">
        <v>4849</v>
      </c>
      <c r="C1253" t="s">
        <v>3668</v>
      </c>
      <c r="D1253" t="s">
        <v>3671</v>
      </c>
      <c r="E1253" t="s">
        <v>3818</v>
      </c>
      <c r="F1253" t="s">
        <v>83</v>
      </c>
      <c r="G1253" t="s">
        <v>77</v>
      </c>
      <c r="H1253" t="s">
        <v>3808</v>
      </c>
      <c r="I1253" t="s">
        <v>3809</v>
      </c>
      <c r="J1253" t="s">
        <v>3810</v>
      </c>
      <c r="K1253" t="s">
        <v>79</v>
      </c>
      <c r="L1253" s="13">
        <v>39028</v>
      </c>
      <c r="M1253">
        <v>17</v>
      </c>
      <c r="N1253" t="s">
        <v>82</v>
      </c>
      <c r="O1253" t="s">
        <v>3878</v>
      </c>
      <c r="P1253" t="s">
        <v>76</v>
      </c>
      <c r="Q1253" t="s">
        <v>95</v>
      </c>
      <c r="R1253" t="s">
        <v>95</v>
      </c>
      <c r="S1253" t="s">
        <v>76</v>
      </c>
      <c r="T1253" t="s">
        <v>76</v>
      </c>
      <c r="U1253">
        <v>1</v>
      </c>
      <c r="V1253" s="13">
        <v>45175</v>
      </c>
      <c r="W1253">
        <v>1</v>
      </c>
      <c r="X1253">
        <v>1</v>
      </c>
      <c r="Y1253" t="s">
        <v>3672</v>
      </c>
      <c r="AC1253">
        <v>4849</v>
      </c>
      <c r="AD1253" t="e" vm="1243">
        <v>#VALUE!</v>
      </c>
    </row>
    <row r="1254" spans="2:30" x14ac:dyDescent="0.25">
      <c r="B1254">
        <v>4850</v>
      </c>
      <c r="C1254" t="s">
        <v>3662</v>
      </c>
      <c r="D1254" t="s">
        <v>3665</v>
      </c>
      <c r="E1254" t="s">
        <v>3815</v>
      </c>
      <c r="F1254" t="s">
        <v>92</v>
      </c>
      <c r="G1254" t="s">
        <v>96</v>
      </c>
      <c r="H1254" t="s">
        <v>3808</v>
      </c>
      <c r="I1254" t="s">
        <v>3809</v>
      </c>
      <c r="J1254" t="s">
        <v>3810</v>
      </c>
      <c r="K1254" t="s">
        <v>79</v>
      </c>
      <c r="L1254" s="13">
        <v>39028</v>
      </c>
      <c r="M1254">
        <v>17</v>
      </c>
      <c r="N1254" t="s">
        <v>79</v>
      </c>
      <c r="O1254" t="s">
        <v>3878</v>
      </c>
      <c r="P1254" t="s">
        <v>76</v>
      </c>
      <c r="Q1254" t="s">
        <v>95</v>
      </c>
      <c r="R1254" t="s">
        <v>95</v>
      </c>
      <c r="S1254" t="s">
        <v>76</v>
      </c>
      <c r="T1254" t="s">
        <v>76</v>
      </c>
      <c r="U1254">
        <v>1</v>
      </c>
      <c r="V1254" s="13">
        <v>45175</v>
      </c>
      <c r="W1254">
        <v>1</v>
      </c>
      <c r="X1254">
        <v>1</v>
      </c>
      <c r="Y1254" t="s">
        <v>3666</v>
      </c>
      <c r="AC1254">
        <v>4850</v>
      </c>
      <c r="AD1254" t="e" vm="1244">
        <v>#VALUE!</v>
      </c>
    </row>
    <row r="1255" spans="2:30" x14ac:dyDescent="0.25">
      <c r="B1255">
        <v>4851</v>
      </c>
      <c r="C1255" t="s">
        <v>3662</v>
      </c>
      <c r="D1255" t="s">
        <v>73</v>
      </c>
      <c r="E1255" t="s">
        <v>73</v>
      </c>
      <c r="F1255" t="s">
        <v>3816</v>
      </c>
      <c r="G1255" t="s">
        <v>3816</v>
      </c>
      <c r="H1255" t="s">
        <v>3808</v>
      </c>
      <c r="I1255" t="s">
        <v>3809</v>
      </c>
      <c r="J1255" t="s">
        <v>3810</v>
      </c>
      <c r="K1255" t="s">
        <v>79</v>
      </c>
      <c r="L1255" s="13">
        <v>39029</v>
      </c>
      <c r="M1255">
        <v>17</v>
      </c>
      <c r="N1255" t="s">
        <v>79</v>
      </c>
      <c r="O1255" t="s">
        <v>3878</v>
      </c>
      <c r="P1255" t="s">
        <v>76</v>
      </c>
      <c r="Q1255" t="s">
        <v>95</v>
      </c>
      <c r="R1255" t="s">
        <v>95</v>
      </c>
      <c r="S1255" t="s">
        <v>76</v>
      </c>
      <c r="T1255" t="s">
        <v>76</v>
      </c>
      <c r="U1255">
        <v>1</v>
      </c>
      <c r="V1255" s="13">
        <v>45175</v>
      </c>
      <c r="W1255">
        <v>1</v>
      </c>
      <c r="X1255">
        <v>1</v>
      </c>
      <c r="Y1255" t="s">
        <v>3681</v>
      </c>
      <c r="AC1255">
        <v>4851</v>
      </c>
      <c r="AD1255" t="e" vm="1245">
        <v>#VALUE!</v>
      </c>
    </row>
    <row r="1256" spans="2:30" x14ac:dyDescent="0.25">
      <c r="B1256">
        <v>4852</v>
      </c>
      <c r="C1256" t="s">
        <v>3662</v>
      </c>
      <c r="D1256" t="s">
        <v>3665</v>
      </c>
      <c r="E1256" t="s">
        <v>3815</v>
      </c>
      <c r="F1256" t="s">
        <v>92</v>
      </c>
      <c r="G1256" t="s">
        <v>96</v>
      </c>
      <c r="H1256" t="s">
        <v>3808</v>
      </c>
      <c r="I1256" t="s">
        <v>3809</v>
      </c>
      <c r="J1256" t="s">
        <v>3810</v>
      </c>
      <c r="K1256" t="s">
        <v>79</v>
      </c>
      <c r="L1256" s="13">
        <v>39031</v>
      </c>
      <c r="M1256">
        <v>17</v>
      </c>
      <c r="N1256" t="s">
        <v>79</v>
      </c>
      <c r="O1256" t="s">
        <v>3878</v>
      </c>
      <c r="P1256" t="s">
        <v>76</v>
      </c>
      <c r="Q1256" t="s">
        <v>95</v>
      </c>
      <c r="R1256" t="s">
        <v>95</v>
      </c>
      <c r="S1256" t="s">
        <v>76</v>
      </c>
      <c r="T1256" t="s">
        <v>76</v>
      </c>
      <c r="U1256">
        <v>1</v>
      </c>
      <c r="V1256" s="13">
        <v>45175</v>
      </c>
      <c r="W1256">
        <v>1</v>
      </c>
      <c r="X1256">
        <v>1</v>
      </c>
      <c r="Y1256" t="s">
        <v>3666</v>
      </c>
      <c r="AC1256">
        <v>4852</v>
      </c>
      <c r="AD1256" t="e" vm="1246">
        <v>#VALUE!</v>
      </c>
    </row>
    <row r="1257" spans="2:30" x14ac:dyDescent="0.25">
      <c r="B1257">
        <v>4853</v>
      </c>
      <c r="C1257" t="s">
        <v>3662</v>
      </c>
      <c r="D1257" t="s">
        <v>73</v>
      </c>
      <c r="E1257" t="s">
        <v>73</v>
      </c>
      <c r="F1257" t="s">
        <v>3816</v>
      </c>
      <c r="G1257" t="s">
        <v>3816</v>
      </c>
      <c r="H1257" t="s">
        <v>3808</v>
      </c>
      <c r="I1257" t="s">
        <v>3809</v>
      </c>
      <c r="J1257" t="s">
        <v>3810</v>
      </c>
      <c r="K1257" t="s">
        <v>79</v>
      </c>
      <c r="L1257" s="13">
        <v>39031</v>
      </c>
      <c r="M1257">
        <v>17</v>
      </c>
      <c r="N1257" t="s">
        <v>79</v>
      </c>
      <c r="O1257" t="s">
        <v>3878</v>
      </c>
      <c r="P1257" t="s">
        <v>76</v>
      </c>
      <c r="Q1257" t="s">
        <v>95</v>
      </c>
      <c r="R1257" t="s">
        <v>95</v>
      </c>
      <c r="S1257" t="s">
        <v>76</v>
      </c>
      <c r="T1257" t="s">
        <v>76</v>
      </c>
      <c r="U1257">
        <v>1</v>
      </c>
      <c r="V1257" s="13">
        <v>45175</v>
      </c>
      <c r="W1257">
        <v>1</v>
      </c>
      <c r="X1257">
        <v>1</v>
      </c>
      <c r="Y1257" t="s">
        <v>3681</v>
      </c>
      <c r="AC1257">
        <v>4853</v>
      </c>
      <c r="AD1257" t="e" vm="1247">
        <v>#VALUE!</v>
      </c>
    </row>
    <row r="1258" spans="2:30" x14ac:dyDescent="0.25">
      <c r="B1258">
        <v>4854</v>
      </c>
      <c r="C1258" t="s">
        <v>3662</v>
      </c>
      <c r="D1258" t="s">
        <v>3665</v>
      </c>
      <c r="E1258" t="s">
        <v>3815</v>
      </c>
      <c r="F1258" t="s">
        <v>92</v>
      </c>
      <c r="G1258" t="s">
        <v>96</v>
      </c>
      <c r="H1258" t="s">
        <v>3808</v>
      </c>
      <c r="I1258" t="s">
        <v>3809</v>
      </c>
      <c r="J1258" t="s">
        <v>3810</v>
      </c>
      <c r="K1258" t="s">
        <v>79</v>
      </c>
      <c r="L1258" s="13">
        <v>39031</v>
      </c>
      <c r="M1258">
        <v>17</v>
      </c>
      <c r="N1258" t="s">
        <v>79</v>
      </c>
      <c r="O1258" t="s">
        <v>3878</v>
      </c>
      <c r="P1258" t="s">
        <v>76</v>
      </c>
      <c r="Q1258" t="s">
        <v>95</v>
      </c>
      <c r="R1258" t="s">
        <v>95</v>
      </c>
      <c r="S1258" t="s">
        <v>76</v>
      </c>
      <c r="T1258" t="s">
        <v>76</v>
      </c>
      <c r="U1258">
        <v>1</v>
      </c>
      <c r="V1258" s="13">
        <v>45175</v>
      </c>
      <c r="W1258">
        <v>1</v>
      </c>
      <c r="X1258">
        <v>1</v>
      </c>
      <c r="Y1258" t="s">
        <v>3666</v>
      </c>
      <c r="AC1258">
        <v>4854</v>
      </c>
      <c r="AD1258" t="e" vm="1248">
        <v>#VALUE!</v>
      </c>
    </row>
    <row r="1259" spans="2:30" x14ac:dyDescent="0.25">
      <c r="B1259">
        <v>4855</v>
      </c>
      <c r="C1259" t="s">
        <v>3662</v>
      </c>
      <c r="D1259" t="s">
        <v>3665</v>
      </c>
      <c r="E1259" t="s">
        <v>3815</v>
      </c>
      <c r="F1259" t="s">
        <v>92</v>
      </c>
      <c r="G1259" t="s">
        <v>96</v>
      </c>
      <c r="H1259" t="s">
        <v>3808</v>
      </c>
      <c r="I1259" t="s">
        <v>3809</v>
      </c>
      <c r="J1259" t="s">
        <v>3810</v>
      </c>
      <c r="K1259" t="s">
        <v>79</v>
      </c>
      <c r="L1259" s="13">
        <v>39031</v>
      </c>
      <c r="M1259">
        <v>17</v>
      </c>
      <c r="N1259" t="s">
        <v>79</v>
      </c>
      <c r="O1259" t="s">
        <v>3878</v>
      </c>
      <c r="P1259" t="s">
        <v>76</v>
      </c>
      <c r="Q1259" t="s">
        <v>95</v>
      </c>
      <c r="R1259" t="s">
        <v>95</v>
      </c>
      <c r="S1259" t="s">
        <v>76</v>
      </c>
      <c r="T1259" t="s">
        <v>76</v>
      </c>
      <c r="U1259">
        <v>1</v>
      </c>
      <c r="V1259" s="13">
        <v>45175</v>
      </c>
      <c r="W1259">
        <v>1</v>
      </c>
      <c r="X1259">
        <v>1</v>
      </c>
      <c r="Y1259" t="s">
        <v>3666</v>
      </c>
      <c r="AC1259">
        <v>4855</v>
      </c>
      <c r="AD1259" t="e" vm="1249">
        <v>#VALUE!</v>
      </c>
    </row>
    <row r="1260" spans="2:30" x14ac:dyDescent="0.25">
      <c r="B1260">
        <v>4856</v>
      </c>
      <c r="C1260" t="s">
        <v>3668</v>
      </c>
      <c r="D1260" t="s">
        <v>3669</v>
      </c>
      <c r="E1260" t="s">
        <v>3817</v>
      </c>
      <c r="F1260" t="s">
        <v>81</v>
      </c>
      <c r="G1260" t="s">
        <v>80</v>
      </c>
      <c r="H1260" t="s">
        <v>3808</v>
      </c>
      <c r="I1260" t="s">
        <v>3809</v>
      </c>
      <c r="J1260" t="s">
        <v>3810</v>
      </c>
      <c r="K1260" t="s">
        <v>79</v>
      </c>
      <c r="L1260" s="13">
        <v>39036</v>
      </c>
      <c r="M1260">
        <v>17</v>
      </c>
      <c r="N1260" t="s">
        <v>82</v>
      </c>
      <c r="O1260" t="s">
        <v>3878</v>
      </c>
      <c r="P1260" t="s">
        <v>76</v>
      </c>
      <c r="Q1260" t="s">
        <v>95</v>
      </c>
      <c r="R1260" t="s">
        <v>95</v>
      </c>
      <c r="S1260" t="s">
        <v>76</v>
      </c>
      <c r="T1260" t="s">
        <v>76</v>
      </c>
      <c r="U1260">
        <v>1</v>
      </c>
      <c r="V1260" s="13">
        <v>45175</v>
      </c>
      <c r="W1260">
        <v>1</v>
      </c>
      <c r="X1260">
        <v>1</v>
      </c>
      <c r="Y1260" t="s">
        <v>3670</v>
      </c>
      <c r="AC1260">
        <v>4856</v>
      </c>
      <c r="AD1260" t="e" vm="1250">
        <v>#VALUE!</v>
      </c>
    </row>
    <row r="1261" spans="2:30" x14ac:dyDescent="0.25">
      <c r="B1261">
        <v>4857</v>
      </c>
      <c r="C1261" t="s">
        <v>3668</v>
      </c>
      <c r="D1261" t="s">
        <v>3669</v>
      </c>
      <c r="E1261" t="s">
        <v>3817</v>
      </c>
      <c r="F1261" t="s">
        <v>81</v>
      </c>
      <c r="G1261" t="s">
        <v>80</v>
      </c>
      <c r="H1261" t="s">
        <v>3808</v>
      </c>
      <c r="I1261" t="s">
        <v>3809</v>
      </c>
      <c r="J1261" t="s">
        <v>3810</v>
      </c>
      <c r="K1261" t="s">
        <v>79</v>
      </c>
      <c r="L1261" s="13">
        <v>39036</v>
      </c>
      <c r="M1261">
        <v>17</v>
      </c>
      <c r="N1261" t="s">
        <v>82</v>
      </c>
      <c r="O1261" t="s">
        <v>3878</v>
      </c>
      <c r="P1261" t="s">
        <v>76</v>
      </c>
      <c r="Q1261" t="s">
        <v>95</v>
      </c>
      <c r="R1261" t="s">
        <v>95</v>
      </c>
      <c r="S1261" t="s">
        <v>76</v>
      </c>
      <c r="T1261" t="s">
        <v>76</v>
      </c>
      <c r="U1261">
        <v>1</v>
      </c>
      <c r="V1261" s="13">
        <v>45175</v>
      </c>
      <c r="W1261">
        <v>1</v>
      </c>
      <c r="X1261">
        <v>1</v>
      </c>
      <c r="Y1261" t="s">
        <v>3670</v>
      </c>
      <c r="AC1261">
        <v>4857</v>
      </c>
      <c r="AD1261" t="e" vm="1251">
        <v>#VALUE!</v>
      </c>
    </row>
    <row r="1262" spans="2:30" x14ac:dyDescent="0.25">
      <c r="B1262">
        <v>4858</v>
      </c>
      <c r="C1262" t="s">
        <v>3662</v>
      </c>
      <c r="D1262" t="s">
        <v>3737</v>
      </c>
      <c r="E1262" t="s">
        <v>3876</v>
      </c>
      <c r="F1262" t="s">
        <v>89</v>
      </c>
      <c r="G1262" t="s">
        <v>100</v>
      </c>
      <c r="H1262" t="s">
        <v>3808</v>
      </c>
      <c r="I1262" t="s">
        <v>3809</v>
      </c>
      <c r="J1262" t="s">
        <v>3810</v>
      </c>
      <c r="K1262" t="s">
        <v>79</v>
      </c>
      <c r="L1262" s="13">
        <v>39037</v>
      </c>
      <c r="M1262">
        <v>17</v>
      </c>
      <c r="N1262" t="s">
        <v>79</v>
      </c>
      <c r="O1262" t="s">
        <v>3878</v>
      </c>
      <c r="P1262" t="s">
        <v>76</v>
      </c>
      <c r="Q1262" t="s">
        <v>95</v>
      </c>
      <c r="R1262" t="s">
        <v>95</v>
      </c>
      <c r="S1262" t="s">
        <v>76</v>
      </c>
      <c r="T1262" t="s">
        <v>76</v>
      </c>
      <c r="U1262">
        <v>1</v>
      </c>
      <c r="V1262" s="13">
        <v>45175</v>
      </c>
      <c r="W1262">
        <v>1</v>
      </c>
      <c r="X1262">
        <v>1</v>
      </c>
      <c r="Y1262" t="s">
        <v>3738</v>
      </c>
      <c r="AC1262">
        <v>4858</v>
      </c>
      <c r="AD1262" t="e" vm="1252">
        <v>#VALUE!</v>
      </c>
    </row>
    <row r="1263" spans="2:30" x14ac:dyDescent="0.25">
      <c r="B1263">
        <v>4859</v>
      </c>
      <c r="C1263" t="s">
        <v>3662</v>
      </c>
      <c r="D1263" t="s">
        <v>3665</v>
      </c>
      <c r="E1263" t="s">
        <v>3815</v>
      </c>
      <c r="F1263" t="s">
        <v>92</v>
      </c>
      <c r="G1263" t="s">
        <v>96</v>
      </c>
      <c r="H1263" t="s">
        <v>3808</v>
      </c>
      <c r="I1263" t="s">
        <v>3809</v>
      </c>
      <c r="J1263" t="s">
        <v>3810</v>
      </c>
      <c r="K1263" t="s">
        <v>79</v>
      </c>
      <c r="L1263" s="13">
        <v>39037</v>
      </c>
      <c r="M1263">
        <v>17</v>
      </c>
      <c r="N1263" t="s">
        <v>79</v>
      </c>
      <c r="O1263" t="s">
        <v>3878</v>
      </c>
      <c r="P1263" t="s">
        <v>76</v>
      </c>
      <c r="Q1263" t="s">
        <v>95</v>
      </c>
      <c r="R1263" t="s">
        <v>95</v>
      </c>
      <c r="S1263" t="s">
        <v>76</v>
      </c>
      <c r="T1263" t="s">
        <v>76</v>
      </c>
      <c r="U1263">
        <v>1</v>
      </c>
      <c r="V1263" s="13">
        <v>45175</v>
      </c>
      <c r="W1263">
        <v>1</v>
      </c>
      <c r="X1263">
        <v>1</v>
      </c>
      <c r="Y1263" t="s">
        <v>3666</v>
      </c>
      <c r="AC1263">
        <v>4859</v>
      </c>
      <c r="AD1263" t="e" vm="1253">
        <v>#VALUE!</v>
      </c>
    </row>
    <row r="1264" spans="2:30" x14ac:dyDescent="0.25">
      <c r="B1264">
        <v>4860</v>
      </c>
      <c r="C1264" t="s">
        <v>3668</v>
      </c>
      <c r="D1264" t="s">
        <v>3669</v>
      </c>
      <c r="E1264" t="s">
        <v>3817</v>
      </c>
      <c r="F1264" t="s">
        <v>81</v>
      </c>
      <c r="G1264" t="s">
        <v>80</v>
      </c>
      <c r="H1264" t="s">
        <v>3808</v>
      </c>
      <c r="I1264" t="s">
        <v>3809</v>
      </c>
      <c r="J1264" t="s">
        <v>3810</v>
      </c>
      <c r="K1264" t="s">
        <v>79</v>
      </c>
      <c r="L1264" s="13">
        <v>39044</v>
      </c>
      <c r="M1264">
        <v>17</v>
      </c>
      <c r="N1264" t="s">
        <v>82</v>
      </c>
      <c r="O1264" t="s">
        <v>3878</v>
      </c>
      <c r="P1264" t="s">
        <v>76</v>
      </c>
      <c r="Q1264" t="s">
        <v>95</v>
      </c>
      <c r="R1264" t="s">
        <v>95</v>
      </c>
      <c r="S1264" t="s">
        <v>76</v>
      </c>
      <c r="T1264" t="s">
        <v>76</v>
      </c>
      <c r="U1264">
        <v>1</v>
      </c>
      <c r="V1264" s="13">
        <v>45175</v>
      </c>
      <c r="W1264">
        <v>1</v>
      </c>
      <c r="X1264">
        <v>1</v>
      </c>
      <c r="Y1264" t="s">
        <v>3670</v>
      </c>
      <c r="AC1264">
        <v>4860</v>
      </c>
      <c r="AD1264" t="e" vm="1254">
        <v>#VALUE!</v>
      </c>
    </row>
    <row r="1265" spans="2:30" x14ac:dyDescent="0.25">
      <c r="B1265">
        <v>4861</v>
      </c>
      <c r="C1265" t="s">
        <v>3662</v>
      </c>
      <c r="D1265" t="s">
        <v>3665</v>
      </c>
      <c r="E1265" t="s">
        <v>3815</v>
      </c>
      <c r="F1265" t="s">
        <v>92</v>
      </c>
      <c r="G1265" t="s">
        <v>96</v>
      </c>
      <c r="H1265" t="s">
        <v>3808</v>
      </c>
      <c r="I1265" t="s">
        <v>3809</v>
      </c>
      <c r="J1265" t="s">
        <v>3810</v>
      </c>
      <c r="K1265" t="s">
        <v>79</v>
      </c>
      <c r="L1265" s="13">
        <v>39045</v>
      </c>
      <c r="M1265">
        <v>17</v>
      </c>
      <c r="N1265" t="s">
        <v>79</v>
      </c>
      <c r="O1265" t="s">
        <v>3878</v>
      </c>
      <c r="P1265" t="s">
        <v>76</v>
      </c>
      <c r="Q1265" t="s">
        <v>95</v>
      </c>
      <c r="R1265" t="s">
        <v>95</v>
      </c>
      <c r="S1265" t="s">
        <v>76</v>
      </c>
      <c r="T1265" t="s">
        <v>76</v>
      </c>
      <c r="U1265">
        <v>1</v>
      </c>
      <c r="V1265" s="13">
        <v>45175</v>
      </c>
      <c r="W1265">
        <v>1</v>
      </c>
      <c r="X1265">
        <v>1</v>
      </c>
      <c r="Y1265" t="s">
        <v>3666</v>
      </c>
      <c r="AC1265">
        <v>4861</v>
      </c>
      <c r="AD1265" t="e" vm="1255">
        <v>#VALUE!</v>
      </c>
    </row>
    <row r="1266" spans="2:30" x14ac:dyDescent="0.25">
      <c r="B1266">
        <v>4862</v>
      </c>
      <c r="C1266" t="s">
        <v>3662</v>
      </c>
      <c r="D1266" t="s">
        <v>3669</v>
      </c>
      <c r="E1266" t="s">
        <v>3817</v>
      </c>
      <c r="F1266" t="s">
        <v>81</v>
      </c>
      <c r="G1266" t="s">
        <v>80</v>
      </c>
      <c r="H1266" t="s">
        <v>3808</v>
      </c>
      <c r="I1266" t="s">
        <v>3809</v>
      </c>
      <c r="J1266" t="s">
        <v>3810</v>
      </c>
      <c r="K1266" t="s">
        <v>79</v>
      </c>
      <c r="L1266" s="13">
        <v>39045</v>
      </c>
      <c r="M1266">
        <v>17</v>
      </c>
      <c r="N1266" t="s">
        <v>79</v>
      </c>
      <c r="O1266" t="s">
        <v>3878</v>
      </c>
      <c r="P1266" t="s">
        <v>76</v>
      </c>
      <c r="Q1266" t="s">
        <v>95</v>
      </c>
      <c r="R1266" t="s">
        <v>95</v>
      </c>
      <c r="S1266" t="s">
        <v>76</v>
      </c>
      <c r="T1266" t="s">
        <v>76</v>
      </c>
      <c r="U1266">
        <v>1</v>
      </c>
      <c r="V1266" s="13">
        <v>45175</v>
      </c>
      <c r="W1266">
        <v>1</v>
      </c>
      <c r="X1266">
        <v>1</v>
      </c>
      <c r="Y1266" t="s">
        <v>3745</v>
      </c>
      <c r="AC1266">
        <v>4862</v>
      </c>
      <c r="AD1266" t="e" vm="1256">
        <v>#VALUE!</v>
      </c>
    </row>
    <row r="1267" spans="2:30" x14ac:dyDescent="0.25">
      <c r="B1267">
        <v>4863</v>
      </c>
      <c r="C1267" t="s">
        <v>3662</v>
      </c>
      <c r="D1267" t="s">
        <v>3665</v>
      </c>
      <c r="E1267" t="s">
        <v>3815</v>
      </c>
      <c r="F1267" t="s">
        <v>92</v>
      </c>
      <c r="G1267" t="s">
        <v>96</v>
      </c>
      <c r="H1267" t="s">
        <v>3808</v>
      </c>
      <c r="I1267" t="s">
        <v>3809</v>
      </c>
      <c r="J1267" t="s">
        <v>3810</v>
      </c>
      <c r="K1267" t="s">
        <v>79</v>
      </c>
      <c r="L1267" s="13">
        <v>39045</v>
      </c>
      <c r="M1267">
        <v>17</v>
      </c>
      <c r="N1267" t="s">
        <v>79</v>
      </c>
      <c r="O1267" t="s">
        <v>3878</v>
      </c>
      <c r="P1267" t="s">
        <v>76</v>
      </c>
      <c r="Q1267" t="s">
        <v>95</v>
      </c>
      <c r="R1267" t="s">
        <v>95</v>
      </c>
      <c r="S1267" t="s">
        <v>76</v>
      </c>
      <c r="T1267" t="s">
        <v>76</v>
      </c>
      <c r="U1267">
        <v>1</v>
      </c>
      <c r="V1267" s="13">
        <v>45175</v>
      </c>
      <c r="W1267">
        <v>1</v>
      </c>
      <c r="X1267">
        <v>1</v>
      </c>
      <c r="Y1267" t="s">
        <v>3666</v>
      </c>
      <c r="AC1267">
        <v>4863</v>
      </c>
      <c r="AD1267" t="e" vm="1257">
        <v>#VALUE!</v>
      </c>
    </row>
    <row r="1268" spans="2:30" x14ac:dyDescent="0.25">
      <c r="B1268">
        <v>4864</v>
      </c>
      <c r="C1268" t="s">
        <v>3662</v>
      </c>
      <c r="D1268" t="s">
        <v>3665</v>
      </c>
      <c r="E1268" t="s">
        <v>3815</v>
      </c>
      <c r="F1268" t="s">
        <v>92</v>
      </c>
      <c r="G1268" t="s">
        <v>96</v>
      </c>
      <c r="H1268" t="s">
        <v>3808</v>
      </c>
      <c r="I1268" t="s">
        <v>3809</v>
      </c>
      <c r="J1268" t="s">
        <v>3810</v>
      </c>
      <c r="K1268" t="s">
        <v>79</v>
      </c>
      <c r="L1268" s="13">
        <v>39147</v>
      </c>
      <c r="M1268">
        <v>17</v>
      </c>
      <c r="N1268" t="s">
        <v>79</v>
      </c>
      <c r="O1268" t="s">
        <v>3878</v>
      </c>
      <c r="P1268" t="s">
        <v>76</v>
      </c>
      <c r="Q1268" t="s">
        <v>95</v>
      </c>
      <c r="R1268" t="s">
        <v>95</v>
      </c>
      <c r="S1268" t="s">
        <v>76</v>
      </c>
      <c r="T1268" t="s">
        <v>76</v>
      </c>
      <c r="U1268">
        <v>1</v>
      </c>
      <c r="V1268" s="13">
        <v>45175</v>
      </c>
      <c r="W1268">
        <v>1</v>
      </c>
      <c r="X1268">
        <v>1</v>
      </c>
      <c r="Y1268" t="s">
        <v>3666</v>
      </c>
      <c r="AC1268">
        <v>4864</v>
      </c>
      <c r="AD1268" t="e" vm="1258">
        <v>#VALUE!</v>
      </c>
    </row>
    <row r="1269" spans="2:30" x14ac:dyDescent="0.25">
      <c r="B1269">
        <v>4865</v>
      </c>
      <c r="C1269" t="s">
        <v>3662</v>
      </c>
      <c r="D1269" t="s">
        <v>3665</v>
      </c>
      <c r="E1269" t="s">
        <v>3815</v>
      </c>
      <c r="F1269" t="s">
        <v>92</v>
      </c>
      <c r="G1269" t="s">
        <v>96</v>
      </c>
      <c r="H1269" t="s">
        <v>3808</v>
      </c>
      <c r="I1269" t="s">
        <v>3809</v>
      </c>
      <c r="J1269" t="s">
        <v>3810</v>
      </c>
      <c r="K1269" t="s">
        <v>79</v>
      </c>
      <c r="L1269" s="13">
        <v>39147</v>
      </c>
      <c r="M1269">
        <v>17</v>
      </c>
      <c r="N1269" t="s">
        <v>79</v>
      </c>
      <c r="O1269" t="s">
        <v>3878</v>
      </c>
      <c r="P1269" t="s">
        <v>76</v>
      </c>
      <c r="Q1269" t="s">
        <v>95</v>
      </c>
      <c r="R1269" t="s">
        <v>95</v>
      </c>
      <c r="S1269" t="s">
        <v>76</v>
      </c>
      <c r="T1269" t="s">
        <v>76</v>
      </c>
      <c r="U1269">
        <v>1</v>
      </c>
      <c r="V1269" s="13">
        <v>45175</v>
      </c>
      <c r="W1269">
        <v>1</v>
      </c>
      <c r="X1269">
        <v>1</v>
      </c>
      <c r="Y1269" t="s">
        <v>3666</v>
      </c>
      <c r="AC1269">
        <v>4865</v>
      </c>
      <c r="AD1269" t="e" vm="1259">
        <v>#VALUE!</v>
      </c>
    </row>
    <row r="1270" spans="2:30" x14ac:dyDescent="0.25">
      <c r="B1270">
        <v>4866</v>
      </c>
      <c r="C1270" t="s">
        <v>3662</v>
      </c>
      <c r="D1270" t="s">
        <v>3665</v>
      </c>
      <c r="E1270" t="s">
        <v>3815</v>
      </c>
      <c r="F1270" t="s">
        <v>92</v>
      </c>
      <c r="G1270" t="s">
        <v>96</v>
      </c>
      <c r="H1270" t="s">
        <v>3808</v>
      </c>
      <c r="I1270" t="s">
        <v>3809</v>
      </c>
      <c r="J1270" t="s">
        <v>3810</v>
      </c>
      <c r="K1270" t="s">
        <v>79</v>
      </c>
      <c r="L1270" s="13">
        <v>39147</v>
      </c>
      <c r="M1270">
        <v>17</v>
      </c>
      <c r="N1270" t="s">
        <v>79</v>
      </c>
      <c r="O1270" t="s">
        <v>3878</v>
      </c>
      <c r="P1270" t="s">
        <v>76</v>
      </c>
      <c r="Q1270" t="s">
        <v>95</v>
      </c>
      <c r="R1270" t="s">
        <v>95</v>
      </c>
      <c r="S1270" t="s">
        <v>76</v>
      </c>
      <c r="T1270" t="s">
        <v>76</v>
      </c>
      <c r="U1270">
        <v>1</v>
      </c>
      <c r="V1270" s="13">
        <v>45175</v>
      </c>
      <c r="W1270">
        <v>1</v>
      </c>
      <c r="X1270">
        <v>1</v>
      </c>
      <c r="Y1270" t="s">
        <v>3666</v>
      </c>
      <c r="AC1270">
        <v>4866</v>
      </c>
      <c r="AD1270" t="e" vm="1260">
        <v>#VALUE!</v>
      </c>
    </row>
    <row r="1271" spans="2:30" x14ac:dyDescent="0.25">
      <c r="B1271">
        <v>4867</v>
      </c>
      <c r="C1271" t="s">
        <v>3662</v>
      </c>
      <c r="D1271" t="s">
        <v>3665</v>
      </c>
      <c r="E1271" t="s">
        <v>3815</v>
      </c>
      <c r="F1271" t="s">
        <v>92</v>
      </c>
      <c r="G1271" t="s">
        <v>96</v>
      </c>
      <c r="H1271" t="s">
        <v>3808</v>
      </c>
      <c r="I1271" t="s">
        <v>3809</v>
      </c>
      <c r="J1271" t="s">
        <v>3810</v>
      </c>
      <c r="K1271" t="s">
        <v>79</v>
      </c>
      <c r="L1271" s="13">
        <v>39147</v>
      </c>
      <c r="M1271">
        <v>17</v>
      </c>
      <c r="N1271" t="s">
        <v>79</v>
      </c>
      <c r="O1271" t="s">
        <v>3878</v>
      </c>
      <c r="P1271" t="s">
        <v>76</v>
      </c>
      <c r="Q1271" t="s">
        <v>95</v>
      </c>
      <c r="R1271" t="s">
        <v>95</v>
      </c>
      <c r="S1271" t="s">
        <v>76</v>
      </c>
      <c r="T1271" t="s">
        <v>76</v>
      </c>
      <c r="U1271">
        <v>1</v>
      </c>
      <c r="V1271" s="13">
        <v>45175</v>
      </c>
      <c r="W1271">
        <v>1</v>
      </c>
      <c r="X1271">
        <v>1</v>
      </c>
      <c r="Y1271" t="s">
        <v>3666</v>
      </c>
      <c r="AC1271">
        <v>4867</v>
      </c>
      <c r="AD1271" t="e" vm="1261">
        <v>#VALUE!</v>
      </c>
    </row>
    <row r="1272" spans="2:30" x14ac:dyDescent="0.25">
      <c r="B1272">
        <v>4868</v>
      </c>
      <c r="C1272" t="s">
        <v>3662</v>
      </c>
      <c r="D1272" t="s">
        <v>3665</v>
      </c>
      <c r="E1272" t="s">
        <v>3815</v>
      </c>
      <c r="F1272" t="s">
        <v>92</v>
      </c>
      <c r="G1272" t="s">
        <v>96</v>
      </c>
      <c r="H1272" t="s">
        <v>3808</v>
      </c>
      <c r="I1272" t="s">
        <v>3809</v>
      </c>
      <c r="J1272" t="s">
        <v>3810</v>
      </c>
      <c r="K1272" t="s">
        <v>79</v>
      </c>
      <c r="L1272" s="13">
        <v>39420</v>
      </c>
      <c r="M1272">
        <v>16</v>
      </c>
      <c r="N1272" t="s">
        <v>79</v>
      </c>
      <c r="O1272" t="s">
        <v>3878</v>
      </c>
      <c r="P1272" t="s">
        <v>76</v>
      </c>
      <c r="Q1272" t="s">
        <v>95</v>
      </c>
      <c r="R1272" t="s">
        <v>95</v>
      </c>
      <c r="S1272" t="s">
        <v>76</v>
      </c>
      <c r="T1272" t="s">
        <v>76</v>
      </c>
      <c r="U1272">
        <v>1</v>
      </c>
      <c r="V1272" s="13">
        <v>45175</v>
      </c>
      <c r="W1272">
        <v>1</v>
      </c>
      <c r="X1272">
        <v>1</v>
      </c>
      <c r="Y1272" t="s">
        <v>3666</v>
      </c>
      <c r="AC1272">
        <v>4868</v>
      </c>
      <c r="AD1272" t="e" vm="1262">
        <v>#VALUE!</v>
      </c>
    </row>
    <row r="1273" spans="2:30" x14ac:dyDescent="0.25">
      <c r="B1273">
        <v>4869</v>
      </c>
      <c r="C1273" t="s">
        <v>3662</v>
      </c>
      <c r="D1273" t="s">
        <v>3665</v>
      </c>
      <c r="E1273" t="s">
        <v>3815</v>
      </c>
      <c r="F1273" t="s">
        <v>92</v>
      </c>
      <c r="G1273" t="s">
        <v>96</v>
      </c>
      <c r="H1273" t="s">
        <v>3808</v>
      </c>
      <c r="I1273" t="s">
        <v>3809</v>
      </c>
      <c r="J1273" t="s">
        <v>3810</v>
      </c>
      <c r="K1273" t="s">
        <v>79</v>
      </c>
      <c r="L1273" s="13">
        <v>39150</v>
      </c>
      <c r="M1273">
        <v>17</v>
      </c>
      <c r="N1273" t="s">
        <v>79</v>
      </c>
      <c r="O1273" t="s">
        <v>3878</v>
      </c>
      <c r="P1273" t="s">
        <v>76</v>
      </c>
      <c r="Q1273" t="s">
        <v>95</v>
      </c>
      <c r="R1273" t="s">
        <v>95</v>
      </c>
      <c r="S1273" t="s">
        <v>76</v>
      </c>
      <c r="T1273" t="s">
        <v>76</v>
      </c>
      <c r="U1273">
        <v>1</v>
      </c>
      <c r="V1273" s="13">
        <v>45175</v>
      </c>
      <c r="W1273">
        <v>1</v>
      </c>
      <c r="X1273">
        <v>1</v>
      </c>
      <c r="Y1273" t="s">
        <v>3666</v>
      </c>
      <c r="AC1273">
        <v>4869</v>
      </c>
      <c r="AD1273" t="e" vm="1263">
        <v>#VALUE!</v>
      </c>
    </row>
    <row r="1274" spans="2:30" x14ac:dyDescent="0.25">
      <c r="B1274">
        <v>4870</v>
      </c>
      <c r="C1274" t="s">
        <v>3662</v>
      </c>
      <c r="D1274" t="s">
        <v>3665</v>
      </c>
      <c r="E1274" t="s">
        <v>3815</v>
      </c>
      <c r="F1274" t="s">
        <v>92</v>
      </c>
      <c r="G1274" t="s">
        <v>96</v>
      </c>
      <c r="H1274" t="s">
        <v>3808</v>
      </c>
      <c r="I1274" t="s">
        <v>3809</v>
      </c>
      <c r="J1274" t="s">
        <v>3810</v>
      </c>
      <c r="K1274" t="s">
        <v>79</v>
      </c>
      <c r="L1274" s="13">
        <v>39150</v>
      </c>
      <c r="M1274">
        <v>17</v>
      </c>
      <c r="N1274" t="s">
        <v>79</v>
      </c>
      <c r="O1274" t="s">
        <v>3878</v>
      </c>
      <c r="P1274" t="s">
        <v>76</v>
      </c>
      <c r="Q1274" t="s">
        <v>95</v>
      </c>
      <c r="R1274" t="s">
        <v>95</v>
      </c>
      <c r="S1274" t="s">
        <v>76</v>
      </c>
      <c r="T1274" t="s">
        <v>76</v>
      </c>
      <c r="U1274">
        <v>1</v>
      </c>
      <c r="V1274" s="13">
        <v>45175</v>
      </c>
      <c r="W1274">
        <v>1</v>
      </c>
      <c r="X1274">
        <v>1</v>
      </c>
      <c r="Y1274" t="s">
        <v>3666</v>
      </c>
      <c r="AC1274">
        <v>4870</v>
      </c>
      <c r="AD1274" t="e" vm="1264">
        <v>#VALUE!</v>
      </c>
    </row>
    <row r="1275" spans="2:30" x14ac:dyDescent="0.25">
      <c r="B1275">
        <v>4871</v>
      </c>
      <c r="C1275" t="s">
        <v>3662</v>
      </c>
      <c r="D1275" t="s">
        <v>3665</v>
      </c>
      <c r="E1275" t="s">
        <v>3815</v>
      </c>
      <c r="F1275" t="s">
        <v>92</v>
      </c>
      <c r="G1275" t="s">
        <v>96</v>
      </c>
      <c r="H1275" t="s">
        <v>3808</v>
      </c>
      <c r="I1275" t="s">
        <v>3809</v>
      </c>
      <c r="J1275" t="s">
        <v>3810</v>
      </c>
      <c r="K1275" t="s">
        <v>79</v>
      </c>
      <c r="L1275" s="13">
        <v>39150</v>
      </c>
      <c r="M1275">
        <v>17</v>
      </c>
      <c r="N1275" t="s">
        <v>79</v>
      </c>
      <c r="O1275" t="s">
        <v>3878</v>
      </c>
      <c r="P1275" t="s">
        <v>76</v>
      </c>
      <c r="Q1275" t="s">
        <v>95</v>
      </c>
      <c r="R1275" t="s">
        <v>95</v>
      </c>
      <c r="S1275" t="s">
        <v>76</v>
      </c>
      <c r="T1275" t="s">
        <v>76</v>
      </c>
      <c r="U1275">
        <v>1</v>
      </c>
      <c r="V1275" s="13">
        <v>45175</v>
      </c>
      <c r="W1275">
        <v>1</v>
      </c>
      <c r="X1275">
        <v>1</v>
      </c>
      <c r="Y1275" t="s">
        <v>3666</v>
      </c>
      <c r="AC1275">
        <v>4871</v>
      </c>
      <c r="AD1275" t="e" vm="1265">
        <v>#VALUE!</v>
      </c>
    </row>
    <row r="1276" spans="2:30" x14ac:dyDescent="0.25">
      <c r="B1276">
        <v>4872</v>
      </c>
      <c r="C1276" t="s">
        <v>3662</v>
      </c>
      <c r="D1276" t="s">
        <v>3665</v>
      </c>
      <c r="E1276" t="s">
        <v>3815</v>
      </c>
      <c r="F1276" t="s">
        <v>92</v>
      </c>
      <c r="G1276" t="s">
        <v>96</v>
      </c>
      <c r="H1276" t="s">
        <v>3808</v>
      </c>
      <c r="I1276" t="s">
        <v>3809</v>
      </c>
      <c r="J1276" t="s">
        <v>3810</v>
      </c>
      <c r="K1276" t="s">
        <v>79</v>
      </c>
      <c r="L1276" s="13">
        <v>39150</v>
      </c>
      <c r="M1276">
        <v>17</v>
      </c>
      <c r="N1276" t="s">
        <v>79</v>
      </c>
      <c r="O1276" t="s">
        <v>3878</v>
      </c>
      <c r="P1276" t="s">
        <v>76</v>
      </c>
      <c r="Q1276" t="s">
        <v>95</v>
      </c>
      <c r="R1276" t="s">
        <v>95</v>
      </c>
      <c r="S1276" t="s">
        <v>76</v>
      </c>
      <c r="T1276" t="s">
        <v>76</v>
      </c>
      <c r="U1276">
        <v>1</v>
      </c>
      <c r="V1276" s="13">
        <v>45175</v>
      </c>
      <c r="W1276">
        <v>1</v>
      </c>
      <c r="X1276">
        <v>1</v>
      </c>
      <c r="Y1276" t="s">
        <v>3666</v>
      </c>
      <c r="AC1276">
        <v>4872</v>
      </c>
      <c r="AD1276" t="e" vm="1266">
        <v>#VALUE!</v>
      </c>
    </row>
    <row r="1277" spans="2:30" x14ac:dyDescent="0.25">
      <c r="B1277">
        <v>4873</v>
      </c>
      <c r="C1277" t="s">
        <v>3662</v>
      </c>
      <c r="D1277" t="s">
        <v>73</v>
      </c>
      <c r="E1277" t="s">
        <v>73</v>
      </c>
      <c r="F1277" t="s">
        <v>3816</v>
      </c>
      <c r="G1277" t="s">
        <v>3816</v>
      </c>
      <c r="H1277" t="s">
        <v>3808</v>
      </c>
      <c r="I1277" t="s">
        <v>3809</v>
      </c>
      <c r="J1277" t="s">
        <v>3810</v>
      </c>
      <c r="K1277" t="s">
        <v>79</v>
      </c>
      <c r="L1277" s="13">
        <v>39150</v>
      </c>
      <c r="M1277">
        <v>17</v>
      </c>
      <c r="N1277" t="s">
        <v>79</v>
      </c>
      <c r="O1277" t="s">
        <v>3878</v>
      </c>
      <c r="P1277" t="s">
        <v>76</v>
      </c>
      <c r="Q1277" t="s">
        <v>95</v>
      </c>
      <c r="R1277" t="s">
        <v>95</v>
      </c>
      <c r="S1277" t="s">
        <v>76</v>
      </c>
      <c r="T1277" t="s">
        <v>76</v>
      </c>
      <c r="U1277">
        <v>1</v>
      </c>
      <c r="V1277" s="13">
        <v>45175</v>
      </c>
      <c r="W1277">
        <v>1</v>
      </c>
      <c r="X1277">
        <v>1</v>
      </c>
      <c r="Y1277" t="s">
        <v>3681</v>
      </c>
      <c r="AC1277">
        <v>4873</v>
      </c>
      <c r="AD1277" t="e" vm="1267">
        <v>#VALUE!</v>
      </c>
    </row>
    <row r="1278" spans="2:30" x14ac:dyDescent="0.25">
      <c r="B1278">
        <v>4874</v>
      </c>
      <c r="C1278" t="s">
        <v>3662</v>
      </c>
      <c r="D1278" t="s">
        <v>3665</v>
      </c>
      <c r="E1278" t="s">
        <v>3815</v>
      </c>
      <c r="F1278" t="s">
        <v>92</v>
      </c>
      <c r="G1278" t="s">
        <v>96</v>
      </c>
      <c r="H1278" t="s">
        <v>3808</v>
      </c>
      <c r="I1278" t="s">
        <v>3809</v>
      </c>
      <c r="J1278" t="s">
        <v>3810</v>
      </c>
      <c r="K1278" t="s">
        <v>79</v>
      </c>
      <c r="L1278" s="13">
        <v>39162</v>
      </c>
      <c r="M1278">
        <v>16</v>
      </c>
      <c r="N1278" t="s">
        <v>79</v>
      </c>
      <c r="O1278" t="s">
        <v>3878</v>
      </c>
      <c r="P1278" t="s">
        <v>76</v>
      </c>
      <c r="Q1278" t="s">
        <v>95</v>
      </c>
      <c r="R1278" t="s">
        <v>95</v>
      </c>
      <c r="S1278" t="s">
        <v>76</v>
      </c>
      <c r="T1278" t="s">
        <v>76</v>
      </c>
      <c r="U1278">
        <v>1</v>
      </c>
      <c r="V1278" s="13">
        <v>45175</v>
      </c>
      <c r="W1278">
        <v>1</v>
      </c>
      <c r="X1278">
        <v>1</v>
      </c>
      <c r="Y1278" t="s">
        <v>3666</v>
      </c>
      <c r="AC1278">
        <v>4874</v>
      </c>
      <c r="AD1278" t="e" vm="1268">
        <v>#VALUE!</v>
      </c>
    </row>
    <row r="1279" spans="2:30" x14ac:dyDescent="0.25">
      <c r="B1279">
        <v>4875</v>
      </c>
      <c r="C1279" t="s">
        <v>3662</v>
      </c>
      <c r="D1279" t="s">
        <v>3665</v>
      </c>
      <c r="E1279" t="s">
        <v>3815</v>
      </c>
      <c r="F1279" t="s">
        <v>92</v>
      </c>
      <c r="G1279" t="s">
        <v>96</v>
      </c>
      <c r="H1279" t="s">
        <v>3808</v>
      </c>
      <c r="I1279" t="s">
        <v>3809</v>
      </c>
      <c r="J1279" t="s">
        <v>3810</v>
      </c>
      <c r="K1279" t="s">
        <v>79</v>
      </c>
      <c r="L1279" s="13">
        <v>39162</v>
      </c>
      <c r="M1279">
        <v>16</v>
      </c>
      <c r="N1279" t="s">
        <v>79</v>
      </c>
      <c r="O1279" t="s">
        <v>3878</v>
      </c>
      <c r="P1279" t="s">
        <v>76</v>
      </c>
      <c r="Q1279" t="s">
        <v>95</v>
      </c>
      <c r="R1279" t="s">
        <v>95</v>
      </c>
      <c r="S1279" t="s">
        <v>76</v>
      </c>
      <c r="T1279" t="s">
        <v>76</v>
      </c>
      <c r="U1279">
        <v>1</v>
      </c>
      <c r="V1279" s="13">
        <v>45175</v>
      </c>
      <c r="W1279">
        <v>1</v>
      </c>
      <c r="X1279">
        <v>1</v>
      </c>
      <c r="Y1279" t="s">
        <v>3666</v>
      </c>
      <c r="AC1279">
        <v>4875</v>
      </c>
      <c r="AD1279" t="e" vm="1269">
        <v>#VALUE!</v>
      </c>
    </row>
    <row r="1280" spans="2:30" x14ac:dyDescent="0.25">
      <c r="B1280">
        <v>4876</v>
      </c>
      <c r="C1280" t="s">
        <v>3662</v>
      </c>
      <c r="D1280" t="s">
        <v>3665</v>
      </c>
      <c r="E1280" t="s">
        <v>3815</v>
      </c>
      <c r="F1280" t="s">
        <v>92</v>
      </c>
      <c r="G1280" t="s">
        <v>96</v>
      </c>
      <c r="H1280" t="s">
        <v>3808</v>
      </c>
      <c r="I1280" t="s">
        <v>3809</v>
      </c>
      <c r="J1280" t="s">
        <v>3810</v>
      </c>
      <c r="K1280" t="s">
        <v>79</v>
      </c>
      <c r="L1280" s="13">
        <v>39162</v>
      </c>
      <c r="M1280">
        <v>16</v>
      </c>
      <c r="N1280" t="s">
        <v>79</v>
      </c>
      <c r="O1280" t="s">
        <v>3878</v>
      </c>
      <c r="P1280" t="s">
        <v>76</v>
      </c>
      <c r="Q1280" t="s">
        <v>95</v>
      </c>
      <c r="R1280" t="s">
        <v>95</v>
      </c>
      <c r="S1280" t="s">
        <v>76</v>
      </c>
      <c r="T1280" t="s">
        <v>76</v>
      </c>
      <c r="U1280">
        <v>1</v>
      </c>
      <c r="V1280" s="13">
        <v>45175</v>
      </c>
      <c r="W1280">
        <v>1</v>
      </c>
      <c r="X1280">
        <v>1</v>
      </c>
      <c r="Y1280" t="s">
        <v>3666</v>
      </c>
      <c r="AC1280">
        <v>4876</v>
      </c>
      <c r="AD1280" t="e" vm="1270">
        <v>#VALUE!</v>
      </c>
    </row>
    <row r="1281" spans="2:30" x14ac:dyDescent="0.25">
      <c r="B1281">
        <v>4877</v>
      </c>
      <c r="C1281" t="s">
        <v>3662</v>
      </c>
      <c r="D1281" t="s">
        <v>3665</v>
      </c>
      <c r="E1281" t="s">
        <v>3815</v>
      </c>
      <c r="F1281" t="s">
        <v>92</v>
      </c>
      <c r="G1281" t="s">
        <v>96</v>
      </c>
      <c r="H1281" t="s">
        <v>3808</v>
      </c>
      <c r="I1281" t="s">
        <v>3809</v>
      </c>
      <c r="J1281" t="s">
        <v>3810</v>
      </c>
      <c r="K1281" t="s">
        <v>79</v>
      </c>
      <c r="L1281" s="13">
        <v>39170</v>
      </c>
      <c r="M1281">
        <v>16</v>
      </c>
      <c r="N1281" t="s">
        <v>79</v>
      </c>
      <c r="O1281" t="s">
        <v>3878</v>
      </c>
      <c r="P1281" t="s">
        <v>76</v>
      </c>
      <c r="Q1281" t="s">
        <v>95</v>
      </c>
      <c r="R1281" t="s">
        <v>95</v>
      </c>
      <c r="S1281" t="s">
        <v>76</v>
      </c>
      <c r="T1281" t="s">
        <v>76</v>
      </c>
      <c r="U1281">
        <v>1</v>
      </c>
      <c r="V1281" s="13">
        <v>45175</v>
      </c>
      <c r="W1281">
        <v>1</v>
      </c>
      <c r="X1281">
        <v>1</v>
      </c>
      <c r="Y1281" t="s">
        <v>3666</v>
      </c>
      <c r="AC1281">
        <v>4877</v>
      </c>
      <c r="AD1281" t="e" vm="1271">
        <v>#VALUE!</v>
      </c>
    </row>
    <row r="1282" spans="2:30" x14ac:dyDescent="0.25">
      <c r="B1282">
        <v>4878</v>
      </c>
      <c r="C1282" t="s">
        <v>3662</v>
      </c>
      <c r="D1282" t="s">
        <v>3665</v>
      </c>
      <c r="E1282" t="s">
        <v>3815</v>
      </c>
      <c r="F1282" t="s">
        <v>92</v>
      </c>
      <c r="G1282" t="s">
        <v>96</v>
      </c>
      <c r="H1282" t="s">
        <v>3808</v>
      </c>
      <c r="I1282" t="s">
        <v>3809</v>
      </c>
      <c r="J1282" t="s">
        <v>3810</v>
      </c>
      <c r="K1282" t="s">
        <v>79</v>
      </c>
      <c r="L1282" s="13">
        <v>39170</v>
      </c>
      <c r="M1282">
        <v>16</v>
      </c>
      <c r="N1282" t="s">
        <v>79</v>
      </c>
      <c r="O1282" t="s">
        <v>3878</v>
      </c>
      <c r="P1282" t="s">
        <v>76</v>
      </c>
      <c r="Q1282" t="s">
        <v>95</v>
      </c>
      <c r="R1282" t="s">
        <v>95</v>
      </c>
      <c r="S1282" t="s">
        <v>76</v>
      </c>
      <c r="T1282" t="s">
        <v>76</v>
      </c>
      <c r="U1282">
        <v>1</v>
      </c>
      <c r="V1282" s="13">
        <v>45175</v>
      </c>
      <c r="W1282">
        <v>1</v>
      </c>
      <c r="X1282">
        <v>1</v>
      </c>
      <c r="Y1282" t="s">
        <v>3666</v>
      </c>
      <c r="AC1282">
        <v>4878</v>
      </c>
      <c r="AD1282" t="e" vm="1272">
        <v>#VALUE!</v>
      </c>
    </row>
    <row r="1283" spans="2:30" x14ac:dyDescent="0.25">
      <c r="B1283">
        <v>4879</v>
      </c>
      <c r="C1283" t="s">
        <v>3662</v>
      </c>
      <c r="D1283" t="s">
        <v>3665</v>
      </c>
      <c r="E1283" t="s">
        <v>3815</v>
      </c>
      <c r="F1283" t="s">
        <v>92</v>
      </c>
      <c r="G1283" t="s">
        <v>96</v>
      </c>
      <c r="H1283" t="s">
        <v>3808</v>
      </c>
      <c r="I1283" t="s">
        <v>3809</v>
      </c>
      <c r="J1283" t="s">
        <v>3810</v>
      </c>
      <c r="K1283" t="s">
        <v>79</v>
      </c>
      <c r="L1283" s="13">
        <v>39170</v>
      </c>
      <c r="M1283">
        <v>16</v>
      </c>
      <c r="N1283" t="s">
        <v>79</v>
      </c>
      <c r="O1283" t="s">
        <v>3878</v>
      </c>
      <c r="P1283" t="s">
        <v>76</v>
      </c>
      <c r="Q1283" t="s">
        <v>95</v>
      </c>
      <c r="R1283" t="s">
        <v>95</v>
      </c>
      <c r="S1283" t="s">
        <v>76</v>
      </c>
      <c r="T1283" t="s">
        <v>76</v>
      </c>
      <c r="U1283">
        <v>1</v>
      </c>
      <c r="V1283" s="13">
        <v>45175</v>
      </c>
      <c r="W1283">
        <v>1</v>
      </c>
      <c r="X1283">
        <v>1</v>
      </c>
      <c r="Y1283" t="s">
        <v>3666</v>
      </c>
      <c r="AC1283">
        <v>4879</v>
      </c>
      <c r="AD1283" t="e" vm="1273">
        <v>#VALUE!</v>
      </c>
    </row>
    <row r="1284" spans="2:30" x14ac:dyDescent="0.25">
      <c r="B1284">
        <v>4883</v>
      </c>
      <c r="C1284" t="s">
        <v>3646</v>
      </c>
      <c r="D1284" t="s">
        <v>3682</v>
      </c>
      <c r="E1284" t="s">
        <v>3826</v>
      </c>
      <c r="F1284" t="s">
        <v>81</v>
      </c>
      <c r="G1284" t="s">
        <v>100</v>
      </c>
      <c r="H1284" t="s">
        <v>3808</v>
      </c>
      <c r="I1284" t="s">
        <v>3809</v>
      </c>
      <c r="J1284" t="s">
        <v>3862</v>
      </c>
      <c r="K1284" t="s">
        <v>79</v>
      </c>
      <c r="L1284" s="13">
        <v>38910</v>
      </c>
      <c r="M1284">
        <v>17</v>
      </c>
      <c r="N1284" t="s">
        <v>90</v>
      </c>
      <c r="O1284" t="s">
        <v>3879</v>
      </c>
      <c r="P1284" t="s">
        <v>76</v>
      </c>
      <c r="Q1284" t="s">
        <v>76</v>
      </c>
      <c r="R1284" t="s">
        <v>95</v>
      </c>
      <c r="S1284" t="s">
        <v>76</v>
      </c>
      <c r="T1284" t="s">
        <v>76</v>
      </c>
      <c r="U1284">
        <v>1</v>
      </c>
      <c r="V1284" s="13">
        <v>45175</v>
      </c>
      <c r="W1284">
        <v>1</v>
      </c>
      <c r="X1284">
        <v>1</v>
      </c>
      <c r="Y1284" t="s">
        <v>3683</v>
      </c>
      <c r="AC1284">
        <v>4883</v>
      </c>
      <c r="AD1284" t="e" vm="1274">
        <v>#VALUE!</v>
      </c>
    </row>
    <row r="1285" spans="2:30" x14ac:dyDescent="0.25">
      <c r="B1285">
        <v>4884</v>
      </c>
      <c r="C1285" t="s">
        <v>3646</v>
      </c>
      <c r="D1285" t="s">
        <v>3682</v>
      </c>
      <c r="E1285" t="s">
        <v>3826</v>
      </c>
      <c r="F1285" t="s">
        <v>81</v>
      </c>
      <c r="G1285" t="s">
        <v>100</v>
      </c>
      <c r="H1285" t="s">
        <v>3808</v>
      </c>
      <c r="I1285" t="s">
        <v>3809</v>
      </c>
      <c r="J1285" t="s">
        <v>3862</v>
      </c>
      <c r="K1285" t="s">
        <v>79</v>
      </c>
      <c r="L1285" s="13">
        <v>38918</v>
      </c>
      <c r="M1285">
        <v>17</v>
      </c>
      <c r="N1285" t="s">
        <v>90</v>
      </c>
      <c r="O1285" t="s">
        <v>3879</v>
      </c>
      <c r="P1285" t="s">
        <v>76</v>
      </c>
      <c r="Q1285" t="s">
        <v>76</v>
      </c>
      <c r="R1285" t="s">
        <v>95</v>
      </c>
      <c r="S1285" t="s">
        <v>76</v>
      </c>
      <c r="T1285" t="s">
        <v>76</v>
      </c>
      <c r="U1285">
        <v>1</v>
      </c>
      <c r="V1285" s="13">
        <v>45175</v>
      </c>
      <c r="W1285">
        <v>1</v>
      </c>
      <c r="X1285">
        <v>1</v>
      </c>
      <c r="Y1285" t="s">
        <v>3683</v>
      </c>
      <c r="AC1285">
        <v>4884</v>
      </c>
      <c r="AD1285" t="e" vm="1275">
        <v>#VALUE!</v>
      </c>
    </row>
    <row r="1286" spans="2:30" x14ac:dyDescent="0.25">
      <c r="B1286">
        <v>4885</v>
      </c>
      <c r="C1286" t="s">
        <v>3646</v>
      </c>
      <c r="D1286" t="s">
        <v>3682</v>
      </c>
      <c r="E1286" t="s">
        <v>3826</v>
      </c>
      <c r="F1286" t="s">
        <v>81</v>
      </c>
      <c r="G1286" t="s">
        <v>100</v>
      </c>
      <c r="H1286" t="s">
        <v>3808</v>
      </c>
      <c r="I1286" t="s">
        <v>3809</v>
      </c>
      <c r="J1286" t="s">
        <v>3862</v>
      </c>
      <c r="K1286" t="s">
        <v>79</v>
      </c>
      <c r="L1286" s="13">
        <v>38910</v>
      </c>
      <c r="M1286">
        <v>17</v>
      </c>
      <c r="N1286" t="s">
        <v>90</v>
      </c>
      <c r="O1286" t="s">
        <v>3879</v>
      </c>
      <c r="P1286" t="s">
        <v>76</v>
      </c>
      <c r="Q1286" t="s">
        <v>76</v>
      </c>
      <c r="R1286" t="s">
        <v>95</v>
      </c>
      <c r="S1286" t="s">
        <v>76</v>
      </c>
      <c r="T1286" t="s">
        <v>76</v>
      </c>
      <c r="U1286">
        <v>1</v>
      </c>
      <c r="V1286" s="13">
        <v>45175</v>
      </c>
      <c r="W1286">
        <v>1</v>
      </c>
      <c r="X1286">
        <v>1</v>
      </c>
      <c r="Y1286" t="s">
        <v>3683</v>
      </c>
      <c r="AC1286">
        <v>4885</v>
      </c>
      <c r="AD1286" t="e" vm="1276">
        <v>#VALUE!</v>
      </c>
    </row>
    <row r="1287" spans="2:30" x14ac:dyDescent="0.25">
      <c r="B1287">
        <v>4886</v>
      </c>
      <c r="C1287" t="s">
        <v>3646</v>
      </c>
      <c r="D1287" t="s">
        <v>3682</v>
      </c>
      <c r="E1287" t="s">
        <v>3826</v>
      </c>
      <c r="F1287" t="s">
        <v>81</v>
      </c>
      <c r="G1287" t="s">
        <v>100</v>
      </c>
      <c r="H1287" t="s">
        <v>3808</v>
      </c>
      <c r="I1287" t="s">
        <v>3809</v>
      </c>
      <c r="J1287" t="s">
        <v>3862</v>
      </c>
      <c r="K1287" t="s">
        <v>79</v>
      </c>
      <c r="L1287" s="13">
        <v>38922</v>
      </c>
      <c r="M1287">
        <v>17</v>
      </c>
      <c r="N1287" t="s">
        <v>90</v>
      </c>
      <c r="O1287" t="s">
        <v>3879</v>
      </c>
      <c r="P1287" t="s">
        <v>76</v>
      </c>
      <c r="Q1287" t="s">
        <v>76</v>
      </c>
      <c r="R1287" t="s">
        <v>95</v>
      </c>
      <c r="S1287" t="s">
        <v>76</v>
      </c>
      <c r="T1287" t="s">
        <v>76</v>
      </c>
      <c r="U1287">
        <v>1</v>
      </c>
      <c r="V1287" s="13">
        <v>45175</v>
      </c>
      <c r="W1287">
        <v>1</v>
      </c>
      <c r="X1287">
        <v>1</v>
      </c>
      <c r="Y1287" t="s">
        <v>3683</v>
      </c>
      <c r="AC1287">
        <v>4886</v>
      </c>
      <c r="AD1287" t="e" vm="1277">
        <v>#VALUE!</v>
      </c>
    </row>
    <row r="1288" spans="2:30" x14ac:dyDescent="0.25">
      <c r="B1288">
        <v>4887</v>
      </c>
      <c r="C1288" t="s">
        <v>3646</v>
      </c>
      <c r="D1288" t="s">
        <v>3682</v>
      </c>
      <c r="E1288" t="s">
        <v>3826</v>
      </c>
      <c r="F1288" t="s">
        <v>81</v>
      </c>
      <c r="G1288" t="s">
        <v>100</v>
      </c>
      <c r="H1288" t="s">
        <v>3808</v>
      </c>
      <c r="I1288" t="s">
        <v>3809</v>
      </c>
      <c r="J1288" t="s">
        <v>3862</v>
      </c>
      <c r="K1288" t="s">
        <v>79</v>
      </c>
      <c r="L1288" s="13">
        <v>38923</v>
      </c>
      <c r="M1288">
        <v>17</v>
      </c>
      <c r="N1288" t="s">
        <v>90</v>
      </c>
      <c r="O1288" t="s">
        <v>3879</v>
      </c>
      <c r="P1288" t="s">
        <v>76</v>
      </c>
      <c r="Q1288" t="s">
        <v>76</v>
      </c>
      <c r="R1288" t="s">
        <v>95</v>
      </c>
      <c r="S1288" t="s">
        <v>76</v>
      </c>
      <c r="T1288" t="s">
        <v>76</v>
      </c>
      <c r="U1288">
        <v>1</v>
      </c>
      <c r="V1288" s="13">
        <v>45175</v>
      </c>
      <c r="W1288">
        <v>1</v>
      </c>
      <c r="X1288">
        <v>1</v>
      </c>
      <c r="Y1288" t="s">
        <v>3683</v>
      </c>
      <c r="AC1288">
        <v>4887</v>
      </c>
      <c r="AD1288" t="e" vm="1278">
        <v>#VALUE!</v>
      </c>
    </row>
    <row r="1289" spans="2:30" x14ac:dyDescent="0.25">
      <c r="B1289">
        <v>4889</v>
      </c>
      <c r="C1289" t="s">
        <v>3646</v>
      </c>
      <c r="D1289" t="s">
        <v>3682</v>
      </c>
      <c r="E1289" t="s">
        <v>3826</v>
      </c>
      <c r="F1289" t="s">
        <v>81</v>
      </c>
      <c r="G1289" t="s">
        <v>100</v>
      </c>
      <c r="H1289" t="s">
        <v>3808</v>
      </c>
      <c r="I1289" t="s">
        <v>3809</v>
      </c>
      <c r="J1289" t="s">
        <v>3862</v>
      </c>
      <c r="K1289" t="s">
        <v>79</v>
      </c>
      <c r="L1289" s="13">
        <v>38924</v>
      </c>
      <c r="M1289">
        <v>17</v>
      </c>
      <c r="N1289" t="s">
        <v>90</v>
      </c>
      <c r="O1289" t="s">
        <v>3879</v>
      </c>
      <c r="P1289" t="s">
        <v>76</v>
      </c>
      <c r="Q1289" t="s">
        <v>76</v>
      </c>
      <c r="R1289" t="s">
        <v>95</v>
      </c>
      <c r="S1289" t="s">
        <v>76</v>
      </c>
      <c r="T1289" t="s">
        <v>76</v>
      </c>
      <c r="U1289">
        <v>1</v>
      </c>
      <c r="V1289" s="13">
        <v>45175</v>
      </c>
      <c r="W1289">
        <v>1</v>
      </c>
      <c r="X1289">
        <v>1</v>
      </c>
      <c r="Y1289" t="s">
        <v>3683</v>
      </c>
      <c r="AC1289">
        <v>4889</v>
      </c>
      <c r="AD1289" t="e" vm="1279">
        <v>#VALUE!</v>
      </c>
    </row>
    <row r="1290" spans="2:30" x14ac:dyDescent="0.25">
      <c r="B1290">
        <v>4890</v>
      </c>
      <c r="C1290" t="s">
        <v>3646</v>
      </c>
      <c r="D1290" t="s">
        <v>3682</v>
      </c>
      <c r="E1290" t="s">
        <v>3826</v>
      </c>
      <c r="F1290" t="s">
        <v>81</v>
      </c>
      <c r="G1290" t="s">
        <v>100</v>
      </c>
      <c r="H1290" t="s">
        <v>3808</v>
      </c>
      <c r="I1290" t="s">
        <v>3809</v>
      </c>
      <c r="J1290" t="s">
        <v>3862</v>
      </c>
      <c r="K1290" t="s">
        <v>79</v>
      </c>
      <c r="L1290" s="13">
        <v>38958</v>
      </c>
      <c r="M1290">
        <v>17</v>
      </c>
      <c r="N1290" t="s">
        <v>90</v>
      </c>
      <c r="O1290" t="s">
        <v>3879</v>
      </c>
      <c r="P1290" t="s">
        <v>76</v>
      </c>
      <c r="Q1290" t="s">
        <v>76</v>
      </c>
      <c r="R1290" t="s">
        <v>95</v>
      </c>
      <c r="S1290" t="s">
        <v>76</v>
      </c>
      <c r="T1290" t="s">
        <v>76</v>
      </c>
      <c r="U1290">
        <v>1</v>
      </c>
      <c r="V1290" s="13">
        <v>45175</v>
      </c>
      <c r="W1290">
        <v>1</v>
      </c>
      <c r="X1290">
        <v>1</v>
      </c>
      <c r="Y1290" t="s">
        <v>3683</v>
      </c>
      <c r="AC1290">
        <v>4890</v>
      </c>
      <c r="AD1290" t="e" vm="1280">
        <v>#VALUE!</v>
      </c>
    </row>
    <row r="1291" spans="2:30" x14ac:dyDescent="0.25">
      <c r="B1291">
        <v>4891</v>
      </c>
      <c r="C1291" t="s">
        <v>3646</v>
      </c>
      <c r="D1291" t="s">
        <v>3682</v>
      </c>
      <c r="E1291" t="s">
        <v>3826</v>
      </c>
      <c r="F1291" t="s">
        <v>81</v>
      </c>
      <c r="G1291" t="s">
        <v>100</v>
      </c>
      <c r="H1291" t="s">
        <v>3808</v>
      </c>
      <c r="I1291" t="s">
        <v>3809</v>
      </c>
      <c r="J1291" t="s">
        <v>3862</v>
      </c>
      <c r="K1291" t="s">
        <v>79</v>
      </c>
      <c r="L1291" s="13">
        <v>38925</v>
      </c>
      <c r="M1291">
        <v>17</v>
      </c>
      <c r="N1291" t="s">
        <v>90</v>
      </c>
      <c r="O1291" t="s">
        <v>3879</v>
      </c>
      <c r="P1291" t="s">
        <v>76</v>
      </c>
      <c r="Q1291" t="s">
        <v>76</v>
      </c>
      <c r="R1291" t="s">
        <v>95</v>
      </c>
      <c r="S1291" t="s">
        <v>76</v>
      </c>
      <c r="T1291" t="s">
        <v>76</v>
      </c>
      <c r="U1291">
        <v>1</v>
      </c>
      <c r="V1291" s="13">
        <v>45175</v>
      </c>
      <c r="W1291">
        <v>1</v>
      </c>
      <c r="X1291">
        <v>1</v>
      </c>
      <c r="Y1291" t="s">
        <v>3683</v>
      </c>
      <c r="AC1291">
        <v>4891</v>
      </c>
      <c r="AD1291" t="e" vm="1281">
        <v>#VALUE!</v>
      </c>
    </row>
    <row r="1292" spans="2:30" x14ac:dyDescent="0.25">
      <c r="B1292">
        <v>4892</v>
      </c>
      <c r="C1292" t="s">
        <v>3646</v>
      </c>
      <c r="D1292" t="s">
        <v>3682</v>
      </c>
      <c r="E1292" t="s">
        <v>3826</v>
      </c>
      <c r="F1292" t="s">
        <v>81</v>
      </c>
      <c r="G1292" t="s">
        <v>100</v>
      </c>
      <c r="H1292" t="s">
        <v>3808</v>
      </c>
      <c r="I1292" t="s">
        <v>3809</v>
      </c>
      <c r="J1292" t="s">
        <v>3862</v>
      </c>
      <c r="K1292" t="s">
        <v>79</v>
      </c>
      <c r="L1292" s="13">
        <v>38926</v>
      </c>
      <c r="M1292">
        <v>17</v>
      </c>
      <c r="N1292" t="s">
        <v>90</v>
      </c>
      <c r="O1292" t="s">
        <v>3879</v>
      </c>
      <c r="P1292" t="s">
        <v>76</v>
      </c>
      <c r="Q1292" t="s">
        <v>76</v>
      </c>
      <c r="R1292" t="s">
        <v>95</v>
      </c>
      <c r="S1292" t="s">
        <v>76</v>
      </c>
      <c r="T1292" t="s">
        <v>76</v>
      </c>
      <c r="U1292">
        <v>1</v>
      </c>
      <c r="V1292" s="13">
        <v>45175</v>
      </c>
      <c r="W1292">
        <v>1</v>
      </c>
      <c r="X1292">
        <v>1</v>
      </c>
      <c r="Y1292" t="s">
        <v>3683</v>
      </c>
      <c r="AC1292">
        <v>4892</v>
      </c>
      <c r="AD1292" t="e" vm="1282">
        <v>#VALUE!</v>
      </c>
    </row>
    <row r="1293" spans="2:30" x14ac:dyDescent="0.25">
      <c r="B1293">
        <v>4893</v>
      </c>
      <c r="C1293" t="s">
        <v>3646</v>
      </c>
      <c r="D1293" t="s">
        <v>3682</v>
      </c>
      <c r="E1293" t="s">
        <v>3826</v>
      </c>
      <c r="F1293" t="s">
        <v>81</v>
      </c>
      <c r="G1293" t="s">
        <v>100</v>
      </c>
      <c r="H1293" t="s">
        <v>3808</v>
      </c>
      <c r="I1293" t="s">
        <v>3809</v>
      </c>
      <c r="J1293" t="s">
        <v>3862</v>
      </c>
      <c r="K1293" t="s">
        <v>79</v>
      </c>
      <c r="L1293" s="13">
        <v>38929</v>
      </c>
      <c r="M1293">
        <v>17</v>
      </c>
      <c r="N1293" t="s">
        <v>90</v>
      </c>
      <c r="O1293" t="s">
        <v>3879</v>
      </c>
      <c r="P1293" t="s">
        <v>76</v>
      </c>
      <c r="Q1293" t="s">
        <v>76</v>
      </c>
      <c r="R1293" t="s">
        <v>95</v>
      </c>
      <c r="S1293" t="s">
        <v>76</v>
      </c>
      <c r="T1293" t="s">
        <v>76</v>
      </c>
      <c r="U1293">
        <v>1</v>
      </c>
      <c r="V1293" s="13">
        <v>45175</v>
      </c>
      <c r="W1293">
        <v>1</v>
      </c>
      <c r="X1293">
        <v>1</v>
      </c>
      <c r="Y1293" t="s">
        <v>3683</v>
      </c>
      <c r="AC1293">
        <v>4893</v>
      </c>
      <c r="AD1293" t="e" vm="1283">
        <v>#VALUE!</v>
      </c>
    </row>
    <row r="1294" spans="2:30" x14ac:dyDescent="0.25">
      <c r="B1294">
        <v>4894</v>
      </c>
      <c r="C1294" t="s">
        <v>3646</v>
      </c>
      <c r="D1294" t="s">
        <v>3682</v>
      </c>
      <c r="E1294" t="s">
        <v>3826</v>
      </c>
      <c r="F1294" t="s">
        <v>81</v>
      </c>
      <c r="G1294" t="s">
        <v>100</v>
      </c>
      <c r="H1294" t="s">
        <v>3808</v>
      </c>
      <c r="I1294" t="s">
        <v>3809</v>
      </c>
      <c r="J1294" t="s">
        <v>3862</v>
      </c>
      <c r="K1294" t="s">
        <v>79</v>
      </c>
      <c r="L1294" s="13">
        <v>38930</v>
      </c>
      <c r="M1294">
        <v>17</v>
      </c>
      <c r="N1294" t="s">
        <v>90</v>
      </c>
      <c r="O1294" t="s">
        <v>3879</v>
      </c>
      <c r="P1294" t="s">
        <v>76</v>
      </c>
      <c r="Q1294" t="s">
        <v>76</v>
      </c>
      <c r="R1294" t="s">
        <v>95</v>
      </c>
      <c r="S1294" t="s">
        <v>76</v>
      </c>
      <c r="T1294" t="s">
        <v>76</v>
      </c>
      <c r="U1294">
        <v>1</v>
      </c>
      <c r="V1294" s="13">
        <v>45175</v>
      </c>
      <c r="W1294">
        <v>1</v>
      </c>
      <c r="X1294">
        <v>1</v>
      </c>
      <c r="Y1294" t="s">
        <v>3683</v>
      </c>
      <c r="AC1294">
        <v>4894</v>
      </c>
      <c r="AD1294" t="e" vm="1284">
        <v>#VALUE!</v>
      </c>
    </row>
    <row r="1295" spans="2:30" x14ac:dyDescent="0.25">
      <c r="B1295">
        <v>4895</v>
      </c>
      <c r="C1295" t="s">
        <v>3646</v>
      </c>
      <c r="D1295" t="s">
        <v>3682</v>
      </c>
      <c r="E1295" t="s">
        <v>3826</v>
      </c>
      <c r="F1295" t="s">
        <v>81</v>
      </c>
      <c r="G1295" t="s">
        <v>100</v>
      </c>
      <c r="H1295" t="s">
        <v>3808</v>
      </c>
      <c r="I1295" t="s">
        <v>3809</v>
      </c>
      <c r="J1295" t="s">
        <v>3862</v>
      </c>
      <c r="K1295" t="s">
        <v>79</v>
      </c>
      <c r="L1295" s="13">
        <v>38931</v>
      </c>
      <c r="M1295">
        <v>17</v>
      </c>
      <c r="N1295" t="s">
        <v>90</v>
      </c>
      <c r="O1295" t="s">
        <v>3879</v>
      </c>
      <c r="P1295" t="s">
        <v>76</v>
      </c>
      <c r="Q1295" t="s">
        <v>76</v>
      </c>
      <c r="R1295" t="s">
        <v>95</v>
      </c>
      <c r="S1295" t="s">
        <v>76</v>
      </c>
      <c r="T1295" t="s">
        <v>76</v>
      </c>
      <c r="U1295">
        <v>1</v>
      </c>
      <c r="V1295" s="13">
        <v>45175</v>
      </c>
      <c r="W1295">
        <v>1</v>
      </c>
      <c r="X1295">
        <v>1</v>
      </c>
      <c r="Y1295" t="s">
        <v>3683</v>
      </c>
      <c r="AC1295">
        <v>4895</v>
      </c>
      <c r="AD1295" t="e" vm="1285">
        <v>#VALUE!</v>
      </c>
    </row>
    <row r="1296" spans="2:30" x14ac:dyDescent="0.25">
      <c r="B1296">
        <v>4897</v>
      </c>
      <c r="C1296" t="s">
        <v>3668</v>
      </c>
      <c r="D1296" t="s">
        <v>3673</v>
      </c>
      <c r="E1296" t="s">
        <v>3819</v>
      </c>
      <c r="F1296" t="s">
        <v>87</v>
      </c>
      <c r="G1296" t="s">
        <v>84</v>
      </c>
      <c r="H1296" t="s">
        <v>3808</v>
      </c>
      <c r="I1296" t="s">
        <v>3809</v>
      </c>
      <c r="J1296" t="s">
        <v>3862</v>
      </c>
      <c r="K1296" t="s">
        <v>79</v>
      </c>
      <c r="L1296" s="13">
        <v>38896</v>
      </c>
      <c r="M1296">
        <v>17</v>
      </c>
      <c r="N1296" t="s">
        <v>82</v>
      </c>
      <c r="O1296" t="s">
        <v>3879</v>
      </c>
      <c r="P1296" t="s">
        <v>76</v>
      </c>
      <c r="Q1296" t="s">
        <v>76</v>
      </c>
      <c r="R1296" t="s">
        <v>95</v>
      </c>
      <c r="S1296" t="s">
        <v>76</v>
      </c>
      <c r="T1296" t="s">
        <v>76</v>
      </c>
      <c r="U1296">
        <v>1</v>
      </c>
      <c r="V1296" s="13">
        <v>45175</v>
      </c>
      <c r="W1296">
        <v>1</v>
      </c>
      <c r="X1296">
        <v>1</v>
      </c>
      <c r="Y1296" t="s">
        <v>3674</v>
      </c>
      <c r="AC1296">
        <v>4897</v>
      </c>
      <c r="AD1296" t="e" vm="1286">
        <v>#VALUE!</v>
      </c>
    </row>
    <row r="1297" spans="2:30" x14ac:dyDescent="0.25">
      <c r="B1297">
        <v>4898</v>
      </c>
      <c r="C1297" t="s">
        <v>3668</v>
      </c>
      <c r="D1297" t="s">
        <v>3673</v>
      </c>
      <c r="E1297" t="s">
        <v>3819</v>
      </c>
      <c r="F1297" t="s">
        <v>87</v>
      </c>
      <c r="G1297" t="s">
        <v>84</v>
      </c>
      <c r="H1297" t="s">
        <v>3808</v>
      </c>
      <c r="I1297" t="s">
        <v>3809</v>
      </c>
      <c r="J1297" t="s">
        <v>3862</v>
      </c>
      <c r="K1297" t="s">
        <v>79</v>
      </c>
      <c r="L1297" s="13">
        <v>38896</v>
      </c>
      <c r="M1297">
        <v>17</v>
      </c>
      <c r="N1297" t="s">
        <v>82</v>
      </c>
      <c r="O1297" t="s">
        <v>3879</v>
      </c>
      <c r="P1297" t="s">
        <v>76</v>
      </c>
      <c r="Q1297" t="s">
        <v>76</v>
      </c>
      <c r="R1297" t="s">
        <v>95</v>
      </c>
      <c r="S1297" t="s">
        <v>76</v>
      </c>
      <c r="T1297" t="s">
        <v>76</v>
      </c>
      <c r="U1297">
        <v>1</v>
      </c>
      <c r="V1297" s="13">
        <v>45175</v>
      </c>
      <c r="W1297">
        <v>1</v>
      </c>
      <c r="X1297">
        <v>1</v>
      </c>
      <c r="Y1297" t="s">
        <v>3674</v>
      </c>
      <c r="AC1297">
        <v>4898</v>
      </c>
      <c r="AD1297" t="e" vm="1287">
        <v>#VALUE!</v>
      </c>
    </row>
    <row r="1298" spans="2:30" x14ac:dyDescent="0.25">
      <c r="B1298">
        <v>4899</v>
      </c>
      <c r="C1298" t="s">
        <v>3668</v>
      </c>
      <c r="D1298" t="s">
        <v>3673</v>
      </c>
      <c r="E1298" t="s">
        <v>3819</v>
      </c>
      <c r="F1298" t="s">
        <v>87</v>
      </c>
      <c r="G1298" t="s">
        <v>84</v>
      </c>
      <c r="H1298" t="s">
        <v>3808</v>
      </c>
      <c r="I1298" t="s">
        <v>3809</v>
      </c>
      <c r="J1298" t="s">
        <v>3862</v>
      </c>
      <c r="K1298" t="s">
        <v>79</v>
      </c>
      <c r="L1298" s="13">
        <v>38896</v>
      </c>
      <c r="M1298">
        <v>17</v>
      </c>
      <c r="N1298" t="s">
        <v>82</v>
      </c>
      <c r="O1298" t="s">
        <v>3879</v>
      </c>
      <c r="P1298" t="s">
        <v>76</v>
      </c>
      <c r="Q1298" t="s">
        <v>76</v>
      </c>
      <c r="R1298" t="s">
        <v>95</v>
      </c>
      <c r="S1298" t="s">
        <v>76</v>
      </c>
      <c r="T1298" t="s">
        <v>76</v>
      </c>
      <c r="U1298">
        <v>1</v>
      </c>
      <c r="V1298" s="13">
        <v>45175</v>
      </c>
      <c r="W1298">
        <v>1</v>
      </c>
      <c r="X1298">
        <v>1</v>
      </c>
      <c r="Y1298" t="s">
        <v>3674</v>
      </c>
      <c r="AC1298">
        <v>4899</v>
      </c>
      <c r="AD1298" t="e" vm="1288">
        <v>#VALUE!</v>
      </c>
    </row>
    <row r="1299" spans="2:30" x14ac:dyDescent="0.25">
      <c r="B1299">
        <v>4900</v>
      </c>
      <c r="C1299" t="s">
        <v>3668</v>
      </c>
      <c r="D1299" t="s">
        <v>3673</v>
      </c>
      <c r="E1299" t="s">
        <v>3819</v>
      </c>
      <c r="F1299" t="s">
        <v>87</v>
      </c>
      <c r="G1299" t="s">
        <v>84</v>
      </c>
      <c r="H1299" t="s">
        <v>3808</v>
      </c>
      <c r="I1299" t="s">
        <v>3809</v>
      </c>
      <c r="J1299" t="s">
        <v>3862</v>
      </c>
      <c r="K1299" t="s">
        <v>79</v>
      </c>
      <c r="L1299" s="13">
        <v>38896</v>
      </c>
      <c r="M1299">
        <v>17</v>
      </c>
      <c r="N1299" t="s">
        <v>82</v>
      </c>
      <c r="O1299" t="s">
        <v>3879</v>
      </c>
      <c r="P1299" t="s">
        <v>76</v>
      </c>
      <c r="Q1299" t="s">
        <v>76</v>
      </c>
      <c r="R1299" t="s">
        <v>95</v>
      </c>
      <c r="S1299" t="s">
        <v>76</v>
      </c>
      <c r="T1299" t="s">
        <v>76</v>
      </c>
      <c r="U1299">
        <v>1</v>
      </c>
      <c r="V1299" s="13">
        <v>45175</v>
      </c>
      <c r="W1299">
        <v>1</v>
      </c>
      <c r="X1299">
        <v>1</v>
      </c>
      <c r="Y1299" t="s">
        <v>3674</v>
      </c>
      <c r="AC1299">
        <v>4900</v>
      </c>
      <c r="AD1299" t="e" vm="1289">
        <v>#VALUE!</v>
      </c>
    </row>
    <row r="1300" spans="2:30" x14ac:dyDescent="0.25">
      <c r="B1300">
        <v>4901</v>
      </c>
      <c r="C1300" t="s">
        <v>3668</v>
      </c>
      <c r="D1300" t="s">
        <v>3673</v>
      </c>
      <c r="E1300" t="s">
        <v>3819</v>
      </c>
      <c r="F1300" t="s">
        <v>87</v>
      </c>
      <c r="G1300" t="s">
        <v>84</v>
      </c>
      <c r="H1300" t="s">
        <v>3808</v>
      </c>
      <c r="I1300" t="s">
        <v>3809</v>
      </c>
      <c r="J1300" t="s">
        <v>3862</v>
      </c>
      <c r="K1300" t="s">
        <v>79</v>
      </c>
      <c r="L1300" s="13">
        <v>38897</v>
      </c>
      <c r="M1300">
        <v>17</v>
      </c>
      <c r="N1300" t="s">
        <v>82</v>
      </c>
      <c r="O1300" t="s">
        <v>3879</v>
      </c>
      <c r="P1300" t="s">
        <v>76</v>
      </c>
      <c r="Q1300" t="s">
        <v>76</v>
      </c>
      <c r="R1300" t="s">
        <v>95</v>
      </c>
      <c r="S1300" t="s">
        <v>76</v>
      </c>
      <c r="T1300" t="s">
        <v>76</v>
      </c>
      <c r="U1300">
        <v>1</v>
      </c>
      <c r="V1300" s="13">
        <v>45175</v>
      </c>
      <c r="W1300">
        <v>1</v>
      </c>
      <c r="X1300">
        <v>1</v>
      </c>
      <c r="Y1300" t="s">
        <v>3674</v>
      </c>
      <c r="AC1300">
        <v>4901</v>
      </c>
      <c r="AD1300" t="e" vm="1290">
        <v>#VALUE!</v>
      </c>
    </row>
    <row r="1301" spans="2:30" x14ac:dyDescent="0.25">
      <c r="B1301">
        <v>4902</v>
      </c>
      <c r="C1301" t="s">
        <v>3659</v>
      </c>
      <c r="D1301" t="s">
        <v>3660</v>
      </c>
      <c r="E1301" t="s">
        <v>3813</v>
      </c>
      <c r="F1301" t="s">
        <v>83</v>
      </c>
      <c r="G1301" t="s">
        <v>103</v>
      </c>
      <c r="H1301" t="s">
        <v>3808</v>
      </c>
      <c r="I1301" t="s">
        <v>3821</v>
      </c>
      <c r="J1301" t="s">
        <v>3810</v>
      </c>
      <c r="K1301" t="s">
        <v>79</v>
      </c>
      <c r="L1301" s="13">
        <v>39226</v>
      </c>
      <c r="M1301">
        <v>16</v>
      </c>
      <c r="N1301" t="s">
        <v>88</v>
      </c>
      <c r="O1301" t="s">
        <v>3880</v>
      </c>
      <c r="P1301" t="s">
        <v>76</v>
      </c>
      <c r="Q1301" t="s">
        <v>95</v>
      </c>
      <c r="R1301" t="s">
        <v>95</v>
      </c>
      <c r="S1301" t="s">
        <v>76</v>
      </c>
      <c r="T1301" t="s">
        <v>76</v>
      </c>
      <c r="U1301">
        <v>1</v>
      </c>
      <c r="V1301" s="13">
        <v>45175</v>
      </c>
      <c r="W1301">
        <v>1</v>
      </c>
      <c r="X1301">
        <v>1</v>
      </c>
      <c r="Y1301" t="s">
        <v>3661</v>
      </c>
      <c r="AC1301">
        <v>4902</v>
      </c>
      <c r="AD1301" t="e" vm="1291">
        <v>#VALUE!</v>
      </c>
    </row>
    <row r="1302" spans="2:30" x14ac:dyDescent="0.25">
      <c r="B1302">
        <v>4903</v>
      </c>
      <c r="C1302" t="s">
        <v>3659</v>
      </c>
      <c r="D1302" t="s">
        <v>3660</v>
      </c>
      <c r="E1302" t="s">
        <v>3813</v>
      </c>
      <c r="F1302" t="s">
        <v>83</v>
      </c>
      <c r="G1302" t="s">
        <v>103</v>
      </c>
      <c r="H1302" t="s">
        <v>3808</v>
      </c>
      <c r="I1302" t="s">
        <v>3821</v>
      </c>
      <c r="J1302" t="s">
        <v>3810</v>
      </c>
      <c r="K1302" t="s">
        <v>79</v>
      </c>
      <c r="L1302" s="13">
        <v>38951</v>
      </c>
      <c r="M1302">
        <v>17</v>
      </c>
      <c r="N1302" t="s">
        <v>88</v>
      </c>
      <c r="O1302" t="s">
        <v>3880</v>
      </c>
      <c r="P1302" t="s">
        <v>76</v>
      </c>
      <c r="Q1302" t="s">
        <v>95</v>
      </c>
      <c r="R1302" t="s">
        <v>95</v>
      </c>
      <c r="S1302" t="s">
        <v>76</v>
      </c>
      <c r="T1302" t="s">
        <v>76</v>
      </c>
      <c r="U1302">
        <v>1</v>
      </c>
      <c r="V1302" s="13">
        <v>45175</v>
      </c>
      <c r="W1302">
        <v>1</v>
      </c>
      <c r="X1302">
        <v>1</v>
      </c>
      <c r="Y1302" t="s">
        <v>3661</v>
      </c>
      <c r="AC1302">
        <v>4903</v>
      </c>
      <c r="AD1302" t="e" vm="1292">
        <v>#VALUE!</v>
      </c>
    </row>
    <row r="1303" spans="2:30" x14ac:dyDescent="0.25">
      <c r="B1303">
        <v>4904</v>
      </c>
      <c r="C1303" t="s">
        <v>3659</v>
      </c>
      <c r="D1303" t="s">
        <v>3660</v>
      </c>
      <c r="E1303" t="s">
        <v>3813</v>
      </c>
      <c r="F1303" t="s">
        <v>83</v>
      </c>
      <c r="G1303" t="s">
        <v>103</v>
      </c>
      <c r="H1303" t="s">
        <v>3808</v>
      </c>
      <c r="I1303" t="s">
        <v>3821</v>
      </c>
      <c r="J1303" t="s">
        <v>3810</v>
      </c>
      <c r="K1303" t="s">
        <v>79</v>
      </c>
      <c r="L1303" s="13">
        <v>38951</v>
      </c>
      <c r="M1303">
        <v>17</v>
      </c>
      <c r="N1303" t="s">
        <v>88</v>
      </c>
      <c r="O1303" t="s">
        <v>3880</v>
      </c>
      <c r="P1303" t="s">
        <v>76</v>
      </c>
      <c r="Q1303" t="s">
        <v>95</v>
      </c>
      <c r="R1303" t="s">
        <v>95</v>
      </c>
      <c r="S1303" t="s">
        <v>76</v>
      </c>
      <c r="T1303" t="s">
        <v>76</v>
      </c>
      <c r="U1303">
        <v>1</v>
      </c>
      <c r="V1303" s="13">
        <v>45175</v>
      </c>
      <c r="W1303">
        <v>1</v>
      </c>
      <c r="X1303">
        <v>1</v>
      </c>
      <c r="Y1303" t="s">
        <v>3661</v>
      </c>
      <c r="AC1303">
        <v>4904</v>
      </c>
      <c r="AD1303" t="e" vm="1293">
        <v>#VALUE!</v>
      </c>
    </row>
    <row r="1304" spans="2:30" x14ac:dyDescent="0.25">
      <c r="B1304">
        <v>4905</v>
      </c>
      <c r="C1304" t="s">
        <v>3659</v>
      </c>
      <c r="D1304" t="s">
        <v>3660</v>
      </c>
      <c r="E1304" t="s">
        <v>3813</v>
      </c>
      <c r="F1304" t="s">
        <v>83</v>
      </c>
      <c r="G1304" t="s">
        <v>103</v>
      </c>
      <c r="H1304" t="s">
        <v>3808</v>
      </c>
      <c r="I1304" t="s">
        <v>3821</v>
      </c>
      <c r="J1304" t="s">
        <v>3810</v>
      </c>
      <c r="K1304" t="s">
        <v>79</v>
      </c>
      <c r="L1304" s="13">
        <v>38965</v>
      </c>
      <c r="M1304">
        <v>17</v>
      </c>
      <c r="N1304" t="s">
        <v>88</v>
      </c>
      <c r="O1304" t="s">
        <v>3880</v>
      </c>
      <c r="P1304" t="s">
        <v>76</v>
      </c>
      <c r="Q1304" t="s">
        <v>95</v>
      </c>
      <c r="R1304" t="s">
        <v>95</v>
      </c>
      <c r="S1304" t="s">
        <v>76</v>
      </c>
      <c r="T1304" t="s">
        <v>76</v>
      </c>
      <c r="U1304">
        <v>1</v>
      </c>
      <c r="V1304" s="13">
        <v>45175</v>
      </c>
      <c r="W1304">
        <v>1</v>
      </c>
      <c r="X1304">
        <v>1</v>
      </c>
      <c r="Y1304" t="s">
        <v>3661</v>
      </c>
      <c r="AC1304">
        <v>4905</v>
      </c>
      <c r="AD1304" t="e" vm="1294">
        <v>#VALUE!</v>
      </c>
    </row>
    <row r="1305" spans="2:30" x14ac:dyDescent="0.25">
      <c r="B1305">
        <v>4906</v>
      </c>
      <c r="C1305" t="s">
        <v>3659</v>
      </c>
      <c r="D1305" t="s">
        <v>3660</v>
      </c>
      <c r="E1305" t="s">
        <v>3813</v>
      </c>
      <c r="F1305" t="s">
        <v>83</v>
      </c>
      <c r="G1305" t="s">
        <v>103</v>
      </c>
      <c r="H1305" t="s">
        <v>3808</v>
      </c>
      <c r="I1305" t="s">
        <v>3821</v>
      </c>
      <c r="J1305" t="s">
        <v>3810</v>
      </c>
      <c r="K1305" t="s">
        <v>79</v>
      </c>
      <c r="L1305" s="13">
        <v>38957</v>
      </c>
      <c r="M1305">
        <v>17</v>
      </c>
      <c r="N1305" t="s">
        <v>88</v>
      </c>
      <c r="O1305" t="s">
        <v>3880</v>
      </c>
      <c r="P1305" t="s">
        <v>76</v>
      </c>
      <c r="Q1305" t="s">
        <v>95</v>
      </c>
      <c r="R1305" t="s">
        <v>95</v>
      </c>
      <c r="S1305" t="s">
        <v>76</v>
      </c>
      <c r="T1305" t="s">
        <v>76</v>
      </c>
      <c r="U1305">
        <v>1</v>
      </c>
      <c r="V1305" s="13">
        <v>45175</v>
      </c>
      <c r="W1305">
        <v>1</v>
      </c>
      <c r="X1305">
        <v>1</v>
      </c>
      <c r="Y1305" t="s">
        <v>3661</v>
      </c>
      <c r="AC1305">
        <v>4906</v>
      </c>
      <c r="AD1305" t="e" vm="1295">
        <v>#VALUE!</v>
      </c>
    </row>
    <row r="1306" spans="2:30" x14ac:dyDescent="0.25">
      <c r="B1306">
        <v>4907</v>
      </c>
      <c r="C1306" t="s">
        <v>3659</v>
      </c>
      <c r="D1306" t="s">
        <v>3660</v>
      </c>
      <c r="E1306" t="s">
        <v>3813</v>
      </c>
      <c r="F1306" t="s">
        <v>83</v>
      </c>
      <c r="G1306" t="s">
        <v>103</v>
      </c>
      <c r="H1306" t="s">
        <v>3808</v>
      </c>
      <c r="I1306" t="s">
        <v>3821</v>
      </c>
      <c r="J1306" t="s">
        <v>3810</v>
      </c>
      <c r="K1306" t="s">
        <v>79</v>
      </c>
      <c r="L1306" s="13">
        <v>38950</v>
      </c>
      <c r="M1306">
        <v>17</v>
      </c>
      <c r="N1306" t="s">
        <v>88</v>
      </c>
      <c r="O1306" t="s">
        <v>3880</v>
      </c>
      <c r="P1306" t="s">
        <v>76</v>
      </c>
      <c r="Q1306" t="s">
        <v>95</v>
      </c>
      <c r="R1306" t="s">
        <v>95</v>
      </c>
      <c r="S1306" t="s">
        <v>76</v>
      </c>
      <c r="T1306" t="s">
        <v>76</v>
      </c>
      <c r="U1306">
        <v>1</v>
      </c>
      <c r="V1306" s="13">
        <v>45175</v>
      </c>
      <c r="W1306">
        <v>1</v>
      </c>
      <c r="X1306">
        <v>1</v>
      </c>
      <c r="Y1306" t="s">
        <v>3661</v>
      </c>
      <c r="AC1306">
        <v>4907</v>
      </c>
      <c r="AD1306" t="e" vm="1296">
        <v>#VALUE!</v>
      </c>
    </row>
    <row r="1307" spans="2:30" x14ac:dyDescent="0.25">
      <c r="B1307">
        <v>4908</v>
      </c>
      <c r="C1307" t="s">
        <v>3659</v>
      </c>
      <c r="D1307" t="s">
        <v>3660</v>
      </c>
      <c r="E1307" t="s">
        <v>3813</v>
      </c>
      <c r="F1307" t="s">
        <v>83</v>
      </c>
      <c r="G1307" t="s">
        <v>103</v>
      </c>
      <c r="H1307" t="s">
        <v>3808</v>
      </c>
      <c r="I1307" t="s">
        <v>3821</v>
      </c>
      <c r="J1307" t="s">
        <v>3810</v>
      </c>
      <c r="K1307" t="s">
        <v>79</v>
      </c>
      <c r="L1307" s="13">
        <v>38965</v>
      </c>
      <c r="M1307">
        <v>17</v>
      </c>
      <c r="N1307" t="s">
        <v>88</v>
      </c>
      <c r="O1307" t="s">
        <v>3880</v>
      </c>
      <c r="P1307" t="s">
        <v>76</v>
      </c>
      <c r="Q1307" t="s">
        <v>95</v>
      </c>
      <c r="R1307" t="s">
        <v>95</v>
      </c>
      <c r="S1307" t="s">
        <v>76</v>
      </c>
      <c r="T1307" t="s">
        <v>76</v>
      </c>
      <c r="U1307">
        <v>1</v>
      </c>
      <c r="V1307" s="13">
        <v>45175</v>
      </c>
      <c r="W1307">
        <v>1</v>
      </c>
      <c r="X1307">
        <v>1</v>
      </c>
      <c r="Y1307" t="s">
        <v>3661</v>
      </c>
      <c r="AC1307">
        <v>4908</v>
      </c>
      <c r="AD1307" t="e" vm="1297">
        <v>#VALUE!</v>
      </c>
    </row>
    <row r="1308" spans="2:30" x14ac:dyDescent="0.25">
      <c r="B1308">
        <v>4910</v>
      </c>
      <c r="C1308" t="s">
        <v>3659</v>
      </c>
      <c r="D1308" t="s">
        <v>3660</v>
      </c>
      <c r="E1308" t="s">
        <v>3813</v>
      </c>
      <c r="F1308" t="s">
        <v>83</v>
      </c>
      <c r="G1308" t="s">
        <v>103</v>
      </c>
      <c r="H1308" t="s">
        <v>3808</v>
      </c>
      <c r="I1308" t="s">
        <v>3821</v>
      </c>
      <c r="J1308" t="s">
        <v>3810</v>
      </c>
      <c r="K1308" t="s">
        <v>79</v>
      </c>
      <c r="L1308" s="13">
        <v>38973</v>
      </c>
      <c r="M1308">
        <v>17</v>
      </c>
      <c r="N1308" t="s">
        <v>88</v>
      </c>
      <c r="O1308" t="s">
        <v>3880</v>
      </c>
      <c r="P1308" t="s">
        <v>76</v>
      </c>
      <c r="Q1308" t="s">
        <v>95</v>
      </c>
      <c r="R1308" t="s">
        <v>95</v>
      </c>
      <c r="S1308" t="s">
        <v>76</v>
      </c>
      <c r="T1308" t="s">
        <v>76</v>
      </c>
      <c r="U1308">
        <v>1</v>
      </c>
      <c r="V1308" s="13">
        <v>45175</v>
      </c>
      <c r="W1308">
        <v>1</v>
      </c>
      <c r="X1308">
        <v>1</v>
      </c>
      <c r="Y1308" t="s">
        <v>3661</v>
      </c>
      <c r="AC1308">
        <v>4910</v>
      </c>
      <c r="AD1308" t="e" vm="1298">
        <v>#VALUE!</v>
      </c>
    </row>
    <row r="1309" spans="2:30" x14ac:dyDescent="0.25">
      <c r="B1309">
        <v>4911</v>
      </c>
      <c r="C1309" t="s">
        <v>3659</v>
      </c>
      <c r="D1309" t="s">
        <v>3660</v>
      </c>
      <c r="E1309" t="s">
        <v>3813</v>
      </c>
      <c r="F1309" t="s">
        <v>83</v>
      </c>
      <c r="G1309" t="s">
        <v>103</v>
      </c>
      <c r="H1309" t="s">
        <v>3808</v>
      </c>
      <c r="I1309" t="s">
        <v>3821</v>
      </c>
      <c r="J1309" t="s">
        <v>3810</v>
      </c>
      <c r="K1309" t="s">
        <v>79</v>
      </c>
      <c r="L1309" s="13">
        <v>38973</v>
      </c>
      <c r="M1309">
        <v>17</v>
      </c>
      <c r="N1309" t="s">
        <v>88</v>
      </c>
      <c r="O1309" t="s">
        <v>3880</v>
      </c>
      <c r="P1309" t="s">
        <v>76</v>
      </c>
      <c r="Q1309" t="s">
        <v>95</v>
      </c>
      <c r="R1309" t="s">
        <v>95</v>
      </c>
      <c r="S1309" t="s">
        <v>76</v>
      </c>
      <c r="T1309" t="s">
        <v>76</v>
      </c>
      <c r="U1309">
        <v>1</v>
      </c>
      <c r="V1309" s="13">
        <v>45175</v>
      </c>
      <c r="W1309">
        <v>1</v>
      </c>
      <c r="X1309">
        <v>1</v>
      </c>
      <c r="Y1309" t="s">
        <v>3661</v>
      </c>
      <c r="AC1309">
        <v>4911</v>
      </c>
      <c r="AD1309" t="e" vm="1299">
        <v>#VALUE!</v>
      </c>
    </row>
    <row r="1310" spans="2:30" x14ac:dyDescent="0.25">
      <c r="B1310">
        <v>4912</v>
      </c>
      <c r="C1310" t="s">
        <v>3662</v>
      </c>
      <c r="D1310" t="s">
        <v>3665</v>
      </c>
      <c r="E1310" t="s">
        <v>3815</v>
      </c>
      <c r="F1310" t="s">
        <v>92</v>
      </c>
      <c r="G1310" t="s">
        <v>96</v>
      </c>
      <c r="H1310" t="s">
        <v>3808</v>
      </c>
      <c r="I1310" t="s">
        <v>3821</v>
      </c>
      <c r="J1310" t="s">
        <v>3810</v>
      </c>
      <c r="K1310" t="s">
        <v>79</v>
      </c>
      <c r="L1310" s="13">
        <v>38959</v>
      </c>
      <c r="M1310">
        <v>17</v>
      </c>
      <c r="N1310" t="s">
        <v>79</v>
      </c>
      <c r="O1310" t="s">
        <v>3880</v>
      </c>
      <c r="P1310" t="s">
        <v>76</v>
      </c>
      <c r="Q1310" t="s">
        <v>95</v>
      </c>
      <c r="R1310" t="s">
        <v>95</v>
      </c>
      <c r="S1310" t="s">
        <v>76</v>
      </c>
      <c r="T1310" t="s">
        <v>76</v>
      </c>
      <c r="U1310">
        <v>1</v>
      </c>
      <c r="V1310" s="13">
        <v>45175</v>
      </c>
      <c r="W1310">
        <v>1</v>
      </c>
      <c r="X1310">
        <v>1</v>
      </c>
      <c r="Y1310" t="s">
        <v>3666</v>
      </c>
      <c r="AC1310">
        <v>4912</v>
      </c>
      <c r="AD1310" t="e" vm="1300">
        <v>#VALUE!</v>
      </c>
    </row>
    <row r="1311" spans="2:30" x14ac:dyDescent="0.25">
      <c r="B1311">
        <v>4913</v>
      </c>
      <c r="C1311" t="s">
        <v>3662</v>
      </c>
      <c r="D1311" t="s">
        <v>3665</v>
      </c>
      <c r="E1311" t="s">
        <v>3815</v>
      </c>
      <c r="F1311" t="s">
        <v>92</v>
      </c>
      <c r="G1311" t="s">
        <v>96</v>
      </c>
      <c r="H1311" t="s">
        <v>3808</v>
      </c>
      <c r="I1311" t="s">
        <v>3821</v>
      </c>
      <c r="J1311" t="s">
        <v>3810</v>
      </c>
      <c r="K1311" t="s">
        <v>79</v>
      </c>
      <c r="L1311" s="13">
        <v>38959</v>
      </c>
      <c r="M1311">
        <v>17</v>
      </c>
      <c r="N1311" t="s">
        <v>79</v>
      </c>
      <c r="O1311" t="s">
        <v>3880</v>
      </c>
      <c r="P1311" t="s">
        <v>76</v>
      </c>
      <c r="Q1311" t="s">
        <v>95</v>
      </c>
      <c r="R1311" t="s">
        <v>95</v>
      </c>
      <c r="S1311" t="s">
        <v>76</v>
      </c>
      <c r="T1311" t="s">
        <v>76</v>
      </c>
      <c r="U1311">
        <v>1</v>
      </c>
      <c r="V1311" s="13">
        <v>45175</v>
      </c>
      <c r="W1311">
        <v>1</v>
      </c>
      <c r="X1311">
        <v>1</v>
      </c>
      <c r="Y1311" t="s">
        <v>3666</v>
      </c>
      <c r="AC1311">
        <v>4913</v>
      </c>
      <c r="AD1311" t="e" vm="1301">
        <v>#VALUE!</v>
      </c>
    </row>
    <row r="1312" spans="2:30" x14ac:dyDescent="0.25">
      <c r="B1312">
        <v>4914</v>
      </c>
      <c r="C1312" t="s">
        <v>3662</v>
      </c>
      <c r="D1312" t="s">
        <v>3665</v>
      </c>
      <c r="E1312" t="s">
        <v>3815</v>
      </c>
      <c r="F1312" t="s">
        <v>92</v>
      </c>
      <c r="G1312" t="s">
        <v>96</v>
      </c>
      <c r="H1312" t="s">
        <v>3808</v>
      </c>
      <c r="I1312" t="s">
        <v>3821</v>
      </c>
      <c r="J1312" t="s">
        <v>3810</v>
      </c>
      <c r="K1312" t="s">
        <v>79</v>
      </c>
      <c r="L1312" s="13">
        <v>38979</v>
      </c>
      <c r="M1312">
        <v>17</v>
      </c>
      <c r="N1312" t="s">
        <v>79</v>
      </c>
      <c r="O1312" t="s">
        <v>3880</v>
      </c>
      <c r="P1312" t="s">
        <v>76</v>
      </c>
      <c r="Q1312" t="s">
        <v>95</v>
      </c>
      <c r="R1312" t="s">
        <v>95</v>
      </c>
      <c r="S1312" t="s">
        <v>76</v>
      </c>
      <c r="T1312" t="s">
        <v>76</v>
      </c>
      <c r="U1312">
        <v>1</v>
      </c>
      <c r="V1312" s="13">
        <v>45175</v>
      </c>
      <c r="W1312">
        <v>1</v>
      </c>
      <c r="X1312">
        <v>1</v>
      </c>
      <c r="Y1312" t="s">
        <v>3666</v>
      </c>
      <c r="AC1312">
        <v>4914</v>
      </c>
      <c r="AD1312" t="e" vm="1302">
        <v>#VALUE!</v>
      </c>
    </row>
    <row r="1313" spans="2:30" x14ac:dyDescent="0.25">
      <c r="B1313">
        <v>4915</v>
      </c>
      <c r="C1313" t="s">
        <v>3662</v>
      </c>
      <c r="D1313" t="s">
        <v>3665</v>
      </c>
      <c r="E1313" t="s">
        <v>3815</v>
      </c>
      <c r="F1313" t="s">
        <v>92</v>
      </c>
      <c r="G1313" t="s">
        <v>96</v>
      </c>
      <c r="H1313" t="s">
        <v>3808</v>
      </c>
      <c r="I1313" t="s">
        <v>3821</v>
      </c>
      <c r="J1313" t="s">
        <v>3810</v>
      </c>
      <c r="K1313" t="s">
        <v>79</v>
      </c>
      <c r="L1313" s="13">
        <v>38979</v>
      </c>
      <c r="M1313">
        <v>17</v>
      </c>
      <c r="N1313" t="s">
        <v>79</v>
      </c>
      <c r="O1313" t="s">
        <v>3880</v>
      </c>
      <c r="P1313" t="s">
        <v>76</v>
      </c>
      <c r="Q1313" t="s">
        <v>95</v>
      </c>
      <c r="R1313" t="s">
        <v>95</v>
      </c>
      <c r="S1313" t="s">
        <v>76</v>
      </c>
      <c r="T1313" t="s">
        <v>76</v>
      </c>
      <c r="U1313">
        <v>1</v>
      </c>
      <c r="V1313" s="13">
        <v>45175</v>
      </c>
      <c r="W1313">
        <v>1</v>
      </c>
      <c r="X1313">
        <v>1</v>
      </c>
      <c r="Y1313" t="s">
        <v>3666</v>
      </c>
      <c r="AC1313">
        <v>4915</v>
      </c>
      <c r="AD1313" t="e" vm="1303">
        <v>#VALUE!</v>
      </c>
    </row>
    <row r="1314" spans="2:30" x14ac:dyDescent="0.25">
      <c r="B1314">
        <v>4916</v>
      </c>
      <c r="C1314" t="s">
        <v>3662</v>
      </c>
      <c r="D1314" t="s">
        <v>3665</v>
      </c>
      <c r="E1314" t="s">
        <v>3815</v>
      </c>
      <c r="F1314" t="s">
        <v>92</v>
      </c>
      <c r="G1314" t="s">
        <v>96</v>
      </c>
      <c r="H1314" t="s">
        <v>3808</v>
      </c>
      <c r="I1314" t="s">
        <v>3821</v>
      </c>
      <c r="J1314" t="s">
        <v>3810</v>
      </c>
      <c r="K1314" t="s">
        <v>79</v>
      </c>
      <c r="L1314" s="13">
        <v>38988</v>
      </c>
      <c r="M1314">
        <v>17</v>
      </c>
      <c r="N1314" t="s">
        <v>79</v>
      </c>
      <c r="O1314" t="s">
        <v>3880</v>
      </c>
      <c r="P1314" t="s">
        <v>76</v>
      </c>
      <c r="Q1314" t="s">
        <v>95</v>
      </c>
      <c r="R1314" t="s">
        <v>95</v>
      </c>
      <c r="S1314" t="s">
        <v>76</v>
      </c>
      <c r="T1314" t="s">
        <v>76</v>
      </c>
      <c r="U1314">
        <v>1</v>
      </c>
      <c r="V1314" s="13">
        <v>45175</v>
      </c>
      <c r="W1314">
        <v>1</v>
      </c>
      <c r="X1314">
        <v>1</v>
      </c>
      <c r="Y1314" t="s">
        <v>3666</v>
      </c>
      <c r="AC1314">
        <v>4916</v>
      </c>
      <c r="AD1314" t="e" vm="1304">
        <v>#VALUE!</v>
      </c>
    </row>
    <row r="1315" spans="2:30" x14ac:dyDescent="0.25">
      <c r="B1315">
        <v>4917</v>
      </c>
      <c r="C1315" t="s">
        <v>3662</v>
      </c>
      <c r="D1315" t="s">
        <v>3737</v>
      </c>
      <c r="E1315" t="s">
        <v>3876</v>
      </c>
      <c r="F1315" t="s">
        <v>89</v>
      </c>
      <c r="G1315" t="s">
        <v>100</v>
      </c>
      <c r="H1315" t="s">
        <v>3808</v>
      </c>
      <c r="I1315" t="s">
        <v>3821</v>
      </c>
      <c r="J1315" t="s">
        <v>3810</v>
      </c>
      <c r="K1315" t="s">
        <v>79</v>
      </c>
      <c r="L1315" s="13">
        <v>38989</v>
      </c>
      <c r="M1315">
        <v>17</v>
      </c>
      <c r="N1315" t="s">
        <v>79</v>
      </c>
      <c r="O1315" t="s">
        <v>3880</v>
      </c>
      <c r="P1315" t="s">
        <v>76</v>
      </c>
      <c r="Q1315" t="s">
        <v>95</v>
      </c>
      <c r="R1315" t="s">
        <v>95</v>
      </c>
      <c r="S1315" t="s">
        <v>76</v>
      </c>
      <c r="T1315" t="s">
        <v>76</v>
      </c>
      <c r="U1315">
        <v>1</v>
      </c>
      <c r="V1315" s="13">
        <v>45175</v>
      </c>
      <c r="W1315">
        <v>1</v>
      </c>
      <c r="X1315">
        <v>1</v>
      </c>
      <c r="Y1315" t="s">
        <v>3738</v>
      </c>
      <c r="AC1315">
        <v>4917</v>
      </c>
      <c r="AD1315" t="e" vm="1305">
        <v>#VALUE!</v>
      </c>
    </row>
    <row r="1316" spans="2:30" x14ac:dyDescent="0.25">
      <c r="B1316">
        <v>4918</v>
      </c>
      <c r="C1316" t="s">
        <v>3662</v>
      </c>
      <c r="D1316" t="s">
        <v>3737</v>
      </c>
      <c r="E1316" t="s">
        <v>3876</v>
      </c>
      <c r="F1316" t="s">
        <v>89</v>
      </c>
      <c r="G1316" t="s">
        <v>100</v>
      </c>
      <c r="H1316" t="s">
        <v>3808</v>
      </c>
      <c r="I1316" t="s">
        <v>3821</v>
      </c>
      <c r="J1316" t="s">
        <v>3810</v>
      </c>
      <c r="K1316" t="s">
        <v>79</v>
      </c>
      <c r="L1316" s="13">
        <v>38992</v>
      </c>
      <c r="M1316">
        <v>17</v>
      </c>
      <c r="N1316" t="s">
        <v>79</v>
      </c>
      <c r="O1316" t="s">
        <v>3880</v>
      </c>
      <c r="P1316" t="s">
        <v>76</v>
      </c>
      <c r="Q1316" t="s">
        <v>95</v>
      </c>
      <c r="R1316" t="s">
        <v>95</v>
      </c>
      <c r="S1316" t="s">
        <v>76</v>
      </c>
      <c r="T1316" t="s">
        <v>76</v>
      </c>
      <c r="U1316">
        <v>1</v>
      </c>
      <c r="V1316" s="13">
        <v>45175</v>
      </c>
      <c r="W1316">
        <v>1</v>
      </c>
      <c r="X1316">
        <v>1</v>
      </c>
      <c r="Y1316" t="s">
        <v>3738</v>
      </c>
      <c r="AC1316">
        <v>4918</v>
      </c>
      <c r="AD1316" t="e" vm="1306">
        <v>#VALUE!</v>
      </c>
    </row>
    <row r="1317" spans="2:30" x14ac:dyDescent="0.25">
      <c r="B1317">
        <v>4919</v>
      </c>
      <c r="C1317" t="s">
        <v>3662</v>
      </c>
      <c r="D1317" t="s">
        <v>3737</v>
      </c>
      <c r="E1317" t="s">
        <v>3876</v>
      </c>
      <c r="F1317" t="s">
        <v>89</v>
      </c>
      <c r="G1317" t="s">
        <v>100</v>
      </c>
      <c r="H1317" t="s">
        <v>3808</v>
      </c>
      <c r="I1317" t="s">
        <v>3821</v>
      </c>
      <c r="J1317" t="s">
        <v>3810</v>
      </c>
      <c r="K1317" t="s">
        <v>79</v>
      </c>
      <c r="L1317" s="13">
        <v>38989</v>
      </c>
      <c r="M1317">
        <v>17</v>
      </c>
      <c r="N1317" t="s">
        <v>79</v>
      </c>
      <c r="O1317" t="s">
        <v>3880</v>
      </c>
      <c r="P1317" t="s">
        <v>76</v>
      </c>
      <c r="Q1317" t="s">
        <v>95</v>
      </c>
      <c r="R1317" t="s">
        <v>95</v>
      </c>
      <c r="S1317" t="s">
        <v>76</v>
      </c>
      <c r="T1317" t="s">
        <v>76</v>
      </c>
      <c r="U1317">
        <v>1</v>
      </c>
      <c r="V1317" s="13">
        <v>45175</v>
      </c>
      <c r="W1317">
        <v>1</v>
      </c>
      <c r="X1317">
        <v>1</v>
      </c>
      <c r="Y1317" t="s">
        <v>3738</v>
      </c>
      <c r="AC1317">
        <v>4919</v>
      </c>
      <c r="AD1317" t="e" vm="1307">
        <v>#VALUE!</v>
      </c>
    </row>
    <row r="1318" spans="2:30" x14ac:dyDescent="0.25">
      <c r="B1318">
        <v>4920</v>
      </c>
      <c r="C1318" t="s">
        <v>3662</v>
      </c>
      <c r="D1318" t="s">
        <v>3737</v>
      </c>
      <c r="E1318" t="s">
        <v>3876</v>
      </c>
      <c r="F1318" t="s">
        <v>89</v>
      </c>
      <c r="G1318" t="s">
        <v>100</v>
      </c>
      <c r="H1318" t="s">
        <v>3808</v>
      </c>
      <c r="I1318" t="s">
        <v>3821</v>
      </c>
      <c r="J1318" t="s">
        <v>3810</v>
      </c>
      <c r="K1318" t="s">
        <v>79</v>
      </c>
      <c r="L1318" s="13">
        <v>38995</v>
      </c>
      <c r="M1318">
        <v>17</v>
      </c>
      <c r="N1318" t="s">
        <v>79</v>
      </c>
      <c r="O1318" t="s">
        <v>3880</v>
      </c>
      <c r="P1318" t="s">
        <v>76</v>
      </c>
      <c r="Q1318" t="s">
        <v>95</v>
      </c>
      <c r="R1318" t="s">
        <v>95</v>
      </c>
      <c r="S1318" t="s">
        <v>76</v>
      </c>
      <c r="T1318" t="s">
        <v>76</v>
      </c>
      <c r="U1318">
        <v>1</v>
      </c>
      <c r="V1318" s="13">
        <v>45175</v>
      </c>
      <c r="W1318">
        <v>1</v>
      </c>
      <c r="X1318">
        <v>1</v>
      </c>
      <c r="Y1318" t="s">
        <v>3738</v>
      </c>
      <c r="AC1318">
        <v>4920</v>
      </c>
      <c r="AD1318" t="e" vm="1308">
        <v>#VALUE!</v>
      </c>
    </row>
    <row r="1319" spans="2:30" x14ac:dyDescent="0.25">
      <c r="B1319">
        <v>4921</v>
      </c>
      <c r="C1319" t="s">
        <v>3662</v>
      </c>
      <c r="D1319" t="s">
        <v>3737</v>
      </c>
      <c r="E1319" t="s">
        <v>3876</v>
      </c>
      <c r="F1319" t="s">
        <v>89</v>
      </c>
      <c r="G1319" t="s">
        <v>100</v>
      </c>
      <c r="H1319" t="s">
        <v>3808</v>
      </c>
      <c r="I1319" t="s">
        <v>3821</v>
      </c>
      <c r="J1319" t="s">
        <v>3810</v>
      </c>
      <c r="K1319" t="s">
        <v>79</v>
      </c>
      <c r="L1319" s="13">
        <v>38995</v>
      </c>
      <c r="M1319">
        <v>17</v>
      </c>
      <c r="N1319" t="s">
        <v>79</v>
      </c>
      <c r="O1319" t="s">
        <v>3880</v>
      </c>
      <c r="P1319" t="s">
        <v>76</v>
      </c>
      <c r="Q1319" t="s">
        <v>95</v>
      </c>
      <c r="R1319" t="s">
        <v>95</v>
      </c>
      <c r="S1319" t="s">
        <v>76</v>
      </c>
      <c r="T1319" t="s">
        <v>76</v>
      </c>
      <c r="U1319">
        <v>1</v>
      </c>
      <c r="V1319" s="13">
        <v>45175</v>
      </c>
      <c r="W1319">
        <v>1</v>
      </c>
      <c r="X1319">
        <v>1</v>
      </c>
      <c r="Y1319" t="s">
        <v>3738</v>
      </c>
      <c r="AC1319">
        <v>4921</v>
      </c>
      <c r="AD1319" t="e" vm="1309">
        <v>#VALUE!</v>
      </c>
    </row>
    <row r="1320" spans="2:30" x14ac:dyDescent="0.25">
      <c r="B1320">
        <v>4922</v>
      </c>
      <c r="C1320" t="s">
        <v>3659</v>
      </c>
      <c r="D1320" t="s">
        <v>3660</v>
      </c>
      <c r="E1320" t="s">
        <v>3813</v>
      </c>
      <c r="F1320" t="s">
        <v>83</v>
      </c>
      <c r="G1320" t="s">
        <v>103</v>
      </c>
      <c r="H1320" t="s">
        <v>3808</v>
      </c>
      <c r="I1320" t="s">
        <v>3821</v>
      </c>
      <c r="J1320" t="s">
        <v>3810</v>
      </c>
      <c r="K1320" t="s">
        <v>79</v>
      </c>
      <c r="L1320" s="13">
        <v>39001</v>
      </c>
      <c r="M1320">
        <v>17</v>
      </c>
      <c r="N1320" t="s">
        <v>88</v>
      </c>
      <c r="O1320" t="s">
        <v>3880</v>
      </c>
      <c r="P1320" t="s">
        <v>76</v>
      </c>
      <c r="Q1320" t="s">
        <v>95</v>
      </c>
      <c r="R1320" t="s">
        <v>95</v>
      </c>
      <c r="S1320" t="s">
        <v>76</v>
      </c>
      <c r="T1320" t="s">
        <v>76</v>
      </c>
      <c r="U1320">
        <v>1</v>
      </c>
      <c r="V1320" s="13">
        <v>45175</v>
      </c>
      <c r="W1320">
        <v>1</v>
      </c>
      <c r="X1320">
        <v>1</v>
      </c>
      <c r="Y1320" t="s">
        <v>3661</v>
      </c>
      <c r="AC1320">
        <v>4922</v>
      </c>
      <c r="AD1320" t="e" vm="1310">
        <v>#VALUE!</v>
      </c>
    </row>
    <row r="1321" spans="2:30" x14ac:dyDescent="0.25">
      <c r="B1321">
        <v>4923</v>
      </c>
      <c r="C1321" t="s">
        <v>3659</v>
      </c>
      <c r="D1321" t="s">
        <v>3660</v>
      </c>
      <c r="E1321" t="s">
        <v>3813</v>
      </c>
      <c r="F1321" t="s">
        <v>83</v>
      </c>
      <c r="G1321" t="s">
        <v>103</v>
      </c>
      <c r="H1321" t="s">
        <v>3808</v>
      </c>
      <c r="I1321" t="s">
        <v>3821</v>
      </c>
      <c r="J1321" t="s">
        <v>3810</v>
      </c>
      <c r="K1321" t="s">
        <v>79</v>
      </c>
      <c r="L1321" s="13">
        <v>39002</v>
      </c>
      <c r="M1321">
        <v>17</v>
      </c>
      <c r="N1321" t="s">
        <v>88</v>
      </c>
      <c r="O1321" t="s">
        <v>3880</v>
      </c>
      <c r="P1321" t="s">
        <v>76</v>
      </c>
      <c r="Q1321" t="s">
        <v>95</v>
      </c>
      <c r="R1321" t="s">
        <v>95</v>
      </c>
      <c r="S1321" t="s">
        <v>76</v>
      </c>
      <c r="T1321" t="s">
        <v>76</v>
      </c>
      <c r="U1321">
        <v>1</v>
      </c>
      <c r="V1321" s="13">
        <v>45175</v>
      </c>
      <c r="W1321">
        <v>1</v>
      </c>
      <c r="X1321">
        <v>1</v>
      </c>
      <c r="Y1321" t="s">
        <v>3661</v>
      </c>
      <c r="AC1321">
        <v>4923</v>
      </c>
      <c r="AD1321" t="e" vm="1311">
        <v>#VALUE!</v>
      </c>
    </row>
    <row r="1322" spans="2:30" x14ac:dyDescent="0.25">
      <c r="B1322">
        <v>4924</v>
      </c>
      <c r="C1322" t="s">
        <v>3659</v>
      </c>
      <c r="D1322" t="s">
        <v>3660</v>
      </c>
      <c r="E1322" t="s">
        <v>3813</v>
      </c>
      <c r="F1322" t="s">
        <v>83</v>
      </c>
      <c r="G1322" t="s">
        <v>103</v>
      </c>
      <c r="H1322" t="s">
        <v>3808</v>
      </c>
      <c r="I1322" t="s">
        <v>3821</v>
      </c>
      <c r="J1322" t="s">
        <v>3810</v>
      </c>
      <c r="K1322" t="s">
        <v>79</v>
      </c>
      <c r="L1322" s="13">
        <v>39002</v>
      </c>
      <c r="M1322">
        <v>17</v>
      </c>
      <c r="N1322" t="s">
        <v>88</v>
      </c>
      <c r="O1322" t="s">
        <v>3880</v>
      </c>
      <c r="P1322" t="s">
        <v>76</v>
      </c>
      <c r="Q1322" t="s">
        <v>95</v>
      </c>
      <c r="R1322" t="s">
        <v>95</v>
      </c>
      <c r="S1322" t="s">
        <v>76</v>
      </c>
      <c r="T1322" t="s">
        <v>76</v>
      </c>
      <c r="U1322">
        <v>1</v>
      </c>
      <c r="V1322" s="13">
        <v>45175</v>
      </c>
      <c r="W1322">
        <v>1</v>
      </c>
      <c r="X1322">
        <v>1</v>
      </c>
      <c r="Y1322" t="s">
        <v>3661</v>
      </c>
      <c r="AC1322">
        <v>4924</v>
      </c>
      <c r="AD1322" t="e" vm="1312">
        <v>#VALUE!</v>
      </c>
    </row>
    <row r="1323" spans="2:30" x14ac:dyDescent="0.25">
      <c r="B1323">
        <v>4925</v>
      </c>
      <c r="C1323" t="s">
        <v>3659</v>
      </c>
      <c r="D1323" t="s">
        <v>3660</v>
      </c>
      <c r="E1323" t="s">
        <v>3813</v>
      </c>
      <c r="F1323" t="s">
        <v>83</v>
      </c>
      <c r="G1323" t="s">
        <v>103</v>
      </c>
      <c r="H1323" t="s">
        <v>3808</v>
      </c>
      <c r="I1323" t="s">
        <v>3821</v>
      </c>
      <c r="J1323" t="s">
        <v>3810</v>
      </c>
      <c r="K1323" t="s">
        <v>79</v>
      </c>
      <c r="L1323" s="13">
        <v>39009</v>
      </c>
      <c r="M1323">
        <v>17</v>
      </c>
      <c r="N1323" t="s">
        <v>88</v>
      </c>
      <c r="O1323" t="s">
        <v>3880</v>
      </c>
      <c r="P1323" t="s">
        <v>76</v>
      </c>
      <c r="Q1323" t="s">
        <v>95</v>
      </c>
      <c r="R1323" t="s">
        <v>95</v>
      </c>
      <c r="S1323" t="s">
        <v>76</v>
      </c>
      <c r="T1323" t="s">
        <v>76</v>
      </c>
      <c r="U1323">
        <v>1</v>
      </c>
      <c r="V1323" s="13">
        <v>45175</v>
      </c>
      <c r="W1323">
        <v>1</v>
      </c>
      <c r="X1323">
        <v>1</v>
      </c>
      <c r="Y1323" t="s">
        <v>3661</v>
      </c>
      <c r="AC1323">
        <v>4925</v>
      </c>
      <c r="AD1323" t="e" vm="1313">
        <v>#VALUE!</v>
      </c>
    </row>
    <row r="1324" spans="2:30" x14ac:dyDescent="0.25">
      <c r="B1324">
        <v>4927</v>
      </c>
      <c r="C1324" t="s">
        <v>3659</v>
      </c>
      <c r="D1324" t="s">
        <v>3660</v>
      </c>
      <c r="E1324" t="s">
        <v>3813</v>
      </c>
      <c r="F1324" t="s">
        <v>83</v>
      </c>
      <c r="G1324" t="s">
        <v>103</v>
      </c>
      <c r="H1324" t="s">
        <v>3808</v>
      </c>
      <c r="I1324" t="s">
        <v>3821</v>
      </c>
      <c r="J1324" t="s">
        <v>3810</v>
      </c>
      <c r="K1324" t="s">
        <v>79</v>
      </c>
      <c r="L1324" s="13">
        <v>39009</v>
      </c>
      <c r="M1324">
        <v>17</v>
      </c>
      <c r="N1324" t="s">
        <v>88</v>
      </c>
      <c r="O1324" t="s">
        <v>3880</v>
      </c>
      <c r="P1324" t="s">
        <v>76</v>
      </c>
      <c r="Q1324" t="s">
        <v>95</v>
      </c>
      <c r="R1324" t="s">
        <v>95</v>
      </c>
      <c r="S1324" t="s">
        <v>76</v>
      </c>
      <c r="T1324" t="s">
        <v>76</v>
      </c>
      <c r="U1324">
        <v>1</v>
      </c>
      <c r="V1324" s="13">
        <v>45175</v>
      </c>
      <c r="W1324">
        <v>1</v>
      </c>
      <c r="X1324">
        <v>1</v>
      </c>
      <c r="Y1324" t="s">
        <v>3661</v>
      </c>
      <c r="AC1324">
        <v>4927</v>
      </c>
      <c r="AD1324" t="e" vm="1314">
        <v>#VALUE!</v>
      </c>
    </row>
    <row r="1325" spans="2:30" x14ac:dyDescent="0.25">
      <c r="B1325">
        <v>4928</v>
      </c>
      <c r="C1325" t="s">
        <v>3659</v>
      </c>
      <c r="D1325" t="s">
        <v>3660</v>
      </c>
      <c r="E1325" t="s">
        <v>3813</v>
      </c>
      <c r="F1325" t="s">
        <v>83</v>
      </c>
      <c r="G1325" t="s">
        <v>103</v>
      </c>
      <c r="H1325" t="s">
        <v>3808</v>
      </c>
      <c r="I1325" t="s">
        <v>3821</v>
      </c>
      <c r="J1325" t="s">
        <v>3810</v>
      </c>
      <c r="K1325" t="s">
        <v>79</v>
      </c>
      <c r="L1325" s="13">
        <v>39013</v>
      </c>
      <c r="M1325">
        <v>17</v>
      </c>
      <c r="N1325" t="s">
        <v>88</v>
      </c>
      <c r="O1325" t="s">
        <v>3880</v>
      </c>
      <c r="P1325" t="s">
        <v>76</v>
      </c>
      <c r="Q1325" t="s">
        <v>95</v>
      </c>
      <c r="R1325" t="s">
        <v>95</v>
      </c>
      <c r="S1325" t="s">
        <v>76</v>
      </c>
      <c r="T1325" t="s">
        <v>76</v>
      </c>
      <c r="U1325">
        <v>1</v>
      </c>
      <c r="V1325" s="13">
        <v>45175</v>
      </c>
      <c r="W1325">
        <v>1</v>
      </c>
      <c r="X1325">
        <v>1</v>
      </c>
      <c r="Y1325" t="s">
        <v>3661</v>
      </c>
      <c r="AC1325">
        <v>4928</v>
      </c>
      <c r="AD1325" t="e" vm="1315">
        <v>#VALUE!</v>
      </c>
    </row>
    <row r="1326" spans="2:30" x14ac:dyDescent="0.25">
      <c r="B1326">
        <v>4929</v>
      </c>
      <c r="C1326" t="s">
        <v>3659</v>
      </c>
      <c r="D1326" t="s">
        <v>3660</v>
      </c>
      <c r="E1326" t="s">
        <v>3813</v>
      </c>
      <c r="F1326" t="s">
        <v>83</v>
      </c>
      <c r="G1326" t="s">
        <v>103</v>
      </c>
      <c r="H1326" t="s">
        <v>3808</v>
      </c>
      <c r="I1326" t="s">
        <v>3821</v>
      </c>
      <c r="J1326" t="s">
        <v>3810</v>
      </c>
      <c r="K1326" t="s">
        <v>79</v>
      </c>
      <c r="L1326" s="13">
        <v>39013</v>
      </c>
      <c r="M1326">
        <v>17</v>
      </c>
      <c r="N1326" t="s">
        <v>88</v>
      </c>
      <c r="O1326" t="s">
        <v>3880</v>
      </c>
      <c r="P1326" t="s">
        <v>76</v>
      </c>
      <c r="Q1326" t="s">
        <v>95</v>
      </c>
      <c r="R1326" t="s">
        <v>95</v>
      </c>
      <c r="S1326" t="s">
        <v>76</v>
      </c>
      <c r="T1326" t="s">
        <v>76</v>
      </c>
      <c r="U1326">
        <v>1</v>
      </c>
      <c r="V1326" s="13">
        <v>45175</v>
      </c>
      <c r="W1326">
        <v>1</v>
      </c>
      <c r="X1326">
        <v>1</v>
      </c>
      <c r="Y1326" t="s">
        <v>3661</v>
      </c>
      <c r="AC1326">
        <v>4929</v>
      </c>
      <c r="AD1326" t="e" vm="1316">
        <v>#VALUE!</v>
      </c>
    </row>
    <row r="1327" spans="2:30" x14ac:dyDescent="0.25">
      <c r="B1327">
        <v>4930</v>
      </c>
      <c r="C1327" t="s">
        <v>3659</v>
      </c>
      <c r="D1327" t="s">
        <v>3660</v>
      </c>
      <c r="E1327" t="s">
        <v>3813</v>
      </c>
      <c r="F1327" t="s">
        <v>83</v>
      </c>
      <c r="G1327" t="s">
        <v>103</v>
      </c>
      <c r="H1327" t="s">
        <v>3808</v>
      </c>
      <c r="I1327" t="s">
        <v>3821</v>
      </c>
      <c r="J1327" t="s">
        <v>3810</v>
      </c>
      <c r="K1327" t="s">
        <v>79</v>
      </c>
      <c r="L1327" s="13">
        <v>39015</v>
      </c>
      <c r="M1327">
        <v>17</v>
      </c>
      <c r="N1327" t="s">
        <v>88</v>
      </c>
      <c r="O1327" t="s">
        <v>3880</v>
      </c>
      <c r="P1327" t="s">
        <v>76</v>
      </c>
      <c r="Q1327" t="s">
        <v>95</v>
      </c>
      <c r="R1327" t="s">
        <v>95</v>
      </c>
      <c r="S1327" t="s">
        <v>76</v>
      </c>
      <c r="T1327" t="s">
        <v>76</v>
      </c>
      <c r="U1327">
        <v>1</v>
      </c>
      <c r="V1327" s="13">
        <v>45175</v>
      </c>
      <c r="W1327">
        <v>1</v>
      </c>
      <c r="X1327">
        <v>1</v>
      </c>
      <c r="Y1327" t="s">
        <v>3661</v>
      </c>
      <c r="AC1327">
        <v>4930</v>
      </c>
      <c r="AD1327" t="e" vm="1317">
        <v>#VALUE!</v>
      </c>
    </row>
    <row r="1328" spans="2:30" x14ac:dyDescent="0.25">
      <c r="B1328">
        <v>4931</v>
      </c>
      <c r="C1328" t="s">
        <v>3659</v>
      </c>
      <c r="D1328" t="s">
        <v>3660</v>
      </c>
      <c r="E1328" t="s">
        <v>3813</v>
      </c>
      <c r="F1328" t="s">
        <v>83</v>
      </c>
      <c r="G1328" t="s">
        <v>103</v>
      </c>
      <c r="H1328" t="s">
        <v>3808</v>
      </c>
      <c r="I1328" t="s">
        <v>3821</v>
      </c>
      <c r="J1328" t="s">
        <v>3810</v>
      </c>
      <c r="K1328" t="s">
        <v>79</v>
      </c>
      <c r="L1328" s="13">
        <v>39015</v>
      </c>
      <c r="M1328">
        <v>17</v>
      </c>
      <c r="N1328" t="s">
        <v>88</v>
      </c>
      <c r="O1328" t="s">
        <v>3880</v>
      </c>
      <c r="P1328" t="s">
        <v>76</v>
      </c>
      <c r="Q1328" t="s">
        <v>95</v>
      </c>
      <c r="R1328" t="s">
        <v>95</v>
      </c>
      <c r="S1328" t="s">
        <v>76</v>
      </c>
      <c r="T1328" t="s">
        <v>76</v>
      </c>
      <c r="U1328">
        <v>1</v>
      </c>
      <c r="V1328" s="13">
        <v>45175</v>
      </c>
      <c r="W1328">
        <v>1</v>
      </c>
      <c r="X1328">
        <v>1</v>
      </c>
      <c r="Y1328" t="s">
        <v>3661</v>
      </c>
      <c r="AC1328">
        <v>4931</v>
      </c>
      <c r="AD1328" t="e" vm="1318">
        <v>#VALUE!</v>
      </c>
    </row>
    <row r="1329" spans="2:30" x14ac:dyDescent="0.25">
      <c r="B1329">
        <v>4932</v>
      </c>
      <c r="C1329" t="s">
        <v>3662</v>
      </c>
      <c r="D1329" t="s">
        <v>3665</v>
      </c>
      <c r="E1329" t="s">
        <v>3815</v>
      </c>
      <c r="F1329" t="s">
        <v>92</v>
      </c>
      <c r="G1329" t="s">
        <v>96</v>
      </c>
      <c r="H1329" t="s">
        <v>3808</v>
      </c>
      <c r="I1329" t="s">
        <v>3821</v>
      </c>
      <c r="J1329" t="s">
        <v>3810</v>
      </c>
      <c r="K1329" t="s">
        <v>79</v>
      </c>
      <c r="L1329" s="13">
        <v>39015</v>
      </c>
      <c r="M1329">
        <v>17</v>
      </c>
      <c r="N1329" t="s">
        <v>79</v>
      </c>
      <c r="O1329" t="s">
        <v>3880</v>
      </c>
      <c r="P1329" t="s">
        <v>76</v>
      </c>
      <c r="Q1329" t="s">
        <v>95</v>
      </c>
      <c r="R1329" t="s">
        <v>95</v>
      </c>
      <c r="S1329" t="s">
        <v>76</v>
      </c>
      <c r="T1329" t="s">
        <v>76</v>
      </c>
      <c r="U1329">
        <v>1</v>
      </c>
      <c r="V1329" s="13">
        <v>45175</v>
      </c>
      <c r="W1329">
        <v>1</v>
      </c>
      <c r="X1329">
        <v>1</v>
      </c>
      <c r="Y1329" t="s">
        <v>3666</v>
      </c>
      <c r="AC1329">
        <v>4932</v>
      </c>
      <c r="AD1329" t="e" vm="1319">
        <v>#VALUE!</v>
      </c>
    </row>
    <row r="1330" spans="2:30" x14ac:dyDescent="0.25">
      <c r="B1330">
        <v>4933</v>
      </c>
      <c r="C1330" t="s">
        <v>3662</v>
      </c>
      <c r="D1330" t="s">
        <v>3665</v>
      </c>
      <c r="E1330" t="s">
        <v>3815</v>
      </c>
      <c r="F1330" t="s">
        <v>92</v>
      </c>
      <c r="G1330" t="s">
        <v>96</v>
      </c>
      <c r="H1330" t="s">
        <v>3808</v>
      </c>
      <c r="I1330" t="s">
        <v>3821</v>
      </c>
      <c r="J1330" t="s">
        <v>3810</v>
      </c>
      <c r="K1330" t="s">
        <v>79</v>
      </c>
      <c r="L1330" s="13">
        <v>39017</v>
      </c>
      <c r="M1330">
        <v>17</v>
      </c>
      <c r="N1330" t="s">
        <v>79</v>
      </c>
      <c r="O1330" t="s">
        <v>3880</v>
      </c>
      <c r="P1330" t="s">
        <v>76</v>
      </c>
      <c r="Q1330" t="s">
        <v>95</v>
      </c>
      <c r="R1330" t="s">
        <v>95</v>
      </c>
      <c r="S1330" t="s">
        <v>76</v>
      </c>
      <c r="T1330" t="s">
        <v>76</v>
      </c>
      <c r="U1330">
        <v>1</v>
      </c>
      <c r="V1330" s="13">
        <v>45175</v>
      </c>
      <c r="W1330">
        <v>1</v>
      </c>
      <c r="X1330">
        <v>1</v>
      </c>
      <c r="Y1330" t="s">
        <v>3666</v>
      </c>
      <c r="AC1330">
        <v>4933</v>
      </c>
      <c r="AD1330" t="e" vm="1320">
        <v>#VALUE!</v>
      </c>
    </row>
    <row r="1331" spans="2:30" x14ac:dyDescent="0.25">
      <c r="B1331">
        <v>4934</v>
      </c>
      <c r="C1331" t="s">
        <v>3662</v>
      </c>
      <c r="D1331" t="s">
        <v>3665</v>
      </c>
      <c r="E1331" t="s">
        <v>3815</v>
      </c>
      <c r="F1331" t="s">
        <v>92</v>
      </c>
      <c r="G1331" t="s">
        <v>96</v>
      </c>
      <c r="H1331" t="s">
        <v>3808</v>
      </c>
      <c r="I1331" t="s">
        <v>3821</v>
      </c>
      <c r="J1331" t="s">
        <v>3810</v>
      </c>
      <c r="K1331" t="s">
        <v>79</v>
      </c>
      <c r="L1331" s="13">
        <v>39017</v>
      </c>
      <c r="M1331">
        <v>17</v>
      </c>
      <c r="N1331" t="s">
        <v>79</v>
      </c>
      <c r="O1331" t="s">
        <v>3880</v>
      </c>
      <c r="P1331" t="s">
        <v>76</v>
      </c>
      <c r="Q1331" t="s">
        <v>95</v>
      </c>
      <c r="R1331" t="s">
        <v>95</v>
      </c>
      <c r="S1331" t="s">
        <v>76</v>
      </c>
      <c r="T1331" t="s">
        <v>76</v>
      </c>
      <c r="U1331">
        <v>1</v>
      </c>
      <c r="V1331" s="13">
        <v>45175</v>
      </c>
      <c r="W1331">
        <v>1</v>
      </c>
      <c r="X1331">
        <v>1</v>
      </c>
      <c r="Y1331" t="s">
        <v>3666</v>
      </c>
      <c r="AC1331">
        <v>4934</v>
      </c>
      <c r="AD1331" t="e" vm="1321">
        <v>#VALUE!</v>
      </c>
    </row>
    <row r="1332" spans="2:30" x14ac:dyDescent="0.25">
      <c r="B1332">
        <v>4935</v>
      </c>
      <c r="C1332" t="s">
        <v>3662</v>
      </c>
      <c r="D1332" t="s">
        <v>3665</v>
      </c>
      <c r="E1332" t="s">
        <v>3815</v>
      </c>
      <c r="F1332" t="s">
        <v>92</v>
      </c>
      <c r="G1332" t="s">
        <v>96</v>
      </c>
      <c r="H1332" t="s">
        <v>3808</v>
      </c>
      <c r="I1332" t="s">
        <v>3821</v>
      </c>
      <c r="J1332" t="s">
        <v>3810</v>
      </c>
      <c r="K1332" t="s">
        <v>79</v>
      </c>
      <c r="L1332" s="13">
        <v>39031</v>
      </c>
      <c r="M1332">
        <v>17</v>
      </c>
      <c r="N1332" t="s">
        <v>79</v>
      </c>
      <c r="O1332" t="s">
        <v>3880</v>
      </c>
      <c r="P1332" t="s">
        <v>76</v>
      </c>
      <c r="Q1332" t="s">
        <v>95</v>
      </c>
      <c r="R1332" t="s">
        <v>95</v>
      </c>
      <c r="S1332" t="s">
        <v>76</v>
      </c>
      <c r="T1332" t="s">
        <v>76</v>
      </c>
      <c r="U1332">
        <v>1</v>
      </c>
      <c r="V1332" s="13">
        <v>45175</v>
      </c>
      <c r="W1332">
        <v>1</v>
      </c>
      <c r="X1332">
        <v>1</v>
      </c>
      <c r="Y1332" t="s">
        <v>3666</v>
      </c>
      <c r="AC1332">
        <v>4935</v>
      </c>
      <c r="AD1332" t="e" vm="1322">
        <v>#VALUE!</v>
      </c>
    </row>
    <row r="1333" spans="2:30" x14ac:dyDescent="0.25">
      <c r="B1333">
        <v>4936</v>
      </c>
      <c r="C1333" t="s">
        <v>3662</v>
      </c>
      <c r="D1333" t="s">
        <v>3665</v>
      </c>
      <c r="E1333" t="s">
        <v>3815</v>
      </c>
      <c r="F1333" t="s">
        <v>92</v>
      </c>
      <c r="G1333" t="s">
        <v>96</v>
      </c>
      <c r="H1333" t="s">
        <v>3808</v>
      </c>
      <c r="I1333" t="s">
        <v>3821</v>
      </c>
      <c r="J1333" t="s">
        <v>3810</v>
      </c>
      <c r="K1333" t="s">
        <v>79</v>
      </c>
      <c r="L1333" s="13">
        <v>39031</v>
      </c>
      <c r="M1333">
        <v>17</v>
      </c>
      <c r="N1333" t="s">
        <v>79</v>
      </c>
      <c r="O1333" t="s">
        <v>3880</v>
      </c>
      <c r="P1333" t="s">
        <v>76</v>
      </c>
      <c r="Q1333" t="s">
        <v>95</v>
      </c>
      <c r="R1333" t="s">
        <v>95</v>
      </c>
      <c r="S1333" t="s">
        <v>76</v>
      </c>
      <c r="T1333" t="s">
        <v>76</v>
      </c>
      <c r="U1333">
        <v>1</v>
      </c>
      <c r="V1333" s="13">
        <v>45175</v>
      </c>
      <c r="W1333">
        <v>1</v>
      </c>
      <c r="X1333">
        <v>1</v>
      </c>
      <c r="Y1333" t="s">
        <v>3666</v>
      </c>
      <c r="AC1333">
        <v>4936</v>
      </c>
      <c r="AD1333" t="e" vm="1323">
        <v>#VALUE!</v>
      </c>
    </row>
    <row r="1334" spans="2:30" x14ac:dyDescent="0.25">
      <c r="B1334">
        <v>4937</v>
      </c>
      <c r="C1334" t="s">
        <v>3662</v>
      </c>
      <c r="D1334" t="s">
        <v>3665</v>
      </c>
      <c r="E1334" t="s">
        <v>3815</v>
      </c>
      <c r="F1334" t="s">
        <v>92</v>
      </c>
      <c r="G1334" t="s">
        <v>96</v>
      </c>
      <c r="H1334" t="s">
        <v>3808</v>
      </c>
      <c r="I1334" t="s">
        <v>3821</v>
      </c>
      <c r="J1334" t="s">
        <v>3810</v>
      </c>
      <c r="K1334" t="s">
        <v>79</v>
      </c>
      <c r="L1334" s="13">
        <v>39031</v>
      </c>
      <c r="M1334">
        <v>17</v>
      </c>
      <c r="N1334" t="s">
        <v>79</v>
      </c>
      <c r="O1334" t="s">
        <v>3880</v>
      </c>
      <c r="P1334" t="s">
        <v>76</v>
      </c>
      <c r="Q1334" t="s">
        <v>95</v>
      </c>
      <c r="R1334" t="s">
        <v>95</v>
      </c>
      <c r="S1334" t="s">
        <v>76</v>
      </c>
      <c r="T1334" t="s">
        <v>76</v>
      </c>
      <c r="U1334">
        <v>1</v>
      </c>
      <c r="V1334" s="13">
        <v>45175</v>
      </c>
      <c r="W1334">
        <v>1</v>
      </c>
      <c r="X1334">
        <v>1</v>
      </c>
      <c r="Y1334" t="s">
        <v>3666</v>
      </c>
      <c r="AC1334">
        <v>4937</v>
      </c>
      <c r="AD1334" t="e" vm="1324">
        <v>#VALUE!</v>
      </c>
    </row>
    <row r="1335" spans="2:30" x14ac:dyDescent="0.25">
      <c r="B1335">
        <v>4938</v>
      </c>
      <c r="C1335" t="s">
        <v>3662</v>
      </c>
      <c r="D1335" t="s">
        <v>3737</v>
      </c>
      <c r="E1335" t="s">
        <v>3876</v>
      </c>
      <c r="F1335" t="s">
        <v>89</v>
      </c>
      <c r="G1335" t="s">
        <v>100</v>
      </c>
      <c r="H1335" t="s">
        <v>3808</v>
      </c>
      <c r="I1335" t="s">
        <v>3821</v>
      </c>
      <c r="J1335" t="s">
        <v>3810</v>
      </c>
      <c r="K1335" t="s">
        <v>79</v>
      </c>
      <c r="L1335" s="13">
        <v>39275</v>
      </c>
      <c r="M1335">
        <v>16</v>
      </c>
      <c r="N1335" t="s">
        <v>79</v>
      </c>
      <c r="O1335" t="s">
        <v>3880</v>
      </c>
      <c r="P1335" t="s">
        <v>76</v>
      </c>
      <c r="Q1335" t="s">
        <v>95</v>
      </c>
      <c r="R1335" t="s">
        <v>95</v>
      </c>
      <c r="S1335" t="s">
        <v>76</v>
      </c>
      <c r="T1335" t="s">
        <v>76</v>
      </c>
      <c r="U1335">
        <v>1</v>
      </c>
      <c r="V1335" s="13">
        <v>45175</v>
      </c>
      <c r="W1335">
        <v>1</v>
      </c>
      <c r="X1335">
        <v>1</v>
      </c>
      <c r="Y1335" t="s">
        <v>3738</v>
      </c>
      <c r="AC1335">
        <v>4938</v>
      </c>
      <c r="AD1335" t="e" vm="1325">
        <v>#VALUE!</v>
      </c>
    </row>
    <row r="1336" spans="2:30" x14ac:dyDescent="0.25">
      <c r="B1336">
        <v>4939</v>
      </c>
      <c r="C1336" t="s">
        <v>3662</v>
      </c>
      <c r="D1336" t="s">
        <v>3737</v>
      </c>
      <c r="E1336" t="s">
        <v>3876</v>
      </c>
      <c r="F1336" t="s">
        <v>89</v>
      </c>
      <c r="G1336" t="s">
        <v>100</v>
      </c>
      <c r="H1336" t="s">
        <v>3808</v>
      </c>
      <c r="I1336" t="s">
        <v>3821</v>
      </c>
      <c r="J1336" t="s">
        <v>3810</v>
      </c>
      <c r="K1336" t="s">
        <v>79</v>
      </c>
      <c r="L1336" s="13">
        <v>39038</v>
      </c>
      <c r="M1336">
        <v>17</v>
      </c>
      <c r="N1336" t="s">
        <v>79</v>
      </c>
      <c r="O1336" t="s">
        <v>3880</v>
      </c>
      <c r="P1336" t="s">
        <v>76</v>
      </c>
      <c r="Q1336" t="s">
        <v>95</v>
      </c>
      <c r="R1336" t="s">
        <v>95</v>
      </c>
      <c r="S1336" t="s">
        <v>76</v>
      </c>
      <c r="T1336" t="s">
        <v>76</v>
      </c>
      <c r="U1336">
        <v>1</v>
      </c>
      <c r="V1336" s="13">
        <v>45175</v>
      </c>
      <c r="W1336">
        <v>1</v>
      </c>
      <c r="X1336">
        <v>1</v>
      </c>
      <c r="Y1336" t="s">
        <v>3738</v>
      </c>
      <c r="AC1336">
        <v>4939</v>
      </c>
      <c r="AD1336" t="e" vm="1326">
        <v>#VALUE!</v>
      </c>
    </row>
    <row r="1337" spans="2:30" x14ac:dyDescent="0.25">
      <c r="B1337">
        <v>4940</v>
      </c>
      <c r="C1337" t="s">
        <v>3662</v>
      </c>
      <c r="D1337" t="s">
        <v>3737</v>
      </c>
      <c r="E1337" t="s">
        <v>3876</v>
      </c>
      <c r="F1337" t="s">
        <v>89</v>
      </c>
      <c r="G1337" t="s">
        <v>100</v>
      </c>
      <c r="H1337" t="s">
        <v>3808</v>
      </c>
      <c r="I1337" t="s">
        <v>3821</v>
      </c>
      <c r="J1337" t="s">
        <v>3810</v>
      </c>
      <c r="K1337" t="s">
        <v>79</v>
      </c>
      <c r="L1337" s="13">
        <v>39043</v>
      </c>
      <c r="M1337">
        <v>17</v>
      </c>
      <c r="N1337" t="s">
        <v>79</v>
      </c>
      <c r="O1337" t="s">
        <v>3880</v>
      </c>
      <c r="P1337" t="s">
        <v>76</v>
      </c>
      <c r="Q1337" t="s">
        <v>95</v>
      </c>
      <c r="R1337" t="s">
        <v>95</v>
      </c>
      <c r="S1337" t="s">
        <v>76</v>
      </c>
      <c r="T1337" t="s">
        <v>76</v>
      </c>
      <c r="U1337">
        <v>1</v>
      </c>
      <c r="V1337" s="13">
        <v>45175</v>
      </c>
      <c r="W1337">
        <v>1</v>
      </c>
      <c r="X1337">
        <v>1</v>
      </c>
      <c r="Y1337" t="s">
        <v>3738</v>
      </c>
      <c r="AC1337">
        <v>4940</v>
      </c>
      <c r="AD1337" t="e" vm="1327">
        <v>#VALUE!</v>
      </c>
    </row>
    <row r="1338" spans="2:30" x14ac:dyDescent="0.25">
      <c r="B1338">
        <v>4941</v>
      </c>
      <c r="C1338" t="s">
        <v>3662</v>
      </c>
      <c r="D1338" t="s">
        <v>3737</v>
      </c>
      <c r="E1338" t="s">
        <v>3876</v>
      </c>
      <c r="F1338" t="s">
        <v>89</v>
      </c>
      <c r="G1338" t="s">
        <v>100</v>
      </c>
      <c r="H1338" t="s">
        <v>3808</v>
      </c>
      <c r="I1338" t="s">
        <v>3821</v>
      </c>
      <c r="J1338" t="s">
        <v>3810</v>
      </c>
      <c r="K1338" t="s">
        <v>79</v>
      </c>
      <c r="L1338" s="13">
        <v>39038</v>
      </c>
      <c r="M1338">
        <v>17</v>
      </c>
      <c r="N1338" t="s">
        <v>79</v>
      </c>
      <c r="O1338" t="s">
        <v>3880</v>
      </c>
      <c r="P1338" t="s">
        <v>76</v>
      </c>
      <c r="Q1338" t="s">
        <v>95</v>
      </c>
      <c r="R1338" t="s">
        <v>95</v>
      </c>
      <c r="S1338" t="s">
        <v>76</v>
      </c>
      <c r="T1338" t="s">
        <v>76</v>
      </c>
      <c r="U1338">
        <v>1</v>
      </c>
      <c r="V1338" s="13">
        <v>45175</v>
      </c>
      <c r="W1338">
        <v>1</v>
      </c>
      <c r="X1338">
        <v>1</v>
      </c>
      <c r="Y1338" t="s">
        <v>3738</v>
      </c>
      <c r="AC1338">
        <v>4941</v>
      </c>
      <c r="AD1338" t="e" vm="1328">
        <v>#VALUE!</v>
      </c>
    </row>
    <row r="1339" spans="2:30" x14ac:dyDescent="0.25">
      <c r="B1339">
        <v>4942</v>
      </c>
      <c r="C1339" t="s">
        <v>3662</v>
      </c>
      <c r="D1339" t="s">
        <v>3737</v>
      </c>
      <c r="E1339" t="s">
        <v>3876</v>
      </c>
      <c r="F1339" t="s">
        <v>89</v>
      </c>
      <c r="G1339" t="s">
        <v>100</v>
      </c>
      <c r="H1339" t="s">
        <v>3808</v>
      </c>
      <c r="I1339" t="s">
        <v>3821</v>
      </c>
      <c r="J1339" t="s">
        <v>3810</v>
      </c>
      <c r="K1339" t="s">
        <v>79</v>
      </c>
      <c r="L1339" s="13">
        <v>39038</v>
      </c>
      <c r="M1339">
        <v>17</v>
      </c>
      <c r="N1339" t="s">
        <v>79</v>
      </c>
      <c r="O1339" t="s">
        <v>3880</v>
      </c>
      <c r="P1339" t="s">
        <v>76</v>
      </c>
      <c r="Q1339" t="s">
        <v>95</v>
      </c>
      <c r="R1339" t="s">
        <v>95</v>
      </c>
      <c r="S1339" t="s">
        <v>76</v>
      </c>
      <c r="T1339" t="s">
        <v>76</v>
      </c>
      <c r="U1339">
        <v>1</v>
      </c>
      <c r="V1339" s="13">
        <v>45175</v>
      </c>
      <c r="W1339">
        <v>1</v>
      </c>
      <c r="X1339">
        <v>1</v>
      </c>
      <c r="Y1339" t="s">
        <v>3738</v>
      </c>
      <c r="AC1339">
        <v>4942</v>
      </c>
      <c r="AD1339" t="e" vm="1329">
        <v>#VALUE!</v>
      </c>
    </row>
    <row r="1340" spans="2:30" x14ac:dyDescent="0.25">
      <c r="B1340">
        <v>4943</v>
      </c>
      <c r="C1340" t="s">
        <v>3646</v>
      </c>
      <c r="D1340" t="s">
        <v>3713</v>
      </c>
      <c r="E1340" t="s">
        <v>3849</v>
      </c>
      <c r="F1340" t="s">
        <v>83</v>
      </c>
      <c r="G1340" t="s">
        <v>107</v>
      </c>
      <c r="H1340" t="s">
        <v>3808</v>
      </c>
      <c r="I1340" t="s">
        <v>3821</v>
      </c>
      <c r="J1340" t="s">
        <v>3810</v>
      </c>
      <c r="K1340" t="s">
        <v>79</v>
      </c>
      <c r="L1340" s="13">
        <v>39035</v>
      </c>
      <c r="M1340">
        <v>17</v>
      </c>
      <c r="N1340" t="s">
        <v>90</v>
      </c>
      <c r="O1340" t="s">
        <v>3880</v>
      </c>
      <c r="P1340" t="s">
        <v>76</v>
      </c>
      <c r="Q1340" t="s">
        <v>95</v>
      </c>
      <c r="R1340" t="s">
        <v>95</v>
      </c>
      <c r="S1340" t="s">
        <v>76</v>
      </c>
      <c r="T1340" t="s">
        <v>76</v>
      </c>
      <c r="U1340">
        <v>1</v>
      </c>
      <c r="V1340" s="13">
        <v>45175</v>
      </c>
      <c r="W1340">
        <v>1</v>
      </c>
      <c r="X1340">
        <v>1</v>
      </c>
      <c r="Y1340" t="s">
        <v>3714</v>
      </c>
      <c r="AC1340">
        <v>4943</v>
      </c>
      <c r="AD1340" t="e" vm="1330">
        <v>#VALUE!</v>
      </c>
    </row>
    <row r="1341" spans="2:30" x14ac:dyDescent="0.25">
      <c r="B1341">
        <v>4944</v>
      </c>
      <c r="C1341" t="s">
        <v>3646</v>
      </c>
      <c r="D1341" t="s">
        <v>3713</v>
      </c>
      <c r="E1341" t="s">
        <v>3849</v>
      </c>
      <c r="F1341" t="s">
        <v>83</v>
      </c>
      <c r="G1341" t="s">
        <v>107</v>
      </c>
      <c r="H1341" t="s">
        <v>3808</v>
      </c>
      <c r="I1341" t="s">
        <v>3821</v>
      </c>
      <c r="J1341" t="s">
        <v>3810</v>
      </c>
      <c r="K1341" t="s">
        <v>79</v>
      </c>
      <c r="L1341" s="13">
        <v>39049</v>
      </c>
      <c r="M1341">
        <v>17</v>
      </c>
      <c r="N1341" t="s">
        <v>90</v>
      </c>
      <c r="O1341" t="s">
        <v>3880</v>
      </c>
      <c r="P1341" t="s">
        <v>76</v>
      </c>
      <c r="Q1341" t="s">
        <v>95</v>
      </c>
      <c r="R1341" t="s">
        <v>95</v>
      </c>
      <c r="S1341" t="s">
        <v>76</v>
      </c>
      <c r="T1341" t="s">
        <v>76</v>
      </c>
      <c r="U1341">
        <v>1</v>
      </c>
      <c r="V1341" s="13">
        <v>45175</v>
      </c>
      <c r="W1341">
        <v>1</v>
      </c>
      <c r="X1341">
        <v>1</v>
      </c>
      <c r="Y1341" t="s">
        <v>3714</v>
      </c>
      <c r="AC1341">
        <v>4944</v>
      </c>
      <c r="AD1341" t="e" vm="1331">
        <v>#VALUE!</v>
      </c>
    </row>
    <row r="1342" spans="2:30" x14ac:dyDescent="0.25">
      <c r="B1342">
        <v>4945</v>
      </c>
      <c r="C1342" t="s">
        <v>3646</v>
      </c>
      <c r="D1342" t="s">
        <v>3713</v>
      </c>
      <c r="E1342" t="s">
        <v>3849</v>
      </c>
      <c r="F1342" t="s">
        <v>83</v>
      </c>
      <c r="G1342" t="s">
        <v>107</v>
      </c>
      <c r="H1342" t="s">
        <v>3808</v>
      </c>
      <c r="I1342" t="s">
        <v>3821</v>
      </c>
      <c r="J1342" t="s">
        <v>3810</v>
      </c>
      <c r="K1342" t="s">
        <v>79</v>
      </c>
      <c r="L1342" s="13">
        <v>39049</v>
      </c>
      <c r="M1342">
        <v>17</v>
      </c>
      <c r="N1342" t="s">
        <v>90</v>
      </c>
      <c r="O1342" t="s">
        <v>3880</v>
      </c>
      <c r="P1342" t="s">
        <v>76</v>
      </c>
      <c r="Q1342" t="s">
        <v>95</v>
      </c>
      <c r="R1342" t="s">
        <v>95</v>
      </c>
      <c r="S1342" t="s">
        <v>76</v>
      </c>
      <c r="T1342" t="s">
        <v>76</v>
      </c>
      <c r="U1342">
        <v>1</v>
      </c>
      <c r="V1342" s="13">
        <v>45175</v>
      </c>
      <c r="W1342">
        <v>1</v>
      </c>
      <c r="X1342">
        <v>1</v>
      </c>
      <c r="Y1342" t="s">
        <v>3714</v>
      </c>
      <c r="AC1342">
        <v>4945</v>
      </c>
      <c r="AD1342" t="e" vm="1332">
        <v>#VALUE!</v>
      </c>
    </row>
    <row r="1343" spans="2:30" x14ac:dyDescent="0.25">
      <c r="B1343">
        <v>4946</v>
      </c>
      <c r="C1343" t="s">
        <v>3646</v>
      </c>
      <c r="D1343" t="s">
        <v>3713</v>
      </c>
      <c r="E1343" t="s">
        <v>3849</v>
      </c>
      <c r="F1343" t="s">
        <v>83</v>
      </c>
      <c r="G1343" t="s">
        <v>107</v>
      </c>
      <c r="H1343" t="s">
        <v>3808</v>
      </c>
      <c r="I1343" t="s">
        <v>3821</v>
      </c>
      <c r="J1343" t="s">
        <v>3810</v>
      </c>
      <c r="K1343" t="s">
        <v>79</v>
      </c>
      <c r="L1343" s="13">
        <v>39049</v>
      </c>
      <c r="M1343">
        <v>17</v>
      </c>
      <c r="N1343" t="s">
        <v>90</v>
      </c>
      <c r="O1343" t="s">
        <v>3880</v>
      </c>
      <c r="P1343" t="s">
        <v>76</v>
      </c>
      <c r="Q1343" t="s">
        <v>95</v>
      </c>
      <c r="R1343" t="s">
        <v>95</v>
      </c>
      <c r="S1343" t="s">
        <v>76</v>
      </c>
      <c r="T1343" t="s">
        <v>76</v>
      </c>
      <c r="U1343">
        <v>1</v>
      </c>
      <c r="V1343" s="13">
        <v>45175</v>
      </c>
      <c r="W1343">
        <v>1</v>
      </c>
      <c r="X1343">
        <v>1</v>
      </c>
      <c r="Y1343" t="s">
        <v>3714</v>
      </c>
      <c r="AC1343">
        <v>4946</v>
      </c>
      <c r="AD1343" t="e" vm="1333">
        <v>#VALUE!</v>
      </c>
    </row>
    <row r="1344" spans="2:30" x14ac:dyDescent="0.25">
      <c r="B1344">
        <v>4947</v>
      </c>
      <c r="C1344" t="s">
        <v>3646</v>
      </c>
      <c r="D1344" t="s">
        <v>3711</v>
      </c>
      <c r="E1344" t="s">
        <v>3849</v>
      </c>
      <c r="F1344" t="s">
        <v>83</v>
      </c>
      <c r="G1344" t="s">
        <v>103</v>
      </c>
      <c r="H1344" t="s">
        <v>3808</v>
      </c>
      <c r="I1344" t="s">
        <v>3821</v>
      </c>
      <c r="J1344" t="s">
        <v>3810</v>
      </c>
      <c r="K1344" t="s">
        <v>79</v>
      </c>
      <c r="L1344" s="13">
        <v>39056</v>
      </c>
      <c r="M1344">
        <v>17</v>
      </c>
      <c r="N1344" t="s">
        <v>90</v>
      </c>
      <c r="O1344" t="s">
        <v>3880</v>
      </c>
      <c r="P1344" t="s">
        <v>76</v>
      </c>
      <c r="Q1344" t="s">
        <v>95</v>
      </c>
      <c r="R1344" t="s">
        <v>95</v>
      </c>
      <c r="S1344" t="s">
        <v>76</v>
      </c>
      <c r="T1344" t="s">
        <v>76</v>
      </c>
      <c r="U1344">
        <v>1</v>
      </c>
      <c r="V1344" s="13">
        <v>45175</v>
      </c>
      <c r="W1344">
        <v>1</v>
      </c>
      <c r="X1344">
        <v>1</v>
      </c>
      <c r="Y1344" t="s">
        <v>3712</v>
      </c>
      <c r="AC1344">
        <v>4947</v>
      </c>
      <c r="AD1344" t="e" vm="1334">
        <v>#VALUE!</v>
      </c>
    </row>
    <row r="1345" spans="2:30" x14ac:dyDescent="0.25">
      <c r="B1345">
        <v>4948</v>
      </c>
      <c r="C1345" t="s">
        <v>3646</v>
      </c>
      <c r="D1345" t="s">
        <v>3711</v>
      </c>
      <c r="E1345" t="s">
        <v>3849</v>
      </c>
      <c r="F1345" t="s">
        <v>83</v>
      </c>
      <c r="G1345" t="s">
        <v>103</v>
      </c>
      <c r="H1345" t="s">
        <v>3808</v>
      </c>
      <c r="I1345" t="s">
        <v>3821</v>
      </c>
      <c r="J1345" t="s">
        <v>3810</v>
      </c>
      <c r="K1345" t="s">
        <v>79</v>
      </c>
      <c r="L1345" s="13">
        <v>39059</v>
      </c>
      <c r="M1345">
        <v>17</v>
      </c>
      <c r="N1345" t="s">
        <v>90</v>
      </c>
      <c r="O1345" t="s">
        <v>3880</v>
      </c>
      <c r="P1345" t="s">
        <v>76</v>
      </c>
      <c r="Q1345" t="s">
        <v>95</v>
      </c>
      <c r="R1345" t="s">
        <v>95</v>
      </c>
      <c r="S1345" t="s">
        <v>76</v>
      </c>
      <c r="T1345" t="s">
        <v>76</v>
      </c>
      <c r="U1345">
        <v>1</v>
      </c>
      <c r="V1345" s="13">
        <v>45175</v>
      </c>
      <c r="W1345">
        <v>1</v>
      </c>
      <c r="X1345">
        <v>1</v>
      </c>
      <c r="Y1345" t="s">
        <v>3712</v>
      </c>
      <c r="AC1345">
        <v>4948</v>
      </c>
      <c r="AD1345" t="e" vm="1335">
        <v>#VALUE!</v>
      </c>
    </row>
    <row r="1346" spans="2:30" x14ac:dyDescent="0.25">
      <c r="B1346">
        <v>4949</v>
      </c>
      <c r="C1346" t="s">
        <v>3646</v>
      </c>
      <c r="D1346" t="s">
        <v>3711</v>
      </c>
      <c r="E1346" t="s">
        <v>3849</v>
      </c>
      <c r="F1346" t="s">
        <v>83</v>
      </c>
      <c r="G1346" t="s">
        <v>103</v>
      </c>
      <c r="H1346" t="s">
        <v>3808</v>
      </c>
      <c r="I1346" t="s">
        <v>3821</v>
      </c>
      <c r="J1346" t="s">
        <v>3810</v>
      </c>
      <c r="K1346" t="s">
        <v>79</v>
      </c>
      <c r="L1346" s="13">
        <v>39056</v>
      </c>
      <c r="M1346">
        <v>17</v>
      </c>
      <c r="N1346" t="s">
        <v>90</v>
      </c>
      <c r="O1346" t="s">
        <v>3880</v>
      </c>
      <c r="P1346" t="s">
        <v>76</v>
      </c>
      <c r="Q1346" t="s">
        <v>95</v>
      </c>
      <c r="R1346" t="s">
        <v>95</v>
      </c>
      <c r="S1346" t="s">
        <v>76</v>
      </c>
      <c r="T1346" t="s">
        <v>76</v>
      </c>
      <c r="U1346">
        <v>1</v>
      </c>
      <c r="V1346" s="13">
        <v>45175</v>
      </c>
      <c r="W1346">
        <v>1</v>
      </c>
      <c r="X1346">
        <v>1</v>
      </c>
      <c r="Y1346" t="s">
        <v>3712</v>
      </c>
      <c r="AC1346">
        <v>4949</v>
      </c>
      <c r="AD1346" t="e" vm="1336">
        <v>#VALUE!</v>
      </c>
    </row>
    <row r="1347" spans="2:30" x14ac:dyDescent="0.25">
      <c r="B1347">
        <v>4950</v>
      </c>
      <c r="C1347" t="s">
        <v>3646</v>
      </c>
      <c r="D1347" t="s">
        <v>3711</v>
      </c>
      <c r="E1347" t="s">
        <v>3849</v>
      </c>
      <c r="F1347" t="s">
        <v>83</v>
      </c>
      <c r="G1347" t="s">
        <v>103</v>
      </c>
      <c r="H1347" t="s">
        <v>3808</v>
      </c>
      <c r="I1347" t="s">
        <v>3821</v>
      </c>
      <c r="J1347" t="s">
        <v>3810</v>
      </c>
      <c r="K1347" t="s">
        <v>79</v>
      </c>
      <c r="L1347" s="13">
        <v>39056</v>
      </c>
      <c r="M1347">
        <v>17</v>
      </c>
      <c r="N1347" t="s">
        <v>90</v>
      </c>
      <c r="O1347" t="s">
        <v>3880</v>
      </c>
      <c r="P1347" t="s">
        <v>76</v>
      </c>
      <c r="Q1347" t="s">
        <v>95</v>
      </c>
      <c r="R1347" t="s">
        <v>95</v>
      </c>
      <c r="S1347" t="s">
        <v>76</v>
      </c>
      <c r="T1347" t="s">
        <v>76</v>
      </c>
      <c r="U1347">
        <v>1</v>
      </c>
      <c r="V1347" s="13">
        <v>45175</v>
      </c>
      <c r="W1347">
        <v>1</v>
      </c>
      <c r="X1347">
        <v>1</v>
      </c>
      <c r="Y1347" t="s">
        <v>3712</v>
      </c>
      <c r="AC1347">
        <v>4950</v>
      </c>
      <c r="AD1347" t="e" vm="1337">
        <v>#VALUE!</v>
      </c>
    </row>
    <row r="1348" spans="2:30" x14ac:dyDescent="0.25">
      <c r="B1348">
        <v>4951</v>
      </c>
      <c r="C1348" t="s">
        <v>3646</v>
      </c>
      <c r="D1348" t="s">
        <v>3711</v>
      </c>
      <c r="E1348" t="s">
        <v>3849</v>
      </c>
      <c r="F1348" t="s">
        <v>83</v>
      </c>
      <c r="G1348" t="s">
        <v>103</v>
      </c>
      <c r="H1348" t="s">
        <v>3808</v>
      </c>
      <c r="I1348" t="s">
        <v>3821</v>
      </c>
      <c r="J1348" t="s">
        <v>3810</v>
      </c>
      <c r="K1348" t="s">
        <v>79</v>
      </c>
      <c r="L1348" s="13">
        <v>39059</v>
      </c>
      <c r="M1348">
        <v>17</v>
      </c>
      <c r="N1348" t="s">
        <v>90</v>
      </c>
      <c r="O1348" t="s">
        <v>3880</v>
      </c>
      <c r="P1348" t="s">
        <v>76</v>
      </c>
      <c r="Q1348" t="s">
        <v>95</v>
      </c>
      <c r="R1348" t="s">
        <v>95</v>
      </c>
      <c r="S1348" t="s">
        <v>76</v>
      </c>
      <c r="T1348" t="s">
        <v>76</v>
      </c>
      <c r="U1348">
        <v>1</v>
      </c>
      <c r="V1348" s="13">
        <v>45175</v>
      </c>
      <c r="W1348">
        <v>1</v>
      </c>
      <c r="X1348">
        <v>1</v>
      </c>
      <c r="Y1348" t="s">
        <v>3712</v>
      </c>
      <c r="AC1348">
        <v>4951</v>
      </c>
      <c r="AD1348" t="e" vm="1338">
        <v>#VALUE!</v>
      </c>
    </row>
    <row r="1349" spans="2:30" x14ac:dyDescent="0.25">
      <c r="B1349">
        <v>4952</v>
      </c>
      <c r="C1349" t="s">
        <v>3646</v>
      </c>
      <c r="D1349" t="s">
        <v>3711</v>
      </c>
      <c r="E1349" t="s">
        <v>3849</v>
      </c>
      <c r="F1349" t="s">
        <v>83</v>
      </c>
      <c r="G1349" t="s">
        <v>103</v>
      </c>
      <c r="H1349" t="s">
        <v>3808</v>
      </c>
      <c r="I1349" t="s">
        <v>3821</v>
      </c>
      <c r="J1349" t="s">
        <v>3810</v>
      </c>
      <c r="K1349" t="s">
        <v>79</v>
      </c>
      <c r="L1349" s="13">
        <v>39059</v>
      </c>
      <c r="M1349">
        <v>17</v>
      </c>
      <c r="N1349" t="s">
        <v>90</v>
      </c>
      <c r="O1349" t="s">
        <v>3880</v>
      </c>
      <c r="P1349" t="s">
        <v>76</v>
      </c>
      <c r="Q1349" t="s">
        <v>95</v>
      </c>
      <c r="R1349" t="s">
        <v>95</v>
      </c>
      <c r="S1349" t="s">
        <v>76</v>
      </c>
      <c r="T1349" t="s">
        <v>76</v>
      </c>
      <c r="U1349">
        <v>1</v>
      </c>
      <c r="V1349" s="13">
        <v>45175</v>
      </c>
      <c r="W1349">
        <v>1</v>
      </c>
      <c r="X1349">
        <v>1</v>
      </c>
      <c r="Y1349" t="s">
        <v>3712</v>
      </c>
      <c r="AC1349">
        <v>4952</v>
      </c>
      <c r="AD1349" t="e" vm="1339">
        <v>#VALUE!</v>
      </c>
    </row>
    <row r="1350" spans="2:30" x14ac:dyDescent="0.25">
      <c r="B1350">
        <v>4953</v>
      </c>
      <c r="C1350" t="s">
        <v>3646</v>
      </c>
      <c r="D1350" t="s">
        <v>3711</v>
      </c>
      <c r="E1350" t="s">
        <v>3849</v>
      </c>
      <c r="F1350" t="s">
        <v>83</v>
      </c>
      <c r="G1350" t="s">
        <v>103</v>
      </c>
      <c r="H1350" t="s">
        <v>3808</v>
      </c>
      <c r="I1350" t="s">
        <v>3821</v>
      </c>
      <c r="J1350" t="s">
        <v>3810</v>
      </c>
      <c r="K1350" t="s">
        <v>79</v>
      </c>
      <c r="L1350" s="13">
        <v>39065</v>
      </c>
      <c r="M1350">
        <v>17</v>
      </c>
      <c r="N1350" t="s">
        <v>90</v>
      </c>
      <c r="O1350" t="s">
        <v>3880</v>
      </c>
      <c r="P1350" t="s">
        <v>76</v>
      </c>
      <c r="Q1350" t="s">
        <v>95</v>
      </c>
      <c r="R1350" t="s">
        <v>95</v>
      </c>
      <c r="S1350" t="s">
        <v>76</v>
      </c>
      <c r="T1350" t="s">
        <v>76</v>
      </c>
      <c r="U1350">
        <v>1</v>
      </c>
      <c r="V1350" s="13">
        <v>45175</v>
      </c>
      <c r="W1350">
        <v>1</v>
      </c>
      <c r="X1350">
        <v>1</v>
      </c>
      <c r="Y1350" t="s">
        <v>3712</v>
      </c>
      <c r="AC1350">
        <v>4953</v>
      </c>
      <c r="AD1350" t="e" vm="1340">
        <v>#VALUE!</v>
      </c>
    </row>
    <row r="1351" spans="2:30" x14ac:dyDescent="0.25">
      <c r="B1351">
        <v>4954</v>
      </c>
      <c r="C1351" t="s">
        <v>3646</v>
      </c>
      <c r="D1351" t="s">
        <v>3711</v>
      </c>
      <c r="E1351" t="s">
        <v>3849</v>
      </c>
      <c r="F1351" t="s">
        <v>83</v>
      </c>
      <c r="G1351" t="s">
        <v>103</v>
      </c>
      <c r="H1351" t="s">
        <v>3808</v>
      </c>
      <c r="I1351" t="s">
        <v>3821</v>
      </c>
      <c r="J1351" t="s">
        <v>3810</v>
      </c>
      <c r="K1351" t="s">
        <v>79</v>
      </c>
      <c r="L1351" s="13">
        <v>39071</v>
      </c>
      <c r="M1351">
        <v>17</v>
      </c>
      <c r="N1351" t="s">
        <v>90</v>
      </c>
      <c r="O1351" t="s">
        <v>3880</v>
      </c>
      <c r="P1351" t="s">
        <v>76</v>
      </c>
      <c r="Q1351" t="s">
        <v>95</v>
      </c>
      <c r="R1351" t="s">
        <v>95</v>
      </c>
      <c r="S1351" t="s">
        <v>76</v>
      </c>
      <c r="T1351" t="s">
        <v>76</v>
      </c>
      <c r="U1351">
        <v>1</v>
      </c>
      <c r="V1351" s="13">
        <v>45175</v>
      </c>
      <c r="W1351">
        <v>1</v>
      </c>
      <c r="X1351">
        <v>1</v>
      </c>
      <c r="Y1351" t="s">
        <v>3712</v>
      </c>
      <c r="AC1351">
        <v>4954</v>
      </c>
      <c r="AD1351" t="e" vm="1341">
        <v>#VALUE!</v>
      </c>
    </row>
    <row r="1352" spans="2:30" x14ac:dyDescent="0.25">
      <c r="B1352">
        <v>4955</v>
      </c>
      <c r="C1352" t="s">
        <v>3646</v>
      </c>
      <c r="D1352" t="s">
        <v>3711</v>
      </c>
      <c r="E1352" t="s">
        <v>3849</v>
      </c>
      <c r="F1352" t="s">
        <v>83</v>
      </c>
      <c r="G1352" t="s">
        <v>103</v>
      </c>
      <c r="H1352" t="s">
        <v>3808</v>
      </c>
      <c r="I1352" t="s">
        <v>3821</v>
      </c>
      <c r="J1352" t="s">
        <v>3810</v>
      </c>
      <c r="K1352" t="s">
        <v>79</v>
      </c>
      <c r="L1352" s="13">
        <v>39073</v>
      </c>
      <c r="M1352">
        <v>17</v>
      </c>
      <c r="N1352" t="s">
        <v>90</v>
      </c>
      <c r="O1352" t="s">
        <v>3880</v>
      </c>
      <c r="P1352" t="s">
        <v>76</v>
      </c>
      <c r="Q1352" t="s">
        <v>95</v>
      </c>
      <c r="R1352" t="s">
        <v>95</v>
      </c>
      <c r="S1352" t="s">
        <v>76</v>
      </c>
      <c r="T1352" t="s">
        <v>76</v>
      </c>
      <c r="U1352">
        <v>1</v>
      </c>
      <c r="V1352" s="13">
        <v>45175</v>
      </c>
      <c r="W1352">
        <v>1</v>
      </c>
      <c r="X1352">
        <v>1</v>
      </c>
      <c r="Y1352" t="s">
        <v>3712</v>
      </c>
      <c r="AC1352">
        <v>4955</v>
      </c>
      <c r="AD1352" t="e" vm="1342">
        <v>#VALUE!</v>
      </c>
    </row>
    <row r="1353" spans="2:30" x14ac:dyDescent="0.25">
      <c r="B1353">
        <v>4956</v>
      </c>
      <c r="C1353" t="s">
        <v>3646</v>
      </c>
      <c r="D1353" t="s">
        <v>3711</v>
      </c>
      <c r="E1353" t="s">
        <v>3849</v>
      </c>
      <c r="F1353" t="s">
        <v>83</v>
      </c>
      <c r="G1353" t="s">
        <v>103</v>
      </c>
      <c r="H1353" t="s">
        <v>3808</v>
      </c>
      <c r="I1353" t="s">
        <v>3821</v>
      </c>
      <c r="J1353" t="s">
        <v>3810</v>
      </c>
      <c r="K1353" t="s">
        <v>79</v>
      </c>
      <c r="L1353" s="13">
        <v>39065</v>
      </c>
      <c r="M1353">
        <v>17</v>
      </c>
      <c r="N1353" t="s">
        <v>90</v>
      </c>
      <c r="O1353" t="s">
        <v>3880</v>
      </c>
      <c r="P1353" t="s">
        <v>76</v>
      </c>
      <c r="Q1353" t="s">
        <v>95</v>
      </c>
      <c r="R1353" t="s">
        <v>95</v>
      </c>
      <c r="S1353" t="s">
        <v>76</v>
      </c>
      <c r="T1353" t="s">
        <v>76</v>
      </c>
      <c r="U1353">
        <v>1</v>
      </c>
      <c r="V1353" s="13">
        <v>45175</v>
      </c>
      <c r="W1353">
        <v>1</v>
      </c>
      <c r="X1353">
        <v>1</v>
      </c>
      <c r="Y1353" t="s">
        <v>3712</v>
      </c>
      <c r="AC1353">
        <v>4956</v>
      </c>
      <c r="AD1353" t="e" vm="1343">
        <v>#VALUE!</v>
      </c>
    </row>
    <row r="1354" spans="2:30" x14ac:dyDescent="0.25">
      <c r="B1354">
        <v>4957</v>
      </c>
      <c r="C1354" t="s">
        <v>3646</v>
      </c>
      <c r="D1354" t="s">
        <v>3711</v>
      </c>
      <c r="E1354" t="s">
        <v>3849</v>
      </c>
      <c r="F1354" t="s">
        <v>83</v>
      </c>
      <c r="G1354" t="s">
        <v>103</v>
      </c>
      <c r="H1354" t="s">
        <v>3808</v>
      </c>
      <c r="I1354" t="s">
        <v>3821</v>
      </c>
      <c r="J1354" t="s">
        <v>3810</v>
      </c>
      <c r="K1354" t="s">
        <v>79</v>
      </c>
      <c r="L1354" s="13">
        <v>39065</v>
      </c>
      <c r="M1354">
        <v>17</v>
      </c>
      <c r="N1354" t="s">
        <v>90</v>
      </c>
      <c r="O1354" t="s">
        <v>3880</v>
      </c>
      <c r="P1354" t="s">
        <v>76</v>
      </c>
      <c r="Q1354" t="s">
        <v>95</v>
      </c>
      <c r="R1354" t="s">
        <v>95</v>
      </c>
      <c r="S1354" t="s">
        <v>76</v>
      </c>
      <c r="T1354" t="s">
        <v>76</v>
      </c>
      <c r="U1354">
        <v>1</v>
      </c>
      <c r="V1354" s="13">
        <v>45175</v>
      </c>
      <c r="W1354">
        <v>1</v>
      </c>
      <c r="X1354">
        <v>1</v>
      </c>
      <c r="Y1354" t="s">
        <v>3712</v>
      </c>
      <c r="AC1354">
        <v>4957</v>
      </c>
      <c r="AD1354" t="e" vm="1344">
        <v>#VALUE!</v>
      </c>
    </row>
    <row r="1355" spans="2:30" x14ac:dyDescent="0.25">
      <c r="B1355">
        <v>4959</v>
      </c>
      <c r="C1355" t="s">
        <v>3646</v>
      </c>
      <c r="D1355" t="s">
        <v>3711</v>
      </c>
      <c r="E1355" t="s">
        <v>3849</v>
      </c>
      <c r="F1355" t="s">
        <v>83</v>
      </c>
      <c r="G1355" t="s">
        <v>103</v>
      </c>
      <c r="H1355" t="s">
        <v>3808</v>
      </c>
      <c r="I1355" t="s">
        <v>3821</v>
      </c>
      <c r="J1355" t="s">
        <v>3810</v>
      </c>
      <c r="K1355" t="s">
        <v>79</v>
      </c>
      <c r="L1355" s="13">
        <v>39073</v>
      </c>
      <c r="M1355">
        <v>17</v>
      </c>
      <c r="N1355" t="s">
        <v>90</v>
      </c>
      <c r="O1355" t="s">
        <v>3880</v>
      </c>
      <c r="P1355" t="s">
        <v>76</v>
      </c>
      <c r="Q1355" t="s">
        <v>95</v>
      </c>
      <c r="R1355" t="s">
        <v>95</v>
      </c>
      <c r="S1355" t="s">
        <v>76</v>
      </c>
      <c r="T1355" t="s">
        <v>76</v>
      </c>
      <c r="U1355">
        <v>1</v>
      </c>
      <c r="V1355" s="13">
        <v>45175</v>
      </c>
      <c r="W1355">
        <v>1</v>
      </c>
      <c r="X1355">
        <v>1</v>
      </c>
      <c r="Y1355" t="s">
        <v>3712</v>
      </c>
      <c r="AC1355">
        <v>4959</v>
      </c>
      <c r="AD1355" t="e" vm="1345">
        <v>#VALUE!</v>
      </c>
    </row>
    <row r="1356" spans="2:30" x14ac:dyDescent="0.25">
      <c r="B1356">
        <v>4960</v>
      </c>
      <c r="C1356" t="s">
        <v>3646</v>
      </c>
      <c r="D1356" t="s">
        <v>3711</v>
      </c>
      <c r="E1356" t="s">
        <v>3849</v>
      </c>
      <c r="F1356" t="s">
        <v>83</v>
      </c>
      <c r="G1356" t="s">
        <v>103</v>
      </c>
      <c r="H1356" t="s">
        <v>3808</v>
      </c>
      <c r="I1356" t="s">
        <v>3821</v>
      </c>
      <c r="J1356" t="s">
        <v>3810</v>
      </c>
      <c r="K1356" t="s">
        <v>79</v>
      </c>
      <c r="L1356" s="13">
        <v>39071</v>
      </c>
      <c r="M1356">
        <v>17</v>
      </c>
      <c r="N1356" t="s">
        <v>90</v>
      </c>
      <c r="O1356" t="s">
        <v>3880</v>
      </c>
      <c r="P1356" t="s">
        <v>76</v>
      </c>
      <c r="Q1356" t="s">
        <v>95</v>
      </c>
      <c r="R1356" t="s">
        <v>95</v>
      </c>
      <c r="S1356" t="s">
        <v>76</v>
      </c>
      <c r="T1356" t="s">
        <v>76</v>
      </c>
      <c r="U1356">
        <v>1</v>
      </c>
      <c r="V1356" s="13">
        <v>45175</v>
      </c>
      <c r="W1356">
        <v>1</v>
      </c>
      <c r="X1356">
        <v>1</v>
      </c>
      <c r="Y1356" t="s">
        <v>3712</v>
      </c>
      <c r="AC1356">
        <v>4960</v>
      </c>
      <c r="AD1356" t="e" vm="1346">
        <v>#VALUE!</v>
      </c>
    </row>
    <row r="1357" spans="2:30" x14ac:dyDescent="0.25">
      <c r="B1357">
        <v>4961</v>
      </c>
      <c r="C1357" t="s">
        <v>3646</v>
      </c>
      <c r="D1357" t="s">
        <v>3711</v>
      </c>
      <c r="E1357" t="s">
        <v>3849</v>
      </c>
      <c r="F1357" t="s">
        <v>83</v>
      </c>
      <c r="G1357" t="s">
        <v>103</v>
      </c>
      <c r="H1357" t="s">
        <v>3808</v>
      </c>
      <c r="I1357" t="s">
        <v>3821</v>
      </c>
      <c r="J1357" t="s">
        <v>3810</v>
      </c>
      <c r="K1357" t="s">
        <v>79</v>
      </c>
      <c r="L1357" s="13">
        <v>39073</v>
      </c>
      <c r="M1357">
        <v>17</v>
      </c>
      <c r="N1357" t="s">
        <v>90</v>
      </c>
      <c r="O1357" t="s">
        <v>3880</v>
      </c>
      <c r="P1357" t="s">
        <v>76</v>
      </c>
      <c r="Q1357" t="s">
        <v>95</v>
      </c>
      <c r="R1357" t="s">
        <v>95</v>
      </c>
      <c r="S1357" t="s">
        <v>76</v>
      </c>
      <c r="T1357" t="s">
        <v>76</v>
      </c>
      <c r="U1357">
        <v>1</v>
      </c>
      <c r="V1357" s="13">
        <v>45175</v>
      </c>
      <c r="W1357">
        <v>1</v>
      </c>
      <c r="X1357">
        <v>1</v>
      </c>
      <c r="Y1357" t="s">
        <v>3712</v>
      </c>
      <c r="AC1357">
        <v>4961</v>
      </c>
      <c r="AD1357" t="e" vm="1347">
        <v>#VALUE!</v>
      </c>
    </row>
    <row r="1358" spans="2:30" x14ac:dyDescent="0.25">
      <c r="B1358">
        <v>4962</v>
      </c>
      <c r="C1358" t="s">
        <v>3646</v>
      </c>
      <c r="D1358" t="s">
        <v>3711</v>
      </c>
      <c r="E1358" t="s">
        <v>3849</v>
      </c>
      <c r="F1358" t="s">
        <v>83</v>
      </c>
      <c r="G1358" t="s">
        <v>103</v>
      </c>
      <c r="H1358" t="s">
        <v>3808</v>
      </c>
      <c r="I1358" t="s">
        <v>3821</v>
      </c>
      <c r="J1358" t="s">
        <v>3810</v>
      </c>
      <c r="K1358" t="s">
        <v>79</v>
      </c>
      <c r="L1358" s="13">
        <v>39073</v>
      </c>
      <c r="M1358">
        <v>17</v>
      </c>
      <c r="N1358" t="s">
        <v>90</v>
      </c>
      <c r="O1358" t="s">
        <v>3880</v>
      </c>
      <c r="P1358" t="s">
        <v>76</v>
      </c>
      <c r="Q1358" t="s">
        <v>95</v>
      </c>
      <c r="R1358" t="s">
        <v>95</v>
      </c>
      <c r="S1358" t="s">
        <v>76</v>
      </c>
      <c r="T1358" t="s">
        <v>76</v>
      </c>
      <c r="U1358">
        <v>1</v>
      </c>
      <c r="V1358" s="13">
        <v>45175</v>
      </c>
      <c r="W1358">
        <v>1</v>
      </c>
      <c r="X1358">
        <v>1</v>
      </c>
      <c r="Y1358" t="s">
        <v>3712</v>
      </c>
      <c r="AC1358">
        <v>4962</v>
      </c>
      <c r="AD1358" t="e" vm="1348">
        <v>#VALUE!</v>
      </c>
    </row>
    <row r="1359" spans="2:30" x14ac:dyDescent="0.25">
      <c r="B1359">
        <v>4963</v>
      </c>
      <c r="C1359" t="s">
        <v>3646</v>
      </c>
      <c r="D1359" t="s">
        <v>3711</v>
      </c>
      <c r="E1359" t="s">
        <v>3849</v>
      </c>
      <c r="F1359" t="s">
        <v>83</v>
      </c>
      <c r="G1359" t="s">
        <v>103</v>
      </c>
      <c r="H1359" t="s">
        <v>3808</v>
      </c>
      <c r="I1359" t="s">
        <v>3821</v>
      </c>
      <c r="J1359" t="s">
        <v>3810</v>
      </c>
      <c r="K1359" t="s">
        <v>79</v>
      </c>
      <c r="L1359" s="13">
        <v>39226</v>
      </c>
      <c r="M1359">
        <v>16</v>
      </c>
      <c r="N1359" t="s">
        <v>90</v>
      </c>
      <c r="O1359" t="s">
        <v>3880</v>
      </c>
      <c r="P1359" t="s">
        <v>76</v>
      </c>
      <c r="Q1359" t="s">
        <v>95</v>
      </c>
      <c r="R1359" t="s">
        <v>95</v>
      </c>
      <c r="S1359" t="s">
        <v>76</v>
      </c>
      <c r="T1359" t="s">
        <v>76</v>
      </c>
      <c r="U1359">
        <v>1</v>
      </c>
      <c r="V1359" s="13">
        <v>45175</v>
      </c>
      <c r="W1359">
        <v>1</v>
      </c>
      <c r="X1359">
        <v>1</v>
      </c>
      <c r="Y1359" t="s">
        <v>3712</v>
      </c>
      <c r="AC1359">
        <v>4963</v>
      </c>
      <c r="AD1359" t="e" vm="1349">
        <v>#VALUE!</v>
      </c>
    </row>
    <row r="1360" spans="2:30" x14ac:dyDescent="0.25">
      <c r="B1360">
        <v>4964</v>
      </c>
      <c r="C1360" t="s">
        <v>3668</v>
      </c>
      <c r="D1360" t="s">
        <v>3671</v>
      </c>
      <c r="E1360" t="s">
        <v>3818</v>
      </c>
      <c r="F1360" t="s">
        <v>83</v>
      </c>
      <c r="G1360" t="s">
        <v>77</v>
      </c>
      <c r="H1360" t="s">
        <v>3808</v>
      </c>
      <c r="I1360" t="s">
        <v>3839</v>
      </c>
      <c r="J1360" t="s">
        <v>3864</v>
      </c>
      <c r="K1360" t="s">
        <v>79</v>
      </c>
      <c r="L1360" s="13">
        <v>39007</v>
      </c>
      <c r="M1360">
        <v>17</v>
      </c>
      <c r="N1360" t="s">
        <v>82</v>
      </c>
      <c r="O1360" t="s">
        <v>3881</v>
      </c>
      <c r="P1360" t="s">
        <v>76</v>
      </c>
      <c r="Q1360" t="s">
        <v>76</v>
      </c>
      <c r="R1360" t="s">
        <v>95</v>
      </c>
      <c r="S1360" t="s">
        <v>76</v>
      </c>
      <c r="T1360" t="s">
        <v>76</v>
      </c>
      <c r="U1360">
        <v>1</v>
      </c>
      <c r="V1360" s="13">
        <v>45175</v>
      </c>
      <c r="W1360">
        <v>1</v>
      </c>
      <c r="X1360">
        <v>1</v>
      </c>
      <c r="Y1360" t="s">
        <v>3672</v>
      </c>
      <c r="AC1360">
        <v>4964</v>
      </c>
      <c r="AD1360" t="e" vm="1350">
        <v>#VALUE!</v>
      </c>
    </row>
    <row r="1361" spans="2:30" x14ac:dyDescent="0.25">
      <c r="B1361">
        <v>4965</v>
      </c>
      <c r="C1361" t="s">
        <v>3668</v>
      </c>
      <c r="D1361" t="s">
        <v>3671</v>
      </c>
      <c r="E1361" t="s">
        <v>3818</v>
      </c>
      <c r="F1361" t="s">
        <v>83</v>
      </c>
      <c r="G1361" t="s">
        <v>77</v>
      </c>
      <c r="H1361" t="s">
        <v>3808</v>
      </c>
      <c r="I1361" t="s">
        <v>3839</v>
      </c>
      <c r="J1361" t="s">
        <v>3864</v>
      </c>
      <c r="K1361" t="s">
        <v>79</v>
      </c>
      <c r="L1361" s="13">
        <v>38967</v>
      </c>
      <c r="M1361">
        <v>17</v>
      </c>
      <c r="N1361" t="s">
        <v>82</v>
      </c>
      <c r="O1361" t="s">
        <v>3881</v>
      </c>
      <c r="P1361" t="s">
        <v>76</v>
      </c>
      <c r="Q1361" t="s">
        <v>76</v>
      </c>
      <c r="R1361" t="s">
        <v>95</v>
      </c>
      <c r="S1361" t="s">
        <v>76</v>
      </c>
      <c r="T1361" t="s">
        <v>76</v>
      </c>
      <c r="U1361">
        <v>1</v>
      </c>
      <c r="V1361" s="13">
        <v>45175</v>
      </c>
      <c r="W1361">
        <v>1</v>
      </c>
      <c r="X1361">
        <v>1</v>
      </c>
      <c r="Y1361" t="s">
        <v>3672</v>
      </c>
      <c r="AC1361">
        <v>4965</v>
      </c>
      <c r="AD1361" t="e" vm="1351">
        <v>#VALUE!</v>
      </c>
    </row>
    <row r="1362" spans="2:30" x14ac:dyDescent="0.25">
      <c r="B1362">
        <v>4967</v>
      </c>
      <c r="C1362" t="s">
        <v>3668</v>
      </c>
      <c r="D1362" t="s">
        <v>3671</v>
      </c>
      <c r="E1362" t="s">
        <v>3818</v>
      </c>
      <c r="F1362" t="s">
        <v>83</v>
      </c>
      <c r="G1362" t="s">
        <v>77</v>
      </c>
      <c r="H1362" t="s">
        <v>3808</v>
      </c>
      <c r="I1362" t="s">
        <v>3839</v>
      </c>
      <c r="J1362" t="s">
        <v>3864</v>
      </c>
      <c r="K1362" t="s">
        <v>79</v>
      </c>
      <c r="L1362" s="13">
        <v>38967</v>
      </c>
      <c r="M1362">
        <v>17</v>
      </c>
      <c r="N1362" t="s">
        <v>82</v>
      </c>
      <c r="O1362" t="s">
        <v>3881</v>
      </c>
      <c r="P1362" t="s">
        <v>76</v>
      </c>
      <c r="Q1362" t="s">
        <v>76</v>
      </c>
      <c r="R1362" t="s">
        <v>95</v>
      </c>
      <c r="S1362" t="s">
        <v>76</v>
      </c>
      <c r="T1362" t="s">
        <v>76</v>
      </c>
      <c r="U1362">
        <v>1</v>
      </c>
      <c r="V1362" s="13">
        <v>45175</v>
      </c>
      <c r="W1362">
        <v>1</v>
      </c>
      <c r="X1362">
        <v>1</v>
      </c>
      <c r="Y1362" t="s">
        <v>3672</v>
      </c>
      <c r="AC1362">
        <v>4967</v>
      </c>
      <c r="AD1362" t="e" vm="1352">
        <v>#VALUE!</v>
      </c>
    </row>
    <row r="1363" spans="2:30" x14ac:dyDescent="0.25">
      <c r="B1363">
        <v>4968</v>
      </c>
      <c r="C1363" t="s">
        <v>3668</v>
      </c>
      <c r="D1363" t="s">
        <v>3671</v>
      </c>
      <c r="E1363" t="s">
        <v>3818</v>
      </c>
      <c r="F1363" t="s">
        <v>83</v>
      </c>
      <c r="G1363" t="s">
        <v>77</v>
      </c>
      <c r="H1363" t="s">
        <v>3808</v>
      </c>
      <c r="I1363" t="s">
        <v>3839</v>
      </c>
      <c r="J1363" t="s">
        <v>3864</v>
      </c>
      <c r="K1363" t="s">
        <v>79</v>
      </c>
      <c r="L1363" s="13">
        <v>39036</v>
      </c>
      <c r="M1363">
        <v>17</v>
      </c>
      <c r="N1363" t="s">
        <v>82</v>
      </c>
      <c r="O1363" t="s">
        <v>3881</v>
      </c>
      <c r="P1363" t="s">
        <v>76</v>
      </c>
      <c r="Q1363" t="s">
        <v>76</v>
      </c>
      <c r="R1363" t="s">
        <v>95</v>
      </c>
      <c r="S1363" t="s">
        <v>76</v>
      </c>
      <c r="T1363" t="s">
        <v>76</v>
      </c>
      <c r="U1363">
        <v>1</v>
      </c>
      <c r="V1363" s="13">
        <v>45175</v>
      </c>
      <c r="W1363">
        <v>1</v>
      </c>
      <c r="X1363">
        <v>1</v>
      </c>
      <c r="Y1363" t="s">
        <v>3672</v>
      </c>
      <c r="AC1363">
        <v>4968</v>
      </c>
      <c r="AD1363" t="e" vm="1353">
        <v>#VALUE!</v>
      </c>
    </row>
    <row r="1364" spans="2:30" x14ac:dyDescent="0.25">
      <c r="B1364">
        <v>4969</v>
      </c>
      <c r="C1364" t="s">
        <v>3668</v>
      </c>
      <c r="D1364" t="s">
        <v>3671</v>
      </c>
      <c r="E1364" t="s">
        <v>3818</v>
      </c>
      <c r="F1364" t="s">
        <v>83</v>
      </c>
      <c r="G1364" t="s">
        <v>77</v>
      </c>
      <c r="H1364" t="s">
        <v>3808</v>
      </c>
      <c r="I1364" t="s">
        <v>3839</v>
      </c>
      <c r="J1364" t="s">
        <v>3864</v>
      </c>
      <c r="K1364" t="s">
        <v>79</v>
      </c>
      <c r="L1364" s="13">
        <v>39036</v>
      </c>
      <c r="M1364">
        <v>17</v>
      </c>
      <c r="N1364" t="s">
        <v>82</v>
      </c>
      <c r="O1364" t="s">
        <v>3881</v>
      </c>
      <c r="P1364" t="s">
        <v>76</v>
      </c>
      <c r="Q1364" t="s">
        <v>76</v>
      </c>
      <c r="R1364" t="s">
        <v>95</v>
      </c>
      <c r="S1364" t="s">
        <v>76</v>
      </c>
      <c r="T1364" t="s">
        <v>76</v>
      </c>
      <c r="U1364">
        <v>1</v>
      </c>
      <c r="V1364" s="13">
        <v>45175</v>
      </c>
      <c r="W1364">
        <v>1</v>
      </c>
      <c r="X1364">
        <v>1</v>
      </c>
      <c r="Y1364" t="s">
        <v>3672</v>
      </c>
      <c r="AC1364">
        <v>4969</v>
      </c>
      <c r="AD1364" t="e" vm="1354">
        <v>#VALUE!</v>
      </c>
    </row>
    <row r="1365" spans="2:30" x14ac:dyDescent="0.25">
      <c r="B1365">
        <v>4970</v>
      </c>
      <c r="C1365" t="s">
        <v>3668</v>
      </c>
      <c r="D1365" t="s">
        <v>3671</v>
      </c>
      <c r="E1365" t="s">
        <v>3818</v>
      </c>
      <c r="F1365" t="s">
        <v>83</v>
      </c>
      <c r="G1365" t="s">
        <v>77</v>
      </c>
      <c r="H1365" t="s">
        <v>3808</v>
      </c>
      <c r="I1365" t="s">
        <v>3839</v>
      </c>
      <c r="J1365" t="s">
        <v>3864</v>
      </c>
      <c r="K1365" t="s">
        <v>79</v>
      </c>
      <c r="L1365" s="13">
        <v>39049</v>
      </c>
      <c r="M1365">
        <v>17</v>
      </c>
      <c r="N1365" t="s">
        <v>82</v>
      </c>
      <c r="O1365" t="s">
        <v>3881</v>
      </c>
      <c r="P1365" t="s">
        <v>76</v>
      </c>
      <c r="Q1365" t="s">
        <v>76</v>
      </c>
      <c r="R1365" t="s">
        <v>95</v>
      </c>
      <c r="S1365" t="s">
        <v>76</v>
      </c>
      <c r="T1365" t="s">
        <v>76</v>
      </c>
      <c r="U1365">
        <v>1</v>
      </c>
      <c r="V1365" s="13">
        <v>45175</v>
      </c>
      <c r="W1365">
        <v>1</v>
      </c>
      <c r="X1365">
        <v>1</v>
      </c>
      <c r="Y1365" t="s">
        <v>3672</v>
      </c>
      <c r="AC1365">
        <v>4970</v>
      </c>
      <c r="AD1365" t="e" vm="1355">
        <v>#VALUE!</v>
      </c>
    </row>
    <row r="1366" spans="2:30" x14ac:dyDescent="0.25">
      <c r="B1366">
        <v>4971</v>
      </c>
      <c r="C1366" t="s">
        <v>3668</v>
      </c>
      <c r="D1366" t="s">
        <v>3671</v>
      </c>
      <c r="E1366" t="s">
        <v>3818</v>
      </c>
      <c r="F1366" t="s">
        <v>83</v>
      </c>
      <c r="G1366" t="s">
        <v>77</v>
      </c>
      <c r="H1366" t="s">
        <v>3808</v>
      </c>
      <c r="I1366" t="s">
        <v>3839</v>
      </c>
      <c r="J1366" t="s">
        <v>3864</v>
      </c>
      <c r="K1366" t="s">
        <v>79</v>
      </c>
      <c r="L1366" s="13">
        <v>39049</v>
      </c>
      <c r="M1366">
        <v>17</v>
      </c>
      <c r="N1366" t="s">
        <v>82</v>
      </c>
      <c r="O1366" t="s">
        <v>3881</v>
      </c>
      <c r="P1366" t="s">
        <v>76</v>
      </c>
      <c r="Q1366" t="s">
        <v>76</v>
      </c>
      <c r="R1366" t="s">
        <v>95</v>
      </c>
      <c r="S1366" t="s">
        <v>76</v>
      </c>
      <c r="T1366" t="s">
        <v>76</v>
      </c>
      <c r="U1366">
        <v>1</v>
      </c>
      <c r="V1366" s="13">
        <v>45175</v>
      </c>
      <c r="W1366">
        <v>1</v>
      </c>
      <c r="X1366">
        <v>1</v>
      </c>
      <c r="Y1366" t="s">
        <v>3672</v>
      </c>
      <c r="AC1366">
        <v>4971</v>
      </c>
      <c r="AD1366" t="e" vm="1356">
        <v>#VALUE!</v>
      </c>
    </row>
    <row r="1367" spans="2:30" x14ac:dyDescent="0.25">
      <c r="B1367">
        <v>4972</v>
      </c>
      <c r="C1367" t="s">
        <v>3668</v>
      </c>
      <c r="D1367" t="s">
        <v>3671</v>
      </c>
      <c r="E1367" t="s">
        <v>3818</v>
      </c>
      <c r="F1367" t="s">
        <v>83</v>
      </c>
      <c r="G1367" t="s">
        <v>77</v>
      </c>
      <c r="H1367" t="s">
        <v>3808</v>
      </c>
      <c r="I1367" t="s">
        <v>3839</v>
      </c>
      <c r="J1367" t="s">
        <v>3864</v>
      </c>
      <c r="K1367" t="s">
        <v>79</v>
      </c>
      <c r="L1367" s="13">
        <v>39051</v>
      </c>
      <c r="M1367">
        <v>17</v>
      </c>
      <c r="N1367" t="s">
        <v>82</v>
      </c>
      <c r="O1367" t="s">
        <v>3881</v>
      </c>
      <c r="P1367" t="s">
        <v>76</v>
      </c>
      <c r="Q1367" t="s">
        <v>76</v>
      </c>
      <c r="R1367" t="s">
        <v>95</v>
      </c>
      <c r="S1367" t="s">
        <v>76</v>
      </c>
      <c r="T1367" t="s">
        <v>76</v>
      </c>
      <c r="U1367">
        <v>1</v>
      </c>
      <c r="V1367" s="13">
        <v>45175</v>
      </c>
      <c r="W1367">
        <v>1</v>
      </c>
      <c r="X1367">
        <v>1</v>
      </c>
      <c r="Y1367" t="s">
        <v>3672</v>
      </c>
      <c r="AC1367">
        <v>4972</v>
      </c>
      <c r="AD1367" t="e" vm="1357">
        <v>#VALUE!</v>
      </c>
    </row>
    <row r="1368" spans="2:30" x14ac:dyDescent="0.25">
      <c r="B1368">
        <v>4973</v>
      </c>
      <c r="C1368" t="s">
        <v>3668</v>
      </c>
      <c r="D1368" t="s">
        <v>3671</v>
      </c>
      <c r="E1368" t="s">
        <v>3818</v>
      </c>
      <c r="F1368" t="s">
        <v>83</v>
      </c>
      <c r="G1368" t="s">
        <v>77</v>
      </c>
      <c r="H1368" t="s">
        <v>3808</v>
      </c>
      <c r="I1368" t="s">
        <v>3839</v>
      </c>
      <c r="J1368" t="s">
        <v>3864</v>
      </c>
      <c r="K1368" t="s">
        <v>79</v>
      </c>
      <c r="L1368" s="13">
        <v>39051</v>
      </c>
      <c r="M1368">
        <v>17</v>
      </c>
      <c r="N1368" t="s">
        <v>82</v>
      </c>
      <c r="O1368" t="s">
        <v>3881</v>
      </c>
      <c r="P1368" t="s">
        <v>76</v>
      </c>
      <c r="Q1368" t="s">
        <v>76</v>
      </c>
      <c r="R1368" t="s">
        <v>95</v>
      </c>
      <c r="S1368" t="s">
        <v>76</v>
      </c>
      <c r="T1368" t="s">
        <v>76</v>
      </c>
      <c r="U1368">
        <v>1</v>
      </c>
      <c r="V1368" s="13">
        <v>45175</v>
      </c>
      <c r="W1368">
        <v>1</v>
      </c>
      <c r="X1368">
        <v>1</v>
      </c>
      <c r="Y1368" t="s">
        <v>3672</v>
      </c>
      <c r="AC1368">
        <v>4973</v>
      </c>
      <c r="AD1368" t="e" vm="1358">
        <v>#VALUE!</v>
      </c>
    </row>
    <row r="1369" spans="2:30" x14ac:dyDescent="0.25">
      <c r="B1369">
        <v>4974</v>
      </c>
      <c r="C1369" t="s">
        <v>3668</v>
      </c>
      <c r="D1369" t="s">
        <v>3671</v>
      </c>
      <c r="E1369" t="s">
        <v>3818</v>
      </c>
      <c r="F1369" t="s">
        <v>83</v>
      </c>
      <c r="G1369" t="s">
        <v>77</v>
      </c>
      <c r="H1369" t="s">
        <v>3808</v>
      </c>
      <c r="I1369" t="s">
        <v>3839</v>
      </c>
      <c r="J1369" t="s">
        <v>3864</v>
      </c>
      <c r="K1369" t="s">
        <v>79</v>
      </c>
      <c r="L1369" s="13">
        <v>39056</v>
      </c>
      <c r="M1369">
        <v>17</v>
      </c>
      <c r="N1369" t="s">
        <v>82</v>
      </c>
      <c r="O1369" t="s">
        <v>3881</v>
      </c>
      <c r="P1369" t="s">
        <v>76</v>
      </c>
      <c r="Q1369" t="s">
        <v>76</v>
      </c>
      <c r="R1369" t="s">
        <v>95</v>
      </c>
      <c r="S1369" t="s">
        <v>76</v>
      </c>
      <c r="T1369" t="s">
        <v>76</v>
      </c>
      <c r="U1369">
        <v>1</v>
      </c>
      <c r="V1369" s="13">
        <v>45175</v>
      </c>
      <c r="W1369">
        <v>1</v>
      </c>
      <c r="X1369">
        <v>1</v>
      </c>
      <c r="Y1369" t="s">
        <v>3672</v>
      </c>
      <c r="AC1369">
        <v>4974</v>
      </c>
      <c r="AD1369" t="e" vm="1359">
        <v>#VALUE!</v>
      </c>
    </row>
    <row r="1370" spans="2:30" x14ac:dyDescent="0.25">
      <c r="B1370">
        <v>4975</v>
      </c>
      <c r="C1370" t="s">
        <v>3668</v>
      </c>
      <c r="D1370" t="s">
        <v>3671</v>
      </c>
      <c r="E1370" t="s">
        <v>3818</v>
      </c>
      <c r="F1370" t="s">
        <v>83</v>
      </c>
      <c r="G1370" t="s">
        <v>77</v>
      </c>
      <c r="H1370" t="s">
        <v>3808</v>
      </c>
      <c r="I1370" t="s">
        <v>3839</v>
      </c>
      <c r="J1370" t="s">
        <v>3864</v>
      </c>
      <c r="K1370" t="s">
        <v>79</v>
      </c>
      <c r="L1370" s="13">
        <v>39056</v>
      </c>
      <c r="M1370">
        <v>17</v>
      </c>
      <c r="N1370" t="s">
        <v>82</v>
      </c>
      <c r="O1370" t="s">
        <v>3881</v>
      </c>
      <c r="P1370" t="s">
        <v>76</v>
      </c>
      <c r="Q1370" t="s">
        <v>76</v>
      </c>
      <c r="R1370" t="s">
        <v>95</v>
      </c>
      <c r="S1370" t="s">
        <v>76</v>
      </c>
      <c r="T1370" t="s">
        <v>76</v>
      </c>
      <c r="U1370">
        <v>1</v>
      </c>
      <c r="V1370" s="13">
        <v>45175</v>
      </c>
      <c r="W1370">
        <v>1</v>
      </c>
      <c r="X1370">
        <v>1</v>
      </c>
      <c r="Y1370" t="s">
        <v>3672</v>
      </c>
      <c r="AC1370">
        <v>4975</v>
      </c>
      <c r="AD1370" t="e" vm="1360">
        <v>#VALUE!</v>
      </c>
    </row>
    <row r="1371" spans="2:30" x14ac:dyDescent="0.25">
      <c r="B1371">
        <v>4976</v>
      </c>
      <c r="C1371" t="s">
        <v>3668</v>
      </c>
      <c r="D1371" t="s">
        <v>3671</v>
      </c>
      <c r="E1371" t="s">
        <v>3818</v>
      </c>
      <c r="F1371" t="s">
        <v>83</v>
      </c>
      <c r="G1371" t="s">
        <v>77</v>
      </c>
      <c r="H1371" t="s">
        <v>3808</v>
      </c>
      <c r="I1371" t="s">
        <v>3839</v>
      </c>
      <c r="J1371" t="s">
        <v>3864</v>
      </c>
      <c r="K1371" t="s">
        <v>79</v>
      </c>
      <c r="L1371" s="13">
        <v>39056</v>
      </c>
      <c r="M1371">
        <v>17</v>
      </c>
      <c r="N1371" t="s">
        <v>82</v>
      </c>
      <c r="O1371" t="s">
        <v>3881</v>
      </c>
      <c r="P1371" t="s">
        <v>76</v>
      </c>
      <c r="Q1371" t="s">
        <v>76</v>
      </c>
      <c r="R1371" t="s">
        <v>95</v>
      </c>
      <c r="S1371" t="s">
        <v>76</v>
      </c>
      <c r="T1371" t="s">
        <v>76</v>
      </c>
      <c r="U1371">
        <v>1</v>
      </c>
      <c r="V1371" s="13">
        <v>45175</v>
      </c>
      <c r="W1371">
        <v>1</v>
      </c>
      <c r="X1371">
        <v>1</v>
      </c>
      <c r="Y1371" t="s">
        <v>3672</v>
      </c>
      <c r="AC1371">
        <v>4976</v>
      </c>
      <c r="AD1371" t="e" vm="1361">
        <v>#VALUE!</v>
      </c>
    </row>
    <row r="1372" spans="2:30" x14ac:dyDescent="0.25">
      <c r="B1372">
        <v>4977</v>
      </c>
      <c r="C1372" t="s">
        <v>3668</v>
      </c>
      <c r="D1372" t="s">
        <v>3725</v>
      </c>
      <c r="E1372" t="s">
        <v>3866</v>
      </c>
      <c r="F1372" t="s">
        <v>105</v>
      </c>
      <c r="G1372" t="s">
        <v>104</v>
      </c>
      <c r="H1372" t="s">
        <v>3808</v>
      </c>
      <c r="I1372" t="s">
        <v>3839</v>
      </c>
      <c r="J1372" t="s">
        <v>3864</v>
      </c>
      <c r="K1372" t="s">
        <v>79</v>
      </c>
      <c r="L1372" s="13">
        <v>39059</v>
      </c>
      <c r="M1372">
        <v>17</v>
      </c>
      <c r="N1372" t="s">
        <v>82</v>
      </c>
      <c r="O1372" t="s">
        <v>3881</v>
      </c>
      <c r="P1372" t="s">
        <v>76</v>
      </c>
      <c r="Q1372" t="s">
        <v>76</v>
      </c>
      <c r="R1372" t="s">
        <v>95</v>
      </c>
      <c r="S1372" t="s">
        <v>76</v>
      </c>
      <c r="T1372" t="s">
        <v>76</v>
      </c>
      <c r="U1372">
        <v>1</v>
      </c>
      <c r="V1372" s="13">
        <v>45175</v>
      </c>
      <c r="W1372">
        <v>1</v>
      </c>
      <c r="X1372">
        <v>1</v>
      </c>
      <c r="Y1372" t="s">
        <v>3726</v>
      </c>
      <c r="AC1372">
        <v>4977</v>
      </c>
      <c r="AD1372" t="e" vm="1362">
        <v>#VALUE!</v>
      </c>
    </row>
    <row r="1373" spans="2:30" x14ac:dyDescent="0.25">
      <c r="B1373">
        <v>4978</v>
      </c>
      <c r="C1373" t="s">
        <v>3668</v>
      </c>
      <c r="D1373" t="s">
        <v>3669</v>
      </c>
      <c r="E1373" t="s">
        <v>3817</v>
      </c>
      <c r="F1373" t="s">
        <v>81</v>
      </c>
      <c r="G1373" t="s">
        <v>80</v>
      </c>
      <c r="H1373" t="s">
        <v>3808</v>
      </c>
      <c r="I1373" t="s">
        <v>3839</v>
      </c>
      <c r="J1373" t="s">
        <v>3864</v>
      </c>
      <c r="K1373" t="s">
        <v>79</v>
      </c>
      <c r="L1373" s="13">
        <v>39059</v>
      </c>
      <c r="M1373">
        <v>17</v>
      </c>
      <c r="N1373" t="s">
        <v>82</v>
      </c>
      <c r="O1373" t="s">
        <v>3881</v>
      </c>
      <c r="P1373" t="s">
        <v>76</v>
      </c>
      <c r="Q1373" t="s">
        <v>76</v>
      </c>
      <c r="R1373" t="s">
        <v>95</v>
      </c>
      <c r="S1373" t="s">
        <v>76</v>
      </c>
      <c r="T1373" t="s">
        <v>76</v>
      </c>
      <c r="U1373">
        <v>1</v>
      </c>
      <c r="V1373" s="13">
        <v>45175</v>
      </c>
      <c r="W1373">
        <v>1</v>
      </c>
      <c r="X1373">
        <v>1</v>
      </c>
      <c r="Y1373" t="s">
        <v>3670</v>
      </c>
      <c r="AC1373">
        <v>4978</v>
      </c>
      <c r="AD1373" t="e" vm="1363">
        <v>#VALUE!</v>
      </c>
    </row>
    <row r="1374" spans="2:30" x14ac:dyDescent="0.25">
      <c r="B1374">
        <v>4979</v>
      </c>
      <c r="C1374" t="s">
        <v>3668</v>
      </c>
      <c r="D1374" t="s">
        <v>3669</v>
      </c>
      <c r="E1374" t="s">
        <v>3817</v>
      </c>
      <c r="F1374" t="s">
        <v>81</v>
      </c>
      <c r="G1374" t="s">
        <v>80</v>
      </c>
      <c r="H1374" t="s">
        <v>3808</v>
      </c>
      <c r="I1374" t="s">
        <v>3839</v>
      </c>
      <c r="J1374" t="s">
        <v>3864</v>
      </c>
      <c r="K1374" t="s">
        <v>79</v>
      </c>
      <c r="L1374" s="13">
        <v>39059</v>
      </c>
      <c r="M1374">
        <v>17</v>
      </c>
      <c r="N1374" t="s">
        <v>82</v>
      </c>
      <c r="O1374" t="s">
        <v>3881</v>
      </c>
      <c r="P1374" t="s">
        <v>76</v>
      </c>
      <c r="Q1374" t="s">
        <v>76</v>
      </c>
      <c r="R1374" t="s">
        <v>95</v>
      </c>
      <c r="S1374" t="s">
        <v>76</v>
      </c>
      <c r="T1374" t="s">
        <v>76</v>
      </c>
      <c r="U1374">
        <v>1</v>
      </c>
      <c r="V1374" s="13">
        <v>45175</v>
      </c>
      <c r="W1374">
        <v>1</v>
      </c>
      <c r="X1374">
        <v>1</v>
      </c>
      <c r="Y1374" t="s">
        <v>3670</v>
      </c>
      <c r="AC1374">
        <v>4979</v>
      </c>
      <c r="AD1374" t="e" vm="1364">
        <v>#VALUE!</v>
      </c>
    </row>
    <row r="1375" spans="2:30" x14ac:dyDescent="0.25">
      <c r="B1375">
        <v>4980</v>
      </c>
      <c r="C1375" t="s">
        <v>3662</v>
      </c>
      <c r="D1375" t="s">
        <v>3737</v>
      </c>
      <c r="E1375" t="s">
        <v>3876</v>
      </c>
      <c r="F1375" t="s">
        <v>89</v>
      </c>
      <c r="G1375" t="s">
        <v>100</v>
      </c>
      <c r="H1375" t="s">
        <v>3808</v>
      </c>
      <c r="I1375" t="s">
        <v>3809</v>
      </c>
      <c r="J1375" t="s">
        <v>3810</v>
      </c>
      <c r="K1375" t="s">
        <v>79</v>
      </c>
      <c r="L1375" s="13">
        <v>39276</v>
      </c>
      <c r="M1375">
        <v>16</v>
      </c>
      <c r="N1375" t="s">
        <v>79</v>
      </c>
      <c r="O1375" t="s">
        <v>3882</v>
      </c>
      <c r="P1375" t="s">
        <v>76</v>
      </c>
      <c r="Q1375" t="s">
        <v>95</v>
      </c>
      <c r="R1375" t="s">
        <v>76</v>
      </c>
      <c r="S1375" t="s">
        <v>76</v>
      </c>
      <c r="T1375" t="s">
        <v>76</v>
      </c>
      <c r="U1375">
        <v>1</v>
      </c>
      <c r="V1375" s="13">
        <v>45175</v>
      </c>
      <c r="W1375">
        <v>1</v>
      </c>
      <c r="X1375">
        <v>1</v>
      </c>
      <c r="Y1375" t="s">
        <v>3738</v>
      </c>
      <c r="AC1375">
        <v>4980</v>
      </c>
      <c r="AD1375" t="e" vm="1365">
        <v>#VALUE!</v>
      </c>
    </row>
    <row r="1376" spans="2:30" x14ac:dyDescent="0.25">
      <c r="B1376">
        <v>4981</v>
      </c>
      <c r="C1376" t="s">
        <v>3662</v>
      </c>
      <c r="D1376" t="s">
        <v>3737</v>
      </c>
      <c r="E1376" t="s">
        <v>3876</v>
      </c>
      <c r="F1376" t="s">
        <v>89</v>
      </c>
      <c r="G1376" t="s">
        <v>100</v>
      </c>
      <c r="H1376" t="s">
        <v>3808</v>
      </c>
      <c r="I1376" t="s">
        <v>3809</v>
      </c>
      <c r="J1376" t="s">
        <v>3810</v>
      </c>
      <c r="K1376" t="s">
        <v>79</v>
      </c>
      <c r="L1376" s="13">
        <v>39273</v>
      </c>
      <c r="M1376">
        <v>16</v>
      </c>
      <c r="N1376" t="s">
        <v>79</v>
      </c>
      <c r="O1376" t="s">
        <v>3882</v>
      </c>
      <c r="P1376" t="s">
        <v>76</v>
      </c>
      <c r="Q1376" t="s">
        <v>95</v>
      </c>
      <c r="R1376" t="s">
        <v>76</v>
      </c>
      <c r="S1376" t="s">
        <v>76</v>
      </c>
      <c r="T1376" t="s">
        <v>76</v>
      </c>
      <c r="U1376">
        <v>1</v>
      </c>
      <c r="V1376" s="13">
        <v>45175</v>
      </c>
      <c r="W1376">
        <v>1</v>
      </c>
      <c r="X1376">
        <v>1</v>
      </c>
      <c r="Y1376" t="s">
        <v>3738</v>
      </c>
      <c r="AC1376">
        <v>4981</v>
      </c>
      <c r="AD1376" t="e" vm="1366">
        <v>#VALUE!</v>
      </c>
    </row>
    <row r="1377" spans="2:30" x14ac:dyDescent="0.25">
      <c r="B1377">
        <v>4982</v>
      </c>
      <c r="C1377" t="s">
        <v>3662</v>
      </c>
      <c r="D1377" t="s">
        <v>3737</v>
      </c>
      <c r="E1377" t="s">
        <v>3876</v>
      </c>
      <c r="F1377" t="s">
        <v>89</v>
      </c>
      <c r="G1377" t="s">
        <v>100</v>
      </c>
      <c r="H1377" t="s">
        <v>3808</v>
      </c>
      <c r="I1377" t="s">
        <v>3809</v>
      </c>
      <c r="J1377" t="s">
        <v>3810</v>
      </c>
      <c r="K1377" t="s">
        <v>79</v>
      </c>
      <c r="L1377" s="13">
        <v>39266</v>
      </c>
      <c r="M1377">
        <v>16</v>
      </c>
      <c r="N1377" t="s">
        <v>79</v>
      </c>
      <c r="O1377" t="s">
        <v>3882</v>
      </c>
      <c r="P1377" t="s">
        <v>76</v>
      </c>
      <c r="Q1377" t="s">
        <v>95</v>
      </c>
      <c r="R1377" t="s">
        <v>76</v>
      </c>
      <c r="S1377" t="s">
        <v>76</v>
      </c>
      <c r="T1377" t="s">
        <v>76</v>
      </c>
      <c r="U1377">
        <v>1</v>
      </c>
      <c r="V1377" s="13">
        <v>45175</v>
      </c>
      <c r="W1377">
        <v>1</v>
      </c>
      <c r="X1377">
        <v>1</v>
      </c>
      <c r="Y1377" t="s">
        <v>3738</v>
      </c>
      <c r="AC1377">
        <v>4982</v>
      </c>
      <c r="AD1377" t="e" vm="1367">
        <v>#VALUE!</v>
      </c>
    </row>
    <row r="1378" spans="2:30" x14ac:dyDescent="0.25">
      <c r="B1378">
        <v>4983</v>
      </c>
      <c r="C1378" t="s">
        <v>3662</v>
      </c>
      <c r="D1378" t="s">
        <v>3737</v>
      </c>
      <c r="E1378" t="s">
        <v>3876</v>
      </c>
      <c r="F1378" t="s">
        <v>89</v>
      </c>
      <c r="G1378" t="s">
        <v>100</v>
      </c>
      <c r="H1378" t="s">
        <v>3808</v>
      </c>
      <c r="I1378" t="s">
        <v>3809</v>
      </c>
      <c r="J1378" t="s">
        <v>3810</v>
      </c>
      <c r="K1378" t="s">
        <v>79</v>
      </c>
      <c r="L1378" s="13">
        <v>39266</v>
      </c>
      <c r="M1378">
        <v>16</v>
      </c>
      <c r="N1378" t="s">
        <v>79</v>
      </c>
      <c r="O1378" t="s">
        <v>3882</v>
      </c>
      <c r="P1378" t="s">
        <v>76</v>
      </c>
      <c r="Q1378" t="s">
        <v>95</v>
      </c>
      <c r="R1378" t="s">
        <v>76</v>
      </c>
      <c r="S1378" t="s">
        <v>76</v>
      </c>
      <c r="T1378" t="s">
        <v>76</v>
      </c>
      <c r="U1378">
        <v>1</v>
      </c>
      <c r="V1378" s="13">
        <v>45175</v>
      </c>
      <c r="W1378">
        <v>1</v>
      </c>
      <c r="X1378">
        <v>1</v>
      </c>
      <c r="Y1378" t="s">
        <v>3738</v>
      </c>
      <c r="AC1378">
        <v>4983</v>
      </c>
      <c r="AD1378" t="e" vm="1368">
        <v>#VALUE!</v>
      </c>
    </row>
    <row r="1379" spans="2:30" x14ac:dyDescent="0.25">
      <c r="B1379">
        <v>4984</v>
      </c>
      <c r="C1379" t="s">
        <v>3662</v>
      </c>
      <c r="D1379" t="s">
        <v>3737</v>
      </c>
      <c r="E1379" t="s">
        <v>3876</v>
      </c>
      <c r="F1379" t="s">
        <v>89</v>
      </c>
      <c r="G1379" t="s">
        <v>100</v>
      </c>
      <c r="H1379" t="s">
        <v>3808</v>
      </c>
      <c r="I1379" t="s">
        <v>3809</v>
      </c>
      <c r="J1379" t="s">
        <v>3810</v>
      </c>
      <c r="K1379" t="s">
        <v>79</v>
      </c>
      <c r="L1379" s="13">
        <v>39266</v>
      </c>
      <c r="M1379">
        <v>16</v>
      </c>
      <c r="N1379" t="s">
        <v>79</v>
      </c>
      <c r="O1379" t="s">
        <v>3882</v>
      </c>
      <c r="P1379" t="s">
        <v>76</v>
      </c>
      <c r="Q1379" t="s">
        <v>95</v>
      </c>
      <c r="R1379" t="s">
        <v>76</v>
      </c>
      <c r="S1379" t="s">
        <v>76</v>
      </c>
      <c r="T1379" t="s">
        <v>76</v>
      </c>
      <c r="U1379">
        <v>1</v>
      </c>
      <c r="V1379" s="13">
        <v>45175</v>
      </c>
      <c r="W1379">
        <v>1</v>
      </c>
      <c r="X1379">
        <v>1</v>
      </c>
      <c r="Y1379" t="s">
        <v>3738</v>
      </c>
      <c r="AC1379">
        <v>4984</v>
      </c>
      <c r="AD1379" t="e" vm="1369">
        <v>#VALUE!</v>
      </c>
    </row>
    <row r="1380" spans="2:30" x14ac:dyDescent="0.25">
      <c r="B1380">
        <v>4986</v>
      </c>
      <c r="C1380" t="s">
        <v>3662</v>
      </c>
      <c r="D1380" t="s">
        <v>3737</v>
      </c>
      <c r="E1380" t="s">
        <v>3876</v>
      </c>
      <c r="F1380" t="s">
        <v>89</v>
      </c>
      <c r="G1380" t="s">
        <v>100</v>
      </c>
      <c r="H1380" t="s">
        <v>3808</v>
      </c>
      <c r="I1380" t="s">
        <v>3809</v>
      </c>
      <c r="J1380" t="s">
        <v>3810</v>
      </c>
      <c r="K1380" t="s">
        <v>79</v>
      </c>
      <c r="L1380" s="13">
        <v>39268</v>
      </c>
      <c r="M1380">
        <v>16</v>
      </c>
      <c r="N1380" t="s">
        <v>79</v>
      </c>
      <c r="O1380" t="s">
        <v>3882</v>
      </c>
      <c r="P1380" t="s">
        <v>76</v>
      </c>
      <c r="Q1380" t="s">
        <v>95</v>
      </c>
      <c r="R1380" t="s">
        <v>76</v>
      </c>
      <c r="S1380" t="s">
        <v>76</v>
      </c>
      <c r="T1380" t="s">
        <v>76</v>
      </c>
      <c r="U1380">
        <v>1</v>
      </c>
      <c r="V1380" s="13">
        <v>45175</v>
      </c>
      <c r="W1380">
        <v>1</v>
      </c>
      <c r="X1380">
        <v>1</v>
      </c>
      <c r="Y1380" t="s">
        <v>3738</v>
      </c>
      <c r="AC1380">
        <v>4986</v>
      </c>
      <c r="AD1380" t="e" vm="1370">
        <v>#VALUE!</v>
      </c>
    </row>
    <row r="1381" spans="2:30" x14ac:dyDescent="0.25">
      <c r="B1381">
        <v>4987</v>
      </c>
      <c r="C1381" t="s">
        <v>3662</v>
      </c>
      <c r="D1381" t="s">
        <v>3737</v>
      </c>
      <c r="E1381" t="s">
        <v>3876</v>
      </c>
      <c r="F1381" t="s">
        <v>89</v>
      </c>
      <c r="G1381" t="s">
        <v>100</v>
      </c>
      <c r="H1381" t="s">
        <v>3808</v>
      </c>
      <c r="I1381" t="s">
        <v>3809</v>
      </c>
      <c r="J1381" t="s">
        <v>3810</v>
      </c>
      <c r="K1381" t="s">
        <v>79</v>
      </c>
      <c r="L1381" s="13">
        <v>39273</v>
      </c>
      <c r="M1381">
        <v>16</v>
      </c>
      <c r="N1381" t="s">
        <v>79</v>
      </c>
      <c r="O1381" t="s">
        <v>3882</v>
      </c>
      <c r="P1381" t="s">
        <v>76</v>
      </c>
      <c r="Q1381" t="s">
        <v>95</v>
      </c>
      <c r="R1381" t="s">
        <v>76</v>
      </c>
      <c r="S1381" t="s">
        <v>76</v>
      </c>
      <c r="T1381" t="s">
        <v>76</v>
      </c>
      <c r="U1381">
        <v>1</v>
      </c>
      <c r="V1381" s="13">
        <v>45175</v>
      </c>
      <c r="W1381">
        <v>1</v>
      </c>
      <c r="X1381">
        <v>1</v>
      </c>
      <c r="Y1381" t="s">
        <v>3738</v>
      </c>
      <c r="AC1381">
        <v>4987</v>
      </c>
      <c r="AD1381" t="e" vm="1371">
        <v>#VALUE!</v>
      </c>
    </row>
    <row r="1382" spans="2:30" x14ac:dyDescent="0.25">
      <c r="B1382">
        <v>4988</v>
      </c>
      <c r="C1382" t="s">
        <v>3662</v>
      </c>
      <c r="D1382" t="s">
        <v>3737</v>
      </c>
      <c r="E1382" t="s">
        <v>3876</v>
      </c>
      <c r="F1382" t="s">
        <v>89</v>
      </c>
      <c r="G1382" t="s">
        <v>100</v>
      </c>
      <c r="H1382" t="s">
        <v>3808</v>
      </c>
      <c r="I1382" t="s">
        <v>3809</v>
      </c>
      <c r="J1382" t="s">
        <v>3810</v>
      </c>
      <c r="K1382" t="s">
        <v>79</v>
      </c>
      <c r="L1382" s="13">
        <v>39268</v>
      </c>
      <c r="M1382">
        <v>16</v>
      </c>
      <c r="N1382" t="s">
        <v>79</v>
      </c>
      <c r="O1382" t="s">
        <v>3882</v>
      </c>
      <c r="P1382" t="s">
        <v>76</v>
      </c>
      <c r="Q1382" t="s">
        <v>95</v>
      </c>
      <c r="R1382" t="s">
        <v>76</v>
      </c>
      <c r="S1382" t="s">
        <v>76</v>
      </c>
      <c r="T1382" t="s">
        <v>76</v>
      </c>
      <c r="U1382">
        <v>1</v>
      </c>
      <c r="V1382" s="13">
        <v>45175</v>
      </c>
      <c r="W1382">
        <v>1</v>
      </c>
      <c r="X1382">
        <v>1</v>
      </c>
      <c r="Y1382" t="s">
        <v>3738</v>
      </c>
      <c r="AC1382">
        <v>4988</v>
      </c>
      <c r="AD1382" t="e" vm="1372">
        <v>#VALUE!</v>
      </c>
    </row>
    <row r="1383" spans="2:30" x14ac:dyDescent="0.25">
      <c r="B1383">
        <v>4989</v>
      </c>
      <c r="C1383" t="s">
        <v>3662</v>
      </c>
      <c r="D1383" t="s">
        <v>3737</v>
      </c>
      <c r="E1383" t="s">
        <v>3876</v>
      </c>
      <c r="F1383" t="s">
        <v>89</v>
      </c>
      <c r="G1383" t="s">
        <v>100</v>
      </c>
      <c r="H1383" t="s">
        <v>3808</v>
      </c>
      <c r="I1383" t="s">
        <v>3809</v>
      </c>
      <c r="J1383" t="s">
        <v>3810</v>
      </c>
      <c r="K1383" t="s">
        <v>79</v>
      </c>
      <c r="L1383" s="13">
        <v>39268</v>
      </c>
      <c r="M1383">
        <v>16</v>
      </c>
      <c r="N1383" t="s">
        <v>79</v>
      </c>
      <c r="O1383" t="s">
        <v>3882</v>
      </c>
      <c r="P1383" t="s">
        <v>76</v>
      </c>
      <c r="Q1383" t="s">
        <v>95</v>
      </c>
      <c r="R1383" t="s">
        <v>76</v>
      </c>
      <c r="S1383" t="s">
        <v>76</v>
      </c>
      <c r="T1383" t="s">
        <v>76</v>
      </c>
      <c r="U1383">
        <v>1</v>
      </c>
      <c r="V1383" s="13">
        <v>45175</v>
      </c>
      <c r="W1383">
        <v>1</v>
      </c>
      <c r="X1383">
        <v>1</v>
      </c>
      <c r="Y1383" t="s">
        <v>3738</v>
      </c>
      <c r="AC1383">
        <v>4989</v>
      </c>
      <c r="AD1383" t="e" vm="1373">
        <v>#VALUE!</v>
      </c>
    </row>
    <row r="1384" spans="2:30" x14ac:dyDescent="0.25">
      <c r="B1384">
        <v>4990</v>
      </c>
      <c r="C1384" t="s">
        <v>3662</v>
      </c>
      <c r="D1384" t="s">
        <v>3737</v>
      </c>
      <c r="E1384" t="s">
        <v>3876</v>
      </c>
      <c r="F1384" t="s">
        <v>89</v>
      </c>
      <c r="G1384" t="s">
        <v>100</v>
      </c>
      <c r="H1384" t="s">
        <v>3808</v>
      </c>
      <c r="I1384" t="s">
        <v>3809</v>
      </c>
      <c r="J1384" t="s">
        <v>3810</v>
      </c>
      <c r="K1384" t="s">
        <v>79</v>
      </c>
      <c r="L1384" s="13">
        <v>39275</v>
      </c>
      <c r="M1384">
        <v>16</v>
      </c>
      <c r="N1384" t="s">
        <v>79</v>
      </c>
      <c r="O1384" t="s">
        <v>3882</v>
      </c>
      <c r="P1384" t="s">
        <v>76</v>
      </c>
      <c r="Q1384" t="s">
        <v>95</v>
      </c>
      <c r="R1384" t="s">
        <v>76</v>
      </c>
      <c r="S1384" t="s">
        <v>76</v>
      </c>
      <c r="T1384" t="s">
        <v>76</v>
      </c>
      <c r="U1384">
        <v>1</v>
      </c>
      <c r="V1384" s="13">
        <v>45175</v>
      </c>
      <c r="W1384">
        <v>1</v>
      </c>
      <c r="X1384">
        <v>1</v>
      </c>
      <c r="Y1384" t="s">
        <v>3738</v>
      </c>
      <c r="AC1384">
        <v>4990</v>
      </c>
      <c r="AD1384" t="e" vm="1374">
        <v>#VALUE!</v>
      </c>
    </row>
    <row r="1385" spans="2:30" x14ac:dyDescent="0.25">
      <c r="B1385">
        <v>4991</v>
      </c>
      <c r="C1385" t="s">
        <v>3662</v>
      </c>
      <c r="D1385" t="s">
        <v>3737</v>
      </c>
      <c r="E1385" t="s">
        <v>3876</v>
      </c>
      <c r="F1385" t="s">
        <v>89</v>
      </c>
      <c r="G1385" t="s">
        <v>100</v>
      </c>
      <c r="H1385" t="s">
        <v>3808</v>
      </c>
      <c r="I1385" t="s">
        <v>3809</v>
      </c>
      <c r="J1385" t="s">
        <v>3810</v>
      </c>
      <c r="K1385" t="s">
        <v>79</v>
      </c>
      <c r="L1385" s="13">
        <v>39273</v>
      </c>
      <c r="M1385">
        <v>16</v>
      </c>
      <c r="N1385" t="s">
        <v>79</v>
      </c>
      <c r="O1385" t="s">
        <v>3882</v>
      </c>
      <c r="P1385" t="s">
        <v>76</v>
      </c>
      <c r="Q1385" t="s">
        <v>95</v>
      </c>
      <c r="R1385" t="s">
        <v>76</v>
      </c>
      <c r="S1385" t="s">
        <v>76</v>
      </c>
      <c r="T1385" t="s">
        <v>76</v>
      </c>
      <c r="U1385">
        <v>1</v>
      </c>
      <c r="V1385" s="13">
        <v>45175</v>
      </c>
      <c r="W1385">
        <v>1</v>
      </c>
      <c r="X1385">
        <v>1</v>
      </c>
      <c r="Y1385" t="s">
        <v>3738</v>
      </c>
      <c r="AC1385">
        <v>4991</v>
      </c>
      <c r="AD1385" t="e" vm="1375">
        <v>#VALUE!</v>
      </c>
    </row>
    <row r="1386" spans="2:30" x14ac:dyDescent="0.25">
      <c r="B1386">
        <v>4992</v>
      </c>
      <c r="C1386" t="s">
        <v>3662</v>
      </c>
      <c r="D1386" t="s">
        <v>3737</v>
      </c>
      <c r="E1386" t="s">
        <v>3876</v>
      </c>
      <c r="F1386" t="s">
        <v>89</v>
      </c>
      <c r="G1386" t="s">
        <v>100</v>
      </c>
      <c r="H1386" t="s">
        <v>3808</v>
      </c>
      <c r="I1386" t="s">
        <v>3809</v>
      </c>
      <c r="J1386" t="s">
        <v>3810</v>
      </c>
      <c r="K1386" t="s">
        <v>79</v>
      </c>
      <c r="L1386" s="13">
        <v>39273</v>
      </c>
      <c r="M1386">
        <v>16</v>
      </c>
      <c r="N1386" t="s">
        <v>79</v>
      </c>
      <c r="O1386" t="s">
        <v>3882</v>
      </c>
      <c r="P1386" t="s">
        <v>76</v>
      </c>
      <c r="Q1386" t="s">
        <v>95</v>
      </c>
      <c r="R1386" t="s">
        <v>76</v>
      </c>
      <c r="S1386" t="s">
        <v>76</v>
      </c>
      <c r="T1386" t="s">
        <v>76</v>
      </c>
      <c r="U1386">
        <v>1</v>
      </c>
      <c r="V1386" s="13">
        <v>45175</v>
      </c>
      <c r="W1386">
        <v>1</v>
      </c>
      <c r="X1386">
        <v>1</v>
      </c>
      <c r="Y1386" t="s">
        <v>3738</v>
      </c>
      <c r="AC1386">
        <v>4992</v>
      </c>
      <c r="AD1386" t="e" vm="1376">
        <v>#VALUE!</v>
      </c>
    </row>
    <row r="1387" spans="2:30" x14ac:dyDescent="0.25">
      <c r="B1387">
        <v>4993</v>
      </c>
      <c r="C1387" t="s">
        <v>3662</v>
      </c>
      <c r="D1387" t="s">
        <v>3737</v>
      </c>
      <c r="E1387" t="s">
        <v>3876</v>
      </c>
      <c r="F1387" t="s">
        <v>89</v>
      </c>
      <c r="G1387" t="s">
        <v>100</v>
      </c>
      <c r="H1387" t="s">
        <v>3808</v>
      </c>
      <c r="I1387" t="s">
        <v>3809</v>
      </c>
      <c r="J1387" t="s">
        <v>3810</v>
      </c>
      <c r="K1387" t="s">
        <v>79</v>
      </c>
      <c r="L1387" s="13">
        <v>39275</v>
      </c>
      <c r="M1387">
        <v>16</v>
      </c>
      <c r="N1387" t="s">
        <v>79</v>
      </c>
      <c r="O1387" t="s">
        <v>3882</v>
      </c>
      <c r="P1387" t="s">
        <v>76</v>
      </c>
      <c r="Q1387" t="s">
        <v>95</v>
      </c>
      <c r="R1387" t="s">
        <v>76</v>
      </c>
      <c r="S1387" t="s">
        <v>76</v>
      </c>
      <c r="T1387" t="s">
        <v>76</v>
      </c>
      <c r="U1387">
        <v>1</v>
      </c>
      <c r="V1387" s="13">
        <v>45175</v>
      </c>
      <c r="W1387">
        <v>1</v>
      </c>
      <c r="X1387">
        <v>1</v>
      </c>
      <c r="Y1387" t="s">
        <v>3738</v>
      </c>
      <c r="AC1387">
        <v>4993</v>
      </c>
      <c r="AD1387" t="e" vm="1377">
        <v>#VALUE!</v>
      </c>
    </row>
    <row r="1388" spans="2:30" x14ac:dyDescent="0.25">
      <c r="B1388">
        <v>4994</v>
      </c>
      <c r="C1388" t="s">
        <v>3662</v>
      </c>
      <c r="D1388" t="s">
        <v>3737</v>
      </c>
      <c r="E1388" t="s">
        <v>3876</v>
      </c>
      <c r="F1388" t="s">
        <v>89</v>
      </c>
      <c r="G1388" t="s">
        <v>100</v>
      </c>
      <c r="H1388" t="s">
        <v>3808</v>
      </c>
      <c r="I1388" t="s">
        <v>3809</v>
      </c>
      <c r="J1388" t="s">
        <v>3810</v>
      </c>
      <c r="K1388" t="s">
        <v>79</v>
      </c>
      <c r="L1388" s="13">
        <v>39266</v>
      </c>
      <c r="M1388">
        <v>16</v>
      </c>
      <c r="N1388" t="s">
        <v>79</v>
      </c>
      <c r="O1388" t="s">
        <v>3882</v>
      </c>
      <c r="P1388" t="s">
        <v>76</v>
      </c>
      <c r="Q1388" t="s">
        <v>95</v>
      </c>
      <c r="R1388" t="s">
        <v>76</v>
      </c>
      <c r="S1388" t="s">
        <v>76</v>
      </c>
      <c r="T1388" t="s">
        <v>76</v>
      </c>
      <c r="U1388">
        <v>1</v>
      </c>
      <c r="V1388" s="13">
        <v>45175</v>
      </c>
      <c r="W1388">
        <v>1</v>
      </c>
      <c r="X1388">
        <v>1</v>
      </c>
      <c r="Y1388" t="s">
        <v>3738</v>
      </c>
      <c r="AC1388">
        <v>4994</v>
      </c>
      <c r="AD1388" t="e" vm="1378">
        <v>#VALUE!</v>
      </c>
    </row>
    <row r="1389" spans="2:30" x14ac:dyDescent="0.25">
      <c r="B1389">
        <v>4995</v>
      </c>
      <c r="C1389" t="s">
        <v>3662</v>
      </c>
      <c r="D1389" t="s">
        <v>3737</v>
      </c>
      <c r="E1389" t="s">
        <v>3876</v>
      </c>
      <c r="F1389" t="s">
        <v>89</v>
      </c>
      <c r="G1389" t="s">
        <v>100</v>
      </c>
      <c r="H1389" t="s">
        <v>3808</v>
      </c>
      <c r="I1389" t="s">
        <v>3809</v>
      </c>
      <c r="J1389" t="s">
        <v>3810</v>
      </c>
      <c r="K1389" t="s">
        <v>79</v>
      </c>
      <c r="L1389" s="13">
        <v>39268</v>
      </c>
      <c r="M1389">
        <v>16</v>
      </c>
      <c r="N1389" t="s">
        <v>79</v>
      </c>
      <c r="O1389" t="s">
        <v>3882</v>
      </c>
      <c r="P1389" t="s">
        <v>76</v>
      </c>
      <c r="Q1389" t="s">
        <v>95</v>
      </c>
      <c r="R1389" t="s">
        <v>76</v>
      </c>
      <c r="S1389" t="s">
        <v>76</v>
      </c>
      <c r="T1389" t="s">
        <v>76</v>
      </c>
      <c r="U1389">
        <v>1</v>
      </c>
      <c r="V1389" s="13">
        <v>45175</v>
      </c>
      <c r="W1389">
        <v>1</v>
      </c>
      <c r="X1389">
        <v>1</v>
      </c>
      <c r="Y1389" t="s">
        <v>3738</v>
      </c>
      <c r="AC1389">
        <v>4995</v>
      </c>
      <c r="AD1389" t="e" vm="1379">
        <v>#VALUE!</v>
      </c>
    </row>
    <row r="1390" spans="2:30" x14ac:dyDescent="0.25">
      <c r="B1390">
        <v>4996</v>
      </c>
      <c r="C1390" t="s">
        <v>3668</v>
      </c>
      <c r="D1390" t="s">
        <v>3669</v>
      </c>
      <c r="E1390" t="s">
        <v>3817</v>
      </c>
      <c r="F1390" t="s">
        <v>81</v>
      </c>
      <c r="G1390" t="s">
        <v>80</v>
      </c>
      <c r="H1390" t="s">
        <v>3808</v>
      </c>
      <c r="I1390" t="s">
        <v>3809</v>
      </c>
      <c r="J1390" t="s">
        <v>3810</v>
      </c>
      <c r="K1390" t="s">
        <v>79</v>
      </c>
      <c r="L1390" s="13">
        <v>39266</v>
      </c>
      <c r="M1390">
        <v>16</v>
      </c>
      <c r="N1390" t="s">
        <v>82</v>
      </c>
      <c r="O1390" t="s">
        <v>3882</v>
      </c>
      <c r="P1390" t="s">
        <v>76</v>
      </c>
      <c r="Q1390" t="s">
        <v>95</v>
      </c>
      <c r="R1390" t="s">
        <v>76</v>
      </c>
      <c r="S1390" t="s">
        <v>76</v>
      </c>
      <c r="T1390" t="s">
        <v>76</v>
      </c>
      <c r="U1390">
        <v>1</v>
      </c>
      <c r="V1390" s="13">
        <v>45175</v>
      </c>
      <c r="W1390">
        <v>1</v>
      </c>
      <c r="X1390">
        <v>1</v>
      </c>
      <c r="Y1390" t="s">
        <v>3670</v>
      </c>
      <c r="AC1390">
        <v>4996</v>
      </c>
      <c r="AD1390" t="e" vm="1380">
        <v>#VALUE!</v>
      </c>
    </row>
    <row r="1391" spans="2:30" x14ac:dyDescent="0.25">
      <c r="B1391">
        <v>4997</v>
      </c>
      <c r="C1391" t="s">
        <v>3668</v>
      </c>
      <c r="D1391" t="s">
        <v>3669</v>
      </c>
      <c r="E1391" t="s">
        <v>3817</v>
      </c>
      <c r="F1391" t="s">
        <v>81</v>
      </c>
      <c r="G1391" t="s">
        <v>80</v>
      </c>
      <c r="H1391" t="s">
        <v>3808</v>
      </c>
      <c r="I1391" t="s">
        <v>3809</v>
      </c>
      <c r="J1391" t="s">
        <v>3810</v>
      </c>
      <c r="K1391" t="s">
        <v>79</v>
      </c>
      <c r="L1391" s="13">
        <v>39276</v>
      </c>
      <c r="M1391">
        <v>16</v>
      </c>
      <c r="N1391" t="s">
        <v>82</v>
      </c>
      <c r="O1391" t="s">
        <v>3882</v>
      </c>
      <c r="P1391" t="s">
        <v>76</v>
      </c>
      <c r="Q1391" t="s">
        <v>95</v>
      </c>
      <c r="R1391" t="s">
        <v>76</v>
      </c>
      <c r="S1391" t="s">
        <v>76</v>
      </c>
      <c r="T1391" t="s">
        <v>76</v>
      </c>
      <c r="U1391">
        <v>1</v>
      </c>
      <c r="V1391" s="13">
        <v>45175</v>
      </c>
      <c r="W1391">
        <v>1</v>
      </c>
      <c r="X1391">
        <v>1</v>
      </c>
      <c r="Y1391" t="s">
        <v>3670</v>
      </c>
      <c r="AC1391">
        <v>4997</v>
      </c>
      <c r="AD1391" t="e" vm="1381">
        <v>#VALUE!</v>
      </c>
    </row>
    <row r="1392" spans="2:30" x14ac:dyDescent="0.25">
      <c r="B1392">
        <v>4998</v>
      </c>
      <c r="C1392" t="s">
        <v>3668</v>
      </c>
      <c r="D1392" t="s">
        <v>3669</v>
      </c>
      <c r="E1392" t="s">
        <v>3817</v>
      </c>
      <c r="F1392" t="s">
        <v>81</v>
      </c>
      <c r="G1392" t="s">
        <v>80</v>
      </c>
      <c r="H1392" t="s">
        <v>3808</v>
      </c>
      <c r="I1392" t="s">
        <v>3809</v>
      </c>
      <c r="J1392" t="s">
        <v>3810</v>
      </c>
      <c r="K1392" t="s">
        <v>79</v>
      </c>
      <c r="L1392" s="13">
        <v>39276</v>
      </c>
      <c r="M1392">
        <v>16</v>
      </c>
      <c r="N1392" t="s">
        <v>82</v>
      </c>
      <c r="O1392" t="s">
        <v>3882</v>
      </c>
      <c r="P1392" t="s">
        <v>76</v>
      </c>
      <c r="Q1392" t="s">
        <v>95</v>
      </c>
      <c r="R1392" t="s">
        <v>76</v>
      </c>
      <c r="S1392" t="s">
        <v>76</v>
      </c>
      <c r="T1392" t="s">
        <v>76</v>
      </c>
      <c r="U1392">
        <v>1</v>
      </c>
      <c r="V1392" s="13">
        <v>45175</v>
      </c>
      <c r="W1392">
        <v>1</v>
      </c>
      <c r="X1392">
        <v>1</v>
      </c>
      <c r="Y1392" t="s">
        <v>3670</v>
      </c>
      <c r="AC1392">
        <v>4998</v>
      </c>
      <c r="AD1392" t="e" vm="1382">
        <v>#VALUE!</v>
      </c>
    </row>
    <row r="1393" spans="2:30" x14ac:dyDescent="0.25">
      <c r="B1393">
        <v>4999</v>
      </c>
      <c r="C1393" t="s">
        <v>3668</v>
      </c>
      <c r="D1393" t="s">
        <v>3669</v>
      </c>
      <c r="E1393" t="s">
        <v>3817</v>
      </c>
      <c r="F1393" t="s">
        <v>81</v>
      </c>
      <c r="G1393" t="s">
        <v>80</v>
      </c>
      <c r="H1393" t="s">
        <v>3808</v>
      </c>
      <c r="I1393" t="s">
        <v>3809</v>
      </c>
      <c r="J1393" t="s">
        <v>3810</v>
      </c>
      <c r="K1393" t="s">
        <v>79</v>
      </c>
      <c r="L1393" s="13">
        <v>39276</v>
      </c>
      <c r="M1393">
        <v>16</v>
      </c>
      <c r="N1393" t="s">
        <v>82</v>
      </c>
      <c r="O1393" t="s">
        <v>3882</v>
      </c>
      <c r="P1393" t="s">
        <v>76</v>
      </c>
      <c r="Q1393" t="s">
        <v>95</v>
      </c>
      <c r="R1393" t="s">
        <v>76</v>
      </c>
      <c r="S1393" t="s">
        <v>76</v>
      </c>
      <c r="T1393" t="s">
        <v>76</v>
      </c>
      <c r="U1393">
        <v>1</v>
      </c>
      <c r="V1393" s="13">
        <v>45175</v>
      </c>
      <c r="W1393">
        <v>1</v>
      </c>
      <c r="X1393">
        <v>1</v>
      </c>
      <c r="Y1393" t="s">
        <v>3670</v>
      </c>
      <c r="AC1393">
        <v>4999</v>
      </c>
      <c r="AD1393" t="e" vm="1383">
        <v>#VALUE!</v>
      </c>
    </row>
    <row r="1394" spans="2:30" x14ac:dyDescent="0.25">
      <c r="B1394">
        <v>5000</v>
      </c>
      <c r="C1394" t="s">
        <v>3668</v>
      </c>
      <c r="D1394" t="s">
        <v>3669</v>
      </c>
      <c r="E1394" t="s">
        <v>3817</v>
      </c>
      <c r="F1394" t="s">
        <v>81</v>
      </c>
      <c r="G1394" t="s">
        <v>80</v>
      </c>
      <c r="H1394" t="s">
        <v>3808</v>
      </c>
      <c r="I1394" t="s">
        <v>3809</v>
      </c>
      <c r="J1394" t="s">
        <v>3810</v>
      </c>
      <c r="K1394" t="s">
        <v>79</v>
      </c>
      <c r="L1394" s="13">
        <v>39301</v>
      </c>
      <c r="M1394">
        <v>16</v>
      </c>
      <c r="N1394" t="s">
        <v>82</v>
      </c>
      <c r="O1394" t="s">
        <v>3882</v>
      </c>
      <c r="P1394" t="s">
        <v>76</v>
      </c>
      <c r="Q1394" t="s">
        <v>95</v>
      </c>
      <c r="R1394" t="s">
        <v>76</v>
      </c>
      <c r="S1394" t="s">
        <v>76</v>
      </c>
      <c r="T1394" t="s">
        <v>76</v>
      </c>
      <c r="U1394">
        <v>1</v>
      </c>
      <c r="V1394" s="13">
        <v>45175</v>
      </c>
      <c r="W1394">
        <v>1</v>
      </c>
      <c r="X1394">
        <v>1</v>
      </c>
      <c r="Y1394" t="s">
        <v>3670</v>
      </c>
      <c r="AC1394">
        <v>5000</v>
      </c>
      <c r="AD1394" t="e" vm="1384">
        <v>#VALUE!</v>
      </c>
    </row>
    <row r="1395" spans="2:30" x14ac:dyDescent="0.25">
      <c r="B1395">
        <v>5001</v>
      </c>
      <c r="C1395" t="s">
        <v>3668</v>
      </c>
      <c r="D1395" t="s">
        <v>3669</v>
      </c>
      <c r="E1395" t="s">
        <v>3817</v>
      </c>
      <c r="F1395" t="s">
        <v>81</v>
      </c>
      <c r="G1395" t="s">
        <v>80</v>
      </c>
      <c r="H1395" t="s">
        <v>3808</v>
      </c>
      <c r="I1395" t="s">
        <v>3809</v>
      </c>
      <c r="J1395" t="s">
        <v>3810</v>
      </c>
      <c r="K1395" t="s">
        <v>79</v>
      </c>
      <c r="L1395" s="13">
        <v>39303</v>
      </c>
      <c r="M1395">
        <v>16</v>
      </c>
      <c r="N1395" t="s">
        <v>82</v>
      </c>
      <c r="O1395" t="s">
        <v>3882</v>
      </c>
      <c r="P1395" t="s">
        <v>76</v>
      </c>
      <c r="Q1395" t="s">
        <v>95</v>
      </c>
      <c r="R1395" t="s">
        <v>76</v>
      </c>
      <c r="S1395" t="s">
        <v>76</v>
      </c>
      <c r="T1395" t="s">
        <v>76</v>
      </c>
      <c r="U1395">
        <v>1</v>
      </c>
      <c r="V1395" s="13">
        <v>45175</v>
      </c>
      <c r="W1395">
        <v>1</v>
      </c>
      <c r="X1395">
        <v>1</v>
      </c>
      <c r="Y1395" t="s">
        <v>3670</v>
      </c>
      <c r="AC1395">
        <v>5001</v>
      </c>
      <c r="AD1395" t="e" vm="1385">
        <v>#VALUE!</v>
      </c>
    </row>
    <row r="1396" spans="2:30" x14ac:dyDescent="0.25">
      <c r="B1396">
        <v>5002</v>
      </c>
      <c r="C1396" t="s">
        <v>3668</v>
      </c>
      <c r="D1396" t="s">
        <v>3669</v>
      </c>
      <c r="E1396" t="s">
        <v>3817</v>
      </c>
      <c r="F1396" t="s">
        <v>81</v>
      </c>
      <c r="G1396" t="s">
        <v>80</v>
      </c>
      <c r="H1396" t="s">
        <v>3808</v>
      </c>
      <c r="I1396" t="s">
        <v>3809</v>
      </c>
      <c r="J1396" t="s">
        <v>3810</v>
      </c>
      <c r="K1396" t="s">
        <v>79</v>
      </c>
      <c r="L1396" s="13">
        <v>39303</v>
      </c>
      <c r="M1396">
        <v>16</v>
      </c>
      <c r="N1396" t="s">
        <v>82</v>
      </c>
      <c r="O1396" t="s">
        <v>3882</v>
      </c>
      <c r="P1396" t="s">
        <v>76</v>
      </c>
      <c r="Q1396" t="s">
        <v>95</v>
      </c>
      <c r="R1396" t="s">
        <v>76</v>
      </c>
      <c r="S1396" t="s">
        <v>76</v>
      </c>
      <c r="T1396" t="s">
        <v>76</v>
      </c>
      <c r="U1396">
        <v>1</v>
      </c>
      <c r="V1396" s="13">
        <v>45175</v>
      </c>
      <c r="W1396">
        <v>1</v>
      </c>
      <c r="X1396">
        <v>1</v>
      </c>
      <c r="Y1396" t="s">
        <v>3670</v>
      </c>
      <c r="AC1396">
        <v>5002</v>
      </c>
      <c r="AD1396" t="e" vm="1386">
        <v>#VALUE!</v>
      </c>
    </row>
    <row r="1397" spans="2:30" x14ac:dyDescent="0.25">
      <c r="B1397">
        <v>5003</v>
      </c>
      <c r="C1397" t="s">
        <v>3668</v>
      </c>
      <c r="D1397" t="s">
        <v>3669</v>
      </c>
      <c r="E1397" t="s">
        <v>3817</v>
      </c>
      <c r="F1397" t="s">
        <v>81</v>
      </c>
      <c r="G1397" t="s">
        <v>80</v>
      </c>
      <c r="H1397" t="s">
        <v>3808</v>
      </c>
      <c r="I1397" t="s">
        <v>3809</v>
      </c>
      <c r="J1397" t="s">
        <v>3810</v>
      </c>
      <c r="K1397" t="s">
        <v>79</v>
      </c>
      <c r="L1397" s="13">
        <v>39304</v>
      </c>
      <c r="M1397">
        <v>16</v>
      </c>
      <c r="N1397" t="s">
        <v>82</v>
      </c>
      <c r="O1397" t="s">
        <v>3882</v>
      </c>
      <c r="P1397" t="s">
        <v>76</v>
      </c>
      <c r="Q1397" t="s">
        <v>95</v>
      </c>
      <c r="R1397" t="s">
        <v>76</v>
      </c>
      <c r="S1397" t="s">
        <v>76</v>
      </c>
      <c r="T1397" t="s">
        <v>76</v>
      </c>
      <c r="U1397">
        <v>1</v>
      </c>
      <c r="V1397" s="13">
        <v>45175</v>
      </c>
      <c r="W1397">
        <v>1</v>
      </c>
      <c r="X1397">
        <v>1</v>
      </c>
      <c r="Y1397" t="s">
        <v>3670</v>
      </c>
      <c r="AC1397">
        <v>5003</v>
      </c>
      <c r="AD1397" t="e" vm="1387">
        <v>#VALUE!</v>
      </c>
    </row>
    <row r="1398" spans="2:30" x14ac:dyDescent="0.25">
      <c r="B1398">
        <v>5004</v>
      </c>
      <c r="C1398" t="s">
        <v>3668</v>
      </c>
      <c r="D1398" t="s">
        <v>3669</v>
      </c>
      <c r="E1398" t="s">
        <v>3817</v>
      </c>
      <c r="F1398" t="s">
        <v>81</v>
      </c>
      <c r="G1398" t="s">
        <v>80</v>
      </c>
      <c r="H1398" t="s">
        <v>3808</v>
      </c>
      <c r="I1398" t="s">
        <v>3809</v>
      </c>
      <c r="J1398" t="s">
        <v>3810</v>
      </c>
      <c r="K1398" t="s">
        <v>79</v>
      </c>
      <c r="L1398" s="13">
        <v>39304</v>
      </c>
      <c r="M1398">
        <v>16</v>
      </c>
      <c r="N1398" t="s">
        <v>82</v>
      </c>
      <c r="O1398" t="s">
        <v>3882</v>
      </c>
      <c r="P1398" t="s">
        <v>76</v>
      </c>
      <c r="Q1398" t="s">
        <v>95</v>
      </c>
      <c r="R1398" t="s">
        <v>76</v>
      </c>
      <c r="S1398" t="s">
        <v>76</v>
      </c>
      <c r="T1398" t="s">
        <v>76</v>
      </c>
      <c r="U1398">
        <v>1</v>
      </c>
      <c r="V1398" s="13">
        <v>45175</v>
      </c>
      <c r="W1398">
        <v>1</v>
      </c>
      <c r="X1398">
        <v>1</v>
      </c>
      <c r="Y1398" t="s">
        <v>3670</v>
      </c>
      <c r="AC1398">
        <v>5004</v>
      </c>
      <c r="AD1398" t="e" vm="1388">
        <v>#VALUE!</v>
      </c>
    </row>
    <row r="1399" spans="2:30" x14ac:dyDescent="0.25">
      <c r="B1399">
        <v>5005</v>
      </c>
      <c r="C1399" t="s">
        <v>3668</v>
      </c>
      <c r="D1399" t="s">
        <v>3669</v>
      </c>
      <c r="E1399" t="s">
        <v>3817</v>
      </c>
      <c r="F1399" t="s">
        <v>81</v>
      </c>
      <c r="G1399" t="s">
        <v>80</v>
      </c>
      <c r="H1399" t="s">
        <v>3808</v>
      </c>
      <c r="I1399" t="s">
        <v>3809</v>
      </c>
      <c r="J1399" t="s">
        <v>3810</v>
      </c>
      <c r="K1399" t="s">
        <v>79</v>
      </c>
      <c r="L1399" s="13">
        <v>39436</v>
      </c>
      <c r="M1399">
        <v>16</v>
      </c>
      <c r="N1399" t="s">
        <v>82</v>
      </c>
      <c r="O1399" t="s">
        <v>3882</v>
      </c>
      <c r="P1399" t="s">
        <v>76</v>
      </c>
      <c r="Q1399" t="s">
        <v>95</v>
      </c>
      <c r="R1399" t="s">
        <v>76</v>
      </c>
      <c r="S1399" t="s">
        <v>76</v>
      </c>
      <c r="T1399" t="s">
        <v>76</v>
      </c>
      <c r="U1399">
        <v>1</v>
      </c>
      <c r="V1399" s="13">
        <v>45175</v>
      </c>
      <c r="W1399">
        <v>1</v>
      </c>
      <c r="X1399">
        <v>1</v>
      </c>
      <c r="Y1399" t="s">
        <v>3670</v>
      </c>
      <c r="AC1399">
        <v>5005</v>
      </c>
      <c r="AD1399" t="e" vm="1389">
        <v>#VALUE!</v>
      </c>
    </row>
    <row r="1400" spans="2:30" x14ac:dyDescent="0.25">
      <c r="B1400">
        <v>5006</v>
      </c>
      <c r="C1400" t="s">
        <v>3668</v>
      </c>
      <c r="D1400" t="s">
        <v>3669</v>
      </c>
      <c r="E1400" t="s">
        <v>3817</v>
      </c>
      <c r="F1400" t="s">
        <v>81</v>
      </c>
      <c r="G1400" t="s">
        <v>80</v>
      </c>
      <c r="H1400" t="s">
        <v>3808</v>
      </c>
      <c r="I1400" t="s">
        <v>3809</v>
      </c>
      <c r="J1400" t="s">
        <v>3810</v>
      </c>
      <c r="K1400" t="s">
        <v>79</v>
      </c>
      <c r="L1400" s="13">
        <v>39329</v>
      </c>
      <c r="M1400">
        <v>16</v>
      </c>
      <c r="N1400" t="s">
        <v>82</v>
      </c>
      <c r="O1400" t="s">
        <v>3882</v>
      </c>
      <c r="P1400" t="s">
        <v>76</v>
      </c>
      <c r="Q1400" t="s">
        <v>95</v>
      </c>
      <c r="R1400" t="s">
        <v>76</v>
      </c>
      <c r="S1400" t="s">
        <v>76</v>
      </c>
      <c r="T1400" t="s">
        <v>76</v>
      </c>
      <c r="U1400">
        <v>1</v>
      </c>
      <c r="V1400" s="13">
        <v>45175</v>
      </c>
      <c r="W1400">
        <v>1</v>
      </c>
      <c r="X1400">
        <v>1</v>
      </c>
      <c r="Y1400" t="s">
        <v>3670</v>
      </c>
      <c r="AC1400">
        <v>5006</v>
      </c>
      <c r="AD1400" t="e" vm="1390">
        <v>#VALUE!</v>
      </c>
    </row>
    <row r="1401" spans="2:30" x14ac:dyDescent="0.25">
      <c r="B1401">
        <v>5007</v>
      </c>
      <c r="C1401" t="s">
        <v>3668</v>
      </c>
      <c r="D1401" t="s">
        <v>3669</v>
      </c>
      <c r="E1401" t="s">
        <v>3817</v>
      </c>
      <c r="F1401" t="s">
        <v>81</v>
      </c>
      <c r="G1401" t="s">
        <v>80</v>
      </c>
      <c r="H1401" t="s">
        <v>3808</v>
      </c>
      <c r="I1401" t="s">
        <v>3809</v>
      </c>
      <c r="J1401" t="s">
        <v>3810</v>
      </c>
      <c r="K1401" t="s">
        <v>79</v>
      </c>
      <c r="L1401" s="13">
        <v>39329</v>
      </c>
      <c r="M1401">
        <v>16</v>
      </c>
      <c r="N1401" t="s">
        <v>82</v>
      </c>
      <c r="O1401" t="s">
        <v>3882</v>
      </c>
      <c r="P1401" t="s">
        <v>76</v>
      </c>
      <c r="Q1401" t="s">
        <v>95</v>
      </c>
      <c r="R1401" t="s">
        <v>76</v>
      </c>
      <c r="S1401" t="s">
        <v>76</v>
      </c>
      <c r="T1401" t="s">
        <v>76</v>
      </c>
      <c r="U1401">
        <v>1</v>
      </c>
      <c r="V1401" s="13">
        <v>45175</v>
      </c>
      <c r="W1401">
        <v>1</v>
      </c>
      <c r="X1401">
        <v>1</v>
      </c>
      <c r="Y1401" t="s">
        <v>3670</v>
      </c>
      <c r="AC1401">
        <v>5007</v>
      </c>
      <c r="AD1401" t="e" vm="1391">
        <v>#VALUE!</v>
      </c>
    </row>
    <row r="1402" spans="2:30" x14ac:dyDescent="0.25">
      <c r="B1402">
        <v>5008</v>
      </c>
      <c r="C1402" t="s">
        <v>3668</v>
      </c>
      <c r="D1402" t="s">
        <v>3739</v>
      </c>
      <c r="E1402" t="s">
        <v>3818</v>
      </c>
      <c r="F1402" t="s">
        <v>83</v>
      </c>
      <c r="G1402" t="s">
        <v>113</v>
      </c>
      <c r="H1402" t="s">
        <v>3808</v>
      </c>
      <c r="I1402" t="s">
        <v>3809</v>
      </c>
      <c r="J1402" t="s">
        <v>3810</v>
      </c>
      <c r="K1402" t="s">
        <v>79</v>
      </c>
      <c r="L1402" s="13">
        <v>39329</v>
      </c>
      <c r="M1402">
        <v>16</v>
      </c>
      <c r="N1402" t="s">
        <v>82</v>
      </c>
      <c r="O1402" t="s">
        <v>3882</v>
      </c>
      <c r="P1402" t="s">
        <v>76</v>
      </c>
      <c r="Q1402" t="s">
        <v>95</v>
      </c>
      <c r="R1402" t="s">
        <v>76</v>
      </c>
      <c r="S1402" t="s">
        <v>76</v>
      </c>
      <c r="T1402" t="s">
        <v>76</v>
      </c>
      <c r="U1402">
        <v>1</v>
      </c>
      <c r="V1402" s="13">
        <v>45175</v>
      </c>
      <c r="W1402">
        <v>1</v>
      </c>
      <c r="X1402">
        <v>1</v>
      </c>
      <c r="Y1402" t="s">
        <v>3740</v>
      </c>
      <c r="AC1402">
        <v>5008</v>
      </c>
      <c r="AD1402" t="e" vm="1392">
        <v>#VALUE!</v>
      </c>
    </row>
    <row r="1403" spans="2:30" x14ac:dyDescent="0.25">
      <c r="B1403">
        <v>5009</v>
      </c>
      <c r="C1403" t="s">
        <v>3668</v>
      </c>
      <c r="D1403" t="s">
        <v>3739</v>
      </c>
      <c r="E1403" t="s">
        <v>3818</v>
      </c>
      <c r="F1403" t="s">
        <v>83</v>
      </c>
      <c r="G1403" t="s">
        <v>113</v>
      </c>
      <c r="H1403" t="s">
        <v>3808</v>
      </c>
      <c r="I1403" t="s">
        <v>3809</v>
      </c>
      <c r="J1403" t="s">
        <v>3810</v>
      </c>
      <c r="K1403" t="s">
        <v>79</v>
      </c>
      <c r="L1403" s="13">
        <v>39329</v>
      </c>
      <c r="M1403">
        <v>16</v>
      </c>
      <c r="N1403" t="s">
        <v>82</v>
      </c>
      <c r="O1403" t="s">
        <v>3882</v>
      </c>
      <c r="P1403" t="s">
        <v>76</v>
      </c>
      <c r="Q1403" t="s">
        <v>95</v>
      </c>
      <c r="R1403" t="s">
        <v>76</v>
      </c>
      <c r="S1403" t="s">
        <v>76</v>
      </c>
      <c r="T1403" t="s">
        <v>76</v>
      </c>
      <c r="U1403">
        <v>1</v>
      </c>
      <c r="V1403" s="13">
        <v>45175</v>
      </c>
      <c r="W1403">
        <v>1</v>
      </c>
      <c r="X1403">
        <v>1</v>
      </c>
      <c r="Y1403" t="s">
        <v>3740</v>
      </c>
      <c r="AC1403">
        <v>5009</v>
      </c>
      <c r="AD1403" t="e" vm="1393">
        <v>#VALUE!</v>
      </c>
    </row>
    <row r="1404" spans="2:30" x14ac:dyDescent="0.25">
      <c r="B1404">
        <v>5010</v>
      </c>
      <c r="C1404" t="s">
        <v>3668</v>
      </c>
      <c r="D1404" t="s">
        <v>3739</v>
      </c>
      <c r="E1404" t="s">
        <v>3818</v>
      </c>
      <c r="F1404" t="s">
        <v>83</v>
      </c>
      <c r="G1404" t="s">
        <v>113</v>
      </c>
      <c r="H1404" t="s">
        <v>3808</v>
      </c>
      <c r="I1404" t="s">
        <v>3809</v>
      </c>
      <c r="J1404" t="s">
        <v>3810</v>
      </c>
      <c r="K1404" t="s">
        <v>79</v>
      </c>
      <c r="L1404" s="13">
        <v>39329</v>
      </c>
      <c r="M1404">
        <v>16</v>
      </c>
      <c r="N1404" t="s">
        <v>82</v>
      </c>
      <c r="O1404" t="s">
        <v>3882</v>
      </c>
      <c r="P1404" t="s">
        <v>76</v>
      </c>
      <c r="Q1404" t="s">
        <v>95</v>
      </c>
      <c r="R1404" t="s">
        <v>76</v>
      </c>
      <c r="S1404" t="s">
        <v>76</v>
      </c>
      <c r="T1404" t="s">
        <v>76</v>
      </c>
      <c r="U1404">
        <v>1</v>
      </c>
      <c r="V1404" s="13">
        <v>45175</v>
      </c>
      <c r="W1404">
        <v>1</v>
      </c>
      <c r="X1404">
        <v>1</v>
      </c>
      <c r="Y1404" t="s">
        <v>3740</v>
      </c>
      <c r="AC1404">
        <v>5010</v>
      </c>
      <c r="AD1404" t="e" vm="1394">
        <v>#VALUE!</v>
      </c>
    </row>
    <row r="1405" spans="2:30" x14ac:dyDescent="0.25">
      <c r="B1405">
        <v>5011</v>
      </c>
      <c r="C1405" t="s">
        <v>3668</v>
      </c>
      <c r="D1405" t="s">
        <v>3739</v>
      </c>
      <c r="E1405" t="s">
        <v>3818</v>
      </c>
      <c r="F1405" t="s">
        <v>83</v>
      </c>
      <c r="G1405" t="s">
        <v>113</v>
      </c>
      <c r="H1405" t="s">
        <v>3808</v>
      </c>
      <c r="I1405" t="s">
        <v>3809</v>
      </c>
      <c r="J1405" t="s">
        <v>3810</v>
      </c>
      <c r="K1405" t="s">
        <v>79</v>
      </c>
      <c r="L1405" s="13">
        <v>39329</v>
      </c>
      <c r="M1405">
        <v>16</v>
      </c>
      <c r="N1405" t="s">
        <v>82</v>
      </c>
      <c r="O1405" t="s">
        <v>3882</v>
      </c>
      <c r="P1405" t="s">
        <v>76</v>
      </c>
      <c r="Q1405" t="s">
        <v>95</v>
      </c>
      <c r="R1405" t="s">
        <v>76</v>
      </c>
      <c r="S1405" t="s">
        <v>76</v>
      </c>
      <c r="T1405" t="s">
        <v>76</v>
      </c>
      <c r="U1405">
        <v>1</v>
      </c>
      <c r="V1405" s="13">
        <v>45175</v>
      </c>
      <c r="W1405">
        <v>1</v>
      </c>
      <c r="X1405">
        <v>1</v>
      </c>
      <c r="Y1405" t="s">
        <v>3740</v>
      </c>
      <c r="AC1405">
        <v>5011</v>
      </c>
      <c r="AD1405" t="e" vm="1395">
        <v>#VALUE!</v>
      </c>
    </row>
    <row r="1406" spans="2:30" x14ac:dyDescent="0.25">
      <c r="B1406">
        <v>5012</v>
      </c>
      <c r="C1406" t="s">
        <v>3668</v>
      </c>
      <c r="D1406" t="s">
        <v>3739</v>
      </c>
      <c r="E1406" t="s">
        <v>3818</v>
      </c>
      <c r="F1406" t="s">
        <v>83</v>
      </c>
      <c r="G1406" t="s">
        <v>113</v>
      </c>
      <c r="H1406" t="s">
        <v>3808</v>
      </c>
      <c r="I1406" t="s">
        <v>3809</v>
      </c>
      <c r="J1406" t="s">
        <v>3810</v>
      </c>
      <c r="K1406" t="s">
        <v>79</v>
      </c>
      <c r="L1406" s="13">
        <v>39329</v>
      </c>
      <c r="M1406">
        <v>16</v>
      </c>
      <c r="N1406" t="s">
        <v>82</v>
      </c>
      <c r="O1406" t="s">
        <v>3882</v>
      </c>
      <c r="P1406" t="s">
        <v>76</v>
      </c>
      <c r="Q1406" t="s">
        <v>95</v>
      </c>
      <c r="R1406" t="s">
        <v>76</v>
      </c>
      <c r="S1406" t="s">
        <v>76</v>
      </c>
      <c r="T1406" t="s">
        <v>76</v>
      </c>
      <c r="U1406">
        <v>1</v>
      </c>
      <c r="V1406" s="13">
        <v>45175</v>
      </c>
      <c r="W1406">
        <v>1</v>
      </c>
      <c r="X1406">
        <v>1</v>
      </c>
      <c r="Y1406" t="s">
        <v>3740</v>
      </c>
      <c r="AC1406">
        <v>5012</v>
      </c>
      <c r="AD1406" t="e" vm="1396">
        <v>#VALUE!</v>
      </c>
    </row>
    <row r="1407" spans="2:30" x14ac:dyDescent="0.25">
      <c r="B1407">
        <v>5013</v>
      </c>
      <c r="C1407" t="s">
        <v>3668</v>
      </c>
      <c r="D1407" t="s">
        <v>3739</v>
      </c>
      <c r="E1407" t="s">
        <v>3818</v>
      </c>
      <c r="F1407" t="s">
        <v>83</v>
      </c>
      <c r="G1407" t="s">
        <v>113</v>
      </c>
      <c r="H1407" t="s">
        <v>3808</v>
      </c>
      <c r="I1407" t="s">
        <v>3809</v>
      </c>
      <c r="J1407" t="s">
        <v>3810</v>
      </c>
      <c r="K1407" t="s">
        <v>79</v>
      </c>
      <c r="L1407" s="13">
        <v>39329</v>
      </c>
      <c r="M1407">
        <v>16</v>
      </c>
      <c r="N1407" t="s">
        <v>82</v>
      </c>
      <c r="O1407" t="s">
        <v>3882</v>
      </c>
      <c r="P1407" t="s">
        <v>76</v>
      </c>
      <c r="Q1407" t="s">
        <v>95</v>
      </c>
      <c r="R1407" t="s">
        <v>76</v>
      </c>
      <c r="S1407" t="s">
        <v>76</v>
      </c>
      <c r="T1407" t="s">
        <v>76</v>
      </c>
      <c r="U1407">
        <v>1</v>
      </c>
      <c r="V1407" s="13">
        <v>45175</v>
      </c>
      <c r="W1407">
        <v>1</v>
      </c>
      <c r="X1407">
        <v>1</v>
      </c>
      <c r="Y1407" t="s">
        <v>3740</v>
      </c>
      <c r="AC1407">
        <v>5013</v>
      </c>
      <c r="AD1407" t="e" vm="1397">
        <v>#VALUE!</v>
      </c>
    </row>
    <row r="1408" spans="2:30" x14ac:dyDescent="0.25">
      <c r="B1408">
        <v>5014</v>
      </c>
      <c r="C1408" t="s">
        <v>3668</v>
      </c>
      <c r="D1408" t="s">
        <v>3669</v>
      </c>
      <c r="E1408" t="s">
        <v>3817</v>
      </c>
      <c r="F1408" t="s">
        <v>81</v>
      </c>
      <c r="G1408" t="s">
        <v>80</v>
      </c>
      <c r="H1408" t="s">
        <v>3808</v>
      </c>
      <c r="I1408" t="s">
        <v>3809</v>
      </c>
      <c r="J1408" t="s">
        <v>3810</v>
      </c>
      <c r="K1408" t="s">
        <v>79</v>
      </c>
      <c r="L1408" s="13">
        <v>39329</v>
      </c>
      <c r="M1408">
        <v>16</v>
      </c>
      <c r="N1408" t="s">
        <v>82</v>
      </c>
      <c r="O1408" t="s">
        <v>3882</v>
      </c>
      <c r="P1408" t="s">
        <v>76</v>
      </c>
      <c r="Q1408" t="s">
        <v>95</v>
      </c>
      <c r="R1408" t="s">
        <v>76</v>
      </c>
      <c r="S1408" t="s">
        <v>76</v>
      </c>
      <c r="T1408" t="s">
        <v>76</v>
      </c>
      <c r="U1408">
        <v>1</v>
      </c>
      <c r="V1408" s="13">
        <v>45175</v>
      </c>
      <c r="W1408">
        <v>1</v>
      </c>
      <c r="X1408">
        <v>1</v>
      </c>
      <c r="Y1408" t="s">
        <v>3670</v>
      </c>
      <c r="AC1408">
        <v>5014</v>
      </c>
      <c r="AD1408" t="e" vm="1398">
        <v>#VALUE!</v>
      </c>
    </row>
    <row r="1409" spans="2:30" x14ac:dyDescent="0.25">
      <c r="B1409">
        <v>5016</v>
      </c>
      <c r="C1409" t="s">
        <v>3646</v>
      </c>
      <c r="D1409" t="s">
        <v>3682</v>
      </c>
      <c r="E1409" t="s">
        <v>3826</v>
      </c>
      <c r="F1409" t="s">
        <v>81</v>
      </c>
      <c r="G1409" t="s">
        <v>100</v>
      </c>
      <c r="H1409" t="s">
        <v>3808</v>
      </c>
      <c r="I1409" t="s">
        <v>3809</v>
      </c>
      <c r="J1409" t="s">
        <v>3862</v>
      </c>
      <c r="K1409" t="s">
        <v>79</v>
      </c>
      <c r="L1409" s="13">
        <v>39421</v>
      </c>
      <c r="M1409">
        <v>16</v>
      </c>
      <c r="N1409" t="s">
        <v>90</v>
      </c>
      <c r="O1409" t="s">
        <v>3883</v>
      </c>
      <c r="P1409" t="s">
        <v>76</v>
      </c>
      <c r="Q1409" t="s">
        <v>95</v>
      </c>
      <c r="R1409" t="s">
        <v>76</v>
      </c>
      <c r="S1409" t="s">
        <v>76</v>
      </c>
      <c r="T1409" t="s">
        <v>76</v>
      </c>
      <c r="U1409">
        <v>1</v>
      </c>
      <c r="V1409" s="13">
        <v>45175</v>
      </c>
      <c r="W1409">
        <v>1</v>
      </c>
      <c r="X1409">
        <v>1</v>
      </c>
      <c r="Y1409" t="s">
        <v>3683</v>
      </c>
      <c r="AC1409">
        <v>5016</v>
      </c>
      <c r="AD1409" t="e" vm="1399">
        <v>#VALUE!</v>
      </c>
    </row>
    <row r="1410" spans="2:30" x14ac:dyDescent="0.25">
      <c r="B1410">
        <v>5017</v>
      </c>
      <c r="C1410" t="s">
        <v>3646</v>
      </c>
      <c r="D1410" t="s">
        <v>3682</v>
      </c>
      <c r="E1410" t="s">
        <v>3826</v>
      </c>
      <c r="F1410" t="s">
        <v>81</v>
      </c>
      <c r="G1410" t="s">
        <v>100</v>
      </c>
      <c r="H1410" t="s">
        <v>3808</v>
      </c>
      <c r="I1410" t="s">
        <v>3809</v>
      </c>
      <c r="J1410" t="s">
        <v>3862</v>
      </c>
      <c r="K1410" t="s">
        <v>79</v>
      </c>
      <c r="L1410" s="13">
        <v>39406</v>
      </c>
      <c r="M1410">
        <v>16</v>
      </c>
      <c r="N1410" t="s">
        <v>90</v>
      </c>
      <c r="O1410" t="s">
        <v>3883</v>
      </c>
      <c r="P1410" t="s">
        <v>76</v>
      </c>
      <c r="Q1410" t="s">
        <v>95</v>
      </c>
      <c r="R1410" t="s">
        <v>76</v>
      </c>
      <c r="S1410" t="s">
        <v>76</v>
      </c>
      <c r="T1410" t="s">
        <v>76</v>
      </c>
      <c r="U1410">
        <v>1</v>
      </c>
      <c r="V1410" s="13">
        <v>45175</v>
      </c>
      <c r="W1410">
        <v>1</v>
      </c>
      <c r="X1410">
        <v>1</v>
      </c>
      <c r="Y1410" t="s">
        <v>3683</v>
      </c>
      <c r="AC1410">
        <v>5017</v>
      </c>
      <c r="AD1410" t="e" vm="1400">
        <v>#VALUE!</v>
      </c>
    </row>
    <row r="1411" spans="2:30" x14ac:dyDescent="0.25">
      <c r="B1411">
        <v>5018</v>
      </c>
      <c r="C1411" t="s">
        <v>3646</v>
      </c>
      <c r="D1411" t="s">
        <v>3682</v>
      </c>
      <c r="E1411" t="s">
        <v>3826</v>
      </c>
      <c r="F1411" t="s">
        <v>81</v>
      </c>
      <c r="G1411" t="s">
        <v>100</v>
      </c>
      <c r="H1411" t="s">
        <v>3808</v>
      </c>
      <c r="I1411" t="s">
        <v>3809</v>
      </c>
      <c r="J1411" t="s">
        <v>3862</v>
      </c>
      <c r="K1411" t="s">
        <v>79</v>
      </c>
      <c r="L1411" s="13">
        <v>39372</v>
      </c>
      <c r="M1411">
        <v>16</v>
      </c>
      <c r="N1411" t="s">
        <v>90</v>
      </c>
      <c r="O1411" t="s">
        <v>3883</v>
      </c>
      <c r="P1411" t="s">
        <v>76</v>
      </c>
      <c r="Q1411" t="s">
        <v>95</v>
      </c>
      <c r="R1411" t="s">
        <v>76</v>
      </c>
      <c r="S1411" t="s">
        <v>76</v>
      </c>
      <c r="T1411" t="s">
        <v>76</v>
      </c>
      <c r="U1411">
        <v>1</v>
      </c>
      <c r="V1411" s="13">
        <v>45175</v>
      </c>
      <c r="W1411">
        <v>1</v>
      </c>
      <c r="X1411">
        <v>1</v>
      </c>
      <c r="Y1411" t="s">
        <v>3683</v>
      </c>
      <c r="AC1411">
        <v>5018</v>
      </c>
      <c r="AD1411" t="e" vm="1401">
        <v>#VALUE!</v>
      </c>
    </row>
    <row r="1412" spans="2:30" x14ac:dyDescent="0.25">
      <c r="B1412">
        <v>5019</v>
      </c>
      <c r="C1412" t="s">
        <v>3646</v>
      </c>
      <c r="D1412" t="s">
        <v>3682</v>
      </c>
      <c r="E1412" t="s">
        <v>3826</v>
      </c>
      <c r="F1412" t="s">
        <v>81</v>
      </c>
      <c r="G1412" t="s">
        <v>100</v>
      </c>
      <c r="H1412" t="s">
        <v>3808</v>
      </c>
      <c r="I1412" t="s">
        <v>3809</v>
      </c>
      <c r="J1412" t="s">
        <v>3862</v>
      </c>
      <c r="K1412" t="s">
        <v>79</v>
      </c>
      <c r="L1412" s="13">
        <v>39372</v>
      </c>
      <c r="M1412">
        <v>16</v>
      </c>
      <c r="N1412" t="s">
        <v>90</v>
      </c>
      <c r="O1412" t="s">
        <v>3883</v>
      </c>
      <c r="P1412" t="s">
        <v>76</v>
      </c>
      <c r="Q1412" t="s">
        <v>95</v>
      </c>
      <c r="R1412" t="s">
        <v>76</v>
      </c>
      <c r="S1412" t="s">
        <v>76</v>
      </c>
      <c r="T1412" t="s">
        <v>76</v>
      </c>
      <c r="U1412">
        <v>1</v>
      </c>
      <c r="V1412" s="13">
        <v>45175</v>
      </c>
      <c r="W1412">
        <v>1</v>
      </c>
      <c r="X1412">
        <v>1</v>
      </c>
      <c r="Y1412" t="s">
        <v>3683</v>
      </c>
      <c r="AC1412">
        <v>5019</v>
      </c>
      <c r="AD1412" t="e" vm="1402">
        <v>#VALUE!</v>
      </c>
    </row>
    <row r="1413" spans="2:30" x14ac:dyDescent="0.25">
      <c r="B1413">
        <v>5020</v>
      </c>
      <c r="C1413" t="s">
        <v>3646</v>
      </c>
      <c r="D1413" t="s">
        <v>3682</v>
      </c>
      <c r="E1413" t="s">
        <v>3826</v>
      </c>
      <c r="F1413" t="s">
        <v>81</v>
      </c>
      <c r="G1413" t="s">
        <v>100</v>
      </c>
      <c r="H1413" t="s">
        <v>3808</v>
      </c>
      <c r="I1413" t="s">
        <v>3809</v>
      </c>
      <c r="J1413" t="s">
        <v>3862</v>
      </c>
      <c r="K1413" t="s">
        <v>79</v>
      </c>
      <c r="L1413" s="13">
        <v>39406</v>
      </c>
      <c r="M1413">
        <v>16</v>
      </c>
      <c r="N1413" t="s">
        <v>90</v>
      </c>
      <c r="O1413" t="s">
        <v>3883</v>
      </c>
      <c r="P1413" t="s">
        <v>76</v>
      </c>
      <c r="Q1413" t="s">
        <v>95</v>
      </c>
      <c r="R1413" t="s">
        <v>76</v>
      </c>
      <c r="S1413" t="s">
        <v>76</v>
      </c>
      <c r="T1413" t="s">
        <v>76</v>
      </c>
      <c r="U1413">
        <v>1</v>
      </c>
      <c r="V1413" s="13">
        <v>45175</v>
      </c>
      <c r="W1413">
        <v>1</v>
      </c>
      <c r="X1413">
        <v>1</v>
      </c>
      <c r="Y1413" t="s">
        <v>3683</v>
      </c>
      <c r="AC1413">
        <v>5020</v>
      </c>
      <c r="AD1413" t="e" vm="1403">
        <v>#VALUE!</v>
      </c>
    </row>
    <row r="1414" spans="2:30" x14ac:dyDescent="0.25">
      <c r="B1414">
        <v>5022</v>
      </c>
      <c r="C1414" t="s">
        <v>3646</v>
      </c>
      <c r="D1414" t="s">
        <v>3682</v>
      </c>
      <c r="E1414" t="s">
        <v>3826</v>
      </c>
      <c r="F1414" t="s">
        <v>81</v>
      </c>
      <c r="G1414" t="s">
        <v>100</v>
      </c>
      <c r="H1414" t="s">
        <v>3808</v>
      </c>
      <c r="I1414" t="s">
        <v>3809</v>
      </c>
      <c r="J1414" t="s">
        <v>3862</v>
      </c>
      <c r="K1414" t="s">
        <v>79</v>
      </c>
      <c r="L1414" s="13">
        <v>39422</v>
      </c>
      <c r="M1414">
        <v>16</v>
      </c>
      <c r="N1414" t="s">
        <v>90</v>
      </c>
      <c r="O1414" t="s">
        <v>3883</v>
      </c>
      <c r="P1414" t="s">
        <v>76</v>
      </c>
      <c r="Q1414" t="s">
        <v>95</v>
      </c>
      <c r="R1414" t="s">
        <v>76</v>
      </c>
      <c r="S1414" t="s">
        <v>76</v>
      </c>
      <c r="T1414" t="s">
        <v>76</v>
      </c>
      <c r="U1414">
        <v>1</v>
      </c>
      <c r="V1414" s="13">
        <v>45175</v>
      </c>
      <c r="W1414">
        <v>1</v>
      </c>
      <c r="X1414">
        <v>1</v>
      </c>
      <c r="Y1414" t="s">
        <v>3683</v>
      </c>
      <c r="AC1414">
        <v>5022</v>
      </c>
      <c r="AD1414" t="e" vm="1404">
        <v>#VALUE!</v>
      </c>
    </row>
    <row r="1415" spans="2:30" x14ac:dyDescent="0.25">
      <c r="B1415">
        <v>5023</v>
      </c>
      <c r="C1415" t="s">
        <v>3646</v>
      </c>
      <c r="D1415" t="s">
        <v>3682</v>
      </c>
      <c r="E1415" t="s">
        <v>3826</v>
      </c>
      <c r="F1415" t="s">
        <v>81</v>
      </c>
      <c r="G1415" t="s">
        <v>100</v>
      </c>
      <c r="H1415" t="s">
        <v>3808</v>
      </c>
      <c r="I1415" t="s">
        <v>3809</v>
      </c>
      <c r="J1415" t="s">
        <v>3862</v>
      </c>
      <c r="K1415" t="s">
        <v>79</v>
      </c>
      <c r="L1415" s="13">
        <v>39360</v>
      </c>
      <c r="M1415">
        <v>16</v>
      </c>
      <c r="N1415" t="s">
        <v>90</v>
      </c>
      <c r="O1415" t="s">
        <v>3883</v>
      </c>
      <c r="P1415" t="s">
        <v>76</v>
      </c>
      <c r="Q1415" t="s">
        <v>95</v>
      </c>
      <c r="R1415" t="s">
        <v>76</v>
      </c>
      <c r="S1415" t="s">
        <v>76</v>
      </c>
      <c r="T1415" t="s">
        <v>76</v>
      </c>
      <c r="U1415">
        <v>1</v>
      </c>
      <c r="V1415" s="13">
        <v>45175</v>
      </c>
      <c r="W1415">
        <v>1</v>
      </c>
      <c r="X1415">
        <v>1</v>
      </c>
      <c r="Y1415" t="s">
        <v>3683</v>
      </c>
      <c r="AC1415">
        <v>5023</v>
      </c>
      <c r="AD1415" t="e" vm="1405">
        <v>#VALUE!</v>
      </c>
    </row>
    <row r="1416" spans="2:30" x14ac:dyDescent="0.25">
      <c r="B1416">
        <v>5024</v>
      </c>
      <c r="C1416" t="s">
        <v>3646</v>
      </c>
      <c r="D1416" t="s">
        <v>3682</v>
      </c>
      <c r="E1416" t="s">
        <v>3826</v>
      </c>
      <c r="F1416" t="s">
        <v>81</v>
      </c>
      <c r="G1416" t="s">
        <v>100</v>
      </c>
      <c r="H1416" t="s">
        <v>3808</v>
      </c>
      <c r="I1416" t="s">
        <v>3809</v>
      </c>
      <c r="J1416" t="s">
        <v>3862</v>
      </c>
      <c r="K1416" t="s">
        <v>79</v>
      </c>
      <c r="L1416" s="13">
        <v>39421</v>
      </c>
      <c r="M1416">
        <v>16</v>
      </c>
      <c r="N1416" t="s">
        <v>90</v>
      </c>
      <c r="O1416" t="s">
        <v>3883</v>
      </c>
      <c r="P1416" t="s">
        <v>76</v>
      </c>
      <c r="Q1416" t="s">
        <v>95</v>
      </c>
      <c r="R1416" t="s">
        <v>76</v>
      </c>
      <c r="S1416" t="s">
        <v>76</v>
      </c>
      <c r="T1416" t="s">
        <v>76</v>
      </c>
      <c r="U1416">
        <v>1</v>
      </c>
      <c r="V1416" s="13">
        <v>45175</v>
      </c>
      <c r="W1416">
        <v>1</v>
      </c>
      <c r="X1416">
        <v>1</v>
      </c>
      <c r="Y1416" t="s">
        <v>3683</v>
      </c>
      <c r="AC1416">
        <v>5024</v>
      </c>
      <c r="AD1416" t="e" vm="1406">
        <v>#VALUE!</v>
      </c>
    </row>
    <row r="1417" spans="2:30" x14ac:dyDescent="0.25">
      <c r="B1417">
        <v>5025</v>
      </c>
      <c r="C1417" t="s">
        <v>3646</v>
      </c>
      <c r="D1417" t="s">
        <v>3682</v>
      </c>
      <c r="E1417" t="s">
        <v>3826</v>
      </c>
      <c r="F1417" t="s">
        <v>81</v>
      </c>
      <c r="G1417" t="s">
        <v>100</v>
      </c>
      <c r="H1417" t="s">
        <v>3808</v>
      </c>
      <c r="I1417" t="s">
        <v>3809</v>
      </c>
      <c r="J1417" t="s">
        <v>3862</v>
      </c>
      <c r="K1417" t="s">
        <v>79</v>
      </c>
      <c r="L1417" s="13">
        <v>39457</v>
      </c>
      <c r="M1417">
        <v>16</v>
      </c>
      <c r="N1417" t="s">
        <v>90</v>
      </c>
      <c r="O1417" t="s">
        <v>3883</v>
      </c>
      <c r="P1417" t="s">
        <v>76</v>
      </c>
      <c r="Q1417" t="s">
        <v>95</v>
      </c>
      <c r="R1417" t="s">
        <v>76</v>
      </c>
      <c r="S1417" t="s">
        <v>76</v>
      </c>
      <c r="T1417" t="s">
        <v>76</v>
      </c>
      <c r="U1417">
        <v>1</v>
      </c>
      <c r="V1417" s="13">
        <v>45175</v>
      </c>
      <c r="W1417">
        <v>1</v>
      </c>
      <c r="X1417">
        <v>1</v>
      </c>
      <c r="Y1417" t="s">
        <v>3683</v>
      </c>
      <c r="AC1417">
        <v>5025</v>
      </c>
      <c r="AD1417" t="e" vm="1407">
        <v>#VALUE!</v>
      </c>
    </row>
    <row r="1418" spans="2:30" x14ac:dyDescent="0.25">
      <c r="B1418">
        <v>5026</v>
      </c>
      <c r="C1418" t="s">
        <v>3646</v>
      </c>
      <c r="D1418" t="s">
        <v>3682</v>
      </c>
      <c r="E1418" t="s">
        <v>3826</v>
      </c>
      <c r="F1418" t="s">
        <v>81</v>
      </c>
      <c r="G1418" t="s">
        <v>100</v>
      </c>
      <c r="H1418" t="s">
        <v>3808</v>
      </c>
      <c r="I1418" t="s">
        <v>3809</v>
      </c>
      <c r="J1418" t="s">
        <v>3862</v>
      </c>
      <c r="K1418" t="s">
        <v>79</v>
      </c>
      <c r="L1418" s="13">
        <v>39372</v>
      </c>
      <c r="M1418">
        <v>16</v>
      </c>
      <c r="N1418" t="s">
        <v>90</v>
      </c>
      <c r="O1418" t="s">
        <v>3883</v>
      </c>
      <c r="P1418" t="s">
        <v>76</v>
      </c>
      <c r="Q1418" t="s">
        <v>95</v>
      </c>
      <c r="R1418" t="s">
        <v>76</v>
      </c>
      <c r="S1418" t="s">
        <v>76</v>
      </c>
      <c r="T1418" t="s">
        <v>76</v>
      </c>
      <c r="U1418">
        <v>1</v>
      </c>
      <c r="V1418" s="13">
        <v>45175</v>
      </c>
      <c r="W1418">
        <v>1</v>
      </c>
      <c r="X1418">
        <v>1</v>
      </c>
      <c r="Y1418" t="s">
        <v>3683</v>
      </c>
      <c r="AC1418">
        <v>5026</v>
      </c>
      <c r="AD1418" t="e" vm="1408">
        <v>#VALUE!</v>
      </c>
    </row>
    <row r="1419" spans="2:30" x14ac:dyDescent="0.25">
      <c r="B1419">
        <v>5027</v>
      </c>
      <c r="C1419" t="s">
        <v>3646</v>
      </c>
      <c r="D1419" t="s">
        <v>3682</v>
      </c>
      <c r="E1419" t="s">
        <v>3826</v>
      </c>
      <c r="F1419" t="s">
        <v>81</v>
      </c>
      <c r="G1419" t="s">
        <v>100</v>
      </c>
      <c r="H1419" t="s">
        <v>3808</v>
      </c>
      <c r="I1419" t="s">
        <v>3809</v>
      </c>
      <c r="J1419" t="s">
        <v>3862</v>
      </c>
      <c r="K1419" t="s">
        <v>79</v>
      </c>
      <c r="L1419" s="13">
        <v>39409</v>
      </c>
      <c r="M1419">
        <v>16</v>
      </c>
      <c r="N1419" t="s">
        <v>90</v>
      </c>
      <c r="O1419" t="s">
        <v>3883</v>
      </c>
      <c r="P1419" t="s">
        <v>76</v>
      </c>
      <c r="Q1419" t="s">
        <v>95</v>
      </c>
      <c r="R1419" t="s">
        <v>76</v>
      </c>
      <c r="S1419" t="s">
        <v>76</v>
      </c>
      <c r="T1419" t="s">
        <v>76</v>
      </c>
      <c r="U1419">
        <v>1</v>
      </c>
      <c r="V1419" s="13">
        <v>45175</v>
      </c>
      <c r="W1419">
        <v>1</v>
      </c>
      <c r="X1419">
        <v>1</v>
      </c>
      <c r="Y1419" t="s">
        <v>3683</v>
      </c>
      <c r="AC1419">
        <v>5027</v>
      </c>
      <c r="AD1419" t="e" vm="1409">
        <v>#VALUE!</v>
      </c>
    </row>
    <row r="1420" spans="2:30" x14ac:dyDescent="0.25">
      <c r="B1420">
        <v>5028</v>
      </c>
      <c r="C1420" t="s">
        <v>3646</v>
      </c>
      <c r="D1420" t="s">
        <v>3682</v>
      </c>
      <c r="E1420" t="s">
        <v>3826</v>
      </c>
      <c r="F1420" t="s">
        <v>81</v>
      </c>
      <c r="G1420" t="s">
        <v>100</v>
      </c>
      <c r="H1420" t="s">
        <v>3808</v>
      </c>
      <c r="I1420" t="s">
        <v>3809</v>
      </c>
      <c r="J1420" t="s">
        <v>3862</v>
      </c>
      <c r="K1420" t="s">
        <v>79</v>
      </c>
      <c r="L1420" s="13">
        <v>39422</v>
      </c>
      <c r="M1420">
        <v>16</v>
      </c>
      <c r="N1420" t="s">
        <v>90</v>
      </c>
      <c r="O1420" t="s">
        <v>3883</v>
      </c>
      <c r="P1420" t="s">
        <v>76</v>
      </c>
      <c r="Q1420" t="s">
        <v>95</v>
      </c>
      <c r="R1420" t="s">
        <v>76</v>
      </c>
      <c r="S1420" t="s">
        <v>76</v>
      </c>
      <c r="T1420" t="s">
        <v>76</v>
      </c>
      <c r="U1420">
        <v>1</v>
      </c>
      <c r="V1420" s="13">
        <v>45175</v>
      </c>
      <c r="W1420">
        <v>1</v>
      </c>
      <c r="X1420">
        <v>1</v>
      </c>
      <c r="Y1420" t="s">
        <v>3683</v>
      </c>
      <c r="AC1420">
        <v>5028</v>
      </c>
      <c r="AD1420" t="e" vm="1410">
        <v>#VALUE!</v>
      </c>
    </row>
    <row r="1421" spans="2:30" x14ac:dyDescent="0.25">
      <c r="B1421">
        <v>5029</v>
      </c>
      <c r="C1421" t="s">
        <v>3646</v>
      </c>
      <c r="D1421" t="s">
        <v>3682</v>
      </c>
      <c r="E1421" t="s">
        <v>3826</v>
      </c>
      <c r="F1421" t="s">
        <v>81</v>
      </c>
      <c r="G1421" t="s">
        <v>100</v>
      </c>
      <c r="H1421" t="s">
        <v>3808</v>
      </c>
      <c r="I1421" t="s">
        <v>3809</v>
      </c>
      <c r="J1421" t="s">
        <v>3862</v>
      </c>
      <c r="K1421" t="s">
        <v>79</v>
      </c>
      <c r="L1421" s="13">
        <v>39457</v>
      </c>
      <c r="M1421">
        <v>16</v>
      </c>
      <c r="N1421" t="s">
        <v>90</v>
      </c>
      <c r="O1421" t="s">
        <v>3883</v>
      </c>
      <c r="P1421" t="s">
        <v>76</v>
      </c>
      <c r="Q1421" t="s">
        <v>95</v>
      </c>
      <c r="R1421" t="s">
        <v>76</v>
      </c>
      <c r="S1421" t="s">
        <v>76</v>
      </c>
      <c r="T1421" t="s">
        <v>76</v>
      </c>
      <c r="U1421">
        <v>1</v>
      </c>
      <c r="V1421" s="13">
        <v>45175</v>
      </c>
      <c r="W1421">
        <v>1</v>
      </c>
      <c r="X1421">
        <v>1</v>
      </c>
      <c r="Y1421" t="s">
        <v>3683</v>
      </c>
      <c r="AC1421">
        <v>5029</v>
      </c>
      <c r="AD1421" t="e" vm="1411">
        <v>#VALUE!</v>
      </c>
    </row>
    <row r="1422" spans="2:30" x14ac:dyDescent="0.25">
      <c r="B1422">
        <v>5030</v>
      </c>
      <c r="C1422" t="s">
        <v>3662</v>
      </c>
      <c r="D1422" t="s">
        <v>3663</v>
      </c>
      <c r="E1422" t="s">
        <v>3814</v>
      </c>
      <c r="F1422" t="s">
        <v>97</v>
      </c>
      <c r="G1422" t="s">
        <v>106</v>
      </c>
      <c r="H1422" t="s">
        <v>3808</v>
      </c>
      <c r="I1422" t="s">
        <v>3821</v>
      </c>
      <c r="J1422" t="s">
        <v>3810</v>
      </c>
      <c r="K1422" t="s">
        <v>79</v>
      </c>
      <c r="L1422" s="13">
        <v>39324</v>
      </c>
      <c r="M1422">
        <v>16</v>
      </c>
      <c r="N1422" t="s">
        <v>79</v>
      </c>
      <c r="O1422" t="s">
        <v>3884</v>
      </c>
      <c r="P1422" t="s">
        <v>76</v>
      </c>
      <c r="Q1422" t="s">
        <v>95</v>
      </c>
      <c r="R1422" t="s">
        <v>76</v>
      </c>
      <c r="S1422" t="s">
        <v>76</v>
      </c>
      <c r="T1422" t="s">
        <v>76</v>
      </c>
      <c r="U1422">
        <v>1</v>
      </c>
      <c r="V1422" s="13">
        <v>45175</v>
      </c>
      <c r="W1422">
        <v>1</v>
      </c>
      <c r="X1422">
        <v>1</v>
      </c>
      <c r="Y1422" t="s">
        <v>3664</v>
      </c>
      <c r="AC1422">
        <v>5030</v>
      </c>
      <c r="AD1422" t="e" vm="1412">
        <v>#VALUE!</v>
      </c>
    </row>
    <row r="1423" spans="2:30" x14ac:dyDescent="0.25">
      <c r="B1423">
        <v>5031</v>
      </c>
      <c r="C1423" t="s">
        <v>3662</v>
      </c>
      <c r="D1423" t="s">
        <v>3663</v>
      </c>
      <c r="E1423" t="s">
        <v>3814</v>
      </c>
      <c r="F1423" t="s">
        <v>97</v>
      </c>
      <c r="G1423" t="s">
        <v>106</v>
      </c>
      <c r="H1423" t="s">
        <v>3808</v>
      </c>
      <c r="I1423" t="s">
        <v>3821</v>
      </c>
      <c r="J1423" t="s">
        <v>3810</v>
      </c>
      <c r="K1423" t="s">
        <v>79</v>
      </c>
      <c r="L1423" s="13">
        <v>39324</v>
      </c>
      <c r="M1423">
        <v>16</v>
      </c>
      <c r="N1423" t="s">
        <v>79</v>
      </c>
      <c r="O1423" t="s">
        <v>3884</v>
      </c>
      <c r="P1423" t="s">
        <v>76</v>
      </c>
      <c r="Q1423" t="s">
        <v>95</v>
      </c>
      <c r="R1423" t="s">
        <v>76</v>
      </c>
      <c r="S1423" t="s">
        <v>76</v>
      </c>
      <c r="T1423" t="s">
        <v>76</v>
      </c>
      <c r="U1423">
        <v>1</v>
      </c>
      <c r="V1423" s="13">
        <v>45175</v>
      </c>
      <c r="W1423">
        <v>1</v>
      </c>
      <c r="X1423">
        <v>1</v>
      </c>
      <c r="Y1423" t="s">
        <v>3664</v>
      </c>
      <c r="AC1423">
        <v>5031</v>
      </c>
      <c r="AD1423" t="e" vm="1413">
        <v>#VALUE!</v>
      </c>
    </row>
    <row r="1424" spans="2:30" x14ac:dyDescent="0.25">
      <c r="B1424">
        <v>5032</v>
      </c>
      <c r="C1424" t="s">
        <v>3662</v>
      </c>
      <c r="D1424" t="s">
        <v>3663</v>
      </c>
      <c r="E1424" t="s">
        <v>3814</v>
      </c>
      <c r="F1424" t="s">
        <v>97</v>
      </c>
      <c r="G1424" t="s">
        <v>106</v>
      </c>
      <c r="H1424" t="s">
        <v>3808</v>
      </c>
      <c r="I1424" t="s">
        <v>3821</v>
      </c>
      <c r="J1424" t="s">
        <v>3810</v>
      </c>
      <c r="K1424" t="s">
        <v>79</v>
      </c>
      <c r="L1424" s="13">
        <v>39258</v>
      </c>
      <c r="M1424">
        <v>16</v>
      </c>
      <c r="N1424" t="s">
        <v>79</v>
      </c>
      <c r="O1424" t="s">
        <v>3884</v>
      </c>
      <c r="P1424" t="s">
        <v>76</v>
      </c>
      <c r="Q1424" t="s">
        <v>95</v>
      </c>
      <c r="R1424" t="s">
        <v>76</v>
      </c>
      <c r="S1424" t="s">
        <v>76</v>
      </c>
      <c r="T1424" t="s">
        <v>76</v>
      </c>
      <c r="U1424">
        <v>1</v>
      </c>
      <c r="V1424" s="13">
        <v>45175</v>
      </c>
      <c r="W1424">
        <v>1</v>
      </c>
      <c r="X1424">
        <v>1</v>
      </c>
      <c r="Y1424" t="s">
        <v>3664</v>
      </c>
      <c r="AC1424">
        <v>5032</v>
      </c>
      <c r="AD1424" t="e" vm="1414">
        <v>#VALUE!</v>
      </c>
    </row>
    <row r="1425" spans="2:30" x14ac:dyDescent="0.25">
      <c r="B1425">
        <v>5033</v>
      </c>
      <c r="C1425" t="s">
        <v>3662</v>
      </c>
      <c r="D1425" t="s">
        <v>3663</v>
      </c>
      <c r="E1425" t="s">
        <v>3814</v>
      </c>
      <c r="F1425" t="s">
        <v>97</v>
      </c>
      <c r="G1425" t="s">
        <v>106</v>
      </c>
      <c r="H1425" t="s">
        <v>3808</v>
      </c>
      <c r="I1425" t="s">
        <v>3821</v>
      </c>
      <c r="J1425" t="s">
        <v>3810</v>
      </c>
      <c r="K1425" t="s">
        <v>79</v>
      </c>
      <c r="L1425" s="13">
        <v>39258</v>
      </c>
      <c r="M1425">
        <v>16</v>
      </c>
      <c r="N1425" t="s">
        <v>79</v>
      </c>
      <c r="O1425" t="s">
        <v>3884</v>
      </c>
      <c r="P1425" t="s">
        <v>76</v>
      </c>
      <c r="Q1425" t="s">
        <v>95</v>
      </c>
      <c r="R1425" t="s">
        <v>76</v>
      </c>
      <c r="S1425" t="s">
        <v>76</v>
      </c>
      <c r="T1425" t="s">
        <v>76</v>
      </c>
      <c r="U1425">
        <v>1</v>
      </c>
      <c r="V1425" s="13">
        <v>45175</v>
      </c>
      <c r="W1425">
        <v>1</v>
      </c>
      <c r="X1425">
        <v>1</v>
      </c>
      <c r="Y1425" t="s">
        <v>3664</v>
      </c>
      <c r="AC1425">
        <v>5033</v>
      </c>
      <c r="AD1425" t="e" vm="1415">
        <v>#VALUE!</v>
      </c>
    </row>
    <row r="1426" spans="2:30" x14ac:dyDescent="0.25">
      <c r="B1426">
        <v>5034</v>
      </c>
      <c r="C1426" t="s">
        <v>3662</v>
      </c>
      <c r="D1426" t="s">
        <v>3663</v>
      </c>
      <c r="E1426" t="s">
        <v>3814</v>
      </c>
      <c r="F1426" t="s">
        <v>97</v>
      </c>
      <c r="G1426" t="s">
        <v>106</v>
      </c>
      <c r="H1426" t="s">
        <v>3808</v>
      </c>
      <c r="I1426" t="s">
        <v>3821</v>
      </c>
      <c r="J1426" t="s">
        <v>3810</v>
      </c>
      <c r="K1426" t="s">
        <v>79</v>
      </c>
      <c r="L1426" s="13">
        <v>39259</v>
      </c>
      <c r="M1426">
        <v>16</v>
      </c>
      <c r="N1426" t="s">
        <v>79</v>
      </c>
      <c r="O1426" t="s">
        <v>3884</v>
      </c>
      <c r="P1426" t="s">
        <v>76</v>
      </c>
      <c r="Q1426" t="s">
        <v>95</v>
      </c>
      <c r="R1426" t="s">
        <v>76</v>
      </c>
      <c r="S1426" t="s">
        <v>76</v>
      </c>
      <c r="T1426" t="s">
        <v>76</v>
      </c>
      <c r="U1426">
        <v>1</v>
      </c>
      <c r="V1426" s="13">
        <v>45175</v>
      </c>
      <c r="W1426">
        <v>1</v>
      </c>
      <c r="X1426">
        <v>1</v>
      </c>
      <c r="Y1426" t="s">
        <v>3664</v>
      </c>
      <c r="AC1426">
        <v>5034</v>
      </c>
      <c r="AD1426" t="e" vm="1416">
        <v>#VALUE!</v>
      </c>
    </row>
    <row r="1427" spans="2:30" x14ac:dyDescent="0.25">
      <c r="B1427">
        <v>5035</v>
      </c>
      <c r="C1427" t="s">
        <v>3662</v>
      </c>
      <c r="D1427" t="s">
        <v>3663</v>
      </c>
      <c r="E1427" t="s">
        <v>3814</v>
      </c>
      <c r="F1427" t="s">
        <v>97</v>
      </c>
      <c r="G1427" t="s">
        <v>106</v>
      </c>
      <c r="H1427" t="s">
        <v>3808</v>
      </c>
      <c r="I1427" t="s">
        <v>3821</v>
      </c>
      <c r="J1427" t="s">
        <v>3810</v>
      </c>
      <c r="K1427" t="s">
        <v>79</v>
      </c>
      <c r="L1427" s="13">
        <v>39259</v>
      </c>
      <c r="M1427">
        <v>16</v>
      </c>
      <c r="N1427" t="s">
        <v>79</v>
      </c>
      <c r="O1427" t="s">
        <v>3884</v>
      </c>
      <c r="P1427" t="s">
        <v>76</v>
      </c>
      <c r="Q1427" t="s">
        <v>95</v>
      </c>
      <c r="R1427" t="s">
        <v>76</v>
      </c>
      <c r="S1427" t="s">
        <v>76</v>
      </c>
      <c r="T1427" t="s">
        <v>76</v>
      </c>
      <c r="U1427">
        <v>1</v>
      </c>
      <c r="V1427" s="13">
        <v>45175</v>
      </c>
      <c r="W1427">
        <v>1</v>
      </c>
      <c r="X1427">
        <v>1</v>
      </c>
      <c r="Y1427" t="s">
        <v>3664</v>
      </c>
      <c r="AC1427">
        <v>5035</v>
      </c>
      <c r="AD1427" t="e" vm="1417">
        <v>#VALUE!</v>
      </c>
    </row>
    <row r="1428" spans="2:30" x14ac:dyDescent="0.25">
      <c r="B1428">
        <v>5036</v>
      </c>
      <c r="C1428" t="s">
        <v>3662</v>
      </c>
      <c r="D1428" t="s">
        <v>3663</v>
      </c>
      <c r="E1428" t="s">
        <v>3814</v>
      </c>
      <c r="F1428" t="s">
        <v>97</v>
      </c>
      <c r="G1428" t="s">
        <v>106</v>
      </c>
      <c r="H1428" t="s">
        <v>3808</v>
      </c>
      <c r="I1428" t="s">
        <v>3821</v>
      </c>
      <c r="J1428" t="s">
        <v>3810</v>
      </c>
      <c r="K1428" t="s">
        <v>79</v>
      </c>
      <c r="L1428" s="13">
        <v>39259</v>
      </c>
      <c r="M1428">
        <v>16</v>
      </c>
      <c r="N1428" t="s">
        <v>79</v>
      </c>
      <c r="O1428" t="s">
        <v>3884</v>
      </c>
      <c r="P1428" t="s">
        <v>76</v>
      </c>
      <c r="Q1428" t="s">
        <v>95</v>
      </c>
      <c r="R1428" t="s">
        <v>76</v>
      </c>
      <c r="S1428" t="s">
        <v>76</v>
      </c>
      <c r="T1428" t="s">
        <v>76</v>
      </c>
      <c r="U1428">
        <v>1</v>
      </c>
      <c r="V1428" s="13">
        <v>45175</v>
      </c>
      <c r="W1428">
        <v>1</v>
      </c>
      <c r="X1428">
        <v>1</v>
      </c>
      <c r="Y1428" t="s">
        <v>3664</v>
      </c>
      <c r="AC1428">
        <v>5036</v>
      </c>
      <c r="AD1428" t="e" vm="1418">
        <v>#VALUE!</v>
      </c>
    </row>
    <row r="1429" spans="2:30" x14ac:dyDescent="0.25">
      <c r="B1429">
        <v>5037</v>
      </c>
      <c r="C1429" t="s">
        <v>3662</v>
      </c>
      <c r="D1429" t="s">
        <v>3663</v>
      </c>
      <c r="E1429" t="s">
        <v>3814</v>
      </c>
      <c r="F1429" t="s">
        <v>97</v>
      </c>
      <c r="G1429" t="s">
        <v>106</v>
      </c>
      <c r="H1429" t="s">
        <v>3808</v>
      </c>
      <c r="I1429" t="s">
        <v>3821</v>
      </c>
      <c r="J1429" t="s">
        <v>3810</v>
      </c>
      <c r="K1429" t="s">
        <v>79</v>
      </c>
      <c r="L1429" s="13">
        <v>39260</v>
      </c>
      <c r="M1429">
        <v>16</v>
      </c>
      <c r="N1429" t="s">
        <v>79</v>
      </c>
      <c r="O1429" t="s">
        <v>3884</v>
      </c>
      <c r="P1429" t="s">
        <v>76</v>
      </c>
      <c r="Q1429" t="s">
        <v>95</v>
      </c>
      <c r="R1429" t="s">
        <v>76</v>
      </c>
      <c r="S1429" t="s">
        <v>76</v>
      </c>
      <c r="T1429" t="s">
        <v>76</v>
      </c>
      <c r="U1429">
        <v>1</v>
      </c>
      <c r="V1429" s="13">
        <v>45175</v>
      </c>
      <c r="W1429">
        <v>1</v>
      </c>
      <c r="X1429">
        <v>1</v>
      </c>
      <c r="Y1429" t="s">
        <v>3664</v>
      </c>
      <c r="AC1429">
        <v>5037</v>
      </c>
      <c r="AD1429" t="e" vm="1419">
        <v>#VALUE!</v>
      </c>
    </row>
    <row r="1430" spans="2:30" x14ac:dyDescent="0.25">
      <c r="B1430">
        <v>5038</v>
      </c>
      <c r="C1430" t="s">
        <v>3662</v>
      </c>
      <c r="D1430" t="s">
        <v>3663</v>
      </c>
      <c r="E1430" t="s">
        <v>3814</v>
      </c>
      <c r="F1430" t="s">
        <v>97</v>
      </c>
      <c r="G1430" t="s">
        <v>106</v>
      </c>
      <c r="H1430" t="s">
        <v>3808</v>
      </c>
      <c r="I1430" t="s">
        <v>3821</v>
      </c>
      <c r="J1430" t="s">
        <v>3810</v>
      </c>
      <c r="K1430" t="s">
        <v>79</v>
      </c>
      <c r="L1430" s="13">
        <v>39268</v>
      </c>
      <c r="M1430">
        <v>16</v>
      </c>
      <c r="N1430" t="s">
        <v>79</v>
      </c>
      <c r="O1430" t="s">
        <v>3884</v>
      </c>
      <c r="P1430" t="s">
        <v>76</v>
      </c>
      <c r="Q1430" t="s">
        <v>95</v>
      </c>
      <c r="R1430" t="s">
        <v>76</v>
      </c>
      <c r="S1430" t="s">
        <v>76</v>
      </c>
      <c r="T1430" t="s">
        <v>76</v>
      </c>
      <c r="U1430">
        <v>1</v>
      </c>
      <c r="V1430" s="13">
        <v>45175</v>
      </c>
      <c r="W1430">
        <v>1</v>
      </c>
      <c r="X1430">
        <v>1</v>
      </c>
      <c r="Y1430" t="s">
        <v>3664</v>
      </c>
      <c r="AC1430">
        <v>5038</v>
      </c>
      <c r="AD1430" t="e" vm="1420">
        <v>#VALUE!</v>
      </c>
    </row>
    <row r="1431" spans="2:30" x14ac:dyDescent="0.25">
      <c r="B1431">
        <v>5039</v>
      </c>
      <c r="C1431" t="s">
        <v>3659</v>
      </c>
      <c r="D1431" t="s">
        <v>3677</v>
      </c>
      <c r="E1431" t="s">
        <v>3823</v>
      </c>
      <c r="F1431" t="s">
        <v>87</v>
      </c>
      <c r="G1431" t="s">
        <v>86</v>
      </c>
      <c r="H1431" t="s">
        <v>3808</v>
      </c>
      <c r="I1431" t="s">
        <v>3821</v>
      </c>
      <c r="J1431" t="s">
        <v>3810</v>
      </c>
      <c r="K1431" t="s">
        <v>79</v>
      </c>
      <c r="L1431" s="13">
        <v>39273</v>
      </c>
      <c r="M1431">
        <v>16</v>
      </c>
      <c r="N1431" t="s">
        <v>88</v>
      </c>
      <c r="O1431" t="s">
        <v>3884</v>
      </c>
      <c r="P1431" t="s">
        <v>76</v>
      </c>
      <c r="Q1431" t="s">
        <v>95</v>
      </c>
      <c r="R1431" t="s">
        <v>76</v>
      </c>
      <c r="S1431" t="s">
        <v>76</v>
      </c>
      <c r="T1431" t="s">
        <v>76</v>
      </c>
      <c r="U1431">
        <v>1</v>
      </c>
      <c r="V1431" s="13">
        <v>45175</v>
      </c>
      <c r="W1431">
        <v>1</v>
      </c>
      <c r="X1431">
        <v>1</v>
      </c>
      <c r="Y1431" t="s">
        <v>3678</v>
      </c>
      <c r="AC1431">
        <v>5039</v>
      </c>
      <c r="AD1431" t="e" vm="1421">
        <v>#VALUE!</v>
      </c>
    </row>
    <row r="1432" spans="2:30" x14ac:dyDescent="0.25">
      <c r="B1432">
        <v>5040</v>
      </c>
      <c r="C1432" t="s">
        <v>3659</v>
      </c>
      <c r="D1432" t="s">
        <v>3677</v>
      </c>
      <c r="E1432" t="s">
        <v>3823</v>
      </c>
      <c r="F1432" t="s">
        <v>87</v>
      </c>
      <c r="G1432" t="s">
        <v>86</v>
      </c>
      <c r="H1432" t="s">
        <v>3808</v>
      </c>
      <c r="I1432" t="s">
        <v>3821</v>
      </c>
      <c r="J1432" t="s">
        <v>3810</v>
      </c>
      <c r="K1432" t="s">
        <v>79</v>
      </c>
      <c r="L1432" s="13">
        <v>39273</v>
      </c>
      <c r="M1432">
        <v>16</v>
      </c>
      <c r="N1432" t="s">
        <v>88</v>
      </c>
      <c r="O1432" t="s">
        <v>3884</v>
      </c>
      <c r="P1432" t="s">
        <v>76</v>
      </c>
      <c r="Q1432" t="s">
        <v>95</v>
      </c>
      <c r="R1432" t="s">
        <v>76</v>
      </c>
      <c r="S1432" t="s">
        <v>76</v>
      </c>
      <c r="T1432" t="s">
        <v>76</v>
      </c>
      <c r="U1432">
        <v>1</v>
      </c>
      <c r="V1432" s="13">
        <v>45175</v>
      </c>
      <c r="W1432">
        <v>1</v>
      </c>
      <c r="X1432">
        <v>1</v>
      </c>
      <c r="Y1432" t="s">
        <v>3678</v>
      </c>
      <c r="AC1432">
        <v>5040</v>
      </c>
      <c r="AD1432" t="e" vm="1422">
        <v>#VALUE!</v>
      </c>
    </row>
    <row r="1433" spans="2:30" x14ac:dyDescent="0.25">
      <c r="B1433">
        <v>5041</v>
      </c>
      <c r="C1433" t="s">
        <v>3659</v>
      </c>
      <c r="D1433" t="s">
        <v>3677</v>
      </c>
      <c r="E1433" t="s">
        <v>3823</v>
      </c>
      <c r="F1433" t="s">
        <v>87</v>
      </c>
      <c r="G1433" t="s">
        <v>86</v>
      </c>
      <c r="H1433" t="s">
        <v>3808</v>
      </c>
      <c r="I1433" t="s">
        <v>3821</v>
      </c>
      <c r="J1433" t="s">
        <v>3810</v>
      </c>
      <c r="K1433" t="s">
        <v>79</v>
      </c>
      <c r="L1433" s="13">
        <v>39273</v>
      </c>
      <c r="M1433">
        <v>16</v>
      </c>
      <c r="N1433" t="s">
        <v>88</v>
      </c>
      <c r="O1433" t="s">
        <v>3884</v>
      </c>
      <c r="P1433" t="s">
        <v>76</v>
      </c>
      <c r="Q1433" t="s">
        <v>95</v>
      </c>
      <c r="R1433" t="s">
        <v>76</v>
      </c>
      <c r="S1433" t="s">
        <v>76</v>
      </c>
      <c r="T1433" t="s">
        <v>76</v>
      </c>
      <c r="U1433">
        <v>1</v>
      </c>
      <c r="V1433" s="13">
        <v>45175</v>
      </c>
      <c r="W1433">
        <v>1</v>
      </c>
      <c r="X1433">
        <v>1</v>
      </c>
      <c r="Y1433" t="s">
        <v>3678</v>
      </c>
      <c r="AC1433">
        <v>5041</v>
      </c>
      <c r="AD1433" t="e" vm="1423">
        <v>#VALUE!</v>
      </c>
    </row>
    <row r="1434" spans="2:30" x14ac:dyDescent="0.25">
      <c r="B1434">
        <v>5042</v>
      </c>
      <c r="C1434" t="s">
        <v>3659</v>
      </c>
      <c r="D1434" t="s">
        <v>3677</v>
      </c>
      <c r="E1434" t="s">
        <v>3823</v>
      </c>
      <c r="F1434" t="s">
        <v>87</v>
      </c>
      <c r="G1434" t="s">
        <v>86</v>
      </c>
      <c r="H1434" t="s">
        <v>3808</v>
      </c>
      <c r="I1434" t="s">
        <v>3821</v>
      </c>
      <c r="J1434" t="s">
        <v>3810</v>
      </c>
      <c r="K1434" t="s">
        <v>79</v>
      </c>
      <c r="L1434" s="13">
        <v>39282</v>
      </c>
      <c r="M1434">
        <v>16</v>
      </c>
      <c r="N1434" t="s">
        <v>88</v>
      </c>
      <c r="O1434" t="s">
        <v>3884</v>
      </c>
      <c r="P1434" t="s">
        <v>76</v>
      </c>
      <c r="Q1434" t="s">
        <v>95</v>
      </c>
      <c r="R1434" t="s">
        <v>76</v>
      </c>
      <c r="S1434" t="s">
        <v>76</v>
      </c>
      <c r="T1434" t="s">
        <v>76</v>
      </c>
      <c r="U1434">
        <v>1</v>
      </c>
      <c r="V1434" s="13">
        <v>45175</v>
      </c>
      <c r="W1434">
        <v>1</v>
      </c>
      <c r="X1434">
        <v>1</v>
      </c>
      <c r="Y1434" t="s">
        <v>3678</v>
      </c>
      <c r="AC1434">
        <v>5042</v>
      </c>
      <c r="AD1434" t="e" vm="1424">
        <v>#VALUE!</v>
      </c>
    </row>
    <row r="1435" spans="2:30" x14ac:dyDescent="0.25">
      <c r="B1435">
        <v>5043</v>
      </c>
      <c r="C1435" t="s">
        <v>3659</v>
      </c>
      <c r="D1435" t="s">
        <v>3677</v>
      </c>
      <c r="E1435" t="s">
        <v>3823</v>
      </c>
      <c r="F1435" t="s">
        <v>87</v>
      </c>
      <c r="G1435" t="s">
        <v>86</v>
      </c>
      <c r="H1435" t="s">
        <v>3808</v>
      </c>
      <c r="I1435" t="s">
        <v>3821</v>
      </c>
      <c r="J1435" t="s">
        <v>3810</v>
      </c>
      <c r="K1435" t="s">
        <v>79</v>
      </c>
      <c r="L1435" s="13">
        <v>39282</v>
      </c>
      <c r="M1435">
        <v>16</v>
      </c>
      <c r="N1435" t="s">
        <v>88</v>
      </c>
      <c r="O1435" t="s">
        <v>3884</v>
      </c>
      <c r="P1435" t="s">
        <v>76</v>
      </c>
      <c r="Q1435" t="s">
        <v>95</v>
      </c>
      <c r="R1435" t="s">
        <v>76</v>
      </c>
      <c r="S1435" t="s">
        <v>76</v>
      </c>
      <c r="T1435" t="s">
        <v>76</v>
      </c>
      <c r="U1435">
        <v>1</v>
      </c>
      <c r="V1435" s="13">
        <v>45175</v>
      </c>
      <c r="W1435">
        <v>1</v>
      </c>
      <c r="X1435">
        <v>1</v>
      </c>
      <c r="Y1435" t="s">
        <v>3678</v>
      </c>
      <c r="AC1435">
        <v>5043</v>
      </c>
      <c r="AD1435" t="e" vm="1425">
        <v>#VALUE!</v>
      </c>
    </row>
    <row r="1436" spans="2:30" x14ac:dyDescent="0.25">
      <c r="B1436">
        <v>5044</v>
      </c>
      <c r="C1436" t="s">
        <v>3659</v>
      </c>
      <c r="D1436" t="s">
        <v>3677</v>
      </c>
      <c r="E1436" t="s">
        <v>3823</v>
      </c>
      <c r="F1436" t="s">
        <v>87</v>
      </c>
      <c r="G1436" t="s">
        <v>86</v>
      </c>
      <c r="H1436" t="s">
        <v>3808</v>
      </c>
      <c r="I1436" t="s">
        <v>3821</v>
      </c>
      <c r="J1436" t="s">
        <v>3810</v>
      </c>
      <c r="K1436" t="s">
        <v>79</v>
      </c>
      <c r="L1436" s="13">
        <v>39282</v>
      </c>
      <c r="M1436">
        <v>16</v>
      </c>
      <c r="N1436" t="s">
        <v>88</v>
      </c>
      <c r="O1436" t="s">
        <v>3884</v>
      </c>
      <c r="P1436" t="s">
        <v>76</v>
      </c>
      <c r="Q1436" t="s">
        <v>95</v>
      </c>
      <c r="R1436" t="s">
        <v>76</v>
      </c>
      <c r="S1436" t="s">
        <v>76</v>
      </c>
      <c r="T1436" t="s">
        <v>76</v>
      </c>
      <c r="U1436">
        <v>1</v>
      </c>
      <c r="V1436" s="13">
        <v>45175</v>
      </c>
      <c r="W1436">
        <v>1</v>
      </c>
      <c r="X1436">
        <v>1</v>
      </c>
      <c r="Y1436" t="s">
        <v>3678</v>
      </c>
      <c r="AC1436">
        <v>5044</v>
      </c>
      <c r="AD1436" t="e" vm="1426">
        <v>#VALUE!</v>
      </c>
    </row>
    <row r="1437" spans="2:30" x14ac:dyDescent="0.25">
      <c r="B1437">
        <v>5045</v>
      </c>
      <c r="C1437" t="s">
        <v>3659</v>
      </c>
      <c r="D1437" t="s">
        <v>3677</v>
      </c>
      <c r="E1437" t="s">
        <v>3823</v>
      </c>
      <c r="F1437" t="s">
        <v>87</v>
      </c>
      <c r="G1437" t="s">
        <v>86</v>
      </c>
      <c r="H1437" t="s">
        <v>3808</v>
      </c>
      <c r="I1437" t="s">
        <v>3821</v>
      </c>
      <c r="J1437" t="s">
        <v>3810</v>
      </c>
      <c r="K1437" t="s">
        <v>79</v>
      </c>
      <c r="L1437" s="13">
        <v>39289</v>
      </c>
      <c r="M1437">
        <v>16</v>
      </c>
      <c r="N1437" t="s">
        <v>88</v>
      </c>
      <c r="O1437" t="s">
        <v>3884</v>
      </c>
      <c r="P1437" t="s">
        <v>76</v>
      </c>
      <c r="Q1437" t="s">
        <v>95</v>
      </c>
      <c r="R1437" t="s">
        <v>76</v>
      </c>
      <c r="S1437" t="s">
        <v>76</v>
      </c>
      <c r="T1437" t="s">
        <v>76</v>
      </c>
      <c r="U1437">
        <v>1</v>
      </c>
      <c r="V1437" s="13">
        <v>45175</v>
      </c>
      <c r="W1437">
        <v>1</v>
      </c>
      <c r="X1437">
        <v>1</v>
      </c>
      <c r="Y1437" t="s">
        <v>3678</v>
      </c>
      <c r="AC1437">
        <v>5045</v>
      </c>
      <c r="AD1437" t="e" vm="1427">
        <v>#VALUE!</v>
      </c>
    </row>
    <row r="1438" spans="2:30" x14ac:dyDescent="0.25">
      <c r="B1438">
        <v>5046</v>
      </c>
      <c r="C1438" t="s">
        <v>3659</v>
      </c>
      <c r="D1438" t="s">
        <v>3677</v>
      </c>
      <c r="E1438" t="s">
        <v>3823</v>
      </c>
      <c r="F1438" t="s">
        <v>87</v>
      </c>
      <c r="G1438" t="s">
        <v>86</v>
      </c>
      <c r="H1438" t="s">
        <v>3808</v>
      </c>
      <c r="I1438" t="s">
        <v>3821</v>
      </c>
      <c r="J1438" t="s">
        <v>3810</v>
      </c>
      <c r="K1438" t="s">
        <v>79</v>
      </c>
      <c r="L1438" s="13">
        <v>39289</v>
      </c>
      <c r="M1438">
        <v>16</v>
      </c>
      <c r="N1438" t="s">
        <v>88</v>
      </c>
      <c r="O1438" t="s">
        <v>3884</v>
      </c>
      <c r="P1438" t="s">
        <v>76</v>
      </c>
      <c r="Q1438" t="s">
        <v>95</v>
      </c>
      <c r="R1438" t="s">
        <v>76</v>
      </c>
      <c r="S1438" t="s">
        <v>76</v>
      </c>
      <c r="T1438" t="s">
        <v>76</v>
      </c>
      <c r="U1438">
        <v>1</v>
      </c>
      <c r="V1438" s="13">
        <v>45175</v>
      </c>
      <c r="W1438">
        <v>1</v>
      </c>
      <c r="X1438">
        <v>1</v>
      </c>
      <c r="Y1438" t="s">
        <v>3678</v>
      </c>
      <c r="AC1438">
        <v>5046</v>
      </c>
      <c r="AD1438" t="e" vm="1428">
        <v>#VALUE!</v>
      </c>
    </row>
    <row r="1439" spans="2:30" x14ac:dyDescent="0.25">
      <c r="B1439">
        <v>5047</v>
      </c>
      <c r="C1439" t="s">
        <v>3659</v>
      </c>
      <c r="D1439" t="s">
        <v>3677</v>
      </c>
      <c r="E1439" t="s">
        <v>3823</v>
      </c>
      <c r="F1439" t="s">
        <v>87</v>
      </c>
      <c r="G1439" t="s">
        <v>86</v>
      </c>
      <c r="H1439" t="s">
        <v>3808</v>
      </c>
      <c r="I1439" t="s">
        <v>3821</v>
      </c>
      <c r="J1439" t="s">
        <v>3810</v>
      </c>
      <c r="K1439" t="s">
        <v>79</v>
      </c>
      <c r="L1439" s="13">
        <v>39330</v>
      </c>
      <c r="M1439">
        <v>16</v>
      </c>
      <c r="N1439" t="s">
        <v>88</v>
      </c>
      <c r="O1439" t="s">
        <v>3884</v>
      </c>
      <c r="P1439" t="s">
        <v>76</v>
      </c>
      <c r="Q1439" t="s">
        <v>95</v>
      </c>
      <c r="R1439" t="s">
        <v>76</v>
      </c>
      <c r="S1439" t="s">
        <v>76</v>
      </c>
      <c r="T1439" t="s">
        <v>76</v>
      </c>
      <c r="U1439">
        <v>1</v>
      </c>
      <c r="V1439" s="13">
        <v>45175</v>
      </c>
      <c r="W1439">
        <v>1</v>
      </c>
      <c r="X1439">
        <v>1</v>
      </c>
      <c r="Y1439" t="s">
        <v>3678</v>
      </c>
      <c r="AC1439">
        <v>5047</v>
      </c>
      <c r="AD1439" t="e" vm="1429">
        <v>#VALUE!</v>
      </c>
    </row>
    <row r="1440" spans="2:30" x14ac:dyDescent="0.25">
      <c r="B1440">
        <v>5048</v>
      </c>
      <c r="C1440" t="s">
        <v>3659</v>
      </c>
      <c r="D1440" t="s">
        <v>3677</v>
      </c>
      <c r="E1440" t="s">
        <v>3823</v>
      </c>
      <c r="F1440" t="s">
        <v>87</v>
      </c>
      <c r="G1440" t="s">
        <v>86</v>
      </c>
      <c r="H1440" t="s">
        <v>3808</v>
      </c>
      <c r="I1440" t="s">
        <v>3821</v>
      </c>
      <c r="J1440" t="s">
        <v>3810</v>
      </c>
      <c r="K1440" t="s">
        <v>79</v>
      </c>
      <c r="L1440" s="13">
        <v>39330</v>
      </c>
      <c r="M1440">
        <v>16</v>
      </c>
      <c r="N1440" t="s">
        <v>88</v>
      </c>
      <c r="O1440" t="s">
        <v>3884</v>
      </c>
      <c r="P1440" t="s">
        <v>76</v>
      </c>
      <c r="Q1440" t="s">
        <v>95</v>
      </c>
      <c r="R1440" t="s">
        <v>76</v>
      </c>
      <c r="S1440" t="s">
        <v>76</v>
      </c>
      <c r="T1440" t="s">
        <v>76</v>
      </c>
      <c r="U1440">
        <v>1</v>
      </c>
      <c r="V1440" s="13">
        <v>45175</v>
      </c>
      <c r="W1440">
        <v>1</v>
      </c>
      <c r="X1440">
        <v>1</v>
      </c>
      <c r="Y1440" t="s">
        <v>3678</v>
      </c>
      <c r="AC1440">
        <v>5048</v>
      </c>
      <c r="AD1440" t="e" vm="1430">
        <v>#VALUE!</v>
      </c>
    </row>
    <row r="1441" spans="2:30" x14ac:dyDescent="0.25">
      <c r="B1441">
        <v>5049</v>
      </c>
      <c r="C1441" t="s">
        <v>3659</v>
      </c>
      <c r="D1441" t="s">
        <v>3677</v>
      </c>
      <c r="E1441" t="s">
        <v>3823</v>
      </c>
      <c r="F1441" t="s">
        <v>87</v>
      </c>
      <c r="G1441" t="s">
        <v>86</v>
      </c>
      <c r="H1441" t="s">
        <v>3808</v>
      </c>
      <c r="I1441" t="s">
        <v>3821</v>
      </c>
      <c r="J1441" t="s">
        <v>3810</v>
      </c>
      <c r="K1441" t="s">
        <v>79</v>
      </c>
      <c r="L1441" s="13">
        <v>39330</v>
      </c>
      <c r="M1441">
        <v>16</v>
      </c>
      <c r="N1441" t="s">
        <v>88</v>
      </c>
      <c r="O1441" t="s">
        <v>3884</v>
      </c>
      <c r="P1441" t="s">
        <v>76</v>
      </c>
      <c r="Q1441" t="s">
        <v>95</v>
      </c>
      <c r="R1441" t="s">
        <v>76</v>
      </c>
      <c r="S1441" t="s">
        <v>76</v>
      </c>
      <c r="T1441" t="s">
        <v>76</v>
      </c>
      <c r="U1441">
        <v>1</v>
      </c>
      <c r="V1441" s="13">
        <v>45175</v>
      </c>
      <c r="W1441">
        <v>1</v>
      </c>
      <c r="X1441">
        <v>1</v>
      </c>
      <c r="Y1441" t="s">
        <v>3678</v>
      </c>
      <c r="AC1441">
        <v>5049</v>
      </c>
      <c r="AD1441" t="e" vm="1431">
        <v>#VALUE!</v>
      </c>
    </row>
    <row r="1442" spans="2:30" x14ac:dyDescent="0.25">
      <c r="B1442">
        <v>5050</v>
      </c>
      <c r="C1442" t="s">
        <v>3659</v>
      </c>
      <c r="D1442" t="s">
        <v>3677</v>
      </c>
      <c r="E1442" t="s">
        <v>3823</v>
      </c>
      <c r="F1442" t="s">
        <v>87</v>
      </c>
      <c r="G1442" t="s">
        <v>86</v>
      </c>
      <c r="H1442" t="s">
        <v>3808</v>
      </c>
      <c r="I1442" t="s">
        <v>3821</v>
      </c>
      <c r="J1442" t="s">
        <v>3810</v>
      </c>
      <c r="K1442" t="s">
        <v>79</v>
      </c>
      <c r="L1442" s="13">
        <v>39337</v>
      </c>
      <c r="M1442">
        <v>16</v>
      </c>
      <c r="N1442" t="s">
        <v>88</v>
      </c>
      <c r="O1442" t="s">
        <v>3884</v>
      </c>
      <c r="P1442" t="s">
        <v>76</v>
      </c>
      <c r="Q1442" t="s">
        <v>95</v>
      </c>
      <c r="R1442" t="s">
        <v>76</v>
      </c>
      <c r="S1442" t="s">
        <v>76</v>
      </c>
      <c r="T1442" t="s">
        <v>76</v>
      </c>
      <c r="U1442">
        <v>1</v>
      </c>
      <c r="V1442" s="13">
        <v>45175</v>
      </c>
      <c r="W1442">
        <v>1</v>
      </c>
      <c r="X1442">
        <v>1</v>
      </c>
      <c r="Y1442" t="s">
        <v>3678</v>
      </c>
      <c r="AC1442">
        <v>5050</v>
      </c>
      <c r="AD1442" t="e" vm="1432">
        <v>#VALUE!</v>
      </c>
    </row>
    <row r="1443" spans="2:30" x14ac:dyDescent="0.25">
      <c r="B1443">
        <v>5051</v>
      </c>
      <c r="C1443" t="s">
        <v>3659</v>
      </c>
      <c r="D1443" t="s">
        <v>3677</v>
      </c>
      <c r="E1443" t="s">
        <v>3823</v>
      </c>
      <c r="F1443" t="s">
        <v>87</v>
      </c>
      <c r="G1443" t="s">
        <v>86</v>
      </c>
      <c r="H1443" t="s">
        <v>3808</v>
      </c>
      <c r="I1443" t="s">
        <v>3821</v>
      </c>
      <c r="J1443" t="s">
        <v>3810</v>
      </c>
      <c r="K1443" t="s">
        <v>79</v>
      </c>
      <c r="L1443" s="13">
        <v>39337</v>
      </c>
      <c r="M1443">
        <v>16</v>
      </c>
      <c r="N1443" t="s">
        <v>88</v>
      </c>
      <c r="O1443" t="s">
        <v>3884</v>
      </c>
      <c r="P1443" t="s">
        <v>76</v>
      </c>
      <c r="Q1443" t="s">
        <v>95</v>
      </c>
      <c r="R1443" t="s">
        <v>76</v>
      </c>
      <c r="S1443" t="s">
        <v>76</v>
      </c>
      <c r="T1443" t="s">
        <v>76</v>
      </c>
      <c r="U1443">
        <v>1</v>
      </c>
      <c r="V1443" s="13">
        <v>45175</v>
      </c>
      <c r="W1443">
        <v>1</v>
      </c>
      <c r="X1443">
        <v>1</v>
      </c>
      <c r="Y1443" t="s">
        <v>3678</v>
      </c>
      <c r="AC1443">
        <v>5051</v>
      </c>
      <c r="AD1443" t="e" vm="1433">
        <v>#VALUE!</v>
      </c>
    </row>
    <row r="1444" spans="2:30" x14ac:dyDescent="0.25">
      <c r="B1444">
        <v>5052</v>
      </c>
      <c r="C1444" t="s">
        <v>3659</v>
      </c>
      <c r="D1444" t="s">
        <v>3677</v>
      </c>
      <c r="E1444" t="s">
        <v>3823</v>
      </c>
      <c r="F1444" t="s">
        <v>87</v>
      </c>
      <c r="G1444" t="s">
        <v>86</v>
      </c>
      <c r="H1444" t="s">
        <v>3808</v>
      </c>
      <c r="I1444" t="s">
        <v>3821</v>
      </c>
      <c r="J1444" t="s">
        <v>3810</v>
      </c>
      <c r="K1444" t="s">
        <v>79</v>
      </c>
      <c r="L1444" s="13">
        <v>39337</v>
      </c>
      <c r="M1444">
        <v>16</v>
      </c>
      <c r="N1444" t="s">
        <v>88</v>
      </c>
      <c r="O1444" t="s">
        <v>3884</v>
      </c>
      <c r="P1444" t="s">
        <v>76</v>
      </c>
      <c r="Q1444" t="s">
        <v>95</v>
      </c>
      <c r="R1444" t="s">
        <v>76</v>
      </c>
      <c r="S1444" t="s">
        <v>76</v>
      </c>
      <c r="T1444" t="s">
        <v>76</v>
      </c>
      <c r="U1444">
        <v>1</v>
      </c>
      <c r="V1444" s="13">
        <v>45175</v>
      </c>
      <c r="W1444">
        <v>1</v>
      </c>
      <c r="X1444">
        <v>1</v>
      </c>
      <c r="Y1444" t="s">
        <v>3678</v>
      </c>
      <c r="AC1444">
        <v>5052</v>
      </c>
      <c r="AD1444" t="e" vm="1434">
        <v>#VALUE!</v>
      </c>
    </row>
    <row r="1445" spans="2:30" x14ac:dyDescent="0.25">
      <c r="B1445">
        <v>5053</v>
      </c>
      <c r="C1445" t="s">
        <v>3659</v>
      </c>
      <c r="D1445" t="s">
        <v>3677</v>
      </c>
      <c r="E1445" t="s">
        <v>3823</v>
      </c>
      <c r="F1445" t="s">
        <v>87</v>
      </c>
      <c r="G1445" t="s">
        <v>86</v>
      </c>
      <c r="H1445" t="s">
        <v>3808</v>
      </c>
      <c r="I1445" t="s">
        <v>3821</v>
      </c>
      <c r="J1445" t="s">
        <v>3810</v>
      </c>
      <c r="K1445" t="s">
        <v>79</v>
      </c>
      <c r="L1445" s="13">
        <v>39345</v>
      </c>
      <c r="M1445">
        <v>16</v>
      </c>
      <c r="N1445" t="s">
        <v>88</v>
      </c>
      <c r="O1445" t="s">
        <v>3884</v>
      </c>
      <c r="P1445" t="s">
        <v>76</v>
      </c>
      <c r="Q1445" t="s">
        <v>95</v>
      </c>
      <c r="R1445" t="s">
        <v>76</v>
      </c>
      <c r="S1445" t="s">
        <v>76</v>
      </c>
      <c r="T1445" t="s">
        <v>76</v>
      </c>
      <c r="U1445">
        <v>1</v>
      </c>
      <c r="V1445" s="13">
        <v>45175</v>
      </c>
      <c r="W1445">
        <v>1</v>
      </c>
      <c r="X1445">
        <v>1</v>
      </c>
      <c r="Y1445" t="s">
        <v>3678</v>
      </c>
      <c r="AC1445">
        <v>5053</v>
      </c>
      <c r="AD1445" t="e" vm="1435">
        <v>#VALUE!</v>
      </c>
    </row>
    <row r="1446" spans="2:30" x14ac:dyDescent="0.25">
      <c r="B1446">
        <v>5054</v>
      </c>
      <c r="C1446" t="s">
        <v>3659</v>
      </c>
      <c r="D1446" t="s">
        <v>3677</v>
      </c>
      <c r="E1446" t="s">
        <v>3823</v>
      </c>
      <c r="F1446" t="s">
        <v>87</v>
      </c>
      <c r="G1446" t="s">
        <v>86</v>
      </c>
      <c r="H1446" t="s">
        <v>3808</v>
      </c>
      <c r="I1446" t="s">
        <v>3821</v>
      </c>
      <c r="J1446" t="s">
        <v>3810</v>
      </c>
      <c r="K1446" t="s">
        <v>79</v>
      </c>
      <c r="L1446" s="13">
        <v>39349</v>
      </c>
      <c r="M1446">
        <v>16</v>
      </c>
      <c r="N1446" t="s">
        <v>88</v>
      </c>
      <c r="O1446" t="s">
        <v>3884</v>
      </c>
      <c r="P1446" t="s">
        <v>76</v>
      </c>
      <c r="Q1446" t="s">
        <v>95</v>
      </c>
      <c r="R1446" t="s">
        <v>76</v>
      </c>
      <c r="S1446" t="s">
        <v>76</v>
      </c>
      <c r="T1446" t="s">
        <v>76</v>
      </c>
      <c r="U1446">
        <v>1</v>
      </c>
      <c r="V1446" s="13">
        <v>45175</v>
      </c>
      <c r="W1446">
        <v>1</v>
      </c>
      <c r="X1446">
        <v>1</v>
      </c>
      <c r="Y1446" t="s">
        <v>3678</v>
      </c>
      <c r="AC1446">
        <v>5054</v>
      </c>
      <c r="AD1446" t="e" vm="1436">
        <v>#VALUE!</v>
      </c>
    </row>
    <row r="1447" spans="2:30" x14ac:dyDescent="0.25">
      <c r="B1447">
        <v>5055</v>
      </c>
      <c r="C1447" t="s">
        <v>3684</v>
      </c>
      <c r="D1447" t="s">
        <v>3689</v>
      </c>
      <c r="E1447" t="s">
        <v>3831</v>
      </c>
      <c r="F1447" t="s">
        <v>115</v>
      </c>
      <c r="G1447" t="s">
        <v>103</v>
      </c>
      <c r="H1447" t="s">
        <v>3808</v>
      </c>
      <c r="I1447" t="s">
        <v>3821</v>
      </c>
      <c r="J1447" t="s">
        <v>3810</v>
      </c>
      <c r="K1447" t="s">
        <v>79</v>
      </c>
      <c r="L1447" s="13">
        <v>39350</v>
      </c>
      <c r="M1447">
        <v>16</v>
      </c>
      <c r="N1447" t="s">
        <v>101</v>
      </c>
      <c r="O1447" t="s">
        <v>3884</v>
      </c>
      <c r="P1447" t="s">
        <v>76</v>
      </c>
      <c r="Q1447" t="s">
        <v>95</v>
      </c>
      <c r="R1447" t="s">
        <v>76</v>
      </c>
      <c r="S1447" t="s">
        <v>76</v>
      </c>
      <c r="T1447" t="s">
        <v>76</v>
      </c>
      <c r="U1447">
        <v>1</v>
      </c>
      <c r="V1447" s="13">
        <v>45175</v>
      </c>
      <c r="W1447">
        <v>1</v>
      </c>
      <c r="X1447">
        <v>1</v>
      </c>
      <c r="Y1447" t="s">
        <v>3690</v>
      </c>
      <c r="AC1447">
        <v>5055</v>
      </c>
      <c r="AD1447" t="e" vm="1437">
        <v>#VALUE!</v>
      </c>
    </row>
    <row r="1448" spans="2:30" x14ac:dyDescent="0.25">
      <c r="B1448">
        <v>5056</v>
      </c>
      <c r="C1448" t="s">
        <v>3684</v>
      </c>
      <c r="D1448" t="s">
        <v>3689</v>
      </c>
      <c r="E1448" t="s">
        <v>3831</v>
      </c>
      <c r="F1448" t="s">
        <v>115</v>
      </c>
      <c r="G1448" t="s">
        <v>103</v>
      </c>
      <c r="H1448" t="s">
        <v>3808</v>
      </c>
      <c r="I1448" t="s">
        <v>3821</v>
      </c>
      <c r="J1448" t="s">
        <v>3810</v>
      </c>
      <c r="K1448" t="s">
        <v>79</v>
      </c>
      <c r="L1448" s="13">
        <v>39350</v>
      </c>
      <c r="M1448">
        <v>16</v>
      </c>
      <c r="N1448" t="s">
        <v>101</v>
      </c>
      <c r="O1448" t="s">
        <v>3884</v>
      </c>
      <c r="P1448" t="s">
        <v>76</v>
      </c>
      <c r="Q1448" t="s">
        <v>95</v>
      </c>
      <c r="R1448" t="s">
        <v>76</v>
      </c>
      <c r="S1448" t="s">
        <v>76</v>
      </c>
      <c r="T1448" t="s">
        <v>76</v>
      </c>
      <c r="U1448">
        <v>1</v>
      </c>
      <c r="V1448" s="13">
        <v>45175</v>
      </c>
      <c r="W1448">
        <v>1</v>
      </c>
      <c r="X1448">
        <v>1</v>
      </c>
      <c r="Y1448" t="s">
        <v>3690</v>
      </c>
      <c r="AC1448">
        <v>5056</v>
      </c>
      <c r="AD1448" t="e" vm="1438">
        <v>#VALUE!</v>
      </c>
    </row>
    <row r="1449" spans="2:30" x14ac:dyDescent="0.25">
      <c r="B1449">
        <v>5057</v>
      </c>
      <c r="C1449" t="s">
        <v>3684</v>
      </c>
      <c r="D1449" t="s">
        <v>3689</v>
      </c>
      <c r="E1449" t="s">
        <v>3831</v>
      </c>
      <c r="F1449" t="s">
        <v>115</v>
      </c>
      <c r="G1449" t="s">
        <v>103</v>
      </c>
      <c r="H1449" t="s">
        <v>3808</v>
      </c>
      <c r="I1449" t="s">
        <v>3821</v>
      </c>
      <c r="J1449" t="s">
        <v>3810</v>
      </c>
      <c r="K1449" t="s">
        <v>79</v>
      </c>
      <c r="L1449" s="13">
        <v>39351</v>
      </c>
      <c r="M1449">
        <v>16</v>
      </c>
      <c r="N1449" t="s">
        <v>101</v>
      </c>
      <c r="O1449" t="s">
        <v>3884</v>
      </c>
      <c r="P1449" t="s">
        <v>76</v>
      </c>
      <c r="Q1449" t="s">
        <v>95</v>
      </c>
      <c r="R1449" t="s">
        <v>76</v>
      </c>
      <c r="S1449" t="s">
        <v>76</v>
      </c>
      <c r="T1449" t="s">
        <v>76</v>
      </c>
      <c r="U1449">
        <v>1</v>
      </c>
      <c r="V1449" s="13">
        <v>45175</v>
      </c>
      <c r="W1449">
        <v>1</v>
      </c>
      <c r="X1449">
        <v>1</v>
      </c>
      <c r="Y1449" t="s">
        <v>3690</v>
      </c>
      <c r="AC1449">
        <v>5057</v>
      </c>
      <c r="AD1449" t="e" vm="1439">
        <v>#VALUE!</v>
      </c>
    </row>
    <row r="1450" spans="2:30" x14ac:dyDescent="0.25">
      <c r="B1450">
        <v>5058</v>
      </c>
      <c r="C1450" t="s">
        <v>3684</v>
      </c>
      <c r="D1450" t="s">
        <v>3689</v>
      </c>
      <c r="E1450" t="s">
        <v>3831</v>
      </c>
      <c r="F1450" t="s">
        <v>115</v>
      </c>
      <c r="G1450" t="s">
        <v>103</v>
      </c>
      <c r="H1450" t="s">
        <v>3808</v>
      </c>
      <c r="I1450" t="s">
        <v>3821</v>
      </c>
      <c r="J1450" t="s">
        <v>3810</v>
      </c>
      <c r="K1450" t="s">
        <v>79</v>
      </c>
      <c r="L1450" s="13">
        <v>39367</v>
      </c>
      <c r="M1450">
        <v>16</v>
      </c>
      <c r="N1450" t="s">
        <v>101</v>
      </c>
      <c r="O1450" t="s">
        <v>3884</v>
      </c>
      <c r="P1450" t="s">
        <v>76</v>
      </c>
      <c r="Q1450" t="s">
        <v>95</v>
      </c>
      <c r="R1450" t="s">
        <v>76</v>
      </c>
      <c r="S1450" t="s">
        <v>76</v>
      </c>
      <c r="T1450" t="s">
        <v>76</v>
      </c>
      <c r="U1450">
        <v>1</v>
      </c>
      <c r="V1450" s="13">
        <v>45175</v>
      </c>
      <c r="W1450">
        <v>1</v>
      </c>
      <c r="X1450">
        <v>1</v>
      </c>
      <c r="Y1450" t="s">
        <v>3690</v>
      </c>
      <c r="AC1450">
        <v>5058</v>
      </c>
      <c r="AD1450" t="e" vm="1440">
        <v>#VALUE!</v>
      </c>
    </row>
    <row r="1451" spans="2:30" x14ac:dyDescent="0.25">
      <c r="B1451">
        <v>5059</v>
      </c>
      <c r="C1451" t="s">
        <v>3684</v>
      </c>
      <c r="D1451" t="s">
        <v>3689</v>
      </c>
      <c r="E1451" t="s">
        <v>3831</v>
      </c>
      <c r="F1451" t="s">
        <v>115</v>
      </c>
      <c r="G1451" t="s">
        <v>103</v>
      </c>
      <c r="H1451" t="s">
        <v>3808</v>
      </c>
      <c r="I1451" t="s">
        <v>3821</v>
      </c>
      <c r="J1451" t="s">
        <v>3810</v>
      </c>
      <c r="K1451" t="s">
        <v>79</v>
      </c>
      <c r="L1451" s="13">
        <v>39351</v>
      </c>
      <c r="M1451">
        <v>16</v>
      </c>
      <c r="N1451" t="s">
        <v>101</v>
      </c>
      <c r="O1451" t="s">
        <v>3884</v>
      </c>
      <c r="P1451" t="s">
        <v>76</v>
      </c>
      <c r="Q1451" t="s">
        <v>95</v>
      </c>
      <c r="R1451" t="s">
        <v>76</v>
      </c>
      <c r="S1451" t="s">
        <v>76</v>
      </c>
      <c r="T1451" t="s">
        <v>76</v>
      </c>
      <c r="U1451">
        <v>1</v>
      </c>
      <c r="V1451" s="13">
        <v>45175</v>
      </c>
      <c r="W1451">
        <v>1</v>
      </c>
      <c r="X1451">
        <v>1</v>
      </c>
      <c r="Y1451" t="s">
        <v>3690</v>
      </c>
      <c r="AC1451">
        <v>5059</v>
      </c>
      <c r="AD1451" t="e" vm="1441">
        <v>#VALUE!</v>
      </c>
    </row>
    <row r="1452" spans="2:30" x14ac:dyDescent="0.25">
      <c r="B1452">
        <v>5060</v>
      </c>
      <c r="C1452" t="s">
        <v>3662</v>
      </c>
      <c r="D1452" t="s">
        <v>3679</v>
      </c>
      <c r="E1452" t="s">
        <v>3824</v>
      </c>
      <c r="F1452" t="s">
        <v>110</v>
      </c>
      <c r="G1452" t="s">
        <v>109</v>
      </c>
      <c r="H1452" t="s">
        <v>3808</v>
      </c>
      <c r="I1452" t="s">
        <v>3821</v>
      </c>
      <c r="J1452" t="s">
        <v>3810</v>
      </c>
      <c r="K1452" t="s">
        <v>79</v>
      </c>
      <c r="L1452" s="13">
        <v>39358</v>
      </c>
      <c r="M1452">
        <v>16</v>
      </c>
      <c r="N1452" t="s">
        <v>79</v>
      </c>
      <c r="O1452" t="s">
        <v>3884</v>
      </c>
      <c r="P1452" t="s">
        <v>76</v>
      </c>
      <c r="Q1452" t="s">
        <v>95</v>
      </c>
      <c r="R1452" t="s">
        <v>76</v>
      </c>
      <c r="S1452" t="s">
        <v>76</v>
      </c>
      <c r="T1452" t="s">
        <v>76</v>
      </c>
      <c r="U1452">
        <v>1</v>
      </c>
      <c r="V1452" s="13">
        <v>45175</v>
      </c>
      <c r="W1452">
        <v>1</v>
      </c>
      <c r="X1452">
        <v>1</v>
      </c>
      <c r="Y1452" t="s">
        <v>3680</v>
      </c>
      <c r="AC1452">
        <v>5060</v>
      </c>
      <c r="AD1452" t="e" vm="1442">
        <v>#VALUE!</v>
      </c>
    </row>
    <row r="1453" spans="2:30" x14ac:dyDescent="0.25">
      <c r="B1453">
        <v>5061</v>
      </c>
      <c r="C1453" t="s">
        <v>3662</v>
      </c>
      <c r="D1453" t="s">
        <v>3679</v>
      </c>
      <c r="E1453" t="s">
        <v>3824</v>
      </c>
      <c r="F1453" t="s">
        <v>110</v>
      </c>
      <c r="G1453" t="s">
        <v>109</v>
      </c>
      <c r="H1453" t="s">
        <v>3808</v>
      </c>
      <c r="I1453" t="s">
        <v>3821</v>
      </c>
      <c r="J1453" t="s">
        <v>3810</v>
      </c>
      <c r="K1453" t="s">
        <v>79</v>
      </c>
      <c r="L1453" s="13">
        <v>39358</v>
      </c>
      <c r="M1453">
        <v>16</v>
      </c>
      <c r="N1453" t="s">
        <v>79</v>
      </c>
      <c r="O1453" t="s">
        <v>3884</v>
      </c>
      <c r="P1453" t="s">
        <v>76</v>
      </c>
      <c r="Q1453" t="s">
        <v>95</v>
      </c>
      <c r="R1453" t="s">
        <v>76</v>
      </c>
      <c r="S1453" t="s">
        <v>76</v>
      </c>
      <c r="T1453" t="s">
        <v>76</v>
      </c>
      <c r="U1453">
        <v>1</v>
      </c>
      <c r="V1453" s="13">
        <v>45175</v>
      </c>
      <c r="W1453">
        <v>1</v>
      </c>
      <c r="X1453">
        <v>1</v>
      </c>
      <c r="Y1453" t="s">
        <v>3680</v>
      </c>
      <c r="AC1453">
        <v>5061</v>
      </c>
      <c r="AD1453" t="e" vm="1443">
        <v>#VALUE!</v>
      </c>
    </row>
    <row r="1454" spans="2:30" x14ac:dyDescent="0.25">
      <c r="B1454">
        <v>5062</v>
      </c>
      <c r="C1454" t="s">
        <v>3662</v>
      </c>
      <c r="D1454" t="s">
        <v>3665</v>
      </c>
      <c r="E1454" t="s">
        <v>3815</v>
      </c>
      <c r="F1454" t="s">
        <v>92</v>
      </c>
      <c r="G1454" t="s">
        <v>96</v>
      </c>
      <c r="H1454" t="s">
        <v>3808</v>
      </c>
      <c r="I1454" t="s">
        <v>3821</v>
      </c>
      <c r="J1454" t="s">
        <v>3810</v>
      </c>
      <c r="K1454" t="s">
        <v>79</v>
      </c>
      <c r="L1454" s="13">
        <v>39360</v>
      </c>
      <c r="M1454">
        <v>16</v>
      </c>
      <c r="N1454" t="s">
        <v>79</v>
      </c>
      <c r="O1454" t="s">
        <v>3884</v>
      </c>
      <c r="P1454" t="s">
        <v>76</v>
      </c>
      <c r="Q1454" t="s">
        <v>95</v>
      </c>
      <c r="R1454" t="s">
        <v>76</v>
      </c>
      <c r="S1454" t="s">
        <v>76</v>
      </c>
      <c r="T1454" t="s">
        <v>76</v>
      </c>
      <c r="U1454">
        <v>1</v>
      </c>
      <c r="V1454" s="13">
        <v>45175</v>
      </c>
      <c r="W1454">
        <v>1</v>
      </c>
      <c r="X1454">
        <v>1</v>
      </c>
      <c r="Y1454" t="s">
        <v>3666</v>
      </c>
      <c r="AC1454">
        <v>5062</v>
      </c>
      <c r="AD1454" t="e" vm="1444">
        <v>#VALUE!</v>
      </c>
    </row>
    <row r="1455" spans="2:30" x14ac:dyDescent="0.25">
      <c r="B1455">
        <v>5063</v>
      </c>
      <c r="C1455" t="s">
        <v>3662</v>
      </c>
      <c r="D1455" t="s">
        <v>3665</v>
      </c>
      <c r="E1455" t="s">
        <v>3815</v>
      </c>
      <c r="F1455" t="s">
        <v>92</v>
      </c>
      <c r="G1455" t="s">
        <v>96</v>
      </c>
      <c r="H1455" t="s">
        <v>3808</v>
      </c>
      <c r="I1455" t="s">
        <v>3821</v>
      </c>
      <c r="J1455" t="s">
        <v>3810</v>
      </c>
      <c r="K1455" t="s">
        <v>79</v>
      </c>
      <c r="L1455" s="13">
        <v>39360</v>
      </c>
      <c r="M1455">
        <v>16</v>
      </c>
      <c r="N1455" t="s">
        <v>79</v>
      </c>
      <c r="O1455" t="s">
        <v>3884</v>
      </c>
      <c r="P1455" t="s">
        <v>76</v>
      </c>
      <c r="Q1455" t="s">
        <v>95</v>
      </c>
      <c r="R1455" t="s">
        <v>76</v>
      </c>
      <c r="S1455" t="s">
        <v>76</v>
      </c>
      <c r="T1455" t="s">
        <v>76</v>
      </c>
      <c r="U1455">
        <v>1</v>
      </c>
      <c r="V1455" s="13">
        <v>45175</v>
      </c>
      <c r="W1455">
        <v>1</v>
      </c>
      <c r="X1455">
        <v>1</v>
      </c>
      <c r="Y1455" t="s">
        <v>3666</v>
      </c>
      <c r="AC1455">
        <v>5063</v>
      </c>
      <c r="AD1455" t="e" vm="1445">
        <v>#VALUE!</v>
      </c>
    </row>
    <row r="1456" spans="2:30" x14ac:dyDescent="0.25">
      <c r="B1456">
        <v>5079</v>
      </c>
      <c r="C1456" t="s">
        <v>3662</v>
      </c>
      <c r="D1456" t="s">
        <v>3665</v>
      </c>
      <c r="E1456" t="s">
        <v>3815</v>
      </c>
      <c r="F1456" t="s">
        <v>92</v>
      </c>
      <c r="G1456" t="s">
        <v>96</v>
      </c>
      <c r="H1456" t="s">
        <v>3808</v>
      </c>
      <c r="I1456" t="s">
        <v>3809</v>
      </c>
      <c r="J1456" t="s">
        <v>3810</v>
      </c>
      <c r="K1456" t="s">
        <v>79</v>
      </c>
      <c r="L1456" s="13">
        <v>39183</v>
      </c>
      <c r="M1456">
        <v>16</v>
      </c>
      <c r="N1456" t="s">
        <v>79</v>
      </c>
      <c r="O1456" t="s">
        <v>3885</v>
      </c>
      <c r="P1456" t="s">
        <v>76</v>
      </c>
      <c r="Q1456" t="s">
        <v>95</v>
      </c>
      <c r="R1456" t="s">
        <v>95</v>
      </c>
      <c r="S1456" t="s">
        <v>76</v>
      </c>
      <c r="T1456" t="s">
        <v>76</v>
      </c>
      <c r="U1456">
        <v>1</v>
      </c>
      <c r="V1456" s="13">
        <v>45175</v>
      </c>
      <c r="W1456">
        <v>1</v>
      </c>
      <c r="X1456">
        <v>1</v>
      </c>
      <c r="Y1456" t="s">
        <v>3666</v>
      </c>
      <c r="AC1456">
        <v>5079</v>
      </c>
      <c r="AD1456" t="e" vm="1446">
        <v>#VALUE!</v>
      </c>
    </row>
    <row r="1457" spans="2:30" x14ac:dyDescent="0.25">
      <c r="B1457">
        <v>5080</v>
      </c>
      <c r="C1457" t="s">
        <v>3662</v>
      </c>
      <c r="D1457" t="s">
        <v>3665</v>
      </c>
      <c r="E1457" t="s">
        <v>3815</v>
      </c>
      <c r="F1457" t="s">
        <v>92</v>
      </c>
      <c r="G1457" t="s">
        <v>96</v>
      </c>
      <c r="H1457" t="s">
        <v>3808</v>
      </c>
      <c r="I1457" t="s">
        <v>3809</v>
      </c>
      <c r="J1457" t="s">
        <v>3810</v>
      </c>
      <c r="K1457" t="s">
        <v>79</v>
      </c>
      <c r="L1457" s="13">
        <v>39183</v>
      </c>
      <c r="M1457">
        <v>16</v>
      </c>
      <c r="N1457" t="s">
        <v>79</v>
      </c>
      <c r="O1457" t="s">
        <v>3885</v>
      </c>
      <c r="P1457" t="s">
        <v>76</v>
      </c>
      <c r="Q1457" t="s">
        <v>95</v>
      </c>
      <c r="R1457" t="s">
        <v>95</v>
      </c>
      <c r="S1457" t="s">
        <v>76</v>
      </c>
      <c r="T1457" t="s">
        <v>76</v>
      </c>
      <c r="U1457">
        <v>1</v>
      </c>
      <c r="V1457" s="13">
        <v>45175</v>
      </c>
      <c r="W1457">
        <v>1</v>
      </c>
      <c r="X1457">
        <v>1</v>
      </c>
      <c r="Y1457" t="s">
        <v>3666</v>
      </c>
      <c r="AC1457">
        <v>5080</v>
      </c>
      <c r="AD1457" t="e" vm="1447">
        <v>#VALUE!</v>
      </c>
    </row>
    <row r="1458" spans="2:30" x14ac:dyDescent="0.25">
      <c r="B1458">
        <v>5082</v>
      </c>
      <c r="C1458" t="s">
        <v>3662</v>
      </c>
      <c r="D1458" t="s">
        <v>3665</v>
      </c>
      <c r="E1458" t="s">
        <v>3815</v>
      </c>
      <c r="F1458" t="s">
        <v>92</v>
      </c>
      <c r="G1458" t="s">
        <v>96</v>
      </c>
      <c r="H1458" t="s">
        <v>3808</v>
      </c>
      <c r="I1458" t="s">
        <v>3809</v>
      </c>
      <c r="J1458" t="s">
        <v>3810</v>
      </c>
      <c r="K1458" t="s">
        <v>79</v>
      </c>
      <c r="L1458" s="13">
        <v>39157</v>
      </c>
      <c r="M1458">
        <v>17</v>
      </c>
      <c r="N1458" t="s">
        <v>79</v>
      </c>
      <c r="O1458" t="s">
        <v>3885</v>
      </c>
      <c r="P1458" t="s">
        <v>76</v>
      </c>
      <c r="Q1458" t="s">
        <v>95</v>
      </c>
      <c r="R1458" t="s">
        <v>95</v>
      </c>
      <c r="S1458" t="s">
        <v>76</v>
      </c>
      <c r="T1458" t="s">
        <v>76</v>
      </c>
      <c r="U1458">
        <v>1</v>
      </c>
      <c r="V1458" s="13">
        <v>45175</v>
      </c>
      <c r="W1458">
        <v>1</v>
      </c>
      <c r="X1458">
        <v>1</v>
      </c>
      <c r="Y1458" t="s">
        <v>3666</v>
      </c>
      <c r="AC1458">
        <v>5082</v>
      </c>
      <c r="AD1458" t="e" vm="1448">
        <v>#VALUE!</v>
      </c>
    </row>
    <row r="1459" spans="2:30" x14ac:dyDescent="0.25">
      <c r="B1459">
        <v>5083</v>
      </c>
      <c r="C1459" t="s">
        <v>3662</v>
      </c>
      <c r="D1459" t="s">
        <v>3665</v>
      </c>
      <c r="E1459" t="s">
        <v>3815</v>
      </c>
      <c r="F1459" t="s">
        <v>92</v>
      </c>
      <c r="G1459" t="s">
        <v>96</v>
      </c>
      <c r="H1459" t="s">
        <v>3808</v>
      </c>
      <c r="I1459" t="s">
        <v>3809</v>
      </c>
      <c r="J1459" t="s">
        <v>3810</v>
      </c>
      <c r="K1459" t="s">
        <v>79</v>
      </c>
      <c r="L1459" s="13">
        <v>39183</v>
      </c>
      <c r="M1459">
        <v>16</v>
      </c>
      <c r="N1459" t="s">
        <v>79</v>
      </c>
      <c r="O1459" t="s">
        <v>3885</v>
      </c>
      <c r="P1459" t="s">
        <v>76</v>
      </c>
      <c r="Q1459" t="s">
        <v>95</v>
      </c>
      <c r="R1459" t="s">
        <v>95</v>
      </c>
      <c r="S1459" t="s">
        <v>76</v>
      </c>
      <c r="T1459" t="s">
        <v>76</v>
      </c>
      <c r="U1459">
        <v>1</v>
      </c>
      <c r="V1459" s="13">
        <v>45175</v>
      </c>
      <c r="W1459">
        <v>1</v>
      </c>
      <c r="X1459">
        <v>1</v>
      </c>
      <c r="Y1459" t="s">
        <v>3666</v>
      </c>
      <c r="AC1459">
        <v>5083</v>
      </c>
      <c r="AD1459" t="e" vm="1449">
        <v>#VALUE!</v>
      </c>
    </row>
    <row r="1460" spans="2:30" x14ac:dyDescent="0.25">
      <c r="B1460">
        <v>5084</v>
      </c>
      <c r="C1460" t="s">
        <v>3646</v>
      </c>
      <c r="D1460" t="s">
        <v>3682</v>
      </c>
      <c r="E1460" t="s">
        <v>3826</v>
      </c>
      <c r="F1460" t="s">
        <v>81</v>
      </c>
      <c r="G1460" t="s">
        <v>100</v>
      </c>
      <c r="H1460" t="s">
        <v>3808</v>
      </c>
      <c r="I1460" t="s">
        <v>3809</v>
      </c>
      <c r="J1460" t="s">
        <v>3862</v>
      </c>
      <c r="K1460" t="s">
        <v>79</v>
      </c>
      <c r="L1460" s="13">
        <v>39126</v>
      </c>
      <c r="M1460">
        <v>17</v>
      </c>
      <c r="N1460" t="s">
        <v>90</v>
      </c>
      <c r="O1460" t="s">
        <v>3886</v>
      </c>
      <c r="P1460" t="s">
        <v>76</v>
      </c>
      <c r="Q1460" t="s">
        <v>95</v>
      </c>
      <c r="R1460" t="s">
        <v>95</v>
      </c>
      <c r="S1460" t="s">
        <v>76</v>
      </c>
      <c r="T1460" t="s">
        <v>76</v>
      </c>
      <c r="U1460">
        <v>1</v>
      </c>
      <c r="V1460" s="13">
        <v>45175</v>
      </c>
      <c r="W1460">
        <v>1</v>
      </c>
      <c r="X1460">
        <v>1</v>
      </c>
      <c r="Y1460" t="s">
        <v>3683</v>
      </c>
      <c r="AC1460">
        <v>5084</v>
      </c>
      <c r="AD1460" t="e" vm="1450">
        <v>#VALUE!</v>
      </c>
    </row>
    <row r="1461" spans="2:30" x14ac:dyDescent="0.25">
      <c r="B1461">
        <v>5085</v>
      </c>
      <c r="C1461" t="s">
        <v>3646</v>
      </c>
      <c r="D1461" t="s">
        <v>3682</v>
      </c>
      <c r="E1461" t="s">
        <v>3826</v>
      </c>
      <c r="F1461" t="s">
        <v>81</v>
      </c>
      <c r="G1461" t="s">
        <v>100</v>
      </c>
      <c r="H1461" t="s">
        <v>3808</v>
      </c>
      <c r="I1461" t="s">
        <v>3809</v>
      </c>
      <c r="J1461" t="s">
        <v>3862</v>
      </c>
      <c r="K1461" t="s">
        <v>79</v>
      </c>
      <c r="L1461" s="13">
        <v>39126</v>
      </c>
      <c r="M1461">
        <v>17</v>
      </c>
      <c r="N1461" t="s">
        <v>90</v>
      </c>
      <c r="O1461" t="s">
        <v>3886</v>
      </c>
      <c r="P1461" t="s">
        <v>76</v>
      </c>
      <c r="Q1461" t="s">
        <v>95</v>
      </c>
      <c r="R1461" t="s">
        <v>95</v>
      </c>
      <c r="S1461" t="s">
        <v>76</v>
      </c>
      <c r="T1461" t="s">
        <v>76</v>
      </c>
      <c r="U1461">
        <v>1</v>
      </c>
      <c r="V1461" s="13">
        <v>45175</v>
      </c>
      <c r="W1461">
        <v>1</v>
      </c>
      <c r="X1461">
        <v>1</v>
      </c>
      <c r="Y1461" t="s">
        <v>3683</v>
      </c>
      <c r="AC1461">
        <v>5085</v>
      </c>
      <c r="AD1461" t="e" vm="1451">
        <v>#VALUE!</v>
      </c>
    </row>
    <row r="1462" spans="2:30" x14ac:dyDescent="0.25">
      <c r="B1462">
        <v>5088</v>
      </c>
      <c r="C1462" t="s">
        <v>3646</v>
      </c>
      <c r="D1462" t="s">
        <v>3682</v>
      </c>
      <c r="E1462" t="s">
        <v>3826</v>
      </c>
      <c r="F1462" t="s">
        <v>81</v>
      </c>
      <c r="G1462" t="s">
        <v>100</v>
      </c>
      <c r="H1462" t="s">
        <v>3808</v>
      </c>
      <c r="I1462" t="s">
        <v>3809</v>
      </c>
      <c r="J1462" t="s">
        <v>3862</v>
      </c>
      <c r="K1462" t="s">
        <v>79</v>
      </c>
      <c r="L1462" s="13">
        <v>39150</v>
      </c>
      <c r="M1462">
        <v>17</v>
      </c>
      <c r="N1462" t="s">
        <v>90</v>
      </c>
      <c r="O1462" t="s">
        <v>3886</v>
      </c>
      <c r="P1462" t="s">
        <v>76</v>
      </c>
      <c r="Q1462" t="s">
        <v>95</v>
      </c>
      <c r="R1462" t="s">
        <v>95</v>
      </c>
      <c r="S1462" t="s">
        <v>76</v>
      </c>
      <c r="T1462" t="s">
        <v>76</v>
      </c>
      <c r="U1462">
        <v>1</v>
      </c>
      <c r="V1462" s="13">
        <v>45175</v>
      </c>
      <c r="W1462">
        <v>1</v>
      </c>
      <c r="X1462">
        <v>1</v>
      </c>
      <c r="Y1462" t="s">
        <v>3683</v>
      </c>
      <c r="AC1462">
        <v>5088</v>
      </c>
      <c r="AD1462" t="e" vm="1452">
        <v>#VALUE!</v>
      </c>
    </row>
    <row r="1463" spans="2:30" x14ac:dyDescent="0.25">
      <c r="B1463">
        <v>5089</v>
      </c>
      <c r="C1463" t="s">
        <v>3646</v>
      </c>
      <c r="D1463" t="s">
        <v>3682</v>
      </c>
      <c r="E1463" t="s">
        <v>3826</v>
      </c>
      <c r="F1463" t="s">
        <v>81</v>
      </c>
      <c r="G1463" t="s">
        <v>100</v>
      </c>
      <c r="H1463" t="s">
        <v>3808</v>
      </c>
      <c r="I1463" t="s">
        <v>3809</v>
      </c>
      <c r="J1463" t="s">
        <v>3862</v>
      </c>
      <c r="K1463" t="s">
        <v>79</v>
      </c>
      <c r="L1463" s="13">
        <v>39479</v>
      </c>
      <c r="M1463">
        <v>16</v>
      </c>
      <c r="N1463" t="s">
        <v>90</v>
      </c>
      <c r="O1463" t="s">
        <v>3887</v>
      </c>
      <c r="P1463" t="s">
        <v>76</v>
      </c>
      <c r="Q1463" t="s">
        <v>95</v>
      </c>
      <c r="R1463" t="s">
        <v>76</v>
      </c>
      <c r="S1463" t="s">
        <v>76</v>
      </c>
      <c r="T1463" t="s">
        <v>76</v>
      </c>
      <c r="U1463">
        <v>1</v>
      </c>
      <c r="V1463" s="13">
        <v>45175</v>
      </c>
      <c r="W1463">
        <v>1</v>
      </c>
      <c r="X1463">
        <v>1</v>
      </c>
      <c r="Y1463" t="s">
        <v>3683</v>
      </c>
      <c r="AC1463">
        <v>5089</v>
      </c>
      <c r="AD1463" t="e" vm="1453">
        <v>#VALUE!</v>
      </c>
    </row>
    <row r="1464" spans="2:30" x14ac:dyDescent="0.25">
      <c r="B1464">
        <v>5090</v>
      </c>
      <c r="C1464" t="s">
        <v>3646</v>
      </c>
      <c r="D1464" t="s">
        <v>3682</v>
      </c>
      <c r="E1464" t="s">
        <v>3826</v>
      </c>
      <c r="F1464" t="s">
        <v>81</v>
      </c>
      <c r="G1464" t="s">
        <v>100</v>
      </c>
      <c r="H1464" t="s">
        <v>3808</v>
      </c>
      <c r="I1464" t="s">
        <v>3809</v>
      </c>
      <c r="J1464" t="s">
        <v>3862</v>
      </c>
      <c r="K1464" t="s">
        <v>79</v>
      </c>
      <c r="L1464" s="13">
        <v>39476</v>
      </c>
      <c r="M1464">
        <v>16</v>
      </c>
      <c r="N1464" t="s">
        <v>90</v>
      </c>
      <c r="O1464" t="s">
        <v>3887</v>
      </c>
      <c r="P1464" t="s">
        <v>76</v>
      </c>
      <c r="Q1464" t="s">
        <v>95</v>
      </c>
      <c r="R1464" t="s">
        <v>76</v>
      </c>
      <c r="S1464" t="s">
        <v>76</v>
      </c>
      <c r="T1464" t="s">
        <v>76</v>
      </c>
      <c r="U1464">
        <v>1</v>
      </c>
      <c r="V1464" s="13">
        <v>45175</v>
      </c>
      <c r="W1464">
        <v>1</v>
      </c>
      <c r="X1464">
        <v>1</v>
      </c>
      <c r="Y1464" t="s">
        <v>3683</v>
      </c>
      <c r="AC1464">
        <v>5090</v>
      </c>
      <c r="AD1464" t="e" vm="1454">
        <v>#VALUE!</v>
      </c>
    </row>
    <row r="1465" spans="2:30" x14ac:dyDescent="0.25">
      <c r="B1465">
        <v>5091</v>
      </c>
      <c r="C1465" t="s">
        <v>3646</v>
      </c>
      <c r="D1465" t="s">
        <v>3682</v>
      </c>
      <c r="E1465" t="s">
        <v>3826</v>
      </c>
      <c r="F1465" t="s">
        <v>81</v>
      </c>
      <c r="G1465" t="s">
        <v>100</v>
      </c>
      <c r="H1465" t="s">
        <v>3808</v>
      </c>
      <c r="I1465" t="s">
        <v>3809</v>
      </c>
      <c r="J1465" t="s">
        <v>3862</v>
      </c>
      <c r="K1465" t="s">
        <v>79</v>
      </c>
      <c r="L1465" s="13">
        <v>39514</v>
      </c>
      <c r="M1465">
        <v>16</v>
      </c>
      <c r="N1465" t="s">
        <v>90</v>
      </c>
      <c r="O1465" t="s">
        <v>3887</v>
      </c>
      <c r="P1465" t="s">
        <v>76</v>
      </c>
      <c r="Q1465" t="s">
        <v>95</v>
      </c>
      <c r="R1465" t="s">
        <v>76</v>
      </c>
      <c r="S1465" t="s">
        <v>76</v>
      </c>
      <c r="T1465" t="s">
        <v>76</v>
      </c>
      <c r="U1465">
        <v>1</v>
      </c>
      <c r="V1465" s="13">
        <v>45175</v>
      </c>
      <c r="W1465">
        <v>1</v>
      </c>
      <c r="X1465">
        <v>1</v>
      </c>
      <c r="Y1465" t="s">
        <v>3683</v>
      </c>
      <c r="AC1465">
        <v>5091</v>
      </c>
      <c r="AD1465" t="e" vm="1455">
        <v>#VALUE!</v>
      </c>
    </row>
    <row r="1466" spans="2:30" x14ac:dyDescent="0.25">
      <c r="B1466">
        <v>5095</v>
      </c>
      <c r="C1466" t="s">
        <v>3684</v>
      </c>
      <c r="D1466" t="s">
        <v>3700</v>
      </c>
      <c r="E1466" t="s">
        <v>3830</v>
      </c>
      <c r="F1466" t="s">
        <v>116</v>
      </c>
      <c r="G1466" t="s">
        <v>94</v>
      </c>
      <c r="H1466" t="s">
        <v>3808</v>
      </c>
      <c r="I1466" t="s">
        <v>3809</v>
      </c>
      <c r="J1466" t="s">
        <v>3810</v>
      </c>
      <c r="K1466" t="s">
        <v>239</v>
      </c>
      <c r="L1466" s="13">
        <v>39366</v>
      </c>
      <c r="M1466">
        <v>16</v>
      </c>
      <c r="N1466" t="s">
        <v>101</v>
      </c>
      <c r="O1466" t="s">
        <v>3888</v>
      </c>
      <c r="P1466" t="s">
        <v>76</v>
      </c>
      <c r="Q1466" t="s">
        <v>76</v>
      </c>
      <c r="R1466" t="s">
        <v>76</v>
      </c>
      <c r="S1466" t="s">
        <v>76</v>
      </c>
      <c r="T1466" t="s">
        <v>76</v>
      </c>
      <c r="U1466">
        <v>1</v>
      </c>
      <c r="V1466" s="13">
        <v>45175</v>
      </c>
      <c r="W1466">
        <v>1</v>
      </c>
      <c r="X1466">
        <v>1</v>
      </c>
      <c r="Y1466" t="s">
        <v>3701</v>
      </c>
      <c r="AC1466">
        <v>5095</v>
      </c>
      <c r="AD1466" t="e" vm="1456">
        <v>#VALUE!</v>
      </c>
    </row>
    <row r="1467" spans="2:30" x14ac:dyDescent="0.25">
      <c r="B1467">
        <v>5096</v>
      </c>
      <c r="C1467" t="s">
        <v>3684</v>
      </c>
      <c r="D1467" t="s">
        <v>3700</v>
      </c>
      <c r="E1467" t="s">
        <v>3830</v>
      </c>
      <c r="F1467" t="s">
        <v>116</v>
      </c>
      <c r="G1467" t="s">
        <v>94</v>
      </c>
      <c r="H1467" t="s">
        <v>3808</v>
      </c>
      <c r="I1467" t="s">
        <v>3809</v>
      </c>
      <c r="J1467" t="s">
        <v>3810</v>
      </c>
      <c r="K1467" t="s">
        <v>239</v>
      </c>
      <c r="L1467" s="13">
        <v>39350</v>
      </c>
      <c r="M1467">
        <v>16</v>
      </c>
      <c r="N1467" t="s">
        <v>101</v>
      </c>
      <c r="O1467" t="s">
        <v>3888</v>
      </c>
      <c r="P1467" t="s">
        <v>76</v>
      </c>
      <c r="Q1467" t="s">
        <v>76</v>
      </c>
      <c r="R1467" t="s">
        <v>76</v>
      </c>
      <c r="S1467" t="s">
        <v>76</v>
      </c>
      <c r="T1467" t="s">
        <v>76</v>
      </c>
      <c r="U1467">
        <v>1</v>
      </c>
      <c r="V1467" s="13">
        <v>45175</v>
      </c>
      <c r="W1467">
        <v>1</v>
      </c>
      <c r="X1467">
        <v>1</v>
      </c>
      <c r="Y1467" t="s">
        <v>3701</v>
      </c>
      <c r="AC1467">
        <v>5096</v>
      </c>
      <c r="AD1467" t="e" vm="1457">
        <v>#VALUE!</v>
      </c>
    </row>
    <row r="1468" spans="2:30" x14ac:dyDescent="0.25">
      <c r="B1468">
        <v>5097</v>
      </c>
      <c r="C1468" t="s">
        <v>3684</v>
      </c>
      <c r="D1468" t="s">
        <v>3700</v>
      </c>
      <c r="E1468" t="s">
        <v>3830</v>
      </c>
      <c r="F1468" t="s">
        <v>116</v>
      </c>
      <c r="G1468" t="s">
        <v>94</v>
      </c>
      <c r="H1468" t="s">
        <v>3808</v>
      </c>
      <c r="I1468" t="s">
        <v>3809</v>
      </c>
      <c r="J1468" t="s">
        <v>3810</v>
      </c>
      <c r="K1468" t="s">
        <v>239</v>
      </c>
      <c r="L1468" s="13">
        <v>39353</v>
      </c>
      <c r="M1468">
        <v>16</v>
      </c>
      <c r="N1468" t="s">
        <v>101</v>
      </c>
      <c r="O1468" t="s">
        <v>3888</v>
      </c>
      <c r="P1468" t="s">
        <v>76</v>
      </c>
      <c r="Q1468" t="s">
        <v>76</v>
      </c>
      <c r="R1468" t="s">
        <v>76</v>
      </c>
      <c r="S1468" t="s">
        <v>76</v>
      </c>
      <c r="T1468" t="s">
        <v>76</v>
      </c>
      <c r="U1468">
        <v>1</v>
      </c>
      <c r="V1468" s="13">
        <v>45175</v>
      </c>
      <c r="W1468">
        <v>1</v>
      </c>
      <c r="X1468">
        <v>1</v>
      </c>
      <c r="Y1468" t="s">
        <v>3701</v>
      </c>
      <c r="AC1468">
        <v>5097</v>
      </c>
      <c r="AD1468" t="e" vm="1458">
        <v>#VALUE!</v>
      </c>
    </row>
    <row r="1469" spans="2:30" x14ac:dyDescent="0.25">
      <c r="B1469">
        <v>5098</v>
      </c>
      <c r="C1469" t="s">
        <v>3684</v>
      </c>
      <c r="D1469" t="s">
        <v>3700</v>
      </c>
      <c r="E1469" t="s">
        <v>3830</v>
      </c>
      <c r="F1469" t="s">
        <v>116</v>
      </c>
      <c r="G1469" t="s">
        <v>94</v>
      </c>
      <c r="H1469" t="s">
        <v>3808</v>
      </c>
      <c r="I1469" t="s">
        <v>3809</v>
      </c>
      <c r="J1469" t="s">
        <v>3810</v>
      </c>
      <c r="K1469" t="s">
        <v>239</v>
      </c>
      <c r="L1469" s="13">
        <v>39350</v>
      </c>
      <c r="M1469">
        <v>16</v>
      </c>
      <c r="N1469" t="s">
        <v>101</v>
      </c>
      <c r="O1469" t="s">
        <v>3888</v>
      </c>
      <c r="P1469" t="s">
        <v>76</v>
      </c>
      <c r="Q1469" t="s">
        <v>76</v>
      </c>
      <c r="R1469" t="s">
        <v>76</v>
      </c>
      <c r="S1469" t="s">
        <v>76</v>
      </c>
      <c r="T1469" t="s">
        <v>76</v>
      </c>
      <c r="U1469">
        <v>1</v>
      </c>
      <c r="V1469" s="13">
        <v>45175</v>
      </c>
      <c r="W1469">
        <v>1</v>
      </c>
      <c r="X1469">
        <v>1</v>
      </c>
      <c r="Y1469" t="s">
        <v>3701</v>
      </c>
      <c r="AC1469">
        <v>5098</v>
      </c>
      <c r="AD1469" t="e" vm="1459">
        <v>#VALUE!</v>
      </c>
    </row>
    <row r="1470" spans="2:30" x14ac:dyDescent="0.25">
      <c r="B1470">
        <v>5099</v>
      </c>
      <c r="C1470" t="s">
        <v>3684</v>
      </c>
      <c r="D1470" t="s">
        <v>3700</v>
      </c>
      <c r="E1470" t="s">
        <v>3830</v>
      </c>
      <c r="F1470" t="s">
        <v>116</v>
      </c>
      <c r="G1470" t="s">
        <v>94</v>
      </c>
      <c r="H1470" t="s">
        <v>3808</v>
      </c>
      <c r="I1470" t="s">
        <v>3809</v>
      </c>
      <c r="J1470" t="s">
        <v>3810</v>
      </c>
      <c r="K1470" t="s">
        <v>239</v>
      </c>
      <c r="L1470" s="13">
        <v>39350</v>
      </c>
      <c r="M1470">
        <v>16</v>
      </c>
      <c r="N1470" t="s">
        <v>101</v>
      </c>
      <c r="O1470" t="s">
        <v>3888</v>
      </c>
      <c r="P1470" t="s">
        <v>76</v>
      </c>
      <c r="Q1470" t="s">
        <v>76</v>
      </c>
      <c r="R1470" t="s">
        <v>76</v>
      </c>
      <c r="S1470" t="s">
        <v>76</v>
      </c>
      <c r="T1470" t="s">
        <v>76</v>
      </c>
      <c r="U1470">
        <v>1</v>
      </c>
      <c r="V1470" s="13">
        <v>45175</v>
      </c>
      <c r="W1470">
        <v>1</v>
      </c>
      <c r="X1470">
        <v>1</v>
      </c>
      <c r="Y1470" t="s">
        <v>3701</v>
      </c>
      <c r="AC1470">
        <v>5099</v>
      </c>
      <c r="AD1470" t="e" vm="1460">
        <v>#VALUE!</v>
      </c>
    </row>
    <row r="1471" spans="2:30" x14ac:dyDescent="0.25">
      <c r="B1471">
        <v>5100</v>
      </c>
      <c r="C1471" t="s">
        <v>3684</v>
      </c>
      <c r="D1471" t="s">
        <v>3700</v>
      </c>
      <c r="E1471" t="s">
        <v>3830</v>
      </c>
      <c r="F1471" t="s">
        <v>116</v>
      </c>
      <c r="G1471" t="s">
        <v>94</v>
      </c>
      <c r="H1471" t="s">
        <v>3808</v>
      </c>
      <c r="I1471" t="s">
        <v>3809</v>
      </c>
      <c r="J1471" t="s">
        <v>3810</v>
      </c>
      <c r="K1471" t="s">
        <v>239</v>
      </c>
      <c r="L1471" s="13">
        <v>39353</v>
      </c>
      <c r="M1471">
        <v>16</v>
      </c>
      <c r="N1471" t="s">
        <v>101</v>
      </c>
      <c r="O1471" t="s">
        <v>3888</v>
      </c>
      <c r="P1471" t="s">
        <v>76</v>
      </c>
      <c r="Q1471" t="s">
        <v>76</v>
      </c>
      <c r="R1471" t="s">
        <v>76</v>
      </c>
      <c r="S1471" t="s">
        <v>76</v>
      </c>
      <c r="T1471" t="s">
        <v>76</v>
      </c>
      <c r="U1471">
        <v>1</v>
      </c>
      <c r="V1471" s="13">
        <v>45175</v>
      </c>
      <c r="W1471">
        <v>1</v>
      </c>
      <c r="X1471">
        <v>1</v>
      </c>
      <c r="Y1471" t="s">
        <v>3701</v>
      </c>
      <c r="AC1471">
        <v>5100</v>
      </c>
      <c r="AD1471" t="e" vm="1461">
        <v>#VALUE!</v>
      </c>
    </row>
    <row r="1472" spans="2:30" x14ac:dyDescent="0.25">
      <c r="B1472">
        <v>5101</v>
      </c>
      <c r="C1472" t="s">
        <v>3684</v>
      </c>
      <c r="D1472" t="s">
        <v>3700</v>
      </c>
      <c r="E1472" t="s">
        <v>3830</v>
      </c>
      <c r="F1472" t="s">
        <v>116</v>
      </c>
      <c r="G1472" t="s">
        <v>94</v>
      </c>
      <c r="H1472" t="s">
        <v>3808</v>
      </c>
      <c r="I1472" t="s">
        <v>3809</v>
      </c>
      <c r="J1472" t="s">
        <v>3810</v>
      </c>
      <c r="K1472" t="s">
        <v>239</v>
      </c>
      <c r="L1472" s="13">
        <v>39360</v>
      </c>
      <c r="M1472">
        <v>16</v>
      </c>
      <c r="N1472" t="s">
        <v>101</v>
      </c>
      <c r="O1472" t="s">
        <v>3888</v>
      </c>
      <c r="P1472" t="s">
        <v>76</v>
      </c>
      <c r="Q1472" t="s">
        <v>76</v>
      </c>
      <c r="R1472" t="s">
        <v>76</v>
      </c>
      <c r="S1472" t="s">
        <v>76</v>
      </c>
      <c r="T1472" t="s">
        <v>76</v>
      </c>
      <c r="U1472">
        <v>1</v>
      </c>
      <c r="V1472" s="13">
        <v>45175</v>
      </c>
      <c r="W1472">
        <v>1</v>
      </c>
      <c r="X1472">
        <v>1</v>
      </c>
      <c r="Y1472" t="s">
        <v>3701</v>
      </c>
      <c r="AC1472">
        <v>5101</v>
      </c>
      <c r="AD1472" t="e" vm="1462">
        <v>#VALUE!</v>
      </c>
    </row>
    <row r="1473" spans="2:30" x14ac:dyDescent="0.25">
      <c r="B1473">
        <v>5102</v>
      </c>
      <c r="C1473" t="s">
        <v>3684</v>
      </c>
      <c r="D1473" t="s">
        <v>3700</v>
      </c>
      <c r="E1473" t="s">
        <v>3830</v>
      </c>
      <c r="F1473" t="s">
        <v>116</v>
      </c>
      <c r="G1473" t="s">
        <v>94</v>
      </c>
      <c r="H1473" t="s">
        <v>3808</v>
      </c>
      <c r="I1473" t="s">
        <v>3809</v>
      </c>
      <c r="J1473" t="s">
        <v>3810</v>
      </c>
      <c r="K1473" t="s">
        <v>239</v>
      </c>
      <c r="L1473" s="13">
        <v>39353</v>
      </c>
      <c r="M1473">
        <v>16</v>
      </c>
      <c r="N1473" t="s">
        <v>101</v>
      </c>
      <c r="O1473" t="s">
        <v>3888</v>
      </c>
      <c r="P1473" t="s">
        <v>76</v>
      </c>
      <c r="Q1473" t="s">
        <v>76</v>
      </c>
      <c r="R1473" t="s">
        <v>76</v>
      </c>
      <c r="S1473" t="s">
        <v>76</v>
      </c>
      <c r="T1473" t="s">
        <v>76</v>
      </c>
      <c r="U1473">
        <v>1</v>
      </c>
      <c r="V1473" s="13">
        <v>45175</v>
      </c>
      <c r="W1473">
        <v>1</v>
      </c>
      <c r="X1473">
        <v>1</v>
      </c>
      <c r="Y1473" t="s">
        <v>3701</v>
      </c>
      <c r="AC1473">
        <v>5102</v>
      </c>
      <c r="AD1473" t="e" vm="1463">
        <v>#VALUE!</v>
      </c>
    </row>
    <row r="1474" spans="2:30" x14ac:dyDescent="0.25">
      <c r="B1474">
        <v>5103</v>
      </c>
      <c r="C1474" t="s">
        <v>3684</v>
      </c>
      <c r="D1474" t="s">
        <v>3700</v>
      </c>
      <c r="E1474" t="s">
        <v>3830</v>
      </c>
      <c r="F1474" t="s">
        <v>116</v>
      </c>
      <c r="G1474" t="s">
        <v>94</v>
      </c>
      <c r="H1474" t="s">
        <v>3808</v>
      </c>
      <c r="I1474" t="s">
        <v>3809</v>
      </c>
      <c r="J1474" t="s">
        <v>3810</v>
      </c>
      <c r="K1474" t="s">
        <v>239</v>
      </c>
      <c r="L1474" s="13">
        <v>39359</v>
      </c>
      <c r="M1474">
        <v>16</v>
      </c>
      <c r="N1474" t="s">
        <v>101</v>
      </c>
      <c r="O1474" t="s">
        <v>3888</v>
      </c>
      <c r="P1474" t="s">
        <v>76</v>
      </c>
      <c r="Q1474" t="s">
        <v>76</v>
      </c>
      <c r="R1474" t="s">
        <v>76</v>
      </c>
      <c r="S1474" t="s">
        <v>76</v>
      </c>
      <c r="T1474" t="s">
        <v>76</v>
      </c>
      <c r="U1474">
        <v>1</v>
      </c>
      <c r="V1474" s="13">
        <v>45175</v>
      </c>
      <c r="W1474">
        <v>1</v>
      </c>
      <c r="X1474">
        <v>1</v>
      </c>
      <c r="Y1474" t="s">
        <v>3701</v>
      </c>
      <c r="AC1474">
        <v>5103</v>
      </c>
      <c r="AD1474" t="e" vm="1464">
        <v>#VALUE!</v>
      </c>
    </row>
    <row r="1475" spans="2:30" x14ac:dyDescent="0.25">
      <c r="B1475">
        <v>5104</v>
      </c>
      <c r="C1475" t="s">
        <v>3684</v>
      </c>
      <c r="D1475" t="s">
        <v>3700</v>
      </c>
      <c r="E1475" t="s">
        <v>3830</v>
      </c>
      <c r="F1475" t="s">
        <v>116</v>
      </c>
      <c r="G1475" t="s">
        <v>94</v>
      </c>
      <c r="H1475" t="s">
        <v>3808</v>
      </c>
      <c r="I1475" t="s">
        <v>3809</v>
      </c>
      <c r="J1475" t="s">
        <v>3810</v>
      </c>
      <c r="K1475" t="s">
        <v>239</v>
      </c>
      <c r="L1475" s="13">
        <v>39360</v>
      </c>
      <c r="M1475">
        <v>16</v>
      </c>
      <c r="N1475" t="s">
        <v>101</v>
      </c>
      <c r="O1475" t="s">
        <v>3888</v>
      </c>
      <c r="P1475" t="s">
        <v>76</v>
      </c>
      <c r="Q1475" t="s">
        <v>76</v>
      </c>
      <c r="R1475" t="s">
        <v>76</v>
      </c>
      <c r="S1475" t="s">
        <v>76</v>
      </c>
      <c r="T1475" t="s">
        <v>76</v>
      </c>
      <c r="U1475">
        <v>1</v>
      </c>
      <c r="V1475" s="13">
        <v>45175</v>
      </c>
      <c r="W1475">
        <v>1</v>
      </c>
      <c r="X1475">
        <v>1</v>
      </c>
      <c r="Y1475" t="s">
        <v>3701</v>
      </c>
      <c r="AC1475">
        <v>5104</v>
      </c>
      <c r="AD1475" t="e" vm="1465">
        <v>#VALUE!</v>
      </c>
    </row>
    <row r="1476" spans="2:30" x14ac:dyDescent="0.25">
      <c r="B1476">
        <v>5105</v>
      </c>
      <c r="C1476" t="s">
        <v>3684</v>
      </c>
      <c r="D1476" t="s">
        <v>3700</v>
      </c>
      <c r="E1476" t="s">
        <v>3830</v>
      </c>
      <c r="F1476" t="s">
        <v>116</v>
      </c>
      <c r="G1476" t="s">
        <v>94</v>
      </c>
      <c r="H1476" t="s">
        <v>3808</v>
      </c>
      <c r="I1476" t="s">
        <v>3809</v>
      </c>
      <c r="J1476" t="s">
        <v>3810</v>
      </c>
      <c r="K1476" t="s">
        <v>239</v>
      </c>
      <c r="L1476" s="13">
        <v>39359</v>
      </c>
      <c r="M1476">
        <v>16</v>
      </c>
      <c r="N1476" t="s">
        <v>101</v>
      </c>
      <c r="O1476" t="s">
        <v>3888</v>
      </c>
      <c r="P1476" t="s">
        <v>76</v>
      </c>
      <c r="Q1476" t="s">
        <v>76</v>
      </c>
      <c r="R1476" t="s">
        <v>76</v>
      </c>
      <c r="S1476" t="s">
        <v>76</v>
      </c>
      <c r="T1476" t="s">
        <v>76</v>
      </c>
      <c r="U1476">
        <v>1</v>
      </c>
      <c r="V1476" s="13">
        <v>45175</v>
      </c>
      <c r="W1476">
        <v>1</v>
      </c>
      <c r="X1476">
        <v>1</v>
      </c>
      <c r="Y1476" t="s">
        <v>3701</v>
      </c>
      <c r="AC1476">
        <v>5105</v>
      </c>
      <c r="AD1476" t="e" vm="1466">
        <v>#VALUE!</v>
      </c>
    </row>
    <row r="1477" spans="2:30" x14ac:dyDescent="0.25">
      <c r="B1477">
        <v>5106</v>
      </c>
      <c r="C1477" t="s">
        <v>3684</v>
      </c>
      <c r="D1477" t="s">
        <v>3700</v>
      </c>
      <c r="E1477" t="s">
        <v>3830</v>
      </c>
      <c r="F1477" t="s">
        <v>116</v>
      </c>
      <c r="G1477" t="s">
        <v>94</v>
      </c>
      <c r="H1477" t="s">
        <v>3808</v>
      </c>
      <c r="I1477" t="s">
        <v>3809</v>
      </c>
      <c r="J1477" t="s">
        <v>3810</v>
      </c>
      <c r="K1477" t="s">
        <v>239</v>
      </c>
      <c r="L1477" s="13">
        <v>39360</v>
      </c>
      <c r="M1477">
        <v>16</v>
      </c>
      <c r="N1477" t="s">
        <v>101</v>
      </c>
      <c r="O1477" t="s">
        <v>3888</v>
      </c>
      <c r="P1477" t="s">
        <v>76</v>
      </c>
      <c r="Q1477" t="s">
        <v>76</v>
      </c>
      <c r="R1477" t="s">
        <v>76</v>
      </c>
      <c r="S1477" t="s">
        <v>76</v>
      </c>
      <c r="T1477" t="s">
        <v>76</v>
      </c>
      <c r="U1477">
        <v>1</v>
      </c>
      <c r="V1477" s="13">
        <v>45175</v>
      </c>
      <c r="W1477">
        <v>1</v>
      </c>
      <c r="X1477">
        <v>1</v>
      </c>
      <c r="Y1477" t="s">
        <v>3701</v>
      </c>
      <c r="AC1477">
        <v>5106</v>
      </c>
      <c r="AD1477" t="e" vm="1467">
        <v>#VALUE!</v>
      </c>
    </row>
    <row r="1478" spans="2:30" x14ac:dyDescent="0.25">
      <c r="B1478">
        <v>5107</v>
      </c>
      <c r="C1478" t="s">
        <v>3684</v>
      </c>
      <c r="D1478" t="s">
        <v>3700</v>
      </c>
      <c r="E1478" t="s">
        <v>3830</v>
      </c>
      <c r="F1478" t="s">
        <v>116</v>
      </c>
      <c r="G1478" t="s">
        <v>94</v>
      </c>
      <c r="H1478" t="s">
        <v>3808</v>
      </c>
      <c r="I1478" t="s">
        <v>3809</v>
      </c>
      <c r="J1478" t="s">
        <v>3810</v>
      </c>
      <c r="K1478" t="s">
        <v>239</v>
      </c>
      <c r="L1478" s="13">
        <v>39359</v>
      </c>
      <c r="M1478">
        <v>16</v>
      </c>
      <c r="N1478" t="s">
        <v>101</v>
      </c>
      <c r="O1478" t="s">
        <v>3888</v>
      </c>
      <c r="P1478" t="s">
        <v>76</v>
      </c>
      <c r="Q1478" t="s">
        <v>76</v>
      </c>
      <c r="R1478" t="s">
        <v>76</v>
      </c>
      <c r="S1478" t="s">
        <v>76</v>
      </c>
      <c r="T1478" t="s">
        <v>76</v>
      </c>
      <c r="U1478">
        <v>1</v>
      </c>
      <c r="V1478" s="13">
        <v>45175</v>
      </c>
      <c r="W1478">
        <v>1</v>
      </c>
      <c r="X1478">
        <v>1</v>
      </c>
      <c r="Y1478" t="s">
        <v>3701</v>
      </c>
      <c r="AC1478">
        <v>5107</v>
      </c>
      <c r="AD1478" t="e" vm="1468">
        <v>#VALUE!</v>
      </c>
    </row>
    <row r="1479" spans="2:30" x14ac:dyDescent="0.25">
      <c r="B1479">
        <v>5108</v>
      </c>
      <c r="C1479" t="s">
        <v>3684</v>
      </c>
      <c r="D1479" t="s">
        <v>3687</v>
      </c>
      <c r="E1479" t="s">
        <v>3830</v>
      </c>
      <c r="F1479" t="s">
        <v>116</v>
      </c>
      <c r="G1479" t="s">
        <v>113</v>
      </c>
      <c r="H1479" t="s">
        <v>3808</v>
      </c>
      <c r="I1479" t="s">
        <v>3809</v>
      </c>
      <c r="J1479" t="s">
        <v>3810</v>
      </c>
      <c r="K1479" t="s">
        <v>239</v>
      </c>
      <c r="L1479" s="13">
        <v>39365</v>
      </c>
      <c r="M1479">
        <v>16</v>
      </c>
      <c r="N1479" t="s">
        <v>101</v>
      </c>
      <c r="O1479" t="s">
        <v>3888</v>
      </c>
      <c r="P1479" t="s">
        <v>76</v>
      </c>
      <c r="Q1479" t="s">
        <v>76</v>
      </c>
      <c r="R1479" t="s">
        <v>76</v>
      </c>
      <c r="S1479" t="s">
        <v>76</v>
      </c>
      <c r="T1479" t="s">
        <v>76</v>
      </c>
      <c r="U1479">
        <v>1</v>
      </c>
      <c r="V1479" s="13">
        <v>45175</v>
      </c>
      <c r="W1479">
        <v>1</v>
      </c>
      <c r="X1479">
        <v>1</v>
      </c>
      <c r="Y1479" t="s">
        <v>3688</v>
      </c>
      <c r="AC1479">
        <v>5108</v>
      </c>
      <c r="AD1479" t="e" vm="1469">
        <v>#VALUE!</v>
      </c>
    </row>
    <row r="1480" spans="2:30" x14ac:dyDescent="0.25">
      <c r="B1480">
        <v>5109</v>
      </c>
      <c r="C1480" t="s">
        <v>3684</v>
      </c>
      <c r="D1480" t="s">
        <v>3687</v>
      </c>
      <c r="E1480" t="s">
        <v>3830</v>
      </c>
      <c r="F1480" t="s">
        <v>116</v>
      </c>
      <c r="G1480" t="s">
        <v>113</v>
      </c>
      <c r="H1480" t="s">
        <v>3808</v>
      </c>
      <c r="I1480" t="s">
        <v>3809</v>
      </c>
      <c r="J1480" t="s">
        <v>3810</v>
      </c>
      <c r="K1480" t="s">
        <v>239</v>
      </c>
      <c r="L1480" s="13">
        <v>39365</v>
      </c>
      <c r="M1480">
        <v>16</v>
      </c>
      <c r="N1480" t="s">
        <v>101</v>
      </c>
      <c r="O1480" t="s">
        <v>3888</v>
      </c>
      <c r="P1480" t="s">
        <v>76</v>
      </c>
      <c r="Q1480" t="s">
        <v>76</v>
      </c>
      <c r="R1480" t="s">
        <v>76</v>
      </c>
      <c r="S1480" t="s">
        <v>76</v>
      </c>
      <c r="T1480" t="s">
        <v>76</v>
      </c>
      <c r="U1480">
        <v>1</v>
      </c>
      <c r="V1480" s="13">
        <v>45175</v>
      </c>
      <c r="W1480">
        <v>1</v>
      </c>
      <c r="X1480">
        <v>1</v>
      </c>
      <c r="Y1480" t="s">
        <v>3688</v>
      </c>
      <c r="AC1480">
        <v>5109</v>
      </c>
      <c r="AD1480" t="e" vm="1470">
        <v>#VALUE!</v>
      </c>
    </row>
    <row r="1481" spans="2:30" x14ac:dyDescent="0.25">
      <c r="B1481">
        <v>5110</v>
      </c>
      <c r="C1481" t="s">
        <v>3684</v>
      </c>
      <c r="D1481" t="s">
        <v>3687</v>
      </c>
      <c r="E1481" t="s">
        <v>3830</v>
      </c>
      <c r="F1481" t="s">
        <v>116</v>
      </c>
      <c r="G1481" t="s">
        <v>113</v>
      </c>
      <c r="H1481" t="s">
        <v>3808</v>
      </c>
      <c r="I1481" t="s">
        <v>3809</v>
      </c>
      <c r="J1481" t="s">
        <v>3810</v>
      </c>
      <c r="K1481" t="s">
        <v>239</v>
      </c>
      <c r="L1481" s="13">
        <v>39365</v>
      </c>
      <c r="M1481">
        <v>16</v>
      </c>
      <c r="N1481" t="s">
        <v>101</v>
      </c>
      <c r="O1481" t="s">
        <v>3888</v>
      </c>
      <c r="P1481" t="s">
        <v>76</v>
      </c>
      <c r="Q1481" t="s">
        <v>76</v>
      </c>
      <c r="R1481" t="s">
        <v>76</v>
      </c>
      <c r="S1481" t="s">
        <v>76</v>
      </c>
      <c r="T1481" t="s">
        <v>76</v>
      </c>
      <c r="U1481">
        <v>1</v>
      </c>
      <c r="V1481" s="13">
        <v>45175</v>
      </c>
      <c r="W1481">
        <v>1</v>
      </c>
      <c r="X1481">
        <v>1</v>
      </c>
      <c r="Y1481" t="s">
        <v>3688</v>
      </c>
      <c r="AC1481">
        <v>5110</v>
      </c>
      <c r="AD1481" t="e" vm="1471">
        <v>#VALUE!</v>
      </c>
    </row>
    <row r="1482" spans="2:30" x14ac:dyDescent="0.25">
      <c r="B1482">
        <v>5111</v>
      </c>
      <c r="C1482" t="s">
        <v>3684</v>
      </c>
      <c r="D1482" t="s">
        <v>3687</v>
      </c>
      <c r="E1482" t="s">
        <v>3830</v>
      </c>
      <c r="F1482" t="s">
        <v>116</v>
      </c>
      <c r="G1482" t="s">
        <v>113</v>
      </c>
      <c r="H1482" t="s">
        <v>3808</v>
      </c>
      <c r="I1482" t="s">
        <v>3809</v>
      </c>
      <c r="J1482" t="s">
        <v>3810</v>
      </c>
      <c r="K1482" t="s">
        <v>239</v>
      </c>
      <c r="L1482" s="13">
        <v>39365</v>
      </c>
      <c r="M1482">
        <v>16</v>
      </c>
      <c r="N1482" t="s">
        <v>101</v>
      </c>
      <c r="O1482" t="s">
        <v>3888</v>
      </c>
      <c r="P1482" t="s">
        <v>76</v>
      </c>
      <c r="Q1482" t="s">
        <v>76</v>
      </c>
      <c r="R1482" t="s">
        <v>76</v>
      </c>
      <c r="S1482" t="s">
        <v>76</v>
      </c>
      <c r="T1482" t="s">
        <v>76</v>
      </c>
      <c r="U1482">
        <v>1</v>
      </c>
      <c r="V1482" s="13">
        <v>45175</v>
      </c>
      <c r="W1482">
        <v>1</v>
      </c>
      <c r="X1482">
        <v>1</v>
      </c>
      <c r="Y1482" t="s">
        <v>3688</v>
      </c>
      <c r="AC1482">
        <v>5111</v>
      </c>
      <c r="AD1482" t="e" vm="1472">
        <v>#VALUE!</v>
      </c>
    </row>
    <row r="1483" spans="2:30" x14ac:dyDescent="0.25">
      <c r="B1483">
        <v>5112</v>
      </c>
      <c r="C1483" t="s">
        <v>3684</v>
      </c>
      <c r="D1483" t="s">
        <v>3687</v>
      </c>
      <c r="E1483" t="s">
        <v>3830</v>
      </c>
      <c r="F1483" t="s">
        <v>116</v>
      </c>
      <c r="G1483" t="s">
        <v>113</v>
      </c>
      <c r="H1483" t="s">
        <v>3808</v>
      </c>
      <c r="I1483" t="s">
        <v>3809</v>
      </c>
      <c r="J1483" t="s">
        <v>3810</v>
      </c>
      <c r="K1483" t="s">
        <v>239</v>
      </c>
      <c r="L1483" s="13">
        <v>39366</v>
      </c>
      <c r="M1483">
        <v>16</v>
      </c>
      <c r="N1483" t="s">
        <v>101</v>
      </c>
      <c r="O1483" t="s">
        <v>3888</v>
      </c>
      <c r="P1483" t="s">
        <v>76</v>
      </c>
      <c r="Q1483" t="s">
        <v>76</v>
      </c>
      <c r="R1483" t="s">
        <v>76</v>
      </c>
      <c r="S1483" t="s">
        <v>76</v>
      </c>
      <c r="T1483" t="s">
        <v>76</v>
      </c>
      <c r="U1483">
        <v>1</v>
      </c>
      <c r="V1483" s="13">
        <v>45175</v>
      </c>
      <c r="W1483">
        <v>1</v>
      </c>
      <c r="X1483">
        <v>1</v>
      </c>
      <c r="Y1483" t="s">
        <v>3688</v>
      </c>
      <c r="AC1483">
        <v>5112</v>
      </c>
      <c r="AD1483" t="e" vm="1473">
        <v>#VALUE!</v>
      </c>
    </row>
    <row r="1484" spans="2:30" x14ac:dyDescent="0.25">
      <c r="B1484">
        <v>5113</v>
      </c>
      <c r="C1484" t="s">
        <v>3684</v>
      </c>
      <c r="D1484" t="s">
        <v>3687</v>
      </c>
      <c r="E1484" t="s">
        <v>3830</v>
      </c>
      <c r="F1484" t="s">
        <v>116</v>
      </c>
      <c r="G1484" t="s">
        <v>113</v>
      </c>
      <c r="H1484" t="s">
        <v>3808</v>
      </c>
      <c r="I1484" t="s">
        <v>3809</v>
      </c>
      <c r="J1484" t="s">
        <v>3810</v>
      </c>
      <c r="K1484" t="s">
        <v>239</v>
      </c>
      <c r="L1484" s="13">
        <v>39366</v>
      </c>
      <c r="M1484">
        <v>16</v>
      </c>
      <c r="N1484" t="s">
        <v>101</v>
      </c>
      <c r="O1484" t="s">
        <v>3888</v>
      </c>
      <c r="P1484" t="s">
        <v>76</v>
      </c>
      <c r="Q1484" t="s">
        <v>76</v>
      </c>
      <c r="R1484" t="s">
        <v>76</v>
      </c>
      <c r="S1484" t="s">
        <v>76</v>
      </c>
      <c r="T1484" t="s">
        <v>76</v>
      </c>
      <c r="U1484">
        <v>1</v>
      </c>
      <c r="V1484" s="13">
        <v>45175</v>
      </c>
      <c r="W1484">
        <v>1</v>
      </c>
      <c r="X1484">
        <v>1</v>
      </c>
      <c r="Y1484" t="s">
        <v>3688</v>
      </c>
      <c r="AC1484">
        <v>5113</v>
      </c>
      <c r="AD1484" t="e" vm="1474">
        <v>#VALUE!</v>
      </c>
    </row>
    <row r="1485" spans="2:30" x14ac:dyDescent="0.25">
      <c r="B1485">
        <v>5114</v>
      </c>
      <c r="C1485" t="s">
        <v>3684</v>
      </c>
      <c r="D1485" t="s">
        <v>3687</v>
      </c>
      <c r="E1485" t="s">
        <v>3830</v>
      </c>
      <c r="F1485" t="s">
        <v>116</v>
      </c>
      <c r="G1485" t="s">
        <v>113</v>
      </c>
      <c r="H1485" t="s">
        <v>3808</v>
      </c>
      <c r="I1485" t="s">
        <v>3809</v>
      </c>
      <c r="J1485" t="s">
        <v>3810</v>
      </c>
      <c r="K1485" t="s">
        <v>239</v>
      </c>
      <c r="L1485" s="13">
        <v>39371</v>
      </c>
      <c r="M1485">
        <v>16</v>
      </c>
      <c r="N1485" t="s">
        <v>101</v>
      </c>
      <c r="O1485" t="s">
        <v>3888</v>
      </c>
      <c r="P1485" t="s">
        <v>76</v>
      </c>
      <c r="Q1485" t="s">
        <v>76</v>
      </c>
      <c r="R1485" t="s">
        <v>76</v>
      </c>
      <c r="S1485" t="s">
        <v>76</v>
      </c>
      <c r="T1485" t="s">
        <v>76</v>
      </c>
      <c r="U1485">
        <v>1</v>
      </c>
      <c r="V1485" s="13">
        <v>45175</v>
      </c>
      <c r="W1485">
        <v>1</v>
      </c>
      <c r="X1485">
        <v>1</v>
      </c>
      <c r="Y1485" t="s">
        <v>3688</v>
      </c>
      <c r="AC1485">
        <v>5114</v>
      </c>
      <c r="AD1485" t="e" vm="1475">
        <v>#VALUE!</v>
      </c>
    </row>
    <row r="1486" spans="2:30" x14ac:dyDescent="0.25">
      <c r="B1486">
        <v>5115</v>
      </c>
      <c r="C1486" t="s">
        <v>3684</v>
      </c>
      <c r="D1486" t="s">
        <v>3687</v>
      </c>
      <c r="E1486" t="s">
        <v>3830</v>
      </c>
      <c r="F1486" t="s">
        <v>116</v>
      </c>
      <c r="G1486" t="s">
        <v>113</v>
      </c>
      <c r="H1486" t="s">
        <v>3808</v>
      </c>
      <c r="I1486" t="s">
        <v>3809</v>
      </c>
      <c r="J1486" t="s">
        <v>3810</v>
      </c>
      <c r="K1486" t="s">
        <v>239</v>
      </c>
      <c r="L1486" s="13">
        <v>39379</v>
      </c>
      <c r="M1486">
        <v>16</v>
      </c>
      <c r="N1486" t="s">
        <v>101</v>
      </c>
      <c r="O1486" t="s">
        <v>3888</v>
      </c>
      <c r="P1486" t="s">
        <v>76</v>
      </c>
      <c r="Q1486" t="s">
        <v>76</v>
      </c>
      <c r="R1486" t="s">
        <v>76</v>
      </c>
      <c r="S1486" t="s">
        <v>76</v>
      </c>
      <c r="T1486" t="s">
        <v>76</v>
      </c>
      <c r="U1486">
        <v>1</v>
      </c>
      <c r="V1486" s="13">
        <v>45175</v>
      </c>
      <c r="W1486">
        <v>1</v>
      </c>
      <c r="X1486">
        <v>1</v>
      </c>
      <c r="Y1486" t="s">
        <v>3688</v>
      </c>
      <c r="AC1486">
        <v>5115</v>
      </c>
      <c r="AD1486" t="e" vm="1476">
        <v>#VALUE!</v>
      </c>
    </row>
    <row r="1487" spans="2:30" x14ac:dyDescent="0.25">
      <c r="B1487">
        <v>5116</v>
      </c>
      <c r="C1487" t="s">
        <v>3684</v>
      </c>
      <c r="D1487" t="s">
        <v>3687</v>
      </c>
      <c r="E1487" t="s">
        <v>3830</v>
      </c>
      <c r="F1487" t="s">
        <v>116</v>
      </c>
      <c r="G1487" t="s">
        <v>113</v>
      </c>
      <c r="H1487" t="s">
        <v>3808</v>
      </c>
      <c r="I1487" t="s">
        <v>3809</v>
      </c>
      <c r="J1487" t="s">
        <v>3810</v>
      </c>
      <c r="K1487" t="s">
        <v>239</v>
      </c>
      <c r="L1487" s="13">
        <v>39373</v>
      </c>
      <c r="M1487">
        <v>16</v>
      </c>
      <c r="N1487" t="s">
        <v>101</v>
      </c>
      <c r="O1487" t="s">
        <v>3888</v>
      </c>
      <c r="P1487" t="s">
        <v>76</v>
      </c>
      <c r="Q1487" t="s">
        <v>76</v>
      </c>
      <c r="R1487" t="s">
        <v>76</v>
      </c>
      <c r="S1487" t="s">
        <v>76</v>
      </c>
      <c r="T1487" t="s">
        <v>76</v>
      </c>
      <c r="U1487">
        <v>1</v>
      </c>
      <c r="V1487" s="13">
        <v>45175</v>
      </c>
      <c r="W1487">
        <v>1</v>
      </c>
      <c r="X1487">
        <v>1</v>
      </c>
      <c r="Y1487" t="s">
        <v>3688</v>
      </c>
      <c r="AC1487">
        <v>5116</v>
      </c>
      <c r="AD1487" t="e" vm="1477">
        <v>#VALUE!</v>
      </c>
    </row>
    <row r="1488" spans="2:30" x14ac:dyDescent="0.25">
      <c r="B1488">
        <v>5117</v>
      </c>
      <c r="C1488" t="s">
        <v>3684</v>
      </c>
      <c r="D1488" t="s">
        <v>3687</v>
      </c>
      <c r="E1488" t="s">
        <v>3830</v>
      </c>
      <c r="F1488" t="s">
        <v>116</v>
      </c>
      <c r="G1488" t="s">
        <v>113</v>
      </c>
      <c r="H1488" t="s">
        <v>3808</v>
      </c>
      <c r="I1488" t="s">
        <v>3809</v>
      </c>
      <c r="J1488" t="s">
        <v>3810</v>
      </c>
      <c r="K1488" t="s">
        <v>239</v>
      </c>
      <c r="L1488" s="13">
        <v>39379</v>
      </c>
      <c r="M1488">
        <v>16</v>
      </c>
      <c r="N1488" t="s">
        <v>101</v>
      </c>
      <c r="O1488" t="s">
        <v>3888</v>
      </c>
      <c r="P1488" t="s">
        <v>76</v>
      </c>
      <c r="Q1488" t="s">
        <v>76</v>
      </c>
      <c r="R1488" t="s">
        <v>76</v>
      </c>
      <c r="S1488" t="s">
        <v>76</v>
      </c>
      <c r="T1488" t="s">
        <v>76</v>
      </c>
      <c r="U1488">
        <v>1</v>
      </c>
      <c r="V1488" s="13">
        <v>45175</v>
      </c>
      <c r="W1488">
        <v>1</v>
      </c>
      <c r="X1488">
        <v>1</v>
      </c>
      <c r="Y1488" t="s">
        <v>3688</v>
      </c>
      <c r="AC1488">
        <v>5117</v>
      </c>
      <c r="AD1488" t="e" vm="1478">
        <v>#VALUE!</v>
      </c>
    </row>
    <row r="1489" spans="2:30" x14ac:dyDescent="0.25">
      <c r="B1489">
        <v>5118</v>
      </c>
      <c r="C1489" t="s">
        <v>3684</v>
      </c>
      <c r="D1489" t="s">
        <v>3687</v>
      </c>
      <c r="E1489" t="s">
        <v>3830</v>
      </c>
      <c r="F1489" t="s">
        <v>116</v>
      </c>
      <c r="G1489" t="s">
        <v>113</v>
      </c>
      <c r="H1489" t="s">
        <v>3808</v>
      </c>
      <c r="I1489" t="s">
        <v>3809</v>
      </c>
      <c r="J1489" t="s">
        <v>3810</v>
      </c>
      <c r="K1489" t="s">
        <v>239</v>
      </c>
      <c r="L1489" s="13">
        <v>39379</v>
      </c>
      <c r="M1489">
        <v>16</v>
      </c>
      <c r="N1489" t="s">
        <v>101</v>
      </c>
      <c r="O1489" t="s">
        <v>3888</v>
      </c>
      <c r="P1489" t="s">
        <v>76</v>
      </c>
      <c r="Q1489" t="s">
        <v>76</v>
      </c>
      <c r="R1489" t="s">
        <v>76</v>
      </c>
      <c r="S1489" t="s">
        <v>76</v>
      </c>
      <c r="T1489" t="s">
        <v>76</v>
      </c>
      <c r="U1489">
        <v>1</v>
      </c>
      <c r="V1489" s="13">
        <v>45175</v>
      </c>
      <c r="W1489">
        <v>1</v>
      </c>
      <c r="X1489">
        <v>1</v>
      </c>
      <c r="Y1489" t="s">
        <v>3688</v>
      </c>
      <c r="AC1489">
        <v>5118</v>
      </c>
      <c r="AD1489" t="e" vm="1479">
        <v>#VALUE!</v>
      </c>
    </row>
    <row r="1490" spans="2:30" x14ac:dyDescent="0.25">
      <c r="B1490">
        <v>5119</v>
      </c>
      <c r="C1490" t="s">
        <v>3684</v>
      </c>
      <c r="D1490" t="s">
        <v>3687</v>
      </c>
      <c r="E1490" t="s">
        <v>3830</v>
      </c>
      <c r="F1490" t="s">
        <v>116</v>
      </c>
      <c r="G1490" t="s">
        <v>113</v>
      </c>
      <c r="H1490" t="s">
        <v>3808</v>
      </c>
      <c r="I1490" t="s">
        <v>3809</v>
      </c>
      <c r="J1490" t="s">
        <v>3810</v>
      </c>
      <c r="K1490" t="s">
        <v>239</v>
      </c>
      <c r="L1490" s="13">
        <v>39379</v>
      </c>
      <c r="M1490">
        <v>16</v>
      </c>
      <c r="N1490" t="s">
        <v>101</v>
      </c>
      <c r="O1490" t="s">
        <v>3888</v>
      </c>
      <c r="P1490" t="s">
        <v>76</v>
      </c>
      <c r="Q1490" t="s">
        <v>76</v>
      </c>
      <c r="R1490" t="s">
        <v>76</v>
      </c>
      <c r="S1490" t="s">
        <v>76</v>
      </c>
      <c r="T1490" t="s">
        <v>76</v>
      </c>
      <c r="U1490">
        <v>1</v>
      </c>
      <c r="V1490" s="13">
        <v>45175</v>
      </c>
      <c r="W1490">
        <v>1</v>
      </c>
      <c r="X1490">
        <v>1</v>
      </c>
      <c r="Y1490" t="s">
        <v>3688</v>
      </c>
      <c r="AC1490">
        <v>5119</v>
      </c>
      <c r="AD1490" t="e" vm="1480">
        <v>#VALUE!</v>
      </c>
    </row>
    <row r="1491" spans="2:30" x14ac:dyDescent="0.25">
      <c r="B1491">
        <v>5120</v>
      </c>
      <c r="C1491" t="s">
        <v>3684</v>
      </c>
      <c r="D1491" t="s">
        <v>3687</v>
      </c>
      <c r="E1491" t="s">
        <v>3830</v>
      </c>
      <c r="F1491" t="s">
        <v>116</v>
      </c>
      <c r="G1491" t="s">
        <v>113</v>
      </c>
      <c r="H1491" t="s">
        <v>3808</v>
      </c>
      <c r="I1491" t="s">
        <v>3809</v>
      </c>
      <c r="J1491" t="s">
        <v>3810</v>
      </c>
      <c r="K1491" t="s">
        <v>239</v>
      </c>
      <c r="L1491" s="13">
        <v>39381</v>
      </c>
      <c r="M1491">
        <v>16</v>
      </c>
      <c r="N1491" t="s">
        <v>101</v>
      </c>
      <c r="O1491" t="s">
        <v>3888</v>
      </c>
      <c r="P1491" t="s">
        <v>76</v>
      </c>
      <c r="Q1491" t="s">
        <v>76</v>
      </c>
      <c r="R1491" t="s">
        <v>76</v>
      </c>
      <c r="S1491" t="s">
        <v>76</v>
      </c>
      <c r="T1491" t="s">
        <v>76</v>
      </c>
      <c r="U1491">
        <v>1</v>
      </c>
      <c r="V1491" s="13">
        <v>45175</v>
      </c>
      <c r="W1491">
        <v>1</v>
      </c>
      <c r="X1491">
        <v>1</v>
      </c>
      <c r="Y1491" t="s">
        <v>3688</v>
      </c>
      <c r="AC1491">
        <v>5120</v>
      </c>
      <c r="AD1491" t="e" vm="1481">
        <v>#VALUE!</v>
      </c>
    </row>
    <row r="1492" spans="2:30" x14ac:dyDescent="0.25">
      <c r="B1492">
        <v>5121</v>
      </c>
      <c r="C1492" t="s">
        <v>3684</v>
      </c>
      <c r="D1492" t="s">
        <v>3687</v>
      </c>
      <c r="E1492" t="s">
        <v>3830</v>
      </c>
      <c r="F1492" t="s">
        <v>116</v>
      </c>
      <c r="G1492" t="s">
        <v>113</v>
      </c>
      <c r="H1492" t="s">
        <v>3808</v>
      </c>
      <c r="I1492" t="s">
        <v>3809</v>
      </c>
      <c r="J1492" t="s">
        <v>3810</v>
      </c>
      <c r="K1492" t="s">
        <v>239</v>
      </c>
      <c r="L1492" s="13">
        <v>39381</v>
      </c>
      <c r="M1492">
        <v>16</v>
      </c>
      <c r="N1492" t="s">
        <v>101</v>
      </c>
      <c r="O1492" t="s">
        <v>3888</v>
      </c>
      <c r="P1492" t="s">
        <v>76</v>
      </c>
      <c r="Q1492" t="s">
        <v>76</v>
      </c>
      <c r="R1492" t="s">
        <v>76</v>
      </c>
      <c r="S1492" t="s">
        <v>76</v>
      </c>
      <c r="T1492" t="s">
        <v>76</v>
      </c>
      <c r="U1492">
        <v>1</v>
      </c>
      <c r="V1492" s="13">
        <v>45175</v>
      </c>
      <c r="W1492">
        <v>1</v>
      </c>
      <c r="X1492">
        <v>1</v>
      </c>
      <c r="Y1492" t="s">
        <v>3688</v>
      </c>
      <c r="AC1492">
        <v>5121</v>
      </c>
      <c r="AD1492" t="e" vm="1482">
        <v>#VALUE!</v>
      </c>
    </row>
    <row r="1493" spans="2:30" x14ac:dyDescent="0.25">
      <c r="B1493">
        <v>5122</v>
      </c>
      <c r="C1493" t="s">
        <v>3684</v>
      </c>
      <c r="D1493" t="s">
        <v>3687</v>
      </c>
      <c r="E1493" t="s">
        <v>3830</v>
      </c>
      <c r="F1493" t="s">
        <v>116</v>
      </c>
      <c r="G1493" t="s">
        <v>113</v>
      </c>
      <c r="H1493" t="s">
        <v>3808</v>
      </c>
      <c r="I1493" t="s">
        <v>3809</v>
      </c>
      <c r="J1493" t="s">
        <v>3810</v>
      </c>
      <c r="K1493" t="s">
        <v>239</v>
      </c>
      <c r="L1493" s="13">
        <v>39381</v>
      </c>
      <c r="M1493">
        <v>16</v>
      </c>
      <c r="N1493" t="s">
        <v>101</v>
      </c>
      <c r="O1493" t="s">
        <v>3888</v>
      </c>
      <c r="P1493" t="s">
        <v>76</v>
      </c>
      <c r="Q1493" t="s">
        <v>76</v>
      </c>
      <c r="R1493" t="s">
        <v>76</v>
      </c>
      <c r="S1493" t="s">
        <v>76</v>
      </c>
      <c r="T1493" t="s">
        <v>76</v>
      </c>
      <c r="U1493">
        <v>1</v>
      </c>
      <c r="V1493" s="13">
        <v>45175</v>
      </c>
      <c r="W1493">
        <v>1</v>
      </c>
      <c r="X1493">
        <v>1</v>
      </c>
      <c r="Y1493" t="s">
        <v>3688</v>
      </c>
      <c r="AC1493">
        <v>5122</v>
      </c>
      <c r="AD1493" t="e" vm="1483">
        <v>#VALUE!</v>
      </c>
    </row>
    <row r="1494" spans="2:30" x14ac:dyDescent="0.25">
      <c r="B1494">
        <v>5123</v>
      </c>
      <c r="C1494" t="s">
        <v>3684</v>
      </c>
      <c r="D1494" t="s">
        <v>3687</v>
      </c>
      <c r="E1494" t="s">
        <v>3830</v>
      </c>
      <c r="F1494" t="s">
        <v>116</v>
      </c>
      <c r="G1494" t="s">
        <v>113</v>
      </c>
      <c r="H1494" t="s">
        <v>3808</v>
      </c>
      <c r="I1494" t="s">
        <v>3809</v>
      </c>
      <c r="J1494" t="s">
        <v>3810</v>
      </c>
      <c r="K1494" t="s">
        <v>239</v>
      </c>
      <c r="L1494" s="13">
        <v>39391</v>
      </c>
      <c r="M1494">
        <v>16</v>
      </c>
      <c r="N1494" t="s">
        <v>101</v>
      </c>
      <c r="O1494" t="s">
        <v>3888</v>
      </c>
      <c r="P1494" t="s">
        <v>76</v>
      </c>
      <c r="Q1494" t="s">
        <v>76</v>
      </c>
      <c r="R1494" t="s">
        <v>76</v>
      </c>
      <c r="S1494" t="s">
        <v>76</v>
      </c>
      <c r="T1494" t="s">
        <v>76</v>
      </c>
      <c r="U1494">
        <v>1</v>
      </c>
      <c r="V1494" s="13">
        <v>45175</v>
      </c>
      <c r="W1494">
        <v>1</v>
      </c>
      <c r="X1494">
        <v>1</v>
      </c>
      <c r="Y1494" t="s">
        <v>3688</v>
      </c>
      <c r="AC1494">
        <v>5123</v>
      </c>
      <c r="AD1494" t="e" vm="1484">
        <v>#VALUE!</v>
      </c>
    </row>
    <row r="1495" spans="2:30" x14ac:dyDescent="0.25">
      <c r="B1495">
        <v>5124</v>
      </c>
      <c r="C1495" t="s">
        <v>3684</v>
      </c>
      <c r="D1495" t="s">
        <v>3687</v>
      </c>
      <c r="E1495" t="s">
        <v>3830</v>
      </c>
      <c r="F1495" t="s">
        <v>116</v>
      </c>
      <c r="G1495" t="s">
        <v>113</v>
      </c>
      <c r="H1495" t="s">
        <v>3808</v>
      </c>
      <c r="I1495" t="s">
        <v>3809</v>
      </c>
      <c r="J1495" t="s">
        <v>3810</v>
      </c>
      <c r="K1495" t="s">
        <v>239</v>
      </c>
      <c r="L1495" s="13">
        <v>39394</v>
      </c>
      <c r="M1495">
        <v>16</v>
      </c>
      <c r="N1495" t="s">
        <v>101</v>
      </c>
      <c r="O1495" t="s">
        <v>3888</v>
      </c>
      <c r="P1495" t="s">
        <v>76</v>
      </c>
      <c r="Q1495" t="s">
        <v>76</v>
      </c>
      <c r="R1495" t="s">
        <v>76</v>
      </c>
      <c r="S1495" t="s">
        <v>76</v>
      </c>
      <c r="T1495" t="s">
        <v>76</v>
      </c>
      <c r="U1495">
        <v>1</v>
      </c>
      <c r="V1495" s="13">
        <v>45175</v>
      </c>
      <c r="W1495">
        <v>1</v>
      </c>
      <c r="X1495">
        <v>1</v>
      </c>
      <c r="Y1495" t="s">
        <v>3688</v>
      </c>
      <c r="AC1495">
        <v>5124</v>
      </c>
      <c r="AD1495" t="e" vm="1485">
        <v>#VALUE!</v>
      </c>
    </row>
    <row r="1496" spans="2:30" x14ac:dyDescent="0.25">
      <c r="B1496">
        <v>5125</v>
      </c>
      <c r="C1496" t="s">
        <v>3684</v>
      </c>
      <c r="D1496" t="s">
        <v>3687</v>
      </c>
      <c r="E1496" t="s">
        <v>3830</v>
      </c>
      <c r="F1496" t="s">
        <v>116</v>
      </c>
      <c r="G1496" t="s">
        <v>113</v>
      </c>
      <c r="H1496" t="s">
        <v>3808</v>
      </c>
      <c r="I1496" t="s">
        <v>3809</v>
      </c>
      <c r="J1496" t="s">
        <v>3810</v>
      </c>
      <c r="K1496" t="s">
        <v>239</v>
      </c>
      <c r="L1496" s="13">
        <v>39391</v>
      </c>
      <c r="M1496">
        <v>16</v>
      </c>
      <c r="N1496" t="s">
        <v>101</v>
      </c>
      <c r="O1496" t="s">
        <v>3888</v>
      </c>
      <c r="P1496" t="s">
        <v>76</v>
      </c>
      <c r="Q1496" t="s">
        <v>76</v>
      </c>
      <c r="R1496" t="s">
        <v>76</v>
      </c>
      <c r="S1496" t="s">
        <v>76</v>
      </c>
      <c r="T1496" t="s">
        <v>76</v>
      </c>
      <c r="U1496">
        <v>1</v>
      </c>
      <c r="V1496" s="13">
        <v>45175</v>
      </c>
      <c r="W1496">
        <v>1</v>
      </c>
      <c r="X1496">
        <v>1</v>
      </c>
      <c r="Y1496" t="s">
        <v>3688</v>
      </c>
      <c r="AC1496">
        <v>5125</v>
      </c>
      <c r="AD1496" t="e" vm="1486">
        <v>#VALUE!</v>
      </c>
    </row>
    <row r="1497" spans="2:30" x14ac:dyDescent="0.25">
      <c r="B1497">
        <v>5126</v>
      </c>
      <c r="C1497" t="s">
        <v>3662</v>
      </c>
      <c r="D1497" t="s">
        <v>3737</v>
      </c>
      <c r="E1497" t="s">
        <v>3876</v>
      </c>
      <c r="F1497" t="s">
        <v>89</v>
      </c>
      <c r="G1497" t="s">
        <v>100</v>
      </c>
      <c r="H1497" t="s">
        <v>3808</v>
      </c>
      <c r="I1497" t="s">
        <v>3809</v>
      </c>
      <c r="J1497" t="s">
        <v>3810</v>
      </c>
      <c r="K1497" t="s">
        <v>239</v>
      </c>
      <c r="L1497" s="13">
        <v>39548</v>
      </c>
      <c r="M1497">
        <v>15</v>
      </c>
      <c r="N1497" t="s">
        <v>79</v>
      </c>
      <c r="O1497" t="s">
        <v>3888</v>
      </c>
      <c r="P1497" t="s">
        <v>76</v>
      </c>
      <c r="Q1497" t="s">
        <v>76</v>
      </c>
      <c r="R1497" t="s">
        <v>76</v>
      </c>
      <c r="S1497" t="s">
        <v>76</v>
      </c>
      <c r="T1497" t="s">
        <v>76</v>
      </c>
      <c r="U1497">
        <v>1</v>
      </c>
      <c r="V1497" s="13">
        <v>45175</v>
      </c>
      <c r="W1497">
        <v>1</v>
      </c>
      <c r="X1497">
        <v>1</v>
      </c>
      <c r="Y1497" t="s">
        <v>3738</v>
      </c>
      <c r="AC1497">
        <v>5126</v>
      </c>
      <c r="AD1497" t="e" vm="1487">
        <v>#VALUE!</v>
      </c>
    </row>
    <row r="1498" spans="2:30" x14ac:dyDescent="0.25">
      <c r="B1498">
        <v>5127</v>
      </c>
      <c r="C1498" t="s">
        <v>3662</v>
      </c>
      <c r="D1498" t="s">
        <v>3737</v>
      </c>
      <c r="E1498" t="s">
        <v>3876</v>
      </c>
      <c r="F1498" t="s">
        <v>89</v>
      </c>
      <c r="G1498" t="s">
        <v>100</v>
      </c>
      <c r="H1498" t="s">
        <v>3808</v>
      </c>
      <c r="I1498" t="s">
        <v>3809</v>
      </c>
      <c r="J1498" t="s">
        <v>3810</v>
      </c>
      <c r="K1498" t="s">
        <v>239</v>
      </c>
      <c r="L1498" s="13">
        <v>39548</v>
      </c>
      <c r="M1498">
        <v>15</v>
      </c>
      <c r="N1498" t="s">
        <v>79</v>
      </c>
      <c r="O1498" t="s">
        <v>3888</v>
      </c>
      <c r="P1498" t="s">
        <v>76</v>
      </c>
      <c r="Q1498" t="s">
        <v>76</v>
      </c>
      <c r="R1498" t="s">
        <v>76</v>
      </c>
      <c r="S1498" t="s">
        <v>76</v>
      </c>
      <c r="T1498" t="s">
        <v>76</v>
      </c>
      <c r="U1498">
        <v>1</v>
      </c>
      <c r="V1498" s="13">
        <v>45175</v>
      </c>
      <c r="W1498">
        <v>1</v>
      </c>
      <c r="X1498">
        <v>1</v>
      </c>
      <c r="Y1498" t="s">
        <v>3738</v>
      </c>
      <c r="AC1498">
        <v>5127</v>
      </c>
      <c r="AD1498" t="e" vm="1488">
        <v>#VALUE!</v>
      </c>
    </row>
    <row r="1499" spans="2:30" x14ac:dyDescent="0.25">
      <c r="B1499">
        <v>5128</v>
      </c>
      <c r="C1499" t="s">
        <v>3662</v>
      </c>
      <c r="D1499" t="s">
        <v>3737</v>
      </c>
      <c r="E1499" t="s">
        <v>3876</v>
      </c>
      <c r="F1499" t="s">
        <v>89</v>
      </c>
      <c r="G1499" t="s">
        <v>100</v>
      </c>
      <c r="H1499" t="s">
        <v>3808</v>
      </c>
      <c r="I1499" t="s">
        <v>3809</v>
      </c>
      <c r="J1499" t="s">
        <v>3810</v>
      </c>
      <c r="K1499" t="s">
        <v>239</v>
      </c>
      <c r="L1499" s="13">
        <v>39548</v>
      </c>
      <c r="M1499">
        <v>15</v>
      </c>
      <c r="N1499" t="s">
        <v>79</v>
      </c>
      <c r="O1499" t="s">
        <v>3888</v>
      </c>
      <c r="P1499" t="s">
        <v>76</v>
      </c>
      <c r="Q1499" t="s">
        <v>76</v>
      </c>
      <c r="R1499" t="s">
        <v>76</v>
      </c>
      <c r="S1499" t="s">
        <v>76</v>
      </c>
      <c r="T1499" t="s">
        <v>76</v>
      </c>
      <c r="U1499">
        <v>1</v>
      </c>
      <c r="V1499" s="13">
        <v>45175</v>
      </c>
      <c r="W1499">
        <v>1</v>
      </c>
      <c r="X1499">
        <v>1</v>
      </c>
      <c r="Y1499" t="s">
        <v>3738</v>
      </c>
      <c r="AC1499">
        <v>5128</v>
      </c>
      <c r="AD1499" t="e" vm="1489">
        <v>#VALUE!</v>
      </c>
    </row>
    <row r="1500" spans="2:30" x14ac:dyDescent="0.25">
      <c r="B1500">
        <v>5129</v>
      </c>
      <c r="C1500" t="s">
        <v>3662</v>
      </c>
      <c r="D1500" t="s">
        <v>3737</v>
      </c>
      <c r="E1500" t="s">
        <v>3876</v>
      </c>
      <c r="F1500" t="s">
        <v>89</v>
      </c>
      <c r="G1500" t="s">
        <v>100</v>
      </c>
      <c r="H1500" t="s">
        <v>3808</v>
      </c>
      <c r="I1500" t="s">
        <v>3809</v>
      </c>
      <c r="J1500" t="s">
        <v>3810</v>
      </c>
      <c r="K1500" t="s">
        <v>239</v>
      </c>
      <c r="L1500" s="13">
        <v>39548</v>
      </c>
      <c r="M1500">
        <v>15</v>
      </c>
      <c r="N1500" t="s">
        <v>79</v>
      </c>
      <c r="O1500" t="s">
        <v>3888</v>
      </c>
      <c r="P1500" t="s">
        <v>76</v>
      </c>
      <c r="Q1500" t="s">
        <v>76</v>
      </c>
      <c r="R1500" t="s">
        <v>76</v>
      </c>
      <c r="S1500" t="s">
        <v>76</v>
      </c>
      <c r="T1500" t="s">
        <v>76</v>
      </c>
      <c r="U1500">
        <v>1</v>
      </c>
      <c r="V1500" s="13">
        <v>45175</v>
      </c>
      <c r="W1500">
        <v>1</v>
      </c>
      <c r="X1500">
        <v>1</v>
      </c>
      <c r="Y1500" t="s">
        <v>3738</v>
      </c>
      <c r="AC1500">
        <v>5129</v>
      </c>
      <c r="AD1500" t="e" vm="1490">
        <v>#VALUE!</v>
      </c>
    </row>
    <row r="1501" spans="2:30" x14ac:dyDescent="0.25">
      <c r="B1501">
        <v>5130</v>
      </c>
      <c r="C1501" t="s">
        <v>3662</v>
      </c>
      <c r="D1501" t="s">
        <v>3737</v>
      </c>
      <c r="E1501" t="s">
        <v>3876</v>
      </c>
      <c r="F1501" t="s">
        <v>89</v>
      </c>
      <c r="G1501" t="s">
        <v>100</v>
      </c>
      <c r="H1501" t="s">
        <v>3808</v>
      </c>
      <c r="I1501" t="s">
        <v>3809</v>
      </c>
      <c r="J1501" t="s">
        <v>3810</v>
      </c>
      <c r="K1501" t="s">
        <v>239</v>
      </c>
      <c r="L1501" s="13">
        <v>39548</v>
      </c>
      <c r="M1501">
        <v>15</v>
      </c>
      <c r="N1501" t="s">
        <v>79</v>
      </c>
      <c r="O1501" t="s">
        <v>3888</v>
      </c>
      <c r="P1501" t="s">
        <v>76</v>
      </c>
      <c r="Q1501" t="s">
        <v>76</v>
      </c>
      <c r="R1501" t="s">
        <v>76</v>
      </c>
      <c r="S1501" t="s">
        <v>76</v>
      </c>
      <c r="T1501" t="s">
        <v>76</v>
      </c>
      <c r="U1501">
        <v>1</v>
      </c>
      <c r="V1501" s="13">
        <v>45175</v>
      </c>
      <c r="W1501">
        <v>1</v>
      </c>
      <c r="X1501">
        <v>1</v>
      </c>
      <c r="Y1501" t="s">
        <v>3738</v>
      </c>
      <c r="AC1501">
        <v>5130</v>
      </c>
      <c r="AD1501" t="e" vm="1491">
        <v>#VALUE!</v>
      </c>
    </row>
    <row r="1502" spans="2:30" x14ac:dyDescent="0.25">
      <c r="B1502">
        <v>5131</v>
      </c>
      <c r="C1502" t="s">
        <v>3662</v>
      </c>
      <c r="D1502" t="s">
        <v>3737</v>
      </c>
      <c r="E1502" t="s">
        <v>3876</v>
      </c>
      <c r="F1502" t="s">
        <v>89</v>
      </c>
      <c r="G1502" t="s">
        <v>100</v>
      </c>
      <c r="H1502" t="s">
        <v>3808</v>
      </c>
      <c r="I1502" t="s">
        <v>3809</v>
      </c>
      <c r="J1502" t="s">
        <v>3810</v>
      </c>
      <c r="K1502" t="s">
        <v>239</v>
      </c>
      <c r="L1502" s="13">
        <v>39548</v>
      </c>
      <c r="M1502">
        <v>15</v>
      </c>
      <c r="N1502" t="s">
        <v>79</v>
      </c>
      <c r="O1502" t="s">
        <v>3888</v>
      </c>
      <c r="P1502" t="s">
        <v>76</v>
      </c>
      <c r="Q1502" t="s">
        <v>76</v>
      </c>
      <c r="R1502" t="s">
        <v>76</v>
      </c>
      <c r="S1502" t="s">
        <v>76</v>
      </c>
      <c r="T1502" t="s">
        <v>76</v>
      </c>
      <c r="U1502">
        <v>1</v>
      </c>
      <c r="V1502" s="13">
        <v>45175</v>
      </c>
      <c r="W1502">
        <v>1</v>
      </c>
      <c r="X1502">
        <v>1</v>
      </c>
      <c r="Y1502" t="s">
        <v>3738</v>
      </c>
      <c r="AC1502">
        <v>5131</v>
      </c>
      <c r="AD1502" t="e" vm="1492">
        <v>#VALUE!</v>
      </c>
    </row>
    <row r="1503" spans="2:30" x14ac:dyDescent="0.25">
      <c r="B1503">
        <v>5132</v>
      </c>
      <c r="C1503" t="s">
        <v>3662</v>
      </c>
      <c r="D1503" t="s">
        <v>3737</v>
      </c>
      <c r="E1503" t="s">
        <v>3876</v>
      </c>
      <c r="F1503" t="s">
        <v>89</v>
      </c>
      <c r="G1503" t="s">
        <v>100</v>
      </c>
      <c r="H1503" t="s">
        <v>3808</v>
      </c>
      <c r="I1503" t="s">
        <v>3809</v>
      </c>
      <c r="J1503" t="s">
        <v>3810</v>
      </c>
      <c r="K1503" t="s">
        <v>239</v>
      </c>
      <c r="L1503" s="13">
        <v>39548</v>
      </c>
      <c r="M1503">
        <v>15</v>
      </c>
      <c r="N1503" t="s">
        <v>79</v>
      </c>
      <c r="O1503" t="s">
        <v>3888</v>
      </c>
      <c r="P1503" t="s">
        <v>76</v>
      </c>
      <c r="Q1503" t="s">
        <v>76</v>
      </c>
      <c r="R1503" t="s">
        <v>76</v>
      </c>
      <c r="S1503" t="s">
        <v>76</v>
      </c>
      <c r="T1503" t="s">
        <v>76</v>
      </c>
      <c r="U1503">
        <v>1</v>
      </c>
      <c r="V1503" s="13">
        <v>45175</v>
      </c>
      <c r="W1503">
        <v>1</v>
      </c>
      <c r="X1503">
        <v>1</v>
      </c>
      <c r="Y1503" t="s">
        <v>3738</v>
      </c>
      <c r="AC1503">
        <v>5132</v>
      </c>
      <c r="AD1503" t="e" vm="1493">
        <v>#VALUE!</v>
      </c>
    </row>
    <row r="1504" spans="2:30" x14ac:dyDescent="0.25">
      <c r="B1504">
        <v>5133</v>
      </c>
      <c r="C1504" t="s">
        <v>3662</v>
      </c>
      <c r="D1504" t="s">
        <v>3737</v>
      </c>
      <c r="E1504" t="s">
        <v>3876</v>
      </c>
      <c r="F1504" t="s">
        <v>89</v>
      </c>
      <c r="G1504" t="s">
        <v>100</v>
      </c>
      <c r="H1504" t="s">
        <v>3808</v>
      </c>
      <c r="I1504" t="s">
        <v>3809</v>
      </c>
      <c r="J1504" t="s">
        <v>3810</v>
      </c>
      <c r="K1504" t="s">
        <v>239</v>
      </c>
      <c r="L1504" s="13">
        <v>39552</v>
      </c>
      <c r="M1504">
        <v>15</v>
      </c>
      <c r="N1504" t="s">
        <v>79</v>
      </c>
      <c r="O1504" t="s">
        <v>3888</v>
      </c>
      <c r="P1504" t="s">
        <v>76</v>
      </c>
      <c r="Q1504" t="s">
        <v>76</v>
      </c>
      <c r="R1504" t="s">
        <v>76</v>
      </c>
      <c r="S1504" t="s">
        <v>76</v>
      </c>
      <c r="T1504" t="s">
        <v>76</v>
      </c>
      <c r="U1504">
        <v>1</v>
      </c>
      <c r="V1504" s="13">
        <v>45175</v>
      </c>
      <c r="W1504">
        <v>1</v>
      </c>
      <c r="X1504">
        <v>1</v>
      </c>
      <c r="Y1504" t="s">
        <v>3738</v>
      </c>
      <c r="AC1504">
        <v>5133</v>
      </c>
      <c r="AD1504" t="e" vm="1494">
        <v>#VALUE!</v>
      </c>
    </row>
    <row r="1505" spans="2:30" x14ac:dyDescent="0.25">
      <c r="B1505">
        <v>5134</v>
      </c>
      <c r="C1505" t="s">
        <v>3662</v>
      </c>
      <c r="D1505" t="s">
        <v>3737</v>
      </c>
      <c r="E1505" t="s">
        <v>3876</v>
      </c>
      <c r="F1505" t="s">
        <v>89</v>
      </c>
      <c r="G1505" t="s">
        <v>100</v>
      </c>
      <c r="H1505" t="s">
        <v>3808</v>
      </c>
      <c r="I1505" t="s">
        <v>3809</v>
      </c>
      <c r="J1505" t="s">
        <v>3810</v>
      </c>
      <c r="K1505" t="s">
        <v>239</v>
      </c>
      <c r="L1505" s="13">
        <v>39552</v>
      </c>
      <c r="M1505">
        <v>15</v>
      </c>
      <c r="N1505" t="s">
        <v>79</v>
      </c>
      <c r="O1505" t="s">
        <v>3888</v>
      </c>
      <c r="P1505" t="s">
        <v>76</v>
      </c>
      <c r="Q1505" t="s">
        <v>76</v>
      </c>
      <c r="R1505" t="s">
        <v>76</v>
      </c>
      <c r="S1505" t="s">
        <v>76</v>
      </c>
      <c r="T1505" t="s">
        <v>76</v>
      </c>
      <c r="U1505">
        <v>1</v>
      </c>
      <c r="V1505" s="13">
        <v>45175</v>
      </c>
      <c r="W1505">
        <v>1</v>
      </c>
      <c r="X1505">
        <v>1</v>
      </c>
      <c r="Y1505" t="s">
        <v>3738</v>
      </c>
      <c r="AC1505">
        <v>5134</v>
      </c>
      <c r="AD1505" t="e" vm="1495">
        <v>#VALUE!</v>
      </c>
    </row>
    <row r="1506" spans="2:30" x14ac:dyDescent="0.25">
      <c r="B1506">
        <v>5135</v>
      </c>
      <c r="C1506" t="s">
        <v>3662</v>
      </c>
      <c r="D1506" t="s">
        <v>3737</v>
      </c>
      <c r="E1506" t="s">
        <v>3876</v>
      </c>
      <c r="F1506" t="s">
        <v>89</v>
      </c>
      <c r="G1506" t="s">
        <v>100</v>
      </c>
      <c r="H1506" t="s">
        <v>3808</v>
      </c>
      <c r="I1506" t="s">
        <v>3809</v>
      </c>
      <c r="J1506" t="s">
        <v>3810</v>
      </c>
      <c r="K1506" t="s">
        <v>239</v>
      </c>
      <c r="L1506" s="13">
        <v>39552</v>
      </c>
      <c r="M1506">
        <v>15</v>
      </c>
      <c r="N1506" t="s">
        <v>79</v>
      </c>
      <c r="O1506" t="s">
        <v>3888</v>
      </c>
      <c r="P1506" t="s">
        <v>76</v>
      </c>
      <c r="Q1506" t="s">
        <v>76</v>
      </c>
      <c r="R1506" t="s">
        <v>76</v>
      </c>
      <c r="S1506" t="s">
        <v>76</v>
      </c>
      <c r="T1506" t="s">
        <v>76</v>
      </c>
      <c r="U1506">
        <v>1</v>
      </c>
      <c r="V1506" s="13">
        <v>45175</v>
      </c>
      <c r="W1506">
        <v>1</v>
      </c>
      <c r="X1506">
        <v>1</v>
      </c>
      <c r="Y1506" t="s">
        <v>3738</v>
      </c>
      <c r="AC1506">
        <v>5135</v>
      </c>
      <c r="AD1506" t="e" vm="1496">
        <v>#VALUE!</v>
      </c>
    </row>
    <row r="1507" spans="2:30" x14ac:dyDescent="0.25">
      <c r="B1507">
        <v>5137</v>
      </c>
      <c r="C1507" t="s">
        <v>3668</v>
      </c>
      <c r="D1507" t="s">
        <v>3725</v>
      </c>
      <c r="E1507" t="s">
        <v>3866</v>
      </c>
      <c r="F1507" t="s">
        <v>105</v>
      </c>
      <c r="G1507" t="s">
        <v>104</v>
      </c>
      <c r="H1507" t="s">
        <v>3808</v>
      </c>
      <c r="I1507" t="s">
        <v>3809</v>
      </c>
      <c r="J1507" t="s">
        <v>3810</v>
      </c>
      <c r="K1507" t="s">
        <v>239</v>
      </c>
      <c r="L1507" s="13">
        <v>39549</v>
      </c>
      <c r="M1507">
        <v>15</v>
      </c>
      <c r="N1507" t="s">
        <v>82</v>
      </c>
      <c r="O1507" t="s">
        <v>3888</v>
      </c>
      <c r="P1507" t="s">
        <v>76</v>
      </c>
      <c r="Q1507" t="s">
        <v>76</v>
      </c>
      <c r="R1507" t="s">
        <v>76</v>
      </c>
      <c r="S1507" t="s">
        <v>76</v>
      </c>
      <c r="T1507" t="s">
        <v>76</v>
      </c>
      <c r="U1507">
        <v>1</v>
      </c>
      <c r="V1507" s="13">
        <v>45175</v>
      </c>
      <c r="W1507">
        <v>1</v>
      </c>
      <c r="X1507">
        <v>1</v>
      </c>
      <c r="Y1507" t="s">
        <v>3726</v>
      </c>
      <c r="AC1507">
        <v>5137</v>
      </c>
      <c r="AD1507" t="e" vm="1497">
        <v>#VALUE!</v>
      </c>
    </row>
    <row r="1508" spans="2:30" x14ac:dyDescent="0.25">
      <c r="B1508">
        <v>5138</v>
      </c>
      <c r="C1508" t="s">
        <v>3668</v>
      </c>
      <c r="D1508" t="s">
        <v>3725</v>
      </c>
      <c r="E1508" t="s">
        <v>3866</v>
      </c>
      <c r="F1508" t="s">
        <v>105</v>
      </c>
      <c r="G1508" t="s">
        <v>104</v>
      </c>
      <c r="H1508" t="s">
        <v>3808</v>
      </c>
      <c r="I1508" t="s">
        <v>3809</v>
      </c>
      <c r="J1508" t="s">
        <v>3810</v>
      </c>
      <c r="K1508" t="s">
        <v>239</v>
      </c>
      <c r="L1508" s="13">
        <v>39554</v>
      </c>
      <c r="M1508">
        <v>15</v>
      </c>
      <c r="N1508" t="s">
        <v>82</v>
      </c>
      <c r="O1508" t="s">
        <v>3888</v>
      </c>
      <c r="P1508" t="s">
        <v>76</v>
      </c>
      <c r="Q1508" t="s">
        <v>76</v>
      </c>
      <c r="R1508" t="s">
        <v>76</v>
      </c>
      <c r="S1508" t="s">
        <v>76</v>
      </c>
      <c r="T1508" t="s">
        <v>76</v>
      </c>
      <c r="U1508">
        <v>1</v>
      </c>
      <c r="V1508" s="13">
        <v>45175</v>
      </c>
      <c r="W1508">
        <v>1</v>
      </c>
      <c r="X1508">
        <v>1</v>
      </c>
      <c r="Y1508" t="s">
        <v>3726</v>
      </c>
      <c r="AC1508">
        <v>5138</v>
      </c>
      <c r="AD1508" t="e" vm="1498">
        <v>#VALUE!</v>
      </c>
    </row>
    <row r="1509" spans="2:30" x14ac:dyDescent="0.25">
      <c r="B1509">
        <v>5139</v>
      </c>
      <c r="C1509" t="s">
        <v>3668</v>
      </c>
      <c r="D1509" t="s">
        <v>3725</v>
      </c>
      <c r="E1509" t="s">
        <v>3866</v>
      </c>
      <c r="F1509" t="s">
        <v>105</v>
      </c>
      <c r="G1509" t="s">
        <v>104</v>
      </c>
      <c r="H1509" t="s">
        <v>3808</v>
      </c>
      <c r="I1509" t="s">
        <v>3809</v>
      </c>
      <c r="J1509" t="s">
        <v>3810</v>
      </c>
      <c r="K1509" t="s">
        <v>239</v>
      </c>
      <c r="L1509" s="13">
        <v>39554</v>
      </c>
      <c r="M1509">
        <v>15</v>
      </c>
      <c r="N1509" t="s">
        <v>82</v>
      </c>
      <c r="O1509" t="s">
        <v>3888</v>
      </c>
      <c r="P1509" t="s">
        <v>76</v>
      </c>
      <c r="Q1509" t="s">
        <v>76</v>
      </c>
      <c r="R1509" t="s">
        <v>76</v>
      </c>
      <c r="S1509" t="s">
        <v>76</v>
      </c>
      <c r="T1509" t="s">
        <v>76</v>
      </c>
      <c r="U1509">
        <v>1</v>
      </c>
      <c r="V1509" s="13">
        <v>45175</v>
      </c>
      <c r="W1509">
        <v>1</v>
      </c>
      <c r="X1509">
        <v>1</v>
      </c>
      <c r="Y1509" t="s">
        <v>3726</v>
      </c>
      <c r="AC1509">
        <v>5139</v>
      </c>
      <c r="AD1509" t="e" vm="1499">
        <v>#VALUE!</v>
      </c>
    </row>
    <row r="1510" spans="2:30" x14ac:dyDescent="0.25">
      <c r="B1510">
        <v>5140</v>
      </c>
      <c r="C1510" t="s">
        <v>3668</v>
      </c>
      <c r="D1510" t="s">
        <v>3725</v>
      </c>
      <c r="E1510" t="s">
        <v>3866</v>
      </c>
      <c r="F1510" t="s">
        <v>105</v>
      </c>
      <c r="G1510" t="s">
        <v>104</v>
      </c>
      <c r="H1510" t="s">
        <v>3808</v>
      </c>
      <c r="I1510" t="s">
        <v>3809</v>
      </c>
      <c r="J1510" t="s">
        <v>3810</v>
      </c>
      <c r="K1510" t="s">
        <v>239</v>
      </c>
      <c r="L1510" s="13">
        <v>39554</v>
      </c>
      <c r="M1510">
        <v>15</v>
      </c>
      <c r="N1510" t="s">
        <v>82</v>
      </c>
      <c r="O1510" t="s">
        <v>3888</v>
      </c>
      <c r="P1510" t="s">
        <v>76</v>
      </c>
      <c r="Q1510" t="s">
        <v>76</v>
      </c>
      <c r="R1510" t="s">
        <v>76</v>
      </c>
      <c r="S1510" t="s">
        <v>76</v>
      </c>
      <c r="T1510" t="s">
        <v>76</v>
      </c>
      <c r="U1510">
        <v>1</v>
      </c>
      <c r="V1510" s="13">
        <v>45175</v>
      </c>
      <c r="W1510">
        <v>1</v>
      </c>
      <c r="X1510">
        <v>1</v>
      </c>
      <c r="Y1510" t="s">
        <v>3726</v>
      </c>
      <c r="AC1510">
        <v>5140</v>
      </c>
      <c r="AD1510" t="e" vm="1500">
        <v>#VALUE!</v>
      </c>
    </row>
    <row r="1511" spans="2:30" x14ac:dyDescent="0.25">
      <c r="B1511">
        <v>5141</v>
      </c>
      <c r="C1511" t="s">
        <v>3668</v>
      </c>
      <c r="D1511" t="s">
        <v>3725</v>
      </c>
      <c r="E1511" t="s">
        <v>3866</v>
      </c>
      <c r="F1511" t="s">
        <v>105</v>
      </c>
      <c r="G1511" t="s">
        <v>104</v>
      </c>
      <c r="H1511" t="s">
        <v>3808</v>
      </c>
      <c r="I1511" t="s">
        <v>3809</v>
      </c>
      <c r="J1511" t="s">
        <v>3810</v>
      </c>
      <c r="K1511" t="s">
        <v>239</v>
      </c>
      <c r="L1511" s="13">
        <v>39555</v>
      </c>
      <c r="M1511">
        <v>15</v>
      </c>
      <c r="N1511" t="s">
        <v>82</v>
      </c>
      <c r="O1511" t="s">
        <v>3888</v>
      </c>
      <c r="P1511" t="s">
        <v>76</v>
      </c>
      <c r="Q1511" t="s">
        <v>76</v>
      </c>
      <c r="R1511" t="s">
        <v>76</v>
      </c>
      <c r="S1511" t="s">
        <v>76</v>
      </c>
      <c r="T1511" t="s">
        <v>76</v>
      </c>
      <c r="U1511">
        <v>1</v>
      </c>
      <c r="V1511" s="13">
        <v>45175</v>
      </c>
      <c r="W1511">
        <v>1</v>
      </c>
      <c r="X1511">
        <v>1</v>
      </c>
      <c r="Y1511" t="s">
        <v>3726</v>
      </c>
      <c r="AC1511">
        <v>5141</v>
      </c>
      <c r="AD1511" t="e" vm="1501">
        <v>#VALUE!</v>
      </c>
    </row>
    <row r="1512" spans="2:30" x14ac:dyDescent="0.25">
      <c r="B1512">
        <v>5142</v>
      </c>
      <c r="C1512" t="s">
        <v>3668</v>
      </c>
      <c r="D1512" t="s">
        <v>3725</v>
      </c>
      <c r="E1512" t="s">
        <v>3866</v>
      </c>
      <c r="F1512" t="s">
        <v>105</v>
      </c>
      <c r="G1512" t="s">
        <v>104</v>
      </c>
      <c r="H1512" t="s">
        <v>3808</v>
      </c>
      <c r="I1512" t="s">
        <v>3809</v>
      </c>
      <c r="J1512" t="s">
        <v>3810</v>
      </c>
      <c r="K1512" t="s">
        <v>239</v>
      </c>
      <c r="L1512" s="13">
        <v>39555</v>
      </c>
      <c r="M1512">
        <v>15</v>
      </c>
      <c r="N1512" t="s">
        <v>82</v>
      </c>
      <c r="O1512" t="s">
        <v>3888</v>
      </c>
      <c r="P1512" t="s">
        <v>76</v>
      </c>
      <c r="Q1512" t="s">
        <v>76</v>
      </c>
      <c r="R1512" t="s">
        <v>76</v>
      </c>
      <c r="S1512" t="s">
        <v>76</v>
      </c>
      <c r="T1512" t="s">
        <v>76</v>
      </c>
      <c r="U1512">
        <v>1</v>
      </c>
      <c r="V1512" s="13">
        <v>45175</v>
      </c>
      <c r="W1512">
        <v>1</v>
      </c>
      <c r="X1512">
        <v>1</v>
      </c>
      <c r="Y1512" t="s">
        <v>3726</v>
      </c>
      <c r="AC1512">
        <v>5142</v>
      </c>
      <c r="AD1512" t="e" vm="1502">
        <v>#VALUE!</v>
      </c>
    </row>
    <row r="1513" spans="2:30" x14ac:dyDescent="0.25">
      <c r="B1513">
        <v>5143</v>
      </c>
      <c r="C1513" t="s">
        <v>3668</v>
      </c>
      <c r="D1513" t="s">
        <v>3725</v>
      </c>
      <c r="E1513" t="s">
        <v>3866</v>
      </c>
      <c r="F1513" t="s">
        <v>105</v>
      </c>
      <c r="G1513" t="s">
        <v>104</v>
      </c>
      <c r="H1513" t="s">
        <v>3808</v>
      </c>
      <c r="I1513" t="s">
        <v>3809</v>
      </c>
      <c r="J1513" t="s">
        <v>3810</v>
      </c>
      <c r="K1513" t="s">
        <v>239</v>
      </c>
      <c r="L1513" s="13">
        <v>39560</v>
      </c>
      <c r="M1513">
        <v>15</v>
      </c>
      <c r="N1513" t="s">
        <v>82</v>
      </c>
      <c r="O1513" t="s">
        <v>3888</v>
      </c>
      <c r="P1513" t="s">
        <v>76</v>
      </c>
      <c r="Q1513" t="s">
        <v>76</v>
      </c>
      <c r="R1513" t="s">
        <v>76</v>
      </c>
      <c r="S1513" t="s">
        <v>76</v>
      </c>
      <c r="T1513" t="s">
        <v>76</v>
      </c>
      <c r="U1513">
        <v>1</v>
      </c>
      <c r="V1513" s="13">
        <v>45175</v>
      </c>
      <c r="W1513">
        <v>1</v>
      </c>
      <c r="X1513">
        <v>1</v>
      </c>
      <c r="Y1513" t="s">
        <v>3726</v>
      </c>
      <c r="AC1513">
        <v>5143</v>
      </c>
      <c r="AD1513" t="e" vm="1503">
        <v>#VALUE!</v>
      </c>
    </row>
    <row r="1514" spans="2:30" x14ac:dyDescent="0.25">
      <c r="B1514">
        <v>5144</v>
      </c>
      <c r="C1514" t="s">
        <v>3668</v>
      </c>
      <c r="D1514" t="s">
        <v>3725</v>
      </c>
      <c r="E1514" t="s">
        <v>3866</v>
      </c>
      <c r="F1514" t="s">
        <v>105</v>
      </c>
      <c r="G1514" t="s">
        <v>104</v>
      </c>
      <c r="H1514" t="s">
        <v>3808</v>
      </c>
      <c r="I1514" t="s">
        <v>3809</v>
      </c>
      <c r="J1514" t="s">
        <v>3810</v>
      </c>
      <c r="K1514" t="s">
        <v>239</v>
      </c>
      <c r="L1514" s="13">
        <v>39561</v>
      </c>
      <c r="M1514">
        <v>15</v>
      </c>
      <c r="N1514" t="s">
        <v>82</v>
      </c>
      <c r="O1514" t="s">
        <v>3888</v>
      </c>
      <c r="P1514" t="s">
        <v>76</v>
      </c>
      <c r="Q1514" t="s">
        <v>76</v>
      </c>
      <c r="R1514" t="s">
        <v>76</v>
      </c>
      <c r="S1514" t="s">
        <v>76</v>
      </c>
      <c r="T1514" t="s">
        <v>76</v>
      </c>
      <c r="U1514">
        <v>1</v>
      </c>
      <c r="V1514" s="13">
        <v>45175</v>
      </c>
      <c r="W1514">
        <v>1</v>
      </c>
      <c r="X1514">
        <v>1</v>
      </c>
      <c r="Y1514" t="s">
        <v>3726</v>
      </c>
      <c r="AC1514">
        <v>5144</v>
      </c>
      <c r="AD1514" t="e" vm="1504">
        <v>#VALUE!</v>
      </c>
    </row>
    <row r="1515" spans="2:30" x14ac:dyDescent="0.25">
      <c r="B1515">
        <v>5145</v>
      </c>
      <c r="C1515" t="s">
        <v>3668</v>
      </c>
      <c r="D1515" t="s">
        <v>3725</v>
      </c>
      <c r="E1515" t="s">
        <v>3866</v>
      </c>
      <c r="F1515" t="s">
        <v>105</v>
      </c>
      <c r="G1515" t="s">
        <v>104</v>
      </c>
      <c r="H1515" t="s">
        <v>3808</v>
      </c>
      <c r="I1515" t="s">
        <v>3809</v>
      </c>
      <c r="J1515" t="s">
        <v>3810</v>
      </c>
      <c r="K1515" t="s">
        <v>239</v>
      </c>
      <c r="L1515" s="13">
        <v>39562</v>
      </c>
      <c r="M1515">
        <v>15</v>
      </c>
      <c r="N1515" t="s">
        <v>82</v>
      </c>
      <c r="O1515" t="s">
        <v>3888</v>
      </c>
      <c r="P1515" t="s">
        <v>76</v>
      </c>
      <c r="Q1515" t="s">
        <v>76</v>
      </c>
      <c r="R1515" t="s">
        <v>76</v>
      </c>
      <c r="S1515" t="s">
        <v>76</v>
      </c>
      <c r="T1515" t="s">
        <v>76</v>
      </c>
      <c r="U1515">
        <v>1</v>
      </c>
      <c r="V1515" s="13">
        <v>45175</v>
      </c>
      <c r="W1515">
        <v>1</v>
      </c>
      <c r="X1515">
        <v>1</v>
      </c>
      <c r="Y1515" t="s">
        <v>3726</v>
      </c>
      <c r="AC1515">
        <v>5145</v>
      </c>
      <c r="AD1515" t="e" vm="1505">
        <v>#VALUE!</v>
      </c>
    </row>
    <row r="1516" spans="2:30" x14ac:dyDescent="0.25">
      <c r="B1516">
        <v>5146</v>
      </c>
      <c r="C1516" t="s">
        <v>3668</v>
      </c>
      <c r="D1516" t="s">
        <v>3725</v>
      </c>
      <c r="E1516" t="s">
        <v>3866</v>
      </c>
      <c r="F1516" t="s">
        <v>105</v>
      </c>
      <c r="G1516" t="s">
        <v>104</v>
      </c>
      <c r="H1516" t="s">
        <v>3808</v>
      </c>
      <c r="I1516" t="s">
        <v>3809</v>
      </c>
      <c r="J1516" t="s">
        <v>3810</v>
      </c>
      <c r="K1516" t="s">
        <v>239</v>
      </c>
      <c r="L1516" s="13">
        <v>39567</v>
      </c>
      <c r="M1516">
        <v>15</v>
      </c>
      <c r="N1516" t="s">
        <v>82</v>
      </c>
      <c r="O1516" t="s">
        <v>3888</v>
      </c>
      <c r="P1516" t="s">
        <v>76</v>
      </c>
      <c r="Q1516" t="s">
        <v>76</v>
      </c>
      <c r="R1516" t="s">
        <v>76</v>
      </c>
      <c r="S1516" t="s">
        <v>76</v>
      </c>
      <c r="T1516" t="s">
        <v>76</v>
      </c>
      <c r="U1516">
        <v>1</v>
      </c>
      <c r="V1516" s="13">
        <v>45175</v>
      </c>
      <c r="W1516">
        <v>1</v>
      </c>
      <c r="X1516">
        <v>1</v>
      </c>
      <c r="Y1516" t="s">
        <v>3726</v>
      </c>
      <c r="AC1516">
        <v>5146</v>
      </c>
      <c r="AD1516" t="e" vm="1506">
        <v>#VALUE!</v>
      </c>
    </row>
    <row r="1517" spans="2:30" x14ac:dyDescent="0.25">
      <c r="B1517">
        <v>5147</v>
      </c>
      <c r="C1517" t="s">
        <v>3668</v>
      </c>
      <c r="D1517" t="s">
        <v>3725</v>
      </c>
      <c r="E1517" t="s">
        <v>3866</v>
      </c>
      <c r="F1517" t="s">
        <v>105</v>
      </c>
      <c r="G1517" t="s">
        <v>104</v>
      </c>
      <c r="H1517" t="s">
        <v>3808</v>
      </c>
      <c r="I1517" t="s">
        <v>3809</v>
      </c>
      <c r="J1517" t="s">
        <v>3810</v>
      </c>
      <c r="K1517" t="s">
        <v>239</v>
      </c>
      <c r="L1517" s="13">
        <v>39574</v>
      </c>
      <c r="M1517">
        <v>15</v>
      </c>
      <c r="N1517" t="s">
        <v>82</v>
      </c>
      <c r="O1517" t="s">
        <v>3888</v>
      </c>
      <c r="P1517" t="s">
        <v>76</v>
      </c>
      <c r="Q1517" t="s">
        <v>76</v>
      </c>
      <c r="R1517" t="s">
        <v>76</v>
      </c>
      <c r="S1517" t="s">
        <v>76</v>
      </c>
      <c r="T1517" t="s">
        <v>76</v>
      </c>
      <c r="U1517">
        <v>1</v>
      </c>
      <c r="V1517" s="13">
        <v>45175</v>
      </c>
      <c r="W1517">
        <v>1</v>
      </c>
      <c r="X1517">
        <v>1</v>
      </c>
      <c r="Y1517" t="s">
        <v>3726</v>
      </c>
      <c r="AC1517">
        <v>5147</v>
      </c>
      <c r="AD1517" t="e" vm="1507">
        <v>#VALUE!</v>
      </c>
    </row>
    <row r="1518" spans="2:30" x14ac:dyDescent="0.25">
      <c r="B1518">
        <v>5148</v>
      </c>
      <c r="C1518" t="s">
        <v>3668</v>
      </c>
      <c r="D1518" t="s">
        <v>3725</v>
      </c>
      <c r="E1518" t="s">
        <v>3866</v>
      </c>
      <c r="F1518" t="s">
        <v>105</v>
      </c>
      <c r="G1518" t="s">
        <v>104</v>
      </c>
      <c r="H1518" t="s">
        <v>3808</v>
      </c>
      <c r="I1518" t="s">
        <v>3809</v>
      </c>
      <c r="J1518" t="s">
        <v>3810</v>
      </c>
      <c r="K1518" t="s">
        <v>239</v>
      </c>
      <c r="L1518" s="13">
        <v>39576</v>
      </c>
      <c r="M1518">
        <v>15</v>
      </c>
      <c r="N1518" t="s">
        <v>82</v>
      </c>
      <c r="O1518" t="s">
        <v>3888</v>
      </c>
      <c r="P1518" t="s">
        <v>76</v>
      </c>
      <c r="Q1518" t="s">
        <v>76</v>
      </c>
      <c r="R1518" t="s">
        <v>76</v>
      </c>
      <c r="S1518" t="s">
        <v>76</v>
      </c>
      <c r="T1518" t="s">
        <v>76</v>
      </c>
      <c r="U1518">
        <v>1</v>
      </c>
      <c r="V1518" s="13">
        <v>45175</v>
      </c>
      <c r="W1518">
        <v>1</v>
      </c>
      <c r="X1518">
        <v>1</v>
      </c>
      <c r="Y1518" t="s">
        <v>3726</v>
      </c>
      <c r="AC1518">
        <v>5148</v>
      </c>
      <c r="AD1518" t="e" vm="1508">
        <v>#VALUE!</v>
      </c>
    </row>
    <row r="1519" spans="2:30" x14ac:dyDescent="0.25">
      <c r="B1519">
        <v>5149</v>
      </c>
      <c r="C1519" t="s">
        <v>3668</v>
      </c>
      <c r="D1519" t="s">
        <v>3725</v>
      </c>
      <c r="E1519" t="s">
        <v>3866</v>
      </c>
      <c r="F1519" t="s">
        <v>105</v>
      </c>
      <c r="G1519" t="s">
        <v>104</v>
      </c>
      <c r="H1519" t="s">
        <v>3808</v>
      </c>
      <c r="I1519" t="s">
        <v>3809</v>
      </c>
      <c r="J1519" t="s">
        <v>3810</v>
      </c>
      <c r="K1519" t="s">
        <v>239</v>
      </c>
      <c r="L1519" s="13">
        <v>39576</v>
      </c>
      <c r="M1519">
        <v>15</v>
      </c>
      <c r="N1519" t="s">
        <v>82</v>
      </c>
      <c r="O1519" t="s">
        <v>3888</v>
      </c>
      <c r="P1519" t="s">
        <v>76</v>
      </c>
      <c r="Q1519" t="s">
        <v>76</v>
      </c>
      <c r="R1519" t="s">
        <v>76</v>
      </c>
      <c r="S1519" t="s">
        <v>76</v>
      </c>
      <c r="T1519" t="s">
        <v>76</v>
      </c>
      <c r="U1519">
        <v>1</v>
      </c>
      <c r="V1519" s="13">
        <v>45175</v>
      </c>
      <c r="W1519">
        <v>1</v>
      </c>
      <c r="X1519">
        <v>1</v>
      </c>
      <c r="Y1519" t="s">
        <v>3726</v>
      </c>
      <c r="AC1519">
        <v>5149</v>
      </c>
      <c r="AD1519" t="e" vm="1509">
        <v>#VALUE!</v>
      </c>
    </row>
    <row r="1520" spans="2:30" x14ac:dyDescent="0.25">
      <c r="B1520">
        <v>5150</v>
      </c>
      <c r="C1520" t="s">
        <v>3668</v>
      </c>
      <c r="D1520" t="s">
        <v>3725</v>
      </c>
      <c r="E1520" t="s">
        <v>3866</v>
      </c>
      <c r="F1520" t="s">
        <v>105</v>
      </c>
      <c r="G1520" t="s">
        <v>104</v>
      </c>
      <c r="H1520" t="s">
        <v>3808</v>
      </c>
      <c r="I1520" t="s">
        <v>3809</v>
      </c>
      <c r="J1520" t="s">
        <v>3810</v>
      </c>
      <c r="K1520" t="s">
        <v>239</v>
      </c>
      <c r="L1520" s="13">
        <v>39576</v>
      </c>
      <c r="M1520">
        <v>15</v>
      </c>
      <c r="N1520" t="s">
        <v>82</v>
      </c>
      <c r="O1520" t="s">
        <v>3888</v>
      </c>
      <c r="P1520" t="s">
        <v>76</v>
      </c>
      <c r="Q1520" t="s">
        <v>76</v>
      </c>
      <c r="R1520" t="s">
        <v>76</v>
      </c>
      <c r="S1520" t="s">
        <v>76</v>
      </c>
      <c r="T1520" t="s">
        <v>76</v>
      </c>
      <c r="U1520">
        <v>1</v>
      </c>
      <c r="V1520" s="13">
        <v>45175</v>
      </c>
      <c r="W1520">
        <v>1</v>
      </c>
      <c r="X1520">
        <v>1</v>
      </c>
      <c r="Y1520" t="s">
        <v>3726</v>
      </c>
      <c r="AC1520">
        <v>5150</v>
      </c>
      <c r="AD1520" t="e" vm="1510">
        <v>#VALUE!</v>
      </c>
    </row>
    <row r="1521" spans="2:30" x14ac:dyDescent="0.25">
      <c r="B1521">
        <v>5151</v>
      </c>
      <c r="C1521" t="s">
        <v>3668</v>
      </c>
      <c r="D1521" t="s">
        <v>3725</v>
      </c>
      <c r="E1521" t="s">
        <v>3866</v>
      </c>
      <c r="F1521" t="s">
        <v>105</v>
      </c>
      <c r="G1521" t="s">
        <v>104</v>
      </c>
      <c r="H1521" t="s">
        <v>3808</v>
      </c>
      <c r="I1521" t="s">
        <v>3809</v>
      </c>
      <c r="J1521" t="s">
        <v>3810</v>
      </c>
      <c r="K1521" t="s">
        <v>239</v>
      </c>
      <c r="L1521" s="13">
        <v>39577</v>
      </c>
      <c r="M1521">
        <v>15</v>
      </c>
      <c r="N1521" t="s">
        <v>82</v>
      </c>
      <c r="O1521" t="s">
        <v>3888</v>
      </c>
      <c r="P1521" t="s">
        <v>76</v>
      </c>
      <c r="Q1521" t="s">
        <v>76</v>
      </c>
      <c r="R1521" t="s">
        <v>76</v>
      </c>
      <c r="S1521" t="s">
        <v>76</v>
      </c>
      <c r="T1521" t="s">
        <v>76</v>
      </c>
      <c r="U1521">
        <v>1</v>
      </c>
      <c r="V1521" s="13">
        <v>45175</v>
      </c>
      <c r="W1521">
        <v>1</v>
      </c>
      <c r="X1521">
        <v>1</v>
      </c>
      <c r="Y1521" t="s">
        <v>3726</v>
      </c>
      <c r="AC1521">
        <v>5151</v>
      </c>
      <c r="AD1521" t="e" vm="1511">
        <v>#VALUE!</v>
      </c>
    </row>
    <row r="1522" spans="2:30" x14ac:dyDescent="0.25">
      <c r="B1522">
        <v>5152</v>
      </c>
      <c r="C1522" t="s">
        <v>3668</v>
      </c>
      <c r="D1522" t="s">
        <v>3669</v>
      </c>
      <c r="E1522" t="s">
        <v>3817</v>
      </c>
      <c r="F1522" t="s">
        <v>81</v>
      </c>
      <c r="G1522" t="s">
        <v>80</v>
      </c>
      <c r="H1522" t="s">
        <v>3808</v>
      </c>
      <c r="I1522" t="s">
        <v>3809</v>
      </c>
      <c r="J1522" t="s">
        <v>3810</v>
      </c>
      <c r="K1522" t="s">
        <v>239</v>
      </c>
      <c r="L1522" s="13">
        <v>39577</v>
      </c>
      <c r="M1522">
        <v>15</v>
      </c>
      <c r="N1522" t="s">
        <v>82</v>
      </c>
      <c r="O1522" t="s">
        <v>3888</v>
      </c>
      <c r="P1522" t="s">
        <v>76</v>
      </c>
      <c r="Q1522" t="s">
        <v>76</v>
      </c>
      <c r="R1522" t="s">
        <v>76</v>
      </c>
      <c r="S1522" t="s">
        <v>76</v>
      </c>
      <c r="T1522" t="s">
        <v>76</v>
      </c>
      <c r="U1522">
        <v>1</v>
      </c>
      <c r="V1522" s="13">
        <v>45175</v>
      </c>
      <c r="W1522">
        <v>1</v>
      </c>
      <c r="X1522">
        <v>1</v>
      </c>
      <c r="Y1522" t="s">
        <v>3670</v>
      </c>
      <c r="AC1522">
        <v>5152</v>
      </c>
      <c r="AD1522" t="e" vm="1512">
        <v>#VALUE!</v>
      </c>
    </row>
    <row r="1523" spans="2:30" x14ac:dyDescent="0.25">
      <c r="B1523">
        <v>5153</v>
      </c>
      <c r="C1523" t="s">
        <v>3668</v>
      </c>
      <c r="D1523" t="s">
        <v>3673</v>
      </c>
      <c r="E1523" t="s">
        <v>3819</v>
      </c>
      <c r="F1523" t="s">
        <v>87</v>
      </c>
      <c r="G1523" t="s">
        <v>84</v>
      </c>
      <c r="H1523" t="s">
        <v>3808</v>
      </c>
      <c r="I1523" t="s">
        <v>3809</v>
      </c>
      <c r="J1523" t="s">
        <v>3810</v>
      </c>
      <c r="K1523" t="s">
        <v>239</v>
      </c>
      <c r="L1523" s="13">
        <v>39577</v>
      </c>
      <c r="M1523">
        <v>15</v>
      </c>
      <c r="N1523" t="s">
        <v>82</v>
      </c>
      <c r="O1523" t="s">
        <v>3888</v>
      </c>
      <c r="P1523" t="s">
        <v>76</v>
      </c>
      <c r="Q1523" t="s">
        <v>76</v>
      </c>
      <c r="R1523" t="s">
        <v>76</v>
      </c>
      <c r="S1523" t="s">
        <v>76</v>
      </c>
      <c r="T1523" t="s">
        <v>76</v>
      </c>
      <c r="U1523">
        <v>1</v>
      </c>
      <c r="V1523" s="13">
        <v>45175</v>
      </c>
      <c r="W1523">
        <v>1</v>
      </c>
      <c r="X1523">
        <v>1</v>
      </c>
      <c r="Y1523" t="s">
        <v>3674</v>
      </c>
      <c r="AC1523">
        <v>5153</v>
      </c>
      <c r="AD1523" t="e" vm="1513">
        <v>#VALUE!</v>
      </c>
    </row>
    <row r="1524" spans="2:30" x14ac:dyDescent="0.25">
      <c r="B1524">
        <v>5154</v>
      </c>
      <c r="C1524" t="s">
        <v>3668</v>
      </c>
      <c r="D1524" t="s">
        <v>3673</v>
      </c>
      <c r="E1524" t="s">
        <v>3819</v>
      </c>
      <c r="F1524" t="s">
        <v>87</v>
      </c>
      <c r="G1524" t="s">
        <v>84</v>
      </c>
      <c r="H1524" t="s">
        <v>3808</v>
      </c>
      <c r="I1524" t="s">
        <v>3809</v>
      </c>
      <c r="J1524" t="s">
        <v>3810</v>
      </c>
      <c r="K1524" t="s">
        <v>239</v>
      </c>
      <c r="L1524" s="13">
        <v>39582</v>
      </c>
      <c r="M1524">
        <v>15</v>
      </c>
      <c r="N1524" t="s">
        <v>82</v>
      </c>
      <c r="O1524" t="s">
        <v>3888</v>
      </c>
      <c r="P1524" t="s">
        <v>76</v>
      </c>
      <c r="Q1524" t="s">
        <v>76</v>
      </c>
      <c r="R1524" t="s">
        <v>76</v>
      </c>
      <c r="S1524" t="s">
        <v>76</v>
      </c>
      <c r="T1524" t="s">
        <v>76</v>
      </c>
      <c r="U1524">
        <v>1</v>
      </c>
      <c r="V1524" s="13">
        <v>45175</v>
      </c>
      <c r="W1524">
        <v>1</v>
      </c>
      <c r="X1524">
        <v>1</v>
      </c>
      <c r="Y1524" t="s">
        <v>3674</v>
      </c>
      <c r="AC1524">
        <v>5154</v>
      </c>
      <c r="AD1524" t="e" vm="1514">
        <v>#VALUE!</v>
      </c>
    </row>
    <row r="1525" spans="2:30" x14ac:dyDescent="0.25">
      <c r="B1525">
        <v>5155</v>
      </c>
      <c r="C1525" t="s">
        <v>3668</v>
      </c>
      <c r="D1525" t="s">
        <v>3673</v>
      </c>
      <c r="E1525" t="s">
        <v>3819</v>
      </c>
      <c r="F1525" t="s">
        <v>87</v>
      </c>
      <c r="G1525" t="s">
        <v>84</v>
      </c>
      <c r="H1525" t="s">
        <v>3808</v>
      </c>
      <c r="I1525" t="s">
        <v>3809</v>
      </c>
      <c r="J1525" t="s">
        <v>3810</v>
      </c>
      <c r="K1525" t="s">
        <v>239</v>
      </c>
      <c r="L1525" s="13">
        <v>39583</v>
      </c>
      <c r="M1525">
        <v>15</v>
      </c>
      <c r="N1525" t="s">
        <v>82</v>
      </c>
      <c r="O1525" t="s">
        <v>3888</v>
      </c>
      <c r="P1525" t="s">
        <v>76</v>
      </c>
      <c r="Q1525" t="s">
        <v>76</v>
      </c>
      <c r="R1525" t="s">
        <v>76</v>
      </c>
      <c r="S1525" t="s">
        <v>76</v>
      </c>
      <c r="T1525" t="s">
        <v>76</v>
      </c>
      <c r="U1525">
        <v>1</v>
      </c>
      <c r="V1525" s="13">
        <v>45175</v>
      </c>
      <c r="W1525">
        <v>1</v>
      </c>
      <c r="X1525">
        <v>1</v>
      </c>
      <c r="Y1525" t="s">
        <v>3674</v>
      </c>
      <c r="AC1525">
        <v>5155</v>
      </c>
      <c r="AD1525" t="e" vm="1515">
        <v>#VALUE!</v>
      </c>
    </row>
    <row r="1526" spans="2:30" x14ac:dyDescent="0.25">
      <c r="B1526">
        <v>5156</v>
      </c>
      <c r="C1526" t="s">
        <v>3668</v>
      </c>
      <c r="D1526" t="s">
        <v>3673</v>
      </c>
      <c r="E1526" t="s">
        <v>3819</v>
      </c>
      <c r="F1526" t="s">
        <v>87</v>
      </c>
      <c r="G1526" t="s">
        <v>84</v>
      </c>
      <c r="H1526" t="s">
        <v>3808</v>
      </c>
      <c r="I1526" t="s">
        <v>3809</v>
      </c>
      <c r="J1526" t="s">
        <v>3810</v>
      </c>
      <c r="K1526" t="s">
        <v>239</v>
      </c>
      <c r="L1526" s="13">
        <v>39583</v>
      </c>
      <c r="M1526">
        <v>15</v>
      </c>
      <c r="N1526" t="s">
        <v>82</v>
      </c>
      <c r="O1526" t="s">
        <v>3888</v>
      </c>
      <c r="P1526" t="s">
        <v>76</v>
      </c>
      <c r="Q1526" t="s">
        <v>76</v>
      </c>
      <c r="R1526" t="s">
        <v>76</v>
      </c>
      <c r="S1526" t="s">
        <v>76</v>
      </c>
      <c r="T1526" t="s">
        <v>76</v>
      </c>
      <c r="U1526">
        <v>1</v>
      </c>
      <c r="V1526" s="13">
        <v>45175</v>
      </c>
      <c r="W1526">
        <v>1</v>
      </c>
      <c r="X1526">
        <v>1</v>
      </c>
      <c r="Y1526" t="s">
        <v>3674</v>
      </c>
      <c r="AC1526">
        <v>5156</v>
      </c>
      <c r="AD1526" t="e" vm="1516">
        <v>#VALUE!</v>
      </c>
    </row>
    <row r="1527" spans="2:30" x14ac:dyDescent="0.25">
      <c r="B1527">
        <v>5157</v>
      </c>
      <c r="C1527" t="s">
        <v>3668</v>
      </c>
      <c r="D1527" t="s">
        <v>3673</v>
      </c>
      <c r="E1527" t="s">
        <v>3819</v>
      </c>
      <c r="F1527" t="s">
        <v>87</v>
      </c>
      <c r="G1527" t="s">
        <v>84</v>
      </c>
      <c r="H1527" t="s">
        <v>3808</v>
      </c>
      <c r="I1527" t="s">
        <v>3809</v>
      </c>
      <c r="J1527" t="s">
        <v>3810</v>
      </c>
      <c r="K1527" t="s">
        <v>239</v>
      </c>
      <c r="L1527" s="13">
        <v>39587</v>
      </c>
      <c r="M1527">
        <v>15</v>
      </c>
      <c r="N1527" t="s">
        <v>82</v>
      </c>
      <c r="O1527" t="s">
        <v>3888</v>
      </c>
      <c r="P1527" t="s">
        <v>76</v>
      </c>
      <c r="Q1527" t="s">
        <v>76</v>
      </c>
      <c r="R1527" t="s">
        <v>76</v>
      </c>
      <c r="S1527" t="s">
        <v>76</v>
      </c>
      <c r="T1527" t="s">
        <v>76</v>
      </c>
      <c r="U1527">
        <v>1</v>
      </c>
      <c r="V1527" s="13">
        <v>45175</v>
      </c>
      <c r="W1527">
        <v>1</v>
      </c>
      <c r="X1527">
        <v>1</v>
      </c>
      <c r="Y1527" t="s">
        <v>3674</v>
      </c>
      <c r="AC1527">
        <v>5157</v>
      </c>
      <c r="AD1527" t="e" vm="1517">
        <v>#VALUE!</v>
      </c>
    </row>
    <row r="1528" spans="2:30" x14ac:dyDescent="0.25">
      <c r="B1528">
        <v>5158</v>
      </c>
      <c r="C1528" t="s">
        <v>3668</v>
      </c>
      <c r="D1528" t="s">
        <v>3673</v>
      </c>
      <c r="E1528" t="s">
        <v>3819</v>
      </c>
      <c r="F1528" t="s">
        <v>87</v>
      </c>
      <c r="G1528" t="s">
        <v>84</v>
      </c>
      <c r="H1528" t="s">
        <v>3808</v>
      </c>
      <c r="I1528" t="s">
        <v>3809</v>
      </c>
      <c r="J1528" t="s">
        <v>3810</v>
      </c>
      <c r="K1528" t="s">
        <v>239</v>
      </c>
      <c r="L1528" s="13">
        <v>39587</v>
      </c>
      <c r="M1528">
        <v>15</v>
      </c>
      <c r="N1528" t="s">
        <v>82</v>
      </c>
      <c r="O1528" t="s">
        <v>3888</v>
      </c>
      <c r="P1528" t="s">
        <v>76</v>
      </c>
      <c r="Q1528" t="s">
        <v>76</v>
      </c>
      <c r="R1528" t="s">
        <v>76</v>
      </c>
      <c r="S1528" t="s">
        <v>76</v>
      </c>
      <c r="T1528" t="s">
        <v>76</v>
      </c>
      <c r="U1528">
        <v>1</v>
      </c>
      <c r="V1528" s="13">
        <v>45175</v>
      </c>
      <c r="W1528">
        <v>1</v>
      </c>
      <c r="X1528">
        <v>1</v>
      </c>
      <c r="Y1528" t="s">
        <v>3674</v>
      </c>
      <c r="AC1528">
        <v>5158</v>
      </c>
      <c r="AD1528" t="e" vm="1518">
        <v>#VALUE!</v>
      </c>
    </row>
    <row r="1529" spans="2:30" x14ac:dyDescent="0.25">
      <c r="B1529">
        <v>5159</v>
      </c>
      <c r="C1529" t="s">
        <v>3668</v>
      </c>
      <c r="D1529" t="s">
        <v>3673</v>
      </c>
      <c r="E1529" t="s">
        <v>3819</v>
      </c>
      <c r="F1529" t="s">
        <v>87</v>
      </c>
      <c r="G1529" t="s">
        <v>84</v>
      </c>
      <c r="H1529" t="s">
        <v>3808</v>
      </c>
      <c r="I1529" t="s">
        <v>3809</v>
      </c>
      <c r="J1529" t="s">
        <v>3810</v>
      </c>
      <c r="K1529" t="s">
        <v>239</v>
      </c>
      <c r="L1529" s="13">
        <v>39590</v>
      </c>
      <c r="M1529">
        <v>15</v>
      </c>
      <c r="N1529" t="s">
        <v>82</v>
      </c>
      <c r="O1529" t="s">
        <v>3888</v>
      </c>
      <c r="P1529" t="s">
        <v>76</v>
      </c>
      <c r="Q1529" t="s">
        <v>76</v>
      </c>
      <c r="R1529" t="s">
        <v>76</v>
      </c>
      <c r="S1529" t="s">
        <v>76</v>
      </c>
      <c r="T1529" t="s">
        <v>76</v>
      </c>
      <c r="U1529">
        <v>1</v>
      </c>
      <c r="V1529" s="13">
        <v>45175</v>
      </c>
      <c r="W1529">
        <v>1</v>
      </c>
      <c r="X1529">
        <v>1</v>
      </c>
      <c r="Y1529" t="s">
        <v>3674</v>
      </c>
      <c r="AC1529">
        <v>5159</v>
      </c>
      <c r="AD1529" t="e" vm="1519">
        <v>#VALUE!</v>
      </c>
    </row>
    <row r="1530" spans="2:30" x14ac:dyDescent="0.25">
      <c r="B1530">
        <v>5160</v>
      </c>
      <c r="C1530" t="s">
        <v>3668</v>
      </c>
      <c r="D1530" t="s">
        <v>3673</v>
      </c>
      <c r="E1530" t="s">
        <v>3819</v>
      </c>
      <c r="F1530" t="s">
        <v>87</v>
      </c>
      <c r="G1530" t="s">
        <v>84</v>
      </c>
      <c r="H1530" t="s">
        <v>3808</v>
      </c>
      <c r="I1530" t="s">
        <v>3809</v>
      </c>
      <c r="J1530" t="s">
        <v>3810</v>
      </c>
      <c r="K1530" t="s">
        <v>239</v>
      </c>
      <c r="L1530" s="13">
        <v>39590</v>
      </c>
      <c r="M1530">
        <v>15</v>
      </c>
      <c r="N1530" t="s">
        <v>82</v>
      </c>
      <c r="O1530" t="s">
        <v>3888</v>
      </c>
      <c r="P1530" t="s">
        <v>76</v>
      </c>
      <c r="Q1530" t="s">
        <v>76</v>
      </c>
      <c r="R1530" t="s">
        <v>76</v>
      </c>
      <c r="S1530" t="s">
        <v>76</v>
      </c>
      <c r="T1530" t="s">
        <v>76</v>
      </c>
      <c r="U1530">
        <v>1</v>
      </c>
      <c r="V1530" s="13">
        <v>45175</v>
      </c>
      <c r="W1530">
        <v>1</v>
      </c>
      <c r="X1530">
        <v>1</v>
      </c>
      <c r="Y1530" t="s">
        <v>3674</v>
      </c>
      <c r="AC1530">
        <v>5160</v>
      </c>
      <c r="AD1530" t="e" vm="1520">
        <v>#VALUE!</v>
      </c>
    </row>
    <row r="1531" spans="2:30" x14ac:dyDescent="0.25">
      <c r="B1531">
        <v>5161</v>
      </c>
      <c r="C1531" t="s">
        <v>3668</v>
      </c>
      <c r="D1531" t="s">
        <v>3673</v>
      </c>
      <c r="E1531" t="s">
        <v>3819</v>
      </c>
      <c r="F1531" t="s">
        <v>87</v>
      </c>
      <c r="G1531" t="s">
        <v>84</v>
      </c>
      <c r="H1531" t="s">
        <v>3808</v>
      </c>
      <c r="I1531" t="s">
        <v>3809</v>
      </c>
      <c r="J1531" t="s">
        <v>3810</v>
      </c>
      <c r="K1531" t="s">
        <v>239</v>
      </c>
      <c r="L1531" s="13">
        <v>39591</v>
      </c>
      <c r="M1531">
        <v>15</v>
      </c>
      <c r="N1531" t="s">
        <v>82</v>
      </c>
      <c r="O1531" t="s">
        <v>3888</v>
      </c>
      <c r="P1531" t="s">
        <v>76</v>
      </c>
      <c r="Q1531" t="s">
        <v>76</v>
      </c>
      <c r="R1531" t="s">
        <v>76</v>
      </c>
      <c r="S1531" t="s">
        <v>76</v>
      </c>
      <c r="T1531" t="s">
        <v>76</v>
      </c>
      <c r="U1531">
        <v>1</v>
      </c>
      <c r="V1531" s="13">
        <v>45175</v>
      </c>
      <c r="W1531">
        <v>1</v>
      </c>
      <c r="X1531">
        <v>1</v>
      </c>
      <c r="Y1531" t="s">
        <v>3674</v>
      </c>
      <c r="AC1531">
        <v>5161</v>
      </c>
      <c r="AD1531" t="e" vm="1521">
        <v>#VALUE!</v>
      </c>
    </row>
    <row r="1532" spans="2:30" x14ac:dyDescent="0.25">
      <c r="B1532">
        <v>5162</v>
      </c>
      <c r="C1532" t="s">
        <v>3668</v>
      </c>
      <c r="D1532" t="s">
        <v>3673</v>
      </c>
      <c r="E1532" t="s">
        <v>3819</v>
      </c>
      <c r="F1532" t="s">
        <v>87</v>
      </c>
      <c r="G1532" t="s">
        <v>84</v>
      </c>
      <c r="H1532" t="s">
        <v>3808</v>
      </c>
      <c r="I1532" t="s">
        <v>3809</v>
      </c>
      <c r="J1532" t="s">
        <v>3810</v>
      </c>
      <c r="K1532" t="s">
        <v>239</v>
      </c>
      <c r="L1532" s="13">
        <v>39591</v>
      </c>
      <c r="M1532">
        <v>15</v>
      </c>
      <c r="N1532" t="s">
        <v>82</v>
      </c>
      <c r="O1532" t="s">
        <v>3888</v>
      </c>
      <c r="P1532" t="s">
        <v>76</v>
      </c>
      <c r="Q1532" t="s">
        <v>76</v>
      </c>
      <c r="R1532" t="s">
        <v>76</v>
      </c>
      <c r="S1532" t="s">
        <v>76</v>
      </c>
      <c r="T1532" t="s">
        <v>76</v>
      </c>
      <c r="U1532">
        <v>1</v>
      </c>
      <c r="V1532" s="13">
        <v>45175</v>
      </c>
      <c r="W1532">
        <v>1</v>
      </c>
      <c r="X1532">
        <v>1</v>
      </c>
      <c r="Y1532" t="s">
        <v>3674</v>
      </c>
      <c r="AC1532">
        <v>5162</v>
      </c>
      <c r="AD1532" t="e" vm="1522">
        <v>#VALUE!</v>
      </c>
    </row>
    <row r="1533" spans="2:30" x14ac:dyDescent="0.25">
      <c r="B1533">
        <v>5163</v>
      </c>
      <c r="C1533" t="s">
        <v>3668</v>
      </c>
      <c r="D1533" t="s">
        <v>3673</v>
      </c>
      <c r="E1533" t="s">
        <v>3819</v>
      </c>
      <c r="F1533" t="s">
        <v>87</v>
      </c>
      <c r="G1533" t="s">
        <v>84</v>
      </c>
      <c r="H1533" t="s">
        <v>3808</v>
      </c>
      <c r="I1533" t="s">
        <v>3809</v>
      </c>
      <c r="J1533" t="s">
        <v>3810</v>
      </c>
      <c r="K1533" t="s">
        <v>239</v>
      </c>
      <c r="L1533" s="13">
        <v>39596</v>
      </c>
      <c r="M1533">
        <v>15</v>
      </c>
      <c r="N1533" t="s">
        <v>82</v>
      </c>
      <c r="O1533" t="s">
        <v>3888</v>
      </c>
      <c r="P1533" t="s">
        <v>76</v>
      </c>
      <c r="Q1533" t="s">
        <v>76</v>
      </c>
      <c r="R1533" t="s">
        <v>76</v>
      </c>
      <c r="S1533" t="s">
        <v>76</v>
      </c>
      <c r="T1533" t="s">
        <v>76</v>
      </c>
      <c r="U1533">
        <v>1</v>
      </c>
      <c r="V1533" s="13">
        <v>45175</v>
      </c>
      <c r="W1533">
        <v>1</v>
      </c>
      <c r="X1533">
        <v>1</v>
      </c>
      <c r="Y1533" t="s">
        <v>3674</v>
      </c>
      <c r="AC1533">
        <v>5163</v>
      </c>
      <c r="AD1533" t="e" vm="1523">
        <v>#VALUE!</v>
      </c>
    </row>
    <row r="1534" spans="2:30" x14ac:dyDescent="0.25">
      <c r="B1534">
        <v>5164</v>
      </c>
      <c r="C1534" t="s">
        <v>3668</v>
      </c>
      <c r="D1534" t="s">
        <v>3673</v>
      </c>
      <c r="E1534" t="s">
        <v>3819</v>
      </c>
      <c r="F1534" t="s">
        <v>87</v>
      </c>
      <c r="G1534" t="s">
        <v>84</v>
      </c>
      <c r="H1534" t="s">
        <v>3808</v>
      </c>
      <c r="I1534" t="s">
        <v>3809</v>
      </c>
      <c r="J1534" t="s">
        <v>3810</v>
      </c>
      <c r="K1534" t="s">
        <v>239</v>
      </c>
      <c r="L1534" s="13">
        <v>39596</v>
      </c>
      <c r="M1534">
        <v>15</v>
      </c>
      <c r="N1534" t="s">
        <v>82</v>
      </c>
      <c r="O1534" t="s">
        <v>3888</v>
      </c>
      <c r="P1534" t="s">
        <v>76</v>
      </c>
      <c r="Q1534" t="s">
        <v>76</v>
      </c>
      <c r="R1534" t="s">
        <v>76</v>
      </c>
      <c r="S1534" t="s">
        <v>76</v>
      </c>
      <c r="T1534" t="s">
        <v>76</v>
      </c>
      <c r="U1534">
        <v>1</v>
      </c>
      <c r="V1534" s="13">
        <v>45175</v>
      </c>
      <c r="W1534">
        <v>1</v>
      </c>
      <c r="X1534">
        <v>1</v>
      </c>
      <c r="Y1534" t="s">
        <v>3674</v>
      </c>
      <c r="AC1534">
        <v>5164</v>
      </c>
      <c r="AD1534" t="e" vm="1524">
        <v>#VALUE!</v>
      </c>
    </row>
    <row r="1535" spans="2:30" x14ac:dyDescent="0.25">
      <c r="B1535">
        <v>5165</v>
      </c>
      <c r="C1535" t="s">
        <v>3668</v>
      </c>
      <c r="D1535" t="s">
        <v>3673</v>
      </c>
      <c r="E1535" t="s">
        <v>3819</v>
      </c>
      <c r="F1535" t="s">
        <v>87</v>
      </c>
      <c r="G1535" t="s">
        <v>84</v>
      </c>
      <c r="H1535" t="s">
        <v>3808</v>
      </c>
      <c r="I1535" t="s">
        <v>3809</v>
      </c>
      <c r="J1535" t="s">
        <v>3810</v>
      </c>
      <c r="K1535" t="s">
        <v>239</v>
      </c>
      <c r="L1535" s="13">
        <v>39597</v>
      </c>
      <c r="M1535">
        <v>15</v>
      </c>
      <c r="N1535" t="s">
        <v>82</v>
      </c>
      <c r="O1535" t="s">
        <v>3888</v>
      </c>
      <c r="P1535" t="s">
        <v>76</v>
      </c>
      <c r="Q1535" t="s">
        <v>76</v>
      </c>
      <c r="R1535" t="s">
        <v>76</v>
      </c>
      <c r="S1535" t="s">
        <v>76</v>
      </c>
      <c r="T1535" t="s">
        <v>76</v>
      </c>
      <c r="U1535">
        <v>1</v>
      </c>
      <c r="V1535" s="13">
        <v>45175</v>
      </c>
      <c r="W1535">
        <v>1</v>
      </c>
      <c r="X1535">
        <v>1</v>
      </c>
      <c r="Y1535" t="s">
        <v>3674</v>
      </c>
      <c r="AC1535">
        <v>5165</v>
      </c>
      <c r="AD1535" t="e" vm="1525">
        <v>#VALUE!</v>
      </c>
    </row>
    <row r="1536" spans="2:30" x14ac:dyDescent="0.25">
      <c r="B1536">
        <v>5166</v>
      </c>
      <c r="C1536" t="s">
        <v>3668</v>
      </c>
      <c r="D1536" t="s">
        <v>3673</v>
      </c>
      <c r="E1536" t="s">
        <v>3819</v>
      </c>
      <c r="F1536" t="s">
        <v>87</v>
      </c>
      <c r="G1536" t="s">
        <v>84</v>
      </c>
      <c r="H1536" t="s">
        <v>3808</v>
      </c>
      <c r="I1536" t="s">
        <v>3809</v>
      </c>
      <c r="J1536" t="s">
        <v>3810</v>
      </c>
      <c r="K1536" t="s">
        <v>239</v>
      </c>
      <c r="L1536" s="13">
        <v>39597</v>
      </c>
      <c r="M1536">
        <v>15</v>
      </c>
      <c r="N1536" t="s">
        <v>82</v>
      </c>
      <c r="O1536" t="s">
        <v>3888</v>
      </c>
      <c r="P1536" t="s">
        <v>76</v>
      </c>
      <c r="Q1536" t="s">
        <v>76</v>
      </c>
      <c r="R1536" t="s">
        <v>76</v>
      </c>
      <c r="S1536" t="s">
        <v>76</v>
      </c>
      <c r="T1536" t="s">
        <v>76</v>
      </c>
      <c r="U1536">
        <v>1</v>
      </c>
      <c r="V1536" s="13">
        <v>45175</v>
      </c>
      <c r="W1536">
        <v>1</v>
      </c>
      <c r="X1536">
        <v>1</v>
      </c>
      <c r="Y1536" t="s">
        <v>3674</v>
      </c>
      <c r="AC1536">
        <v>5166</v>
      </c>
      <c r="AD1536" t="e" vm="1526">
        <v>#VALUE!</v>
      </c>
    </row>
    <row r="1537" spans="2:30" x14ac:dyDescent="0.25">
      <c r="B1537">
        <v>5167</v>
      </c>
      <c r="C1537" t="s">
        <v>3668</v>
      </c>
      <c r="D1537" t="s">
        <v>3673</v>
      </c>
      <c r="E1537" t="s">
        <v>3819</v>
      </c>
      <c r="F1537" t="s">
        <v>87</v>
      </c>
      <c r="G1537" t="s">
        <v>84</v>
      </c>
      <c r="H1537" t="s">
        <v>3808</v>
      </c>
      <c r="I1537" t="s">
        <v>3809</v>
      </c>
      <c r="J1537" t="s">
        <v>3810</v>
      </c>
      <c r="K1537" t="s">
        <v>239</v>
      </c>
      <c r="L1537" s="13">
        <v>39639</v>
      </c>
      <c r="M1537">
        <v>15</v>
      </c>
      <c r="N1537" t="s">
        <v>82</v>
      </c>
      <c r="O1537" t="s">
        <v>3888</v>
      </c>
      <c r="P1537" t="s">
        <v>76</v>
      </c>
      <c r="Q1537" t="s">
        <v>76</v>
      </c>
      <c r="R1537" t="s">
        <v>76</v>
      </c>
      <c r="S1537" t="s">
        <v>76</v>
      </c>
      <c r="T1537" t="s">
        <v>76</v>
      </c>
      <c r="U1537">
        <v>1</v>
      </c>
      <c r="V1537" s="13">
        <v>45175</v>
      </c>
      <c r="W1537">
        <v>1</v>
      </c>
      <c r="X1537">
        <v>1</v>
      </c>
      <c r="Y1537" t="s">
        <v>3674</v>
      </c>
      <c r="AC1537">
        <v>5167</v>
      </c>
      <c r="AD1537" t="e" vm="1527">
        <v>#VALUE!</v>
      </c>
    </row>
    <row r="1538" spans="2:30" x14ac:dyDescent="0.25">
      <c r="B1538">
        <v>5168</v>
      </c>
      <c r="C1538" t="s">
        <v>3684</v>
      </c>
      <c r="D1538" t="s">
        <v>3746</v>
      </c>
      <c r="E1538" t="s">
        <v>3889</v>
      </c>
      <c r="F1538" t="s">
        <v>81</v>
      </c>
      <c r="G1538" t="s">
        <v>86</v>
      </c>
      <c r="H1538" t="s">
        <v>3808</v>
      </c>
      <c r="I1538" t="s">
        <v>3821</v>
      </c>
      <c r="J1538" t="s">
        <v>3810</v>
      </c>
      <c r="K1538" t="s">
        <v>239</v>
      </c>
      <c r="L1538" s="13">
        <v>39512</v>
      </c>
      <c r="M1538">
        <v>16</v>
      </c>
      <c r="N1538" t="s">
        <v>101</v>
      </c>
      <c r="O1538" t="s">
        <v>3890</v>
      </c>
      <c r="P1538" t="s">
        <v>76</v>
      </c>
      <c r="Q1538" t="s">
        <v>76</v>
      </c>
      <c r="R1538" t="s">
        <v>76</v>
      </c>
      <c r="S1538" t="s">
        <v>76</v>
      </c>
      <c r="T1538" t="s">
        <v>76</v>
      </c>
      <c r="U1538">
        <v>1</v>
      </c>
      <c r="V1538" s="13">
        <v>45175</v>
      </c>
      <c r="W1538">
        <v>1</v>
      </c>
      <c r="X1538">
        <v>1</v>
      </c>
      <c r="Y1538" t="s">
        <v>3747</v>
      </c>
      <c r="AC1538">
        <v>5168</v>
      </c>
      <c r="AD1538" t="e" vm="1528">
        <v>#VALUE!</v>
      </c>
    </row>
    <row r="1539" spans="2:30" x14ac:dyDescent="0.25">
      <c r="B1539">
        <v>5169</v>
      </c>
      <c r="C1539" t="s">
        <v>3684</v>
      </c>
      <c r="D1539" t="s">
        <v>3746</v>
      </c>
      <c r="E1539" t="s">
        <v>3889</v>
      </c>
      <c r="F1539" t="s">
        <v>81</v>
      </c>
      <c r="G1539" t="s">
        <v>86</v>
      </c>
      <c r="H1539" t="s">
        <v>3808</v>
      </c>
      <c r="I1539" t="s">
        <v>3821</v>
      </c>
      <c r="J1539" t="s">
        <v>3810</v>
      </c>
      <c r="K1539" t="s">
        <v>239</v>
      </c>
      <c r="L1539" s="13">
        <v>39458</v>
      </c>
      <c r="M1539">
        <v>16</v>
      </c>
      <c r="N1539" t="s">
        <v>101</v>
      </c>
      <c r="O1539" t="s">
        <v>3890</v>
      </c>
      <c r="P1539" t="s">
        <v>76</v>
      </c>
      <c r="Q1539" t="s">
        <v>76</v>
      </c>
      <c r="R1539" t="s">
        <v>76</v>
      </c>
      <c r="S1539" t="s">
        <v>76</v>
      </c>
      <c r="T1539" t="s">
        <v>76</v>
      </c>
      <c r="U1539">
        <v>1</v>
      </c>
      <c r="V1539" s="13">
        <v>45175</v>
      </c>
      <c r="W1539">
        <v>1</v>
      </c>
      <c r="X1539">
        <v>1</v>
      </c>
      <c r="Y1539" t="s">
        <v>3747</v>
      </c>
      <c r="AC1539">
        <v>5169</v>
      </c>
      <c r="AD1539" t="e" vm="1529">
        <v>#VALUE!</v>
      </c>
    </row>
    <row r="1540" spans="2:30" x14ac:dyDescent="0.25">
      <c r="B1540">
        <v>5170</v>
      </c>
      <c r="C1540" t="s">
        <v>3684</v>
      </c>
      <c r="D1540" t="s">
        <v>3746</v>
      </c>
      <c r="E1540" t="s">
        <v>3889</v>
      </c>
      <c r="F1540" t="s">
        <v>81</v>
      </c>
      <c r="G1540" t="s">
        <v>86</v>
      </c>
      <c r="H1540" t="s">
        <v>3808</v>
      </c>
      <c r="I1540" t="s">
        <v>3821</v>
      </c>
      <c r="J1540" t="s">
        <v>3810</v>
      </c>
      <c r="K1540" t="s">
        <v>239</v>
      </c>
      <c r="L1540" s="13">
        <v>39472</v>
      </c>
      <c r="M1540">
        <v>16</v>
      </c>
      <c r="N1540" t="s">
        <v>101</v>
      </c>
      <c r="O1540" t="s">
        <v>3890</v>
      </c>
      <c r="P1540" t="s">
        <v>76</v>
      </c>
      <c r="Q1540" t="s">
        <v>76</v>
      </c>
      <c r="R1540" t="s">
        <v>76</v>
      </c>
      <c r="S1540" t="s">
        <v>76</v>
      </c>
      <c r="T1540" t="s">
        <v>76</v>
      </c>
      <c r="U1540">
        <v>1</v>
      </c>
      <c r="V1540" s="13">
        <v>45175</v>
      </c>
      <c r="W1540">
        <v>1</v>
      </c>
      <c r="X1540">
        <v>1</v>
      </c>
      <c r="Y1540" t="s">
        <v>3747</v>
      </c>
      <c r="AC1540">
        <v>5170</v>
      </c>
      <c r="AD1540" t="e" vm="1530">
        <v>#VALUE!</v>
      </c>
    </row>
    <row r="1541" spans="2:30" x14ac:dyDescent="0.25">
      <c r="B1541">
        <v>5171</v>
      </c>
      <c r="C1541" t="s">
        <v>3684</v>
      </c>
      <c r="D1541" t="s">
        <v>3746</v>
      </c>
      <c r="E1541" t="s">
        <v>3889</v>
      </c>
      <c r="F1541" t="s">
        <v>81</v>
      </c>
      <c r="G1541" t="s">
        <v>86</v>
      </c>
      <c r="H1541" t="s">
        <v>3808</v>
      </c>
      <c r="I1541" t="s">
        <v>3821</v>
      </c>
      <c r="J1541" t="s">
        <v>3810</v>
      </c>
      <c r="K1541" t="s">
        <v>239</v>
      </c>
      <c r="L1541" s="13">
        <v>39458</v>
      </c>
      <c r="M1541">
        <v>16</v>
      </c>
      <c r="N1541" t="s">
        <v>101</v>
      </c>
      <c r="O1541" t="s">
        <v>3890</v>
      </c>
      <c r="P1541" t="s">
        <v>76</v>
      </c>
      <c r="Q1541" t="s">
        <v>76</v>
      </c>
      <c r="R1541" t="s">
        <v>76</v>
      </c>
      <c r="S1541" t="s">
        <v>76</v>
      </c>
      <c r="T1541" t="s">
        <v>76</v>
      </c>
      <c r="U1541">
        <v>1</v>
      </c>
      <c r="V1541" s="13">
        <v>45175</v>
      </c>
      <c r="W1541">
        <v>1</v>
      </c>
      <c r="X1541">
        <v>1</v>
      </c>
      <c r="Y1541" t="s">
        <v>3747</v>
      </c>
      <c r="AC1541">
        <v>5171</v>
      </c>
      <c r="AD1541" t="e" vm="1531">
        <v>#VALUE!</v>
      </c>
    </row>
    <row r="1542" spans="2:30" x14ac:dyDescent="0.25">
      <c r="B1542">
        <v>5172</v>
      </c>
      <c r="C1542" t="s">
        <v>3684</v>
      </c>
      <c r="D1542" t="s">
        <v>3746</v>
      </c>
      <c r="E1542" t="s">
        <v>3889</v>
      </c>
      <c r="F1542" t="s">
        <v>81</v>
      </c>
      <c r="G1542" t="s">
        <v>86</v>
      </c>
      <c r="H1542" t="s">
        <v>3808</v>
      </c>
      <c r="I1542" t="s">
        <v>3821</v>
      </c>
      <c r="J1542" t="s">
        <v>3810</v>
      </c>
      <c r="K1542" t="s">
        <v>239</v>
      </c>
      <c r="L1542" s="13">
        <v>39458</v>
      </c>
      <c r="M1542">
        <v>16</v>
      </c>
      <c r="N1542" t="s">
        <v>101</v>
      </c>
      <c r="O1542" t="s">
        <v>3890</v>
      </c>
      <c r="P1542" t="s">
        <v>76</v>
      </c>
      <c r="Q1542" t="s">
        <v>76</v>
      </c>
      <c r="R1542" t="s">
        <v>76</v>
      </c>
      <c r="S1542" t="s">
        <v>76</v>
      </c>
      <c r="T1542" t="s">
        <v>76</v>
      </c>
      <c r="U1542">
        <v>1</v>
      </c>
      <c r="V1542" s="13">
        <v>45175</v>
      </c>
      <c r="W1542">
        <v>1</v>
      </c>
      <c r="X1542">
        <v>1</v>
      </c>
      <c r="Y1542" t="s">
        <v>3747</v>
      </c>
      <c r="AC1542">
        <v>5172</v>
      </c>
      <c r="AD1542" t="e" vm="1532">
        <v>#VALUE!</v>
      </c>
    </row>
    <row r="1543" spans="2:30" x14ac:dyDescent="0.25">
      <c r="B1543">
        <v>5173</v>
      </c>
      <c r="C1543" t="s">
        <v>3684</v>
      </c>
      <c r="D1543" t="s">
        <v>3746</v>
      </c>
      <c r="E1543" t="s">
        <v>3889</v>
      </c>
      <c r="F1543" t="s">
        <v>81</v>
      </c>
      <c r="G1543" t="s">
        <v>86</v>
      </c>
      <c r="H1543" t="s">
        <v>3808</v>
      </c>
      <c r="I1543" t="s">
        <v>3821</v>
      </c>
      <c r="J1543" t="s">
        <v>3810</v>
      </c>
      <c r="K1543" t="s">
        <v>239</v>
      </c>
      <c r="L1543" s="13">
        <v>39458</v>
      </c>
      <c r="M1543">
        <v>16</v>
      </c>
      <c r="N1543" t="s">
        <v>101</v>
      </c>
      <c r="O1543" t="s">
        <v>3890</v>
      </c>
      <c r="P1543" t="s">
        <v>76</v>
      </c>
      <c r="Q1543" t="s">
        <v>76</v>
      </c>
      <c r="R1543" t="s">
        <v>76</v>
      </c>
      <c r="S1543" t="s">
        <v>76</v>
      </c>
      <c r="T1543" t="s">
        <v>76</v>
      </c>
      <c r="U1543">
        <v>1</v>
      </c>
      <c r="V1543" s="13">
        <v>45175</v>
      </c>
      <c r="W1543">
        <v>1</v>
      </c>
      <c r="X1543">
        <v>1</v>
      </c>
      <c r="Y1543" t="s">
        <v>3747</v>
      </c>
      <c r="AC1543">
        <v>5173</v>
      </c>
      <c r="AD1543" t="e" vm="1533">
        <v>#VALUE!</v>
      </c>
    </row>
    <row r="1544" spans="2:30" x14ac:dyDescent="0.25">
      <c r="B1544">
        <v>5174</v>
      </c>
      <c r="C1544" t="s">
        <v>3684</v>
      </c>
      <c r="D1544" t="s">
        <v>3665</v>
      </c>
      <c r="E1544" t="s">
        <v>3815</v>
      </c>
      <c r="F1544" t="s">
        <v>92</v>
      </c>
      <c r="G1544" t="s">
        <v>96</v>
      </c>
      <c r="H1544" t="s">
        <v>3808</v>
      </c>
      <c r="I1544" t="s">
        <v>3821</v>
      </c>
      <c r="J1544" t="s">
        <v>3810</v>
      </c>
      <c r="K1544" t="s">
        <v>239</v>
      </c>
      <c r="L1544" s="13">
        <v>39472</v>
      </c>
      <c r="M1544">
        <v>16</v>
      </c>
      <c r="N1544" t="s">
        <v>101</v>
      </c>
      <c r="O1544" t="s">
        <v>3890</v>
      </c>
      <c r="P1544" t="s">
        <v>76</v>
      </c>
      <c r="Q1544" t="s">
        <v>76</v>
      </c>
      <c r="R1544" t="s">
        <v>76</v>
      </c>
      <c r="S1544" t="s">
        <v>76</v>
      </c>
      <c r="T1544" t="s">
        <v>76</v>
      </c>
      <c r="U1544">
        <v>1</v>
      </c>
      <c r="V1544" s="13">
        <v>45175</v>
      </c>
      <c r="W1544">
        <v>1</v>
      </c>
      <c r="X1544">
        <v>1</v>
      </c>
      <c r="Y1544" t="s">
        <v>3748</v>
      </c>
      <c r="AC1544">
        <v>5174</v>
      </c>
      <c r="AD1544" t="e" vm="1534">
        <v>#VALUE!</v>
      </c>
    </row>
    <row r="1545" spans="2:30" x14ac:dyDescent="0.25">
      <c r="B1545">
        <v>5175</v>
      </c>
      <c r="C1545" t="s">
        <v>3684</v>
      </c>
      <c r="D1545" t="s">
        <v>3746</v>
      </c>
      <c r="E1545" t="s">
        <v>3889</v>
      </c>
      <c r="F1545" t="s">
        <v>81</v>
      </c>
      <c r="G1545" t="s">
        <v>86</v>
      </c>
      <c r="H1545" t="s">
        <v>3808</v>
      </c>
      <c r="I1545" t="s">
        <v>3821</v>
      </c>
      <c r="J1545" t="s">
        <v>3810</v>
      </c>
      <c r="K1545" t="s">
        <v>239</v>
      </c>
      <c r="L1545" s="13">
        <v>39465</v>
      </c>
      <c r="M1545">
        <v>16</v>
      </c>
      <c r="N1545" t="s">
        <v>101</v>
      </c>
      <c r="O1545" t="s">
        <v>3890</v>
      </c>
      <c r="P1545" t="s">
        <v>76</v>
      </c>
      <c r="Q1545" t="s">
        <v>76</v>
      </c>
      <c r="R1545" t="s">
        <v>76</v>
      </c>
      <c r="S1545" t="s">
        <v>76</v>
      </c>
      <c r="T1545" t="s">
        <v>76</v>
      </c>
      <c r="U1545">
        <v>1</v>
      </c>
      <c r="V1545" s="13">
        <v>45175</v>
      </c>
      <c r="W1545">
        <v>1</v>
      </c>
      <c r="X1545">
        <v>1</v>
      </c>
      <c r="Y1545" t="s">
        <v>3747</v>
      </c>
      <c r="AC1545">
        <v>5175</v>
      </c>
      <c r="AD1545" t="e" vm="1535">
        <v>#VALUE!</v>
      </c>
    </row>
    <row r="1546" spans="2:30" x14ac:dyDescent="0.25">
      <c r="B1546">
        <v>5176</v>
      </c>
      <c r="C1546" t="s">
        <v>3684</v>
      </c>
      <c r="D1546" t="s">
        <v>3746</v>
      </c>
      <c r="E1546" t="s">
        <v>3889</v>
      </c>
      <c r="F1546" t="s">
        <v>81</v>
      </c>
      <c r="G1546" t="s">
        <v>86</v>
      </c>
      <c r="H1546" t="s">
        <v>3808</v>
      </c>
      <c r="I1546" t="s">
        <v>3821</v>
      </c>
      <c r="J1546" t="s">
        <v>3810</v>
      </c>
      <c r="K1546" t="s">
        <v>239</v>
      </c>
      <c r="L1546" s="13">
        <v>39472</v>
      </c>
      <c r="M1546">
        <v>16</v>
      </c>
      <c r="N1546" t="s">
        <v>101</v>
      </c>
      <c r="O1546" t="s">
        <v>3890</v>
      </c>
      <c r="P1546" t="s">
        <v>76</v>
      </c>
      <c r="Q1546" t="s">
        <v>76</v>
      </c>
      <c r="R1546" t="s">
        <v>76</v>
      </c>
      <c r="S1546" t="s">
        <v>76</v>
      </c>
      <c r="T1546" t="s">
        <v>76</v>
      </c>
      <c r="U1546">
        <v>1</v>
      </c>
      <c r="V1546" s="13">
        <v>45175</v>
      </c>
      <c r="W1546">
        <v>1</v>
      </c>
      <c r="X1546">
        <v>1</v>
      </c>
      <c r="Y1546" t="s">
        <v>3747</v>
      </c>
      <c r="AC1546">
        <v>5176</v>
      </c>
      <c r="AD1546" t="e" vm="1536">
        <v>#VALUE!</v>
      </c>
    </row>
    <row r="1547" spans="2:30" x14ac:dyDescent="0.25">
      <c r="B1547">
        <v>5177</v>
      </c>
      <c r="C1547" t="s">
        <v>3684</v>
      </c>
      <c r="D1547" t="s">
        <v>3746</v>
      </c>
      <c r="E1547" t="s">
        <v>3889</v>
      </c>
      <c r="F1547" t="s">
        <v>81</v>
      </c>
      <c r="G1547" t="s">
        <v>86</v>
      </c>
      <c r="H1547" t="s">
        <v>3808</v>
      </c>
      <c r="I1547" t="s">
        <v>3821</v>
      </c>
      <c r="J1547" t="s">
        <v>3810</v>
      </c>
      <c r="K1547" t="s">
        <v>239</v>
      </c>
      <c r="L1547" s="13">
        <v>39465</v>
      </c>
      <c r="M1547">
        <v>16</v>
      </c>
      <c r="N1547" t="s">
        <v>101</v>
      </c>
      <c r="O1547" t="s">
        <v>3890</v>
      </c>
      <c r="P1547" t="s">
        <v>76</v>
      </c>
      <c r="Q1547" t="s">
        <v>76</v>
      </c>
      <c r="R1547" t="s">
        <v>76</v>
      </c>
      <c r="S1547" t="s">
        <v>76</v>
      </c>
      <c r="T1547" t="s">
        <v>76</v>
      </c>
      <c r="U1547">
        <v>1</v>
      </c>
      <c r="V1547" s="13">
        <v>45175</v>
      </c>
      <c r="W1547">
        <v>1</v>
      </c>
      <c r="X1547">
        <v>1</v>
      </c>
      <c r="Y1547" t="s">
        <v>3747</v>
      </c>
      <c r="AC1547">
        <v>5177</v>
      </c>
      <c r="AD1547" t="e" vm="1537">
        <v>#VALUE!</v>
      </c>
    </row>
    <row r="1548" spans="2:30" x14ac:dyDescent="0.25">
      <c r="B1548">
        <v>5178</v>
      </c>
      <c r="C1548" t="s">
        <v>3684</v>
      </c>
      <c r="D1548" t="s">
        <v>3689</v>
      </c>
      <c r="E1548" t="s">
        <v>3831</v>
      </c>
      <c r="F1548" t="s">
        <v>115</v>
      </c>
      <c r="G1548" t="s">
        <v>103</v>
      </c>
      <c r="H1548" t="s">
        <v>3808</v>
      </c>
      <c r="I1548" t="s">
        <v>3821</v>
      </c>
      <c r="J1548" t="s">
        <v>3810</v>
      </c>
      <c r="K1548" t="s">
        <v>239</v>
      </c>
      <c r="L1548" s="13">
        <v>39465</v>
      </c>
      <c r="M1548">
        <v>16</v>
      </c>
      <c r="N1548" t="s">
        <v>101</v>
      </c>
      <c r="O1548" t="s">
        <v>3890</v>
      </c>
      <c r="P1548" t="s">
        <v>76</v>
      </c>
      <c r="Q1548" t="s">
        <v>76</v>
      </c>
      <c r="R1548" t="s">
        <v>76</v>
      </c>
      <c r="S1548" t="s">
        <v>76</v>
      </c>
      <c r="T1548" t="s">
        <v>76</v>
      </c>
      <c r="U1548">
        <v>1</v>
      </c>
      <c r="V1548" s="13">
        <v>45175</v>
      </c>
      <c r="W1548">
        <v>1</v>
      </c>
      <c r="X1548">
        <v>1</v>
      </c>
      <c r="Y1548" t="s">
        <v>3690</v>
      </c>
      <c r="AC1548">
        <v>5178</v>
      </c>
      <c r="AD1548" t="e" vm="1538">
        <v>#VALUE!</v>
      </c>
    </row>
    <row r="1549" spans="2:30" x14ac:dyDescent="0.25">
      <c r="B1549">
        <v>5179</v>
      </c>
      <c r="C1549" t="s">
        <v>3684</v>
      </c>
      <c r="D1549" t="s">
        <v>3689</v>
      </c>
      <c r="E1549" t="s">
        <v>3831</v>
      </c>
      <c r="F1549" t="s">
        <v>115</v>
      </c>
      <c r="G1549" t="s">
        <v>103</v>
      </c>
      <c r="H1549" t="s">
        <v>3808</v>
      </c>
      <c r="I1549" t="s">
        <v>3821</v>
      </c>
      <c r="J1549" t="s">
        <v>3810</v>
      </c>
      <c r="K1549" t="s">
        <v>239</v>
      </c>
      <c r="L1549" s="13">
        <v>39472</v>
      </c>
      <c r="M1549">
        <v>16</v>
      </c>
      <c r="N1549" t="s">
        <v>101</v>
      </c>
      <c r="O1549" t="s">
        <v>3890</v>
      </c>
      <c r="P1549" t="s">
        <v>76</v>
      </c>
      <c r="Q1549" t="s">
        <v>76</v>
      </c>
      <c r="R1549" t="s">
        <v>76</v>
      </c>
      <c r="S1549" t="s">
        <v>76</v>
      </c>
      <c r="T1549" t="s">
        <v>76</v>
      </c>
      <c r="U1549">
        <v>1</v>
      </c>
      <c r="V1549" s="13">
        <v>45175</v>
      </c>
      <c r="W1549">
        <v>1</v>
      </c>
      <c r="X1549">
        <v>1</v>
      </c>
      <c r="Y1549" t="s">
        <v>3690</v>
      </c>
      <c r="AC1549">
        <v>5179</v>
      </c>
      <c r="AD1549" t="e" vm="1539">
        <v>#VALUE!</v>
      </c>
    </row>
    <row r="1550" spans="2:30" x14ac:dyDescent="0.25">
      <c r="B1550">
        <v>5180</v>
      </c>
      <c r="C1550" t="s">
        <v>3684</v>
      </c>
      <c r="D1550" t="s">
        <v>3689</v>
      </c>
      <c r="E1550" t="s">
        <v>3831</v>
      </c>
      <c r="F1550" t="s">
        <v>115</v>
      </c>
      <c r="G1550" t="s">
        <v>103</v>
      </c>
      <c r="H1550" t="s">
        <v>3808</v>
      </c>
      <c r="I1550" t="s">
        <v>3821</v>
      </c>
      <c r="J1550" t="s">
        <v>3810</v>
      </c>
      <c r="K1550" t="s">
        <v>239</v>
      </c>
      <c r="L1550" s="13">
        <v>39492</v>
      </c>
      <c r="M1550">
        <v>16</v>
      </c>
      <c r="N1550" t="s">
        <v>101</v>
      </c>
      <c r="O1550" t="s">
        <v>3890</v>
      </c>
      <c r="P1550" t="s">
        <v>76</v>
      </c>
      <c r="Q1550" t="s">
        <v>76</v>
      </c>
      <c r="R1550" t="s">
        <v>76</v>
      </c>
      <c r="S1550" t="s">
        <v>76</v>
      </c>
      <c r="T1550" t="s">
        <v>76</v>
      </c>
      <c r="U1550">
        <v>1</v>
      </c>
      <c r="V1550" s="13">
        <v>45175</v>
      </c>
      <c r="W1550">
        <v>1</v>
      </c>
      <c r="X1550">
        <v>1</v>
      </c>
      <c r="Y1550" t="s">
        <v>3690</v>
      </c>
      <c r="AC1550">
        <v>5180</v>
      </c>
      <c r="AD1550" t="e" vm="1540">
        <v>#VALUE!</v>
      </c>
    </row>
    <row r="1551" spans="2:30" x14ac:dyDescent="0.25">
      <c r="B1551">
        <v>5181</v>
      </c>
      <c r="C1551" t="s">
        <v>3684</v>
      </c>
      <c r="D1551" t="s">
        <v>3689</v>
      </c>
      <c r="E1551" t="s">
        <v>3831</v>
      </c>
      <c r="F1551" t="s">
        <v>115</v>
      </c>
      <c r="G1551" t="s">
        <v>103</v>
      </c>
      <c r="H1551" t="s">
        <v>3808</v>
      </c>
      <c r="I1551" t="s">
        <v>3821</v>
      </c>
      <c r="J1551" t="s">
        <v>3810</v>
      </c>
      <c r="K1551" t="s">
        <v>239</v>
      </c>
      <c r="L1551" s="13">
        <v>39490</v>
      </c>
      <c r="M1551">
        <v>16</v>
      </c>
      <c r="N1551" t="s">
        <v>101</v>
      </c>
      <c r="O1551" t="s">
        <v>3890</v>
      </c>
      <c r="P1551" t="s">
        <v>76</v>
      </c>
      <c r="Q1551" t="s">
        <v>76</v>
      </c>
      <c r="R1551" t="s">
        <v>76</v>
      </c>
      <c r="S1551" t="s">
        <v>76</v>
      </c>
      <c r="T1551" t="s">
        <v>76</v>
      </c>
      <c r="U1551">
        <v>1</v>
      </c>
      <c r="V1551" s="13">
        <v>45175</v>
      </c>
      <c r="W1551">
        <v>1</v>
      </c>
      <c r="X1551">
        <v>1</v>
      </c>
      <c r="Y1551" t="s">
        <v>3690</v>
      </c>
      <c r="AC1551">
        <v>5181</v>
      </c>
      <c r="AD1551" t="e" vm="1541">
        <v>#VALUE!</v>
      </c>
    </row>
    <row r="1552" spans="2:30" x14ac:dyDescent="0.25">
      <c r="B1552">
        <v>5182</v>
      </c>
      <c r="C1552" t="s">
        <v>3684</v>
      </c>
      <c r="D1552" t="s">
        <v>3665</v>
      </c>
      <c r="E1552" t="s">
        <v>3815</v>
      </c>
      <c r="F1552" t="s">
        <v>92</v>
      </c>
      <c r="G1552" t="s">
        <v>96</v>
      </c>
      <c r="H1552" t="s">
        <v>3808</v>
      </c>
      <c r="I1552" t="s">
        <v>3821</v>
      </c>
      <c r="J1552" t="s">
        <v>3810</v>
      </c>
      <c r="K1552" t="s">
        <v>239</v>
      </c>
      <c r="L1552" s="13">
        <v>39490</v>
      </c>
      <c r="M1552">
        <v>16</v>
      </c>
      <c r="N1552" t="s">
        <v>101</v>
      </c>
      <c r="O1552" t="s">
        <v>3890</v>
      </c>
      <c r="P1552" t="s">
        <v>76</v>
      </c>
      <c r="Q1552" t="s">
        <v>76</v>
      </c>
      <c r="R1552" t="s">
        <v>76</v>
      </c>
      <c r="S1552" t="s">
        <v>76</v>
      </c>
      <c r="T1552" t="s">
        <v>76</v>
      </c>
      <c r="U1552">
        <v>1</v>
      </c>
      <c r="V1552" s="13">
        <v>45175</v>
      </c>
      <c r="W1552">
        <v>1</v>
      </c>
      <c r="X1552">
        <v>1</v>
      </c>
      <c r="Y1552" t="s">
        <v>3748</v>
      </c>
      <c r="AC1552">
        <v>5182</v>
      </c>
      <c r="AD1552" t="e" vm="1542">
        <v>#VALUE!</v>
      </c>
    </row>
    <row r="1553" spans="2:30" x14ac:dyDescent="0.25">
      <c r="B1553">
        <v>5183</v>
      </c>
      <c r="C1553" t="s">
        <v>3684</v>
      </c>
      <c r="D1553" t="s">
        <v>3689</v>
      </c>
      <c r="E1553" t="s">
        <v>3831</v>
      </c>
      <c r="F1553" t="s">
        <v>115</v>
      </c>
      <c r="G1553" t="s">
        <v>103</v>
      </c>
      <c r="H1553" t="s">
        <v>3808</v>
      </c>
      <c r="I1553" t="s">
        <v>3821</v>
      </c>
      <c r="J1553" t="s">
        <v>3810</v>
      </c>
      <c r="K1553" t="s">
        <v>239</v>
      </c>
      <c r="L1553" s="13">
        <v>39492</v>
      </c>
      <c r="M1553">
        <v>16</v>
      </c>
      <c r="N1553" t="s">
        <v>101</v>
      </c>
      <c r="O1553" t="s">
        <v>3890</v>
      </c>
      <c r="P1553" t="s">
        <v>76</v>
      </c>
      <c r="Q1553" t="s">
        <v>76</v>
      </c>
      <c r="R1553" t="s">
        <v>76</v>
      </c>
      <c r="S1553" t="s">
        <v>76</v>
      </c>
      <c r="T1553" t="s">
        <v>76</v>
      </c>
      <c r="U1553">
        <v>1</v>
      </c>
      <c r="V1553" s="13">
        <v>45175</v>
      </c>
      <c r="W1553">
        <v>1</v>
      </c>
      <c r="X1553">
        <v>1</v>
      </c>
      <c r="Y1553" t="s">
        <v>3690</v>
      </c>
      <c r="AC1553">
        <v>5183</v>
      </c>
      <c r="AD1553" t="e" vm="1543">
        <v>#VALUE!</v>
      </c>
    </row>
    <row r="1554" spans="2:30" x14ac:dyDescent="0.25">
      <c r="B1554">
        <v>5184</v>
      </c>
      <c r="C1554" t="s">
        <v>3684</v>
      </c>
      <c r="D1554" t="s">
        <v>3689</v>
      </c>
      <c r="E1554" t="s">
        <v>3831</v>
      </c>
      <c r="F1554" t="s">
        <v>115</v>
      </c>
      <c r="G1554" t="s">
        <v>103</v>
      </c>
      <c r="H1554" t="s">
        <v>3808</v>
      </c>
      <c r="I1554" t="s">
        <v>3821</v>
      </c>
      <c r="J1554" t="s">
        <v>3810</v>
      </c>
      <c r="K1554" t="s">
        <v>239</v>
      </c>
      <c r="L1554" s="13">
        <v>39472</v>
      </c>
      <c r="M1554">
        <v>16</v>
      </c>
      <c r="N1554" t="s">
        <v>101</v>
      </c>
      <c r="O1554" t="s">
        <v>3890</v>
      </c>
      <c r="P1554" t="s">
        <v>76</v>
      </c>
      <c r="Q1554" t="s">
        <v>76</v>
      </c>
      <c r="R1554" t="s">
        <v>76</v>
      </c>
      <c r="S1554" t="s">
        <v>76</v>
      </c>
      <c r="T1554" t="s">
        <v>76</v>
      </c>
      <c r="U1554">
        <v>1</v>
      </c>
      <c r="V1554" s="13">
        <v>45175</v>
      </c>
      <c r="W1554">
        <v>1</v>
      </c>
      <c r="X1554">
        <v>1</v>
      </c>
      <c r="Y1554" t="s">
        <v>3690</v>
      </c>
      <c r="AC1554">
        <v>5184</v>
      </c>
      <c r="AD1554" t="e" vm="1544">
        <v>#VALUE!</v>
      </c>
    </row>
    <row r="1555" spans="2:30" x14ac:dyDescent="0.25">
      <c r="B1555">
        <v>5185</v>
      </c>
      <c r="C1555" t="s">
        <v>3684</v>
      </c>
      <c r="D1555" t="s">
        <v>3689</v>
      </c>
      <c r="E1555" t="s">
        <v>3831</v>
      </c>
      <c r="F1555" t="s">
        <v>115</v>
      </c>
      <c r="G1555" t="s">
        <v>103</v>
      </c>
      <c r="H1555" t="s">
        <v>3808</v>
      </c>
      <c r="I1555" t="s">
        <v>3821</v>
      </c>
      <c r="J1555" t="s">
        <v>3810</v>
      </c>
      <c r="K1555" t="s">
        <v>239</v>
      </c>
      <c r="L1555" s="13">
        <v>39504</v>
      </c>
      <c r="M1555">
        <v>16</v>
      </c>
      <c r="N1555" t="s">
        <v>101</v>
      </c>
      <c r="O1555" t="s">
        <v>3890</v>
      </c>
      <c r="P1555" t="s">
        <v>76</v>
      </c>
      <c r="Q1555" t="s">
        <v>76</v>
      </c>
      <c r="R1555" t="s">
        <v>76</v>
      </c>
      <c r="S1555" t="s">
        <v>76</v>
      </c>
      <c r="T1555" t="s">
        <v>76</v>
      </c>
      <c r="U1555">
        <v>1</v>
      </c>
      <c r="V1555" s="13">
        <v>45175</v>
      </c>
      <c r="W1555">
        <v>1</v>
      </c>
      <c r="X1555">
        <v>1</v>
      </c>
      <c r="Y1555" t="s">
        <v>3690</v>
      </c>
      <c r="AC1555">
        <v>5185</v>
      </c>
      <c r="AD1555" t="e" vm="1545">
        <v>#VALUE!</v>
      </c>
    </row>
    <row r="1556" spans="2:30" x14ac:dyDescent="0.25">
      <c r="B1556">
        <v>5186</v>
      </c>
      <c r="C1556" t="s">
        <v>3684</v>
      </c>
      <c r="D1556" t="s">
        <v>3689</v>
      </c>
      <c r="E1556" t="s">
        <v>3831</v>
      </c>
      <c r="F1556" t="s">
        <v>115</v>
      </c>
      <c r="G1556" t="s">
        <v>103</v>
      </c>
      <c r="H1556" t="s">
        <v>3808</v>
      </c>
      <c r="I1556" t="s">
        <v>3821</v>
      </c>
      <c r="J1556" t="s">
        <v>3810</v>
      </c>
      <c r="K1556" t="s">
        <v>239</v>
      </c>
      <c r="L1556" s="13">
        <v>39504</v>
      </c>
      <c r="M1556">
        <v>16</v>
      </c>
      <c r="N1556" t="s">
        <v>101</v>
      </c>
      <c r="O1556" t="s">
        <v>3890</v>
      </c>
      <c r="P1556" t="s">
        <v>76</v>
      </c>
      <c r="Q1556" t="s">
        <v>76</v>
      </c>
      <c r="R1556" t="s">
        <v>76</v>
      </c>
      <c r="S1556" t="s">
        <v>76</v>
      </c>
      <c r="T1556" t="s">
        <v>76</v>
      </c>
      <c r="U1556">
        <v>1</v>
      </c>
      <c r="V1556" s="13">
        <v>45175</v>
      </c>
      <c r="W1556">
        <v>1</v>
      </c>
      <c r="X1556">
        <v>1</v>
      </c>
      <c r="Y1556" t="s">
        <v>3690</v>
      </c>
      <c r="AC1556">
        <v>5186</v>
      </c>
      <c r="AD1556" t="e" vm="1546">
        <v>#VALUE!</v>
      </c>
    </row>
    <row r="1557" spans="2:30" x14ac:dyDescent="0.25">
      <c r="B1557">
        <v>5187</v>
      </c>
      <c r="C1557" t="s">
        <v>3684</v>
      </c>
      <c r="D1557" t="s">
        <v>3689</v>
      </c>
      <c r="E1557" t="s">
        <v>3831</v>
      </c>
      <c r="F1557" t="s">
        <v>115</v>
      </c>
      <c r="G1557" t="s">
        <v>103</v>
      </c>
      <c r="H1557" t="s">
        <v>3808</v>
      </c>
      <c r="I1557" t="s">
        <v>3821</v>
      </c>
      <c r="J1557" t="s">
        <v>3810</v>
      </c>
      <c r="K1557" t="s">
        <v>239</v>
      </c>
      <c r="L1557" s="13">
        <v>39506</v>
      </c>
      <c r="M1557">
        <v>16</v>
      </c>
      <c r="N1557" t="s">
        <v>101</v>
      </c>
      <c r="O1557" t="s">
        <v>3890</v>
      </c>
      <c r="P1557" t="s">
        <v>76</v>
      </c>
      <c r="Q1557" t="s">
        <v>76</v>
      </c>
      <c r="R1557" t="s">
        <v>76</v>
      </c>
      <c r="S1557" t="s">
        <v>76</v>
      </c>
      <c r="T1557" t="s">
        <v>76</v>
      </c>
      <c r="U1557">
        <v>1</v>
      </c>
      <c r="V1557" s="13">
        <v>45175</v>
      </c>
      <c r="W1557">
        <v>1</v>
      </c>
      <c r="X1557">
        <v>1</v>
      </c>
      <c r="Y1557" t="s">
        <v>3690</v>
      </c>
      <c r="AC1557">
        <v>5187</v>
      </c>
      <c r="AD1557" t="e" vm="1547">
        <v>#VALUE!</v>
      </c>
    </row>
    <row r="1558" spans="2:30" x14ac:dyDescent="0.25">
      <c r="B1558">
        <v>5188</v>
      </c>
      <c r="C1558" t="s">
        <v>3684</v>
      </c>
      <c r="D1558" t="s">
        <v>3689</v>
      </c>
      <c r="E1558" t="s">
        <v>3831</v>
      </c>
      <c r="F1558" t="s">
        <v>115</v>
      </c>
      <c r="G1558" t="s">
        <v>103</v>
      </c>
      <c r="H1558" t="s">
        <v>3808</v>
      </c>
      <c r="I1558" t="s">
        <v>3821</v>
      </c>
      <c r="J1558" t="s">
        <v>3810</v>
      </c>
      <c r="K1558" t="s">
        <v>239</v>
      </c>
      <c r="L1558" s="13">
        <v>39504</v>
      </c>
      <c r="M1558">
        <v>16</v>
      </c>
      <c r="N1558" t="s">
        <v>101</v>
      </c>
      <c r="O1558" t="s">
        <v>3890</v>
      </c>
      <c r="P1558" t="s">
        <v>76</v>
      </c>
      <c r="Q1558" t="s">
        <v>76</v>
      </c>
      <c r="R1558" t="s">
        <v>76</v>
      </c>
      <c r="S1558" t="s">
        <v>76</v>
      </c>
      <c r="T1558" t="s">
        <v>76</v>
      </c>
      <c r="U1558">
        <v>1</v>
      </c>
      <c r="V1558" s="13">
        <v>45175</v>
      </c>
      <c r="W1558">
        <v>1</v>
      </c>
      <c r="X1558">
        <v>1</v>
      </c>
      <c r="Y1558" t="s">
        <v>3690</v>
      </c>
      <c r="AC1558">
        <v>5188</v>
      </c>
      <c r="AD1558" t="e" vm="1548">
        <v>#VALUE!</v>
      </c>
    </row>
    <row r="1559" spans="2:30" x14ac:dyDescent="0.25">
      <c r="B1559">
        <v>5189</v>
      </c>
      <c r="C1559" t="s">
        <v>3684</v>
      </c>
      <c r="D1559" t="s">
        <v>3689</v>
      </c>
      <c r="E1559" t="s">
        <v>3831</v>
      </c>
      <c r="F1559" t="s">
        <v>115</v>
      </c>
      <c r="G1559" t="s">
        <v>103</v>
      </c>
      <c r="H1559" t="s">
        <v>3808</v>
      </c>
      <c r="I1559" t="s">
        <v>3821</v>
      </c>
      <c r="J1559" t="s">
        <v>3810</v>
      </c>
      <c r="K1559" t="s">
        <v>239</v>
      </c>
      <c r="L1559" s="13">
        <v>39506</v>
      </c>
      <c r="M1559">
        <v>16</v>
      </c>
      <c r="N1559" t="s">
        <v>101</v>
      </c>
      <c r="O1559" t="s">
        <v>3890</v>
      </c>
      <c r="P1559" t="s">
        <v>76</v>
      </c>
      <c r="Q1559" t="s">
        <v>76</v>
      </c>
      <c r="R1559" t="s">
        <v>76</v>
      </c>
      <c r="S1559" t="s">
        <v>76</v>
      </c>
      <c r="T1559" t="s">
        <v>76</v>
      </c>
      <c r="U1559">
        <v>1</v>
      </c>
      <c r="V1559" s="13">
        <v>45175</v>
      </c>
      <c r="W1559">
        <v>1</v>
      </c>
      <c r="X1559">
        <v>1</v>
      </c>
      <c r="Y1559" t="s">
        <v>3690</v>
      </c>
      <c r="AC1559">
        <v>5189</v>
      </c>
      <c r="AD1559" t="e" vm="1549">
        <v>#VALUE!</v>
      </c>
    </row>
    <row r="1560" spans="2:30" x14ac:dyDescent="0.25">
      <c r="B1560">
        <v>5190</v>
      </c>
      <c r="C1560" t="s">
        <v>3684</v>
      </c>
      <c r="D1560" t="s">
        <v>3689</v>
      </c>
      <c r="E1560" t="s">
        <v>3831</v>
      </c>
      <c r="F1560" t="s">
        <v>115</v>
      </c>
      <c r="G1560" t="s">
        <v>103</v>
      </c>
      <c r="H1560" t="s">
        <v>3808</v>
      </c>
      <c r="I1560" t="s">
        <v>3821</v>
      </c>
      <c r="J1560" t="s">
        <v>3810</v>
      </c>
      <c r="K1560" t="s">
        <v>239</v>
      </c>
      <c r="L1560" s="13">
        <v>39526</v>
      </c>
      <c r="M1560">
        <v>16</v>
      </c>
      <c r="N1560" t="s">
        <v>101</v>
      </c>
      <c r="O1560" t="s">
        <v>3890</v>
      </c>
      <c r="P1560" t="s">
        <v>76</v>
      </c>
      <c r="Q1560" t="s">
        <v>76</v>
      </c>
      <c r="R1560" t="s">
        <v>76</v>
      </c>
      <c r="S1560" t="s">
        <v>76</v>
      </c>
      <c r="T1560" t="s">
        <v>76</v>
      </c>
      <c r="U1560">
        <v>1</v>
      </c>
      <c r="V1560" s="13">
        <v>45175</v>
      </c>
      <c r="W1560">
        <v>1</v>
      </c>
      <c r="X1560">
        <v>1</v>
      </c>
      <c r="Y1560" t="s">
        <v>3690</v>
      </c>
      <c r="AC1560">
        <v>5190</v>
      </c>
      <c r="AD1560" t="e" vm="1550">
        <v>#VALUE!</v>
      </c>
    </row>
    <row r="1561" spans="2:30" x14ac:dyDescent="0.25">
      <c r="B1561">
        <v>5191</v>
      </c>
      <c r="C1561" t="s">
        <v>3684</v>
      </c>
      <c r="D1561" t="s">
        <v>3689</v>
      </c>
      <c r="E1561" t="s">
        <v>3831</v>
      </c>
      <c r="F1561" t="s">
        <v>115</v>
      </c>
      <c r="G1561" t="s">
        <v>103</v>
      </c>
      <c r="H1561" t="s">
        <v>3808</v>
      </c>
      <c r="I1561" t="s">
        <v>3821</v>
      </c>
      <c r="J1561" t="s">
        <v>3810</v>
      </c>
      <c r="K1561" t="s">
        <v>239</v>
      </c>
      <c r="L1561" s="13">
        <v>39512</v>
      </c>
      <c r="M1561">
        <v>16</v>
      </c>
      <c r="N1561" t="s">
        <v>101</v>
      </c>
      <c r="O1561" t="s">
        <v>3890</v>
      </c>
      <c r="P1561" t="s">
        <v>76</v>
      </c>
      <c r="Q1561" t="s">
        <v>76</v>
      </c>
      <c r="R1561" t="s">
        <v>76</v>
      </c>
      <c r="S1561" t="s">
        <v>76</v>
      </c>
      <c r="T1561" t="s">
        <v>76</v>
      </c>
      <c r="U1561">
        <v>1</v>
      </c>
      <c r="V1561" s="13">
        <v>45175</v>
      </c>
      <c r="W1561">
        <v>1</v>
      </c>
      <c r="X1561">
        <v>1</v>
      </c>
      <c r="Y1561" t="s">
        <v>3690</v>
      </c>
      <c r="AC1561">
        <v>5191</v>
      </c>
      <c r="AD1561" t="e" vm="1551">
        <v>#VALUE!</v>
      </c>
    </row>
    <row r="1562" spans="2:30" x14ac:dyDescent="0.25">
      <c r="B1562">
        <v>5192</v>
      </c>
      <c r="C1562" t="s">
        <v>3684</v>
      </c>
      <c r="D1562" t="s">
        <v>3689</v>
      </c>
      <c r="E1562" t="s">
        <v>3831</v>
      </c>
      <c r="F1562" t="s">
        <v>115</v>
      </c>
      <c r="G1562" t="s">
        <v>103</v>
      </c>
      <c r="H1562" t="s">
        <v>3808</v>
      </c>
      <c r="I1562" t="s">
        <v>3821</v>
      </c>
      <c r="J1562" t="s">
        <v>3810</v>
      </c>
      <c r="K1562" t="s">
        <v>239</v>
      </c>
      <c r="L1562" s="13">
        <v>39527</v>
      </c>
      <c r="M1562">
        <v>15</v>
      </c>
      <c r="N1562" t="s">
        <v>101</v>
      </c>
      <c r="O1562" t="s">
        <v>3890</v>
      </c>
      <c r="P1562" t="s">
        <v>76</v>
      </c>
      <c r="Q1562" t="s">
        <v>76</v>
      </c>
      <c r="R1562" t="s">
        <v>76</v>
      </c>
      <c r="S1562" t="s">
        <v>76</v>
      </c>
      <c r="T1562" t="s">
        <v>76</v>
      </c>
      <c r="U1562">
        <v>1</v>
      </c>
      <c r="V1562" s="13">
        <v>45175</v>
      </c>
      <c r="W1562">
        <v>1</v>
      </c>
      <c r="X1562">
        <v>1</v>
      </c>
      <c r="Y1562" t="s">
        <v>3690</v>
      </c>
      <c r="AC1562">
        <v>5192</v>
      </c>
      <c r="AD1562" t="e" vm="1552">
        <v>#VALUE!</v>
      </c>
    </row>
    <row r="1563" spans="2:30" x14ac:dyDescent="0.25">
      <c r="B1563">
        <v>5193</v>
      </c>
      <c r="C1563" t="s">
        <v>3684</v>
      </c>
      <c r="D1563" t="s">
        <v>73</v>
      </c>
      <c r="E1563" t="s">
        <v>73</v>
      </c>
      <c r="F1563" t="s">
        <v>3816</v>
      </c>
      <c r="G1563" t="s">
        <v>3816</v>
      </c>
      <c r="H1563" t="s">
        <v>3808</v>
      </c>
      <c r="I1563" t="s">
        <v>3821</v>
      </c>
      <c r="J1563" t="s">
        <v>3810</v>
      </c>
      <c r="K1563" t="s">
        <v>239</v>
      </c>
      <c r="L1563" s="13">
        <v>39653</v>
      </c>
      <c r="M1563">
        <v>15</v>
      </c>
      <c r="N1563" t="s">
        <v>101</v>
      </c>
      <c r="O1563" t="s">
        <v>3890</v>
      </c>
      <c r="P1563" t="s">
        <v>76</v>
      </c>
      <c r="Q1563" t="s">
        <v>76</v>
      </c>
      <c r="R1563" t="s">
        <v>76</v>
      </c>
      <c r="S1563" t="s">
        <v>76</v>
      </c>
      <c r="T1563" t="s">
        <v>76</v>
      </c>
      <c r="U1563">
        <v>1</v>
      </c>
      <c r="V1563" s="13">
        <v>45175</v>
      </c>
      <c r="W1563">
        <v>1</v>
      </c>
      <c r="X1563">
        <v>1</v>
      </c>
      <c r="Y1563" t="s">
        <v>3697</v>
      </c>
      <c r="AC1563">
        <v>5193</v>
      </c>
      <c r="AD1563" t="e" vm="1553">
        <v>#VALUE!</v>
      </c>
    </row>
    <row r="1564" spans="2:30" x14ac:dyDescent="0.25">
      <c r="B1564">
        <v>5194</v>
      </c>
      <c r="C1564" t="s">
        <v>3684</v>
      </c>
      <c r="D1564" t="s">
        <v>73</v>
      </c>
      <c r="E1564" t="s">
        <v>73</v>
      </c>
      <c r="F1564" t="s">
        <v>3816</v>
      </c>
      <c r="G1564" t="s">
        <v>3816</v>
      </c>
      <c r="H1564" t="s">
        <v>3808</v>
      </c>
      <c r="I1564" t="s">
        <v>3821</v>
      </c>
      <c r="J1564" t="s">
        <v>3810</v>
      </c>
      <c r="K1564" t="s">
        <v>239</v>
      </c>
      <c r="L1564" s="13">
        <v>39583</v>
      </c>
      <c r="M1564">
        <v>15</v>
      </c>
      <c r="N1564" t="s">
        <v>101</v>
      </c>
      <c r="O1564" t="s">
        <v>3890</v>
      </c>
      <c r="P1564" t="s">
        <v>76</v>
      </c>
      <c r="Q1564" t="s">
        <v>76</v>
      </c>
      <c r="R1564" t="s">
        <v>76</v>
      </c>
      <c r="S1564" t="s">
        <v>76</v>
      </c>
      <c r="T1564" t="s">
        <v>76</v>
      </c>
      <c r="U1564">
        <v>1</v>
      </c>
      <c r="V1564" s="13">
        <v>45175</v>
      </c>
      <c r="W1564">
        <v>1</v>
      </c>
      <c r="X1564">
        <v>1</v>
      </c>
      <c r="Y1564" t="s">
        <v>3697</v>
      </c>
      <c r="AC1564">
        <v>5194</v>
      </c>
      <c r="AD1564" t="e" vm="1554">
        <v>#VALUE!</v>
      </c>
    </row>
    <row r="1565" spans="2:30" x14ac:dyDescent="0.25">
      <c r="B1565">
        <v>5195</v>
      </c>
      <c r="C1565" t="s">
        <v>3646</v>
      </c>
      <c r="D1565" t="s">
        <v>3647</v>
      </c>
      <c r="E1565" t="s">
        <v>3807</v>
      </c>
      <c r="F1565" t="s">
        <v>105</v>
      </c>
      <c r="G1565" t="s">
        <v>108</v>
      </c>
      <c r="H1565" t="s">
        <v>3808</v>
      </c>
      <c r="I1565" t="s">
        <v>3821</v>
      </c>
      <c r="J1565" t="s">
        <v>3810</v>
      </c>
      <c r="K1565" t="s">
        <v>239</v>
      </c>
      <c r="L1565" s="13">
        <v>39527</v>
      </c>
      <c r="M1565">
        <v>15</v>
      </c>
      <c r="N1565" t="s">
        <v>90</v>
      </c>
      <c r="O1565" t="s">
        <v>3890</v>
      </c>
      <c r="P1565" t="s">
        <v>76</v>
      </c>
      <c r="Q1565" t="s">
        <v>76</v>
      </c>
      <c r="R1565" t="s">
        <v>76</v>
      </c>
      <c r="S1565" t="s">
        <v>76</v>
      </c>
      <c r="T1565" t="s">
        <v>76</v>
      </c>
      <c r="U1565">
        <v>1</v>
      </c>
      <c r="V1565" s="13">
        <v>45175</v>
      </c>
      <c r="W1565">
        <v>1</v>
      </c>
      <c r="X1565">
        <v>1</v>
      </c>
      <c r="Y1565" t="s">
        <v>3648</v>
      </c>
      <c r="AC1565">
        <v>5195</v>
      </c>
      <c r="AD1565" t="e" vm="1555">
        <v>#VALUE!</v>
      </c>
    </row>
    <row r="1566" spans="2:30" x14ac:dyDescent="0.25">
      <c r="B1566">
        <v>5196</v>
      </c>
      <c r="C1566" t="s">
        <v>3646</v>
      </c>
      <c r="D1566" t="s">
        <v>3647</v>
      </c>
      <c r="E1566" t="s">
        <v>3807</v>
      </c>
      <c r="F1566" t="s">
        <v>105</v>
      </c>
      <c r="G1566" t="s">
        <v>108</v>
      </c>
      <c r="H1566" t="s">
        <v>3808</v>
      </c>
      <c r="I1566" t="s">
        <v>3821</v>
      </c>
      <c r="J1566" t="s">
        <v>3810</v>
      </c>
      <c r="K1566" t="s">
        <v>239</v>
      </c>
      <c r="L1566" s="13">
        <v>39546</v>
      </c>
      <c r="M1566">
        <v>15</v>
      </c>
      <c r="N1566" t="s">
        <v>90</v>
      </c>
      <c r="O1566" t="s">
        <v>3890</v>
      </c>
      <c r="P1566" t="s">
        <v>76</v>
      </c>
      <c r="Q1566" t="s">
        <v>76</v>
      </c>
      <c r="R1566" t="s">
        <v>76</v>
      </c>
      <c r="S1566" t="s">
        <v>76</v>
      </c>
      <c r="T1566" t="s">
        <v>76</v>
      </c>
      <c r="U1566">
        <v>1</v>
      </c>
      <c r="V1566" s="13">
        <v>45175</v>
      </c>
      <c r="W1566">
        <v>1</v>
      </c>
      <c r="X1566">
        <v>1</v>
      </c>
      <c r="Y1566" t="s">
        <v>3648</v>
      </c>
      <c r="AC1566">
        <v>5196</v>
      </c>
      <c r="AD1566" t="e" vm="1556">
        <v>#VALUE!</v>
      </c>
    </row>
    <row r="1567" spans="2:30" x14ac:dyDescent="0.25">
      <c r="B1567">
        <v>5197</v>
      </c>
      <c r="C1567" t="s">
        <v>3646</v>
      </c>
      <c r="D1567" t="s">
        <v>3647</v>
      </c>
      <c r="E1567" t="s">
        <v>3807</v>
      </c>
      <c r="F1567" t="s">
        <v>105</v>
      </c>
      <c r="G1567" t="s">
        <v>108</v>
      </c>
      <c r="H1567" t="s">
        <v>3808</v>
      </c>
      <c r="I1567" t="s">
        <v>3821</v>
      </c>
      <c r="J1567" t="s">
        <v>3810</v>
      </c>
      <c r="K1567" t="s">
        <v>239</v>
      </c>
      <c r="L1567" s="13">
        <v>39546</v>
      </c>
      <c r="M1567">
        <v>15</v>
      </c>
      <c r="N1567" t="s">
        <v>90</v>
      </c>
      <c r="O1567" t="s">
        <v>3890</v>
      </c>
      <c r="P1567" t="s">
        <v>76</v>
      </c>
      <c r="Q1567" t="s">
        <v>76</v>
      </c>
      <c r="R1567" t="s">
        <v>76</v>
      </c>
      <c r="S1567" t="s">
        <v>76</v>
      </c>
      <c r="T1567" t="s">
        <v>76</v>
      </c>
      <c r="U1567">
        <v>1</v>
      </c>
      <c r="V1567" s="13">
        <v>45175</v>
      </c>
      <c r="W1567">
        <v>1</v>
      </c>
      <c r="X1567">
        <v>1</v>
      </c>
      <c r="Y1567" t="s">
        <v>3648</v>
      </c>
      <c r="AC1567">
        <v>5197</v>
      </c>
      <c r="AD1567" t="e" vm="1557">
        <v>#VALUE!</v>
      </c>
    </row>
    <row r="1568" spans="2:30" x14ac:dyDescent="0.25">
      <c r="B1568">
        <v>5198</v>
      </c>
      <c r="C1568" t="s">
        <v>3646</v>
      </c>
      <c r="D1568" t="s">
        <v>3647</v>
      </c>
      <c r="E1568" t="s">
        <v>3807</v>
      </c>
      <c r="F1568" t="s">
        <v>105</v>
      </c>
      <c r="G1568" t="s">
        <v>108</v>
      </c>
      <c r="H1568" t="s">
        <v>3808</v>
      </c>
      <c r="I1568" t="s">
        <v>3821</v>
      </c>
      <c r="J1568" t="s">
        <v>3810</v>
      </c>
      <c r="K1568" t="s">
        <v>239</v>
      </c>
      <c r="L1568" s="13">
        <v>39546</v>
      </c>
      <c r="M1568">
        <v>15</v>
      </c>
      <c r="N1568" t="s">
        <v>90</v>
      </c>
      <c r="O1568" t="s">
        <v>3890</v>
      </c>
      <c r="P1568" t="s">
        <v>76</v>
      </c>
      <c r="Q1568" t="s">
        <v>76</v>
      </c>
      <c r="R1568" t="s">
        <v>76</v>
      </c>
      <c r="S1568" t="s">
        <v>76</v>
      </c>
      <c r="T1568" t="s">
        <v>76</v>
      </c>
      <c r="U1568">
        <v>1</v>
      </c>
      <c r="V1568" s="13">
        <v>45175</v>
      </c>
      <c r="W1568">
        <v>1</v>
      </c>
      <c r="X1568">
        <v>1</v>
      </c>
      <c r="Y1568" t="s">
        <v>3648</v>
      </c>
      <c r="AC1568">
        <v>5198</v>
      </c>
      <c r="AD1568" t="e" vm="1558">
        <v>#VALUE!</v>
      </c>
    </row>
    <row r="1569" spans="2:30" x14ac:dyDescent="0.25">
      <c r="B1569">
        <v>5199</v>
      </c>
      <c r="C1569" t="s">
        <v>3646</v>
      </c>
      <c r="D1569" t="s">
        <v>3647</v>
      </c>
      <c r="E1569" t="s">
        <v>3807</v>
      </c>
      <c r="F1569" t="s">
        <v>105</v>
      </c>
      <c r="G1569" t="s">
        <v>108</v>
      </c>
      <c r="H1569" t="s">
        <v>3808</v>
      </c>
      <c r="I1569" t="s">
        <v>3821</v>
      </c>
      <c r="J1569" t="s">
        <v>3810</v>
      </c>
      <c r="K1569" t="s">
        <v>239</v>
      </c>
      <c r="L1569" s="13">
        <v>39546</v>
      </c>
      <c r="M1569">
        <v>15</v>
      </c>
      <c r="N1569" t="s">
        <v>90</v>
      </c>
      <c r="O1569" t="s">
        <v>3890</v>
      </c>
      <c r="P1569" t="s">
        <v>76</v>
      </c>
      <c r="Q1569" t="s">
        <v>76</v>
      </c>
      <c r="R1569" t="s">
        <v>76</v>
      </c>
      <c r="S1569" t="s">
        <v>76</v>
      </c>
      <c r="T1569" t="s">
        <v>76</v>
      </c>
      <c r="U1569">
        <v>1</v>
      </c>
      <c r="V1569" s="13">
        <v>45175</v>
      </c>
      <c r="W1569">
        <v>1</v>
      </c>
      <c r="X1569">
        <v>1</v>
      </c>
      <c r="Y1569" t="s">
        <v>3648</v>
      </c>
      <c r="AC1569">
        <v>5199</v>
      </c>
      <c r="AD1569" t="e" vm="1559">
        <v>#VALUE!</v>
      </c>
    </row>
    <row r="1570" spans="2:30" x14ac:dyDescent="0.25">
      <c r="B1570">
        <v>5200</v>
      </c>
      <c r="C1570" t="s">
        <v>3646</v>
      </c>
      <c r="D1570" t="s">
        <v>3647</v>
      </c>
      <c r="E1570" t="s">
        <v>3807</v>
      </c>
      <c r="F1570" t="s">
        <v>105</v>
      </c>
      <c r="G1570" t="s">
        <v>108</v>
      </c>
      <c r="H1570" t="s">
        <v>3808</v>
      </c>
      <c r="I1570" t="s">
        <v>3821</v>
      </c>
      <c r="J1570" t="s">
        <v>3810</v>
      </c>
      <c r="K1570" t="s">
        <v>239</v>
      </c>
      <c r="L1570" s="13">
        <v>39559</v>
      </c>
      <c r="M1570">
        <v>15</v>
      </c>
      <c r="N1570" t="s">
        <v>90</v>
      </c>
      <c r="O1570" t="s">
        <v>3890</v>
      </c>
      <c r="P1570" t="s">
        <v>76</v>
      </c>
      <c r="Q1570" t="s">
        <v>76</v>
      </c>
      <c r="R1570" t="s">
        <v>76</v>
      </c>
      <c r="S1570" t="s">
        <v>76</v>
      </c>
      <c r="T1570" t="s">
        <v>76</v>
      </c>
      <c r="U1570">
        <v>1</v>
      </c>
      <c r="V1570" s="13">
        <v>45175</v>
      </c>
      <c r="W1570">
        <v>1</v>
      </c>
      <c r="X1570">
        <v>1</v>
      </c>
      <c r="Y1570" t="s">
        <v>3648</v>
      </c>
      <c r="AC1570">
        <v>5200</v>
      </c>
      <c r="AD1570" t="e" vm="1560">
        <v>#VALUE!</v>
      </c>
    </row>
    <row r="1571" spans="2:30" x14ac:dyDescent="0.25">
      <c r="B1571">
        <v>5201</v>
      </c>
      <c r="C1571" t="s">
        <v>3646</v>
      </c>
      <c r="D1571" t="s">
        <v>3647</v>
      </c>
      <c r="E1571" t="s">
        <v>3807</v>
      </c>
      <c r="F1571" t="s">
        <v>105</v>
      </c>
      <c r="G1571" t="s">
        <v>108</v>
      </c>
      <c r="H1571" t="s">
        <v>3808</v>
      </c>
      <c r="I1571" t="s">
        <v>3821</v>
      </c>
      <c r="J1571" t="s">
        <v>3810</v>
      </c>
      <c r="K1571" t="s">
        <v>239</v>
      </c>
      <c r="L1571" s="13">
        <v>39548</v>
      </c>
      <c r="M1571">
        <v>15</v>
      </c>
      <c r="N1571" t="s">
        <v>90</v>
      </c>
      <c r="O1571" t="s">
        <v>3890</v>
      </c>
      <c r="P1571" t="s">
        <v>76</v>
      </c>
      <c r="Q1571" t="s">
        <v>76</v>
      </c>
      <c r="R1571" t="s">
        <v>76</v>
      </c>
      <c r="S1571" t="s">
        <v>76</v>
      </c>
      <c r="T1571" t="s">
        <v>76</v>
      </c>
      <c r="U1571">
        <v>1</v>
      </c>
      <c r="V1571" s="13">
        <v>45175</v>
      </c>
      <c r="W1571">
        <v>1</v>
      </c>
      <c r="X1571">
        <v>1</v>
      </c>
      <c r="Y1571" t="s">
        <v>3648</v>
      </c>
      <c r="AC1571">
        <v>5201</v>
      </c>
      <c r="AD1571" t="e" vm="1561">
        <v>#VALUE!</v>
      </c>
    </row>
    <row r="1572" spans="2:30" x14ac:dyDescent="0.25">
      <c r="B1572">
        <v>5202</v>
      </c>
      <c r="C1572" t="s">
        <v>3646</v>
      </c>
      <c r="D1572" t="s">
        <v>3649</v>
      </c>
      <c r="E1572" t="s">
        <v>3812</v>
      </c>
      <c r="F1572" t="s">
        <v>85</v>
      </c>
      <c r="G1572" t="s">
        <v>112</v>
      </c>
      <c r="H1572" t="s">
        <v>3808</v>
      </c>
      <c r="I1572" t="s">
        <v>3821</v>
      </c>
      <c r="J1572" t="s">
        <v>3810</v>
      </c>
      <c r="K1572" t="s">
        <v>239</v>
      </c>
      <c r="L1572" s="13">
        <v>39548</v>
      </c>
      <c r="M1572">
        <v>15</v>
      </c>
      <c r="N1572" t="s">
        <v>90</v>
      </c>
      <c r="O1572" t="s">
        <v>3890</v>
      </c>
      <c r="P1572" t="s">
        <v>76</v>
      </c>
      <c r="Q1572" t="s">
        <v>76</v>
      </c>
      <c r="R1572" t="s">
        <v>76</v>
      </c>
      <c r="S1572" t="s">
        <v>76</v>
      </c>
      <c r="T1572" t="s">
        <v>76</v>
      </c>
      <c r="U1572">
        <v>1</v>
      </c>
      <c r="V1572" s="13">
        <v>45175</v>
      </c>
      <c r="W1572">
        <v>1</v>
      </c>
      <c r="X1572">
        <v>1</v>
      </c>
      <c r="Y1572" t="s">
        <v>3650</v>
      </c>
      <c r="AC1572">
        <v>5202</v>
      </c>
      <c r="AD1572" t="e" vm="1562">
        <v>#VALUE!</v>
      </c>
    </row>
    <row r="1573" spans="2:30" x14ac:dyDescent="0.25">
      <c r="B1573">
        <v>5203</v>
      </c>
      <c r="C1573" t="s">
        <v>3646</v>
      </c>
      <c r="D1573" t="s">
        <v>3649</v>
      </c>
      <c r="E1573" t="s">
        <v>3812</v>
      </c>
      <c r="F1573" t="s">
        <v>85</v>
      </c>
      <c r="G1573" t="s">
        <v>112</v>
      </c>
      <c r="H1573" t="s">
        <v>3808</v>
      </c>
      <c r="I1573" t="s">
        <v>3821</v>
      </c>
      <c r="J1573" t="s">
        <v>3810</v>
      </c>
      <c r="K1573" t="s">
        <v>239</v>
      </c>
      <c r="L1573" s="13">
        <v>39556</v>
      </c>
      <c r="M1573">
        <v>15</v>
      </c>
      <c r="N1573" t="s">
        <v>90</v>
      </c>
      <c r="O1573" t="s">
        <v>3890</v>
      </c>
      <c r="P1573" t="s">
        <v>76</v>
      </c>
      <c r="Q1573" t="s">
        <v>76</v>
      </c>
      <c r="R1573" t="s">
        <v>76</v>
      </c>
      <c r="S1573" t="s">
        <v>76</v>
      </c>
      <c r="T1573" t="s">
        <v>76</v>
      </c>
      <c r="U1573">
        <v>1</v>
      </c>
      <c r="V1573" s="13">
        <v>45175</v>
      </c>
      <c r="W1573">
        <v>1</v>
      </c>
      <c r="X1573">
        <v>1</v>
      </c>
      <c r="Y1573" t="s">
        <v>3650</v>
      </c>
      <c r="AC1573">
        <v>5203</v>
      </c>
      <c r="AD1573" t="e" vm="1563">
        <v>#VALUE!</v>
      </c>
    </row>
    <row r="1574" spans="2:30" x14ac:dyDescent="0.25">
      <c r="B1574">
        <v>5204</v>
      </c>
      <c r="C1574" t="s">
        <v>3646</v>
      </c>
      <c r="D1574" t="s">
        <v>3647</v>
      </c>
      <c r="E1574" t="s">
        <v>3807</v>
      </c>
      <c r="F1574" t="s">
        <v>105</v>
      </c>
      <c r="G1574" t="s">
        <v>108</v>
      </c>
      <c r="H1574" t="s">
        <v>3808</v>
      </c>
      <c r="I1574" t="s">
        <v>3821</v>
      </c>
      <c r="J1574" t="s">
        <v>3810</v>
      </c>
      <c r="K1574" t="s">
        <v>239</v>
      </c>
      <c r="L1574" s="13">
        <v>39559</v>
      </c>
      <c r="M1574">
        <v>15</v>
      </c>
      <c r="N1574" t="s">
        <v>90</v>
      </c>
      <c r="O1574" t="s">
        <v>3890</v>
      </c>
      <c r="P1574" t="s">
        <v>76</v>
      </c>
      <c r="Q1574" t="s">
        <v>76</v>
      </c>
      <c r="R1574" t="s">
        <v>76</v>
      </c>
      <c r="S1574" t="s">
        <v>76</v>
      </c>
      <c r="T1574" t="s">
        <v>76</v>
      </c>
      <c r="U1574">
        <v>1</v>
      </c>
      <c r="V1574" s="13">
        <v>45175</v>
      </c>
      <c r="W1574">
        <v>1</v>
      </c>
      <c r="X1574">
        <v>1</v>
      </c>
      <c r="Y1574" t="s">
        <v>3648</v>
      </c>
      <c r="AC1574">
        <v>5204</v>
      </c>
      <c r="AD1574" t="e" vm="1564">
        <v>#VALUE!</v>
      </c>
    </row>
    <row r="1575" spans="2:30" x14ac:dyDescent="0.25">
      <c r="B1575">
        <v>5205</v>
      </c>
      <c r="C1575" t="s">
        <v>3646</v>
      </c>
      <c r="D1575" t="s">
        <v>3647</v>
      </c>
      <c r="E1575" t="s">
        <v>3807</v>
      </c>
      <c r="F1575" t="s">
        <v>105</v>
      </c>
      <c r="G1575" t="s">
        <v>108</v>
      </c>
      <c r="H1575" t="s">
        <v>3808</v>
      </c>
      <c r="I1575" t="s">
        <v>3821</v>
      </c>
      <c r="J1575" t="s">
        <v>3810</v>
      </c>
      <c r="K1575" t="s">
        <v>239</v>
      </c>
      <c r="L1575" s="13">
        <v>39556</v>
      </c>
      <c r="M1575">
        <v>15</v>
      </c>
      <c r="N1575" t="s">
        <v>90</v>
      </c>
      <c r="O1575" t="s">
        <v>3890</v>
      </c>
      <c r="P1575" t="s">
        <v>76</v>
      </c>
      <c r="Q1575" t="s">
        <v>76</v>
      </c>
      <c r="R1575" t="s">
        <v>76</v>
      </c>
      <c r="S1575" t="s">
        <v>76</v>
      </c>
      <c r="T1575" t="s">
        <v>76</v>
      </c>
      <c r="U1575">
        <v>1</v>
      </c>
      <c r="V1575" s="13">
        <v>45175</v>
      </c>
      <c r="W1575">
        <v>1</v>
      </c>
      <c r="X1575">
        <v>1</v>
      </c>
      <c r="Y1575" t="s">
        <v>3648</v>
      </c>
      <c r="AC1575">
        <v>5205</v>
      </c>
      <c r="AD1575" t="e" vm="1565">
        <v>#VALUE!</v>
      </c>
    </row>
    <row r="1576" spans="2:30" x14ac:dyDescent="0.25">
      <c r="B1576">
        <v>5206</v>
      </c>
      <c r="C1576" t="s">
        <v>3684</v>
      </c>
      <c r="D1576" t="s">
        <v>3689</v>
      </c>
      <c r="E1576" t="s">
        <v>3831</v>
      </c>
      <c r="F1576" t="s">
        <v>115</v>
      </c>
      <c r="G1576" t="s">
        <v>103</v>
      </c>
      <c r="H1576" t="s">
        <v>3808</v>
      </c>
      <c r="I1576" t="s">
        <v>3821</v>
      </c>
      <c r="J1576" t="s">
        <v>3810</v>
      </c>
      <c r="K1576" t="s">
        <v>239</v>
      </c>
      <c r="L1576" s="13">
        <v>39566</v>
      </c>
      <c r="M1576">
        <v>15</v>
      </c>
      <c r="N1576" t="s">
        <v>101</v>
      </c>
      <c r="O1576" t="s">
        <v>3890</v>
      </c>
      <c r="P1576" t="s">
        <v>76</v>
      </c>
      <c r="Q1576" t="s">
        <v>76</v>
      </c>
      <c r="R1576" t="s">
        <v>76</v>
      </c>
      <c r="S1576" t="s">
        <v>76</v>
      </c>
      <c r="T1576" t="s">
        <v>76</v>
      </c>
      <c r="U1576">
        <v>1</v>
      </c>
      <c r="V1576" s="13">
        <v>45175</v>
      </c>
      <c r="W1576">
        <v>1</v>
      </c>
      <c r="X1576">
        <v>1</v>
      </c>
      <c r="Y1576" t="s">
        <v>3690</v>
      </c>
      <c r="AC1576">
        <v>5206</v>
      </c>
      <c r="AD1576" t="e" vm="1566">
        <v>#VALUE!</v>
      </c>
    </row>
    <row r="1577" spans="2:30" x14ac:dyDescent="0.25">
      <c r="B1577">
        <v>5207</v>
      </c>
      <c r="C1577" t="s">
        <v>3646</v>
      </c>
      <c r="D1577" t="s">
        <v>3649</v>
      </c>
      <c r="E1577" t="s">
        <v>3812</v>
      </c>
      <c r="F1577" t="s">
        <v>85</v>
      </c>
      <c r="G1577" t="s">
        <v>112</v>
      </c>
      <c r="H1577" t="s">
        <v>3808</v>
      </c>
      <c r="I1577" t="s">
        <v>3821</v>
      </c>
      <c r="J1577" t="s">
        <v>3810</v>
      </c>
      <c r="K1577" t="s">
        <v>239</v>
      </c>
      <c r="L1577" s="13">
        <v>39566</v>
      </c>
      <c r="M1577">
        <v>15</v>
      </c>
      <c r="N1577" t="s">
        <v>90</v>
      </c>
      <c r="O1577" t="s">
        <v>3890</v>
      </c>
      <c r="P1577" t="s">
        <v>76</v>
      </c>
      <c r="Q1577" t="s">
        <v>76</v>
      </c>
      <c r="R1577" t="s">
        <v>76</v>
      </c>
      <c r="S1577" t="s">
        <v>76</v>
      </c>
      <c r="T1577" t="s">
        <v>76</v>
      </c>
      <c r="U1577">
        <v>1</v>
      </c>
      <c r="V1577" s="13">
        <v>45175</v>
      </c>
      <c r="W1577">
        <v>1</v>
      </c>
      <c r="X1577">
        <v>1</v>
      </c>
      <c r="Y1577" t="s">
        <v>3650</v>
      </c>
      <c r="AC1577">
        <v>5207</v>
      </c>
      <c r="AD1577" t="e" vm="1567">
        <v>#VALUE!</v>
      </c>
    </row>
    <row r="1578" spans="2:30" x14ac:dyDescent="0.25">
      <c r="B1578">
        <v>5208</v>
      </c>
      <c r="C1578" t="s">
        <v>3659</v>
      </c>
      <c r="D1578" t="s">
        <v>3660</v>
      </c>
      <c r="E1578" t="s">
        <v>3813</v>
      </c>
      <c r="F1578" t="s">
        <v>83</v>
      </c>
      <c r="G1578" t="s">
        <v>103</v>
      </c>
      <c r="H1578" t="s">
        <v>3808</v>
      </c>
      <c r="I1578" t="s">
        <v>3821</v>
      </c>
      <c r="J1578" t="s">
        <v>3810</v>
      </c>
      <c r="K1578" t="s">
        <v>239</v>
      </c>
      <c r="L1578" s="13">
        <v>39575</v>
      </c>
      <c r="M1578">
        <v>15</v>
      </c>
      <c r="N1578" t="s">
        <v>88</v>
      </c>
      <c r="O1578" t="s">
        <v>3890</v>
      </c>
      <c r="P1578" t="s">
        <v>76</v>
      </c>
      <c r="Q1578" t="s">
        <v>76</v>
      </c>
      <c r="R1578" t="s">
        <v>76</v>
      </c>
      <c r="S1578" t="s">
        <v>76</v>
      </c>
      <c r="T1578" t="s">
        <v>76</v>
      </c>
      <c r="U1578">
        <v>1</v>
      </c>
      <c r="V1578" s="13">
        <v>45175</v>
      </c>
      <c r="W1578">
        <v>1</v>
      </c>
      <c r="X1578">
        <v>1</v>
      </c>
      <c r="Y1578" t="s">
        <v>3661</v>
      </c>
      <c r="AC1578">
        <v>5208</v>
      </c>
      <c r="AD1578" t="e" vm="1568">
        <v>#VALUE!</v>
      </c>
    </row>
    <row r="1579" spans="2:30" x14ac:dyDescent="0.25">
      <c r="B1579">
        <v>5209</v>
      </c>
      <c r="C1579" t="s">
        <v>3659</v>
      </c>
      <c r="D1579" t="s">
        <v>3660</v>
      </c>
      <c r="E1579" t="s">
        <v>3813</v>
      </c>
      <c r="F1579" t="s">
        <v>83</v>
      </c>
      <c r="G1579" t="s">
        <v>103</v>
      </c>
      <c r="H1579" t="s">
        <v>3808</v>
      </c>
      <c r="I1579" t="s">
        <v>3821</v>
      </c>
      <c r="J1579" t="s">
        <v>3810</v>
      </c>
      <c r="K1579" t="s">
        <v>239</v>
      </c>
      <c r="L1579" s="13">
        <v>39575</v>
      </c>
      <c r="M1579">
        <v>15</v>
      </c>
      <c r="N1579" t="s">
        <v>88</v>
      </c>
      <c r="O1579" t="s">
        <v>3890</v>
      </c>
      <c r="P1579" t="s">
        <v>76</v>
      </c>
      <c r="Q1579" t="s">
        <v>76</v>
      </c>
      <c r="R1579" t="s">
        <v>76</v>
      </c>
      <c r="S1579" t="s">
        <v>76</v>
      </c>
      <c r="T1579" t="s">
        <v>76</v>
      </c>
      <c r="U1579">
        <v>1</v>
      </c>
      <c r="V1579" s="13">
        <v>45175</v>
      </c>
      <c r="W1579">
        <v>1</v>
      </c>
      <c r="X1579">
        <v>1</v>
      </c>
      <c r="Y1579" t="s">
        <v>3661</v>
      </c>
      <c r="AC1579">
        <v>5209</v>
      </c>
      <c r="AD1579" t="e" vm="1569">
        <v>#VALUE!</v>
      </c>
    </row>
    <row r="1580" spans="2:30" x14ac:dyDescent="0.25">
      <c r="B1580">
        <v>5210</v>
      </c>
      <c r="C1580" t="s">
        <v>3659</v>
      </c>
      <c r="D1580" t="s">
        <v>3660</v>
      </c>
      <c r="E1580" t="s">
        <v>3813</v>
      </c>
      <c r="F1580" t="s">
        <v>83</v>
      </c>
      <c r="G1580" t="s">
        <v>103</v>
      </c>
      <c r="H1580" t="s">
        <v>3808</v>
      </c>
      <c r="I1580" t="s">
        <v>3821</v>
      </c>
      <c r="J1580" t="s">
        <v>3810</v>
      </c>
      <c r="K1580" t="s">
        <v>239</v>
      </c>
      <c r="L1580" s="13">
        <v>39575</v>
      </c>
      <c r="M1580">
        <v>15</v>
      </c>
      <c r="N1580" t="s">
        <v>88</v>
      </c>
      <c r="O1580" t="s">
        <v>3890</v>
      </c>
      <c r="P1580" t="s">
        <v>76</v>
      </c>
      <c r="Q1580" t="s">
        <v>76</v>
      </c>
      <c r="R1580" t="s">
        <v>76</v>
      </c>
      <c r="S1580" t="s">
        <v>76</v>
      </c>
      <c r="T1580" t="s">
        <v>76</v>
      </c>
      <c r="U1580">
        <v>1</v>
      </c>
      <c r="V1580" s="13">
        <v>45175</v>
      </c>
      <c r="W1580">
        <v>1</v>
      </c>
      <c r="X1580">
        <v>1</v>
      </c>
      <c r="Y1580" t="s">
        <v>3661</v>
      </c>
      <c r="AC1580">
        <v>5210</v>
      </c>
      <c r="AD1580" t="e" vm="1570">
        <v>#VALUE!</v>
      </c>
    </row>
    <row r="1581" spans="2:30" x14ac:dyDescent="0.25">
      <c r="B1581">
        <v>5211</v>
      </c>
      <c r="C1581" t="s">
        <v>3659</v>
      </c>
      <c r="D1581" t="s">
        <v>3660</v>
      </c>
      <c r="E1581" t="s">
        <v>3813</v>
      </c>
      <c r="F1581" t="s">
        <v>83</v>
      </c>
      <c r="G1581" t="s">
        <v>103</v>
      </c>
      <c r="H1581" t="s">
        <v>3808</v>
      </c>
      <c r="I1581" t="s">
        <v>3821</v>
      </c>
      <c r="J1581" t="s">
        <v>3810</v>
      </c>
      <c r="K1581" t="s">
        <v>239</v>
      </c>
      <c r="L1581" s="13">
        <v>39583</v>
      </c>
      <c r="M1581">
        <v>15</v>
      </c>
      <c r="N1581" t="s">
        <v>88</v>
      </c>
      <c r="O1581" t="s">
        <v>3890</v>
      </c>
      <c r="P1581" t="s">
        <v>76</v>
      </c>
      <c r="Q1581" t="s">
        <v>76</v>
      </c>
      <c r="R1581" t="s">
        <v>76</v>
      </c>
      <c r="S1581" t="s">
        <v>76</v>
      </c>
      <c r="T1581" t="s">
        <v>76</v>
      </c>
      <c r="U1581">
        <v>1</v>
      </c>
      <c r="V1581" s="13">
        <v>45175</v>
      </c>
      <c r="W1581">
        <v>1</v>
      </c>
      <c r="X1581">
        <v>1</v>
      </c>
      <c r="Y1581" t="s">
        <v>3661</v>
      </c>
      <c r="AC1581">
        <v>5211</v>
      </c>
      <c r="AD1581" t="e" vm="1571">
        <v>#VALUE!</v>
      </c>
    </row>
    <row r="1582" spans="2:30" x14ac:dyDescent="0.25">
      <c r="B1582">
        <v>5213</v>
      </c>
      <c r="C1582" t="s">
        <v>3659</v>
      </c>
      <c r="D1582" t="s">
        <v>3660</v>
      </c>
      <c r="E1582" t="s">
        <v>3813</v>
      </c>
      <c r="F1582" t="s">
        <v>83</v>
      </c>
      <c r="G1582" t="s">
        <v>103</v>
      </c>
      <c r="H1582" t="s">
        <v>3808</v>
      </c>
      <c r="I1582" t="s">
        <v>3821</v>
      </c>
      <c r="J1582" t="s">
        <v>3810</v>
      </c>
      <c r="K1582" t="s">
        <v>239</v>
      </c>
      <c r="L1582" s="13">
        <v>39583</v>
      </c>
      <c r="M1582">
        <v>15</v>
      </c>
      <c r="N1582" t="s">
        <v>88</v>
      </c>
      <c r="O1582" t="s">
        <v>3890</v>
      </c>
      <c r="P1582" t="s">
        <v>76</v>
      </c>
      <c r="Q1582" t="s">
        <v>76</v>
      </c>
      <c r="R1582" t="s">
        <v>76</v>
      </c>
      <c r="S1582" t="s">
        <v>76</v>
      </c>
      <c r="T1582" t="s">
        <v>76</v>
      </c>
      <c r="U1582">
        <v>1</v>
      </c>
      <c r="V1582" s="13">
        <v>45175</v>
      </c>
      <c r="W1582">
        <v>1</v>
      </c>
      <c r="X1582">
        <v>1</v>
      </c>
      <c r="Y1582" t="s">
        <v>3661</v>
      </c>
      <c r="AC1582">
        <v>5213</v>
      </c>
      <c r="AD1582" t="e" vm="1572">
        <v>#VALUE!</v>
      </c>
    </row>
    <row r="1583" spans="2:30" x14ac:dyDescent="0.25">
      <c r="B1583">
        <v>5214</v>
      </c>
      <c r="C1583" t="s">
        <v>3659</v>
      </c>
      <c r="D1583" t="s">
        <v>3660</v>
      </c>
      <c r="E1583" t="s">
        <v>3813</v>
      </c>
      <c r="F1583" t="s">
        <v>83</v>
      </c>
      <c r="G1583" t="s">
        <v>103</v>
      </c>
      <c r="H1583" t="s">
        <v>3808</v>
      </c>
      <c r="I1583" t="s">
        <v>3821</v>
      </c>
      <c r="J1583" t="s">
        <v>3810</v>
      </c>
      <c r="K1583" t="s">
        <v>239</v>
      </c>
      <c r="L1583" s="13">
        <v>39590</v>
      </c>
      <c r="M1583">
        <v>15</v>
      </c>
      <c r="N1583" t="s">
        <v>88</v>
      </c>
      <c r="O1583" t="s">
        <v>3890</v>
      </c>
      <c r="P1583" t="s">
        <v>76</v>
      </c>
      <c r="Q1583" t="s">
        <v>76</v>
      </c>
      <c r="R1583" t="s">
        <v>76</v>
      </c>
      <c r="S1583" t="s">
        <v>76</v>
      </c>
      <c r="T1583" t="s">
        <v>76</v>
      </c>
      <c r="U1583">
        <v>1</v>
      </c>
      <c r="V1583" s="13">
        <v>45175</v>
      </c>
      <c r="W1583">
        <v>1</v>
      </c>
      <c r="X1583">
        <v>1</v>
      </c>
      <c r="Y1583" t="s">
        <v>3661</v>
      </c>
      <c r="AC1583">
        <v>5214</v>
      </c>
      <c r="AD1583" t="e" vm="1573">
        <v>#VALUE!</v>
      </c>
    </row>
    <row r="1584" spans="2:30" x14ac:dyDescent="0.25">
      <c r="B1584">
        <v>5215</v>
      </c>
      <c r="C1584" t="s">
        <v>3659</v>
      </c>
      <c r="D1584" t="s">
        <v>3660</v>
      </c>
      <c r="E1584" t="s">
        <v>3813</v>
      </c>
      <c r="F1584" t="s">
        <v>83</v>
      </c>
      <c r="G1584" t="s">
        <v>103</v>
      </c>
      <c r="H1584" t="s">
        <v>3808</v>
      </c>
      <c r="I1584" t="s">
        <v>3821</v>
      </c>
      <c r="J1584" t="s">
        <v>3810</v>
      </c>
      <c r="K1584" t="s">
        <v>239</v>
      </c>
      <c r="L1584" s="13">
        <v>39590</v>
      </c>
      <c r="M1584">
        <v>15</v>
      </c>
      <c r="N1584" t="s">
        <v>88</v>
      </c>
      <c r="O1584" t="s">
        <v>3890</v>
      </c>
      <c r="P1584" t="s">
        <v>76</v>
      </c>
      <c r="Q1584" t="s">
        <v>76</v>
      </c>
      <c r="R1584" t="s">
        <v>76</v>
      </c>
      <c r="S1584" t="s">
        <v>76</v>
      </c>
      <c r="T1584" t="s">
        <v>76</v>
      </c>
      <c r="U1584">
        <v>1</v>
      </c>
      <c r="V1584" s="13">
        <v>45175</v>
      </c>
      <c r="W1584">
        <v>1</v>
      </c>
      <c r="X1584">
        <v>1</v>
      </c>
      <c r="Y1584" t="s">
        <v>3661</v>
      </c>
      <c r="AC1584">
        <v>5215</v>
      </c>
      <c r="AD1584" t="e" vm="1574">
        <v>#VALUE!</v>
      </c>
    </row>
    <row r="1585" spans="2:30" x14ac:dyDescent="0.25">
      <c r="B1585">
        <v>5216</v>
      </c>
      <c r="C1585" t="s">
        <v>3659</v>
      </c>
      <c r="D1585" t="s">
        <v>3660</v>
      </c>
      <c r="E1585" t="s">
        <v>3813</v>
      </c>
      <c r="F1585" t="s">
        <v>83</v>
      </c>
      <c r="G1585" t="s">
        <v>103</v>
      </c>
      <c r="H1585" t="s">
        <v>3808</v>
      </c>
      <c r="I1585" t="s">
        <v>3821</v>
      </c>
      <c r="J1585" t="s">
        <v>3810</v>
      </c>
      <c r="K1585" t="s">
        <v>239</v>
      </c>
      <c r="L1585" s="13">
        <v>39590</v>
      </c>
      <c r="M1585">
        <v>15</v>
      </c>
      <c r="N1585" t="s">
        <v>88</v>
      </c>
      <c r="O1585" t="s">
        <v>3890</v>
      </c>
      <c r="P1585" t="s">
        <v>76</v>
      </c>
      <c r="Q1585" t="s">
        <v>76</v>
      </c>
      <c r="R1585" t="s">
        <v>76</v>
      </c>
      <c r="S1585" t="s">
        <v>76</v>
      </c>
      <c r="T1585" t="s">
        <v>76</v>
      </c>
      <c r="U1585">
        <v>1</v>
      </c>
      <c r="V1585" s="13">
        <v>45175</v>
      </c>
      <c r="W1585">
        <v>1</v>
      </c>
      <c r="X1585">
        <v>1</v>
      </c>
      <c r="Y1585" t="s">
        <v>3661</v>
      </c>
      <c r="AC1585">
        <v>5216</v>
      </c>
      <c r="AD1585" t="e" vm="1575">
        <v>#VALUE!</v>
      </c>
    </row>
    <row r="1586" spans="2:30" x14ac:dyDescent="0.25">
      <c r="B1586">
        <v>5217</v>
      </c>
      <c r="C1586" t="s">
        <v>3659</v>
      </c>
      <c r="D1586" t="s">
        <v>3660</v>
      </c>
      <c r="E1586" t="s">
        <v>3813</v>
      </c>
      <c r="F1586" t="s">
        <v>83</v>
      </c>
      <c r="G1586" t="s">
        <v>103</v>
      </c>
      <c r="H1586" t="s">
        <v>3808</v>
      </c>
      <c r="I1586" t="s">
        <v>3821</v>
      </c>
      <c r="J1586" t="s">
        <v>3810</v>
      </c>
      <c r="K1586" t="s">
        <v>239</v>
      </c>
      <c r="L1586" s="13">
        <v>39597</v>
      </c>
      <c r="M1586">
        <v>15</v>
      </c>
      <c r="N1586" t="s">
        <v>88</v>
      </c>
      <c r="O1586" t="s">
        <v>3890</v>
      </c>
      <c r="P1586" t="s">
        <v>76</v>
      </c>
      <c r="Q1586" t="s">
        <v>76</v>
      </c>
      <c r="R1586" t="s">
        <v>76</v>
      </c>
      <c r="S1586" t="s">
        <v>76</v>
      </c>
      <c r="T1586" t="s">
        <v>76</v>
      </c>
      <c r="U1586">
        <v>1</v>
      </c>
      <c r="V1586" s="13">
        <v>45175</v>
      </c>
      <c r="W1586">
        <v>1</v>
      </c>
      <c r="X1586">
        <v>1</v>
      </c>
      <c r="Y1586" t="s">
        <v>3661</v>
      </c>
      <c r="AC1586">
        <v>5217</v>
      </c>
      <c r="AD1586" t="e" vm="1576">
        <v>#VALUE!</v>
      </c>
    </row>
    <row r="1587" spans="2:30" x14ac:dyDescent="0.25">
      <c r="B1587">
        <v>5218</v>
      </c>
      <c r="C1587" t="s">
        <v>3659</v>
      </c>
      <c r="D1587" t="s">
        <v>3660</v>
      </c>
      <c r="E1587" t="s">
        <v>3813</v>
      </c>
      <c r="F1587" t="s">
        <v>83</v>
      </c>
      <c r="G1587" t="s">
        <v>103</v>
      </c>
      <c r="H1587" t="s">
        <v>3808</v>
      </c>
      <c r="I1587" t="s">
        <v>3821</v>
      </c>
      <c r="J1587" t="s">
        <v>3810</v>
      </c>
      <c r="K1587" t="s">
        <v>239</v>
      </c>
      <c r="L1587" s="13">
        <v>39590</v>
      </c>
      <c r="M1587">
        <v>15</v>
      </c>
      <c r="N1587" t="s">
        <v>88</v>
      </c>
      <c r="O1587" t="s">
        <v>3890</v>
      </c>
      <c r="P1587" t="s">
        <v>76</v>
      </c>
      <c r="Q1587" t="s">
        <v>76</v>
      </c>
      <c r="R1587" t="s">
        <v>76</v>
      </c>
      <c r="S1587" t="s">
        <v>76</v>
      </c>
      <c r="T1587" t="s">
        <v>76</v>
      </c>
      <c r="U1587">
        <v>1</v>
      </c>
      <c r="V1587" s="13">
        <v>45175</v>
      </c>
      <c r="W1587">
        <v>1</v>
      </c>
      <c r="X1587">
        <v>1</v>
      </c>
      <c r="Y1587" t="s">
        <v>3661</v>
      </c>
      <c r="AC1587">
        <v>5218</v>
      </c>
      <c r="AD1587" t="e" vm="1577">
        <v>#VALUE!</v>
      </c>
    </row>
    <row r="1588" spans="2:30" x14ac:dyDescent="0.25">
      <c r="B1588">
        <v>5219</v>
      </c>
      <c r="C1588" t="s">
        <v>3659</v>
      </c>
      <c r="D1588" t="s">
        <v>3660</v>
      </c>
      <c r="E1588" t="s">
        <v>3813</v>
      </c>
      <c r="F1588" t="s">
        <v>83</v>
      </c>
      <c r="G1588" t="s">
        <v>103</v>
      </c>
      <c r="H1588" t="s">
        <v>3808</v>
      </c>
      <c r="I1588" t="s">
        <v>3821</v>
      </c>
      <c r="J1588" t="s">
        <v>3810</v>
      </c>
      <c r="K1588" t="s">
        <v>239</v>
      </c>
      <c r="L1588" s="13">
        <v>39597</v>
      </c>
      <c r="M1588">
        <v>15</v>
      </c>
      <c r="N1588" t="s">
        <v>88</v>
      </c>
      <c r="O1588" t="s">
        <v>3890</v>
      </c>
      <c r="P1588" t="s">
        <v>76</v>
      </c>
      <c r="Q1588" t="s">
        <v>76</v>
      </c>
      <c r="R1588" t="s">
        <v>76</v>
      </c>
      <c r="S1588" t="s">
        <v>76</v>
      </c>
      <c r="T1588" t="s">
        <v>76</v>
      </c>
      <c r="U1588">
        <v>1</v>
      </c>
      <c r="V1588" s="13">
        <v>45175</v>
      </c>
      <c r="W1588">
        <v>1</v>
      </c>
      <c r="X1588">
        <v>1</v>
      </c>
      <c r="Y1588" t="s">
        <v>3661</v>
      </c>
      <c r="AC1588">
        <v>5219</v>
      </c>
      <c r="AD1588" t="e" vm="1578">
        <v>#VALUE!</v>
      </c>
    </row>
    <row r="1589" spans="2:30" x14ac:dyDescent="0.25">
      <c r="B1589">
        <v>5220</v>
      </c>
      <c r="C1589" t="s">
        <v>3659</v>
      </c>
      <c r="D1589" t="s">
        <v>3660</v>
      </c>
      <c r="E1589" t="s">
        <v>3813</v>
      </c>
      <c r="F1589" t="s">
        <v>83</v>
      </c>
      <c r="G1589" t="s">
        <v>103</v>
      </c>
      <c r="H1589" t="s">
        <v>3808</v>
      </c>
      <c r="I1589" t="s">
        <v>3821</v>
      </c>
      <c r="J1589" t="s">
        <v>3810</v>
      </c>
      <c r="K1589" t="s">
        <v>239</v>
      </c>
      <c r="L1589" s="13">
        <v>39597</v>
      </c>
      <c r="M1589">
        <v>15</v>
      </c>
      <c r="N1589" t="s">
        <v>88</v>
      </c>
      <c r="O1589" t="s">
        <v>3890</v>
      </c>
      <c r="P1589" t="s">
        <v>76</v>
      </c>
      <c r="Q1589" t="s">
        <v>76</v>
      </c>
      <c r="R1589" t="s">
        <v>76</v>
      </c>
      <c r="S1589" t="s">
        <v>76</v>
      </c>
      <c r="T1589" t="s">
        <v>76</v>
      </c>
      <c r="U1589">
        <v>1</v>
      </c>
      <c r="V1589" s="13">
        <v>45175</v>
      </c>
      <c r="W1589">
        <v>1</v>
      </c>
      <c r="X1589">
        <v>1</v>
      </c>
      <c r="Y1589" t="s">
        <v>3661</v>
      </c>
      <c r="AC1589">
        <v>5220</v>
      </c>
      <c r="AD1589" t="e" vm="1579">
        <v>#VALUE!</v>
      </c>
    </row>
    <row r="1590" spans="2:30" x14ac:dyDescent="0.25">
      <c r="B1590">
        <v>5221</v>
      </c>
      <c r="C1590" t="s">
        <v>3659</v>
      </c>
      <c r="D1590" t="s">
        <v>3660</v>
      </c>
      <c r="E1590" t="s">
        <v>3813</v>
      </c>
      <c r="F1590" t="s">
        <v>83</v>
      </c>
      <c r="G1590" t="s">
        <v>103</v>
      </c>
      <c r="H1590" t="s">
        <v>3808</v>
      </c>
      <c r="I1590" t="s">
        <v>3821</v>
      </c>
      <c r="J1590" t="s">
        <v>3810</v>
      </c>
      <c r="K1590" t="s">
        <v>239</v>
      </c>
      <c r="L1590" s="13">
        <v>39597</v>
      </c>
      <c r="M1590">
        <v>15</v>
      </c>
      <c r="N1590" t="s">
        <v>88</v>
      </c>
      <c r="O1590" t="s">
        <v>3890</v>
      </c>
      <c r="P1590" t="s">
        <v>76</v>
      </c>
      <c r="Q1590" t="s">
        <v>76</v>
      </c>
      <c r="R1590" t="s">
        <v>76</v>
      </c>
      <c r="S1590" t="s">
        <v>76</v>
      </c>
      <c r="T1590" t="s">
        <v>76</v>
      </c>
      <c r="U1590">
        <v>1</v>
      </c>
      <c r="V1590" s="13">
        <v>45175</v>
      </c>
      <c r="W1590">
        <v>1</v>
      </c>
      <c r="X1590">
        <v>1</v>
      </c>
      <c r="Y1590" t="s">
        <v>3661</v>
      </c>
      <c r="AC1590">
        <v>5221</v>
      </c>
      <c r="AD1590" t="e" vm="1580">
        <v>#VALUE!</v>
      </c>
    </row>
    <row r="1591" spans="2:30" x14ac:dyDescent="0.25">
      <c r="B1591">
        <v>5222</v>
      </c>
      <c r="C1591" t="s">
        <v>3659</v>
      </c>
      <c r="D1591" t="s">
        <v>3660</v>
      </c>
      <c r="E1591" t="s">
        <v>3813</v>
      </c>
      <c r="F1591" t="s">
        <v>83</v>
      </c>
      <c r="G1591" t="s">
        <v>103</v>
      </c>
      <c r="H1591" t="s">
        <v>3808</v>
      </c>
      <c r="I1591" t="s">
        <v>3821</v>
      </c>
      <c r="J1591" t="s">
        <v>3810</v>
      </c>
      <c r="K1591" t="s">
        <v>239</v>
      </c>
      <c r="L1591" s="13">
        <v>39604</v>
      </c>
      <c r="M1591">
        <v>15</v>
      </c>
      <c r="N1591" t="s">
        <v>88</v>
      </c>
      <c r="O1591" t="s">
        <v>3890</v>
      </c>
      <c r="P1591" t="s">
        <v>76</v>
      </c>
      <c r="Q1591" t="s">
        <v>76</v>
      </c>
      <c r="R1591" t="s">
        <v>76</v>
      </c>
      <c r="S1591" t="s">
        <v>76</v>
      </c>
      <c r="T1591" t="s">
        <v>76</v>
      </c>
      <c r="U1591">
        <v>1</v>
      </c>
      <c r="V1591" s="13">
        <v>45175</v>
      </c>
      <c r="W1591">
        <v>1</v>
      </c>
      <c r="X1591">
        <v>1</v>
      </c>
      <c r="Y1591" t="s">
        <v>3661</v>
      </c>
      <c r="AC1591">
        <v>5222</v>
      </c>
      <c r="AD1591" t="e" vm="1581">
        <v>#VALUE!</v>
      </c>
    </row>
    <row r="1592" spans="2:30" x14ac:dyDescent="0.25">
      <c r="B1592">
        <v>5223</v>
      </c>
      <c r="C1592" t="s">
        <v>3659</v>
      </c>
      <c r="D1592" t="s">
        <v>3660</v>
      </c>
      <c r="E1592" t="s">
        <v>3813</v>
      </c>
      <c r="F1592" t="s">
        <v>83</v>
      </c>
      <c r="G1592" t="s">
        <v>103</v>
      </c>
      <c r="H1592" t="s">
        <v>3808</v>
      </c>
      <c r="I1592" t="s">
        <v>3821</v>
      </c>
      <c r="J1592" t="s">
        <v>3810</v>
      </c>
      <c r="K1592" t="s">
        <v>239</v>
      </c>
      <c r="L1592" s="13">
        <v>39604</v>
      </c>
      <c r="M1592">
        <v>15</v>
      </c>
      <c r="N1592" t="s">
        <v>88</v>
      </c>
      <c r="O1592" t="s">
        <v>3890</v>
      </c>
      <c r="P1592" t="s">
        <v>76</v>
      </c>
      <c r="Q1592" t="s">
        <v>76</v>
      </c>
      <c r="R1592" t="s">
        <v>76</v>
      </c>
      <c r="S1592" t="s">
        <v>76</v>
      </c>
      <c r="T1592" t="s">
        <v>76</v>
      </c>
      <c r="U1592">
        <v>1</v>
      </c>
      <c r="V1592" s="13">
        <v>45175</v>
      </c>
      <c r="W1592">
        <v>1</v>
      </c>
      <c r="X1592">
        <v>1</v>
      </c>
      <c r="Y1592" t="s">
        <v>3661</v>
      </c>
      <c r="AC1592">
        <v>5223</v>
      </c>
      <c r="AD1592" t="e" vm="1582">
        <v>#VALUE!</v>
      </c>
    </row>
    <row r="1593" spans="2:30" x14ac:dyDescent="0.25">
      <c r="B1593">
        <v>5224</v>
      </c>
      <c r="C1593" t="s">
        <v>3659</v>
      </c>
      <c r="D1593" t="s">
        <v>3660</v>
      </c>
      <c r="E1593" t="s">
        <v>3813</v>
      </c>
      <c r="F1593" t="s">
        <v>83</v>
      </c>
      <c r="G1593" t="s">
        <v>103</v>
      </c>
      <c r="H1593" t="s">
        <v>3808</v>
      </c>
      <c r="I1593" t="s">
        <v>3821</v>
      </c>
      <c r="J1593" t="s">
        <v>3810</v>
      </c>
      <c r="K1593" t="s">
        <v>239</v>
      </c>
      <c r="L1593" s="13">
        <v>39604</v>
      </c>
      <c r="M1593">
        <v>15</v>
      </c>
      <c r="N1593" t="s">
        <v>88</v>
      </c>
      <c r="O1593" t="s">
        <v>3890</v>
      </c>
      <c r="P1593" t="s">
        <v>76</v>
      </c>
      <c r="Q1593" t="s">
        <v>76</v>
      </c>
      <c r="R1593" t="s">
        <v>76</v>
      </c>
      <c r="S1593" t="s">
        <v>76</v>
      </c>
      <c r="T1593" t="s">
        <v>76</v>
      </c>
      <c r="U1593">
        <v>1</v>
      </c>
      <c r="V1593" s="13">
        <v>45175</v>
      </c>
      <c r="W1593">
        <v>1</v>
      </c>
      <c r="X1593">
        <v>1</v>
      </c>
      <c r="Y1593" t="s">
        <v>3661</v>
      </c>
      <c r="AC1593">
        <v>5224</v>
      </c>
      <c r="AD1593" t="e" vm="1583">
        <v>#VALUE!</v>
      </c>
    </row>
    <row r="1594" spans="2:30" x14ac:dyDescent="0.25">
      <c r="B1594">
        <v>5225</v>
      </c>
      <c r="C1594" t="s">
        <v>3659</v>
      </c>
      <c r="D1594" t="s">
        <v>3660</v>
      </c>
      <c r="E1594" t="s">
        <v>3813</v>
      </c>
      <c r="F1594" t="s">
        <v>83</v>
      </c>
      <c r="G1594" t="s">
        <v>103</v>
      </c>
      <c r="H1594" t="s">
        <v>3808</v>
      </c>
      <c r="I1594" t="s">
        <v>3821</v>
      </c>
      <c r="J1594" t="s">
        <v>3810</v>
      </c>
      <c r="K1594" t="s">
        <v>239</v>
      </c>
      <c r="L1594" s="13">
        <v>39602</v>
      </c>
      <c r="M1594">
        <v>15</v>
      </c>
      <c r="N1594" t="s">
        <v>88</v>
      </c>
      <c r="O1594" t="s">
        <v>3890</v>
      </c>
      <c r="P1594" t="s">
        <v>76</v>
      </c>
      <c r="Q1594" t="s">
        <v>76</v>
      </c>
      <c r="R1594" t="s">
        <v>76</v>
      </c>
      <c r="S1594" t="s">
        <v>76</v>
      </c>
      <c r="T1594" t="s">
        <v>76</v>
      </c>
      <c r="U1594">
        <v>1</v>
      </c>
      <c r="V1594" s="13">
        <v>45175</v>
      </c>
      <c r="W1594">
        <v>1</v>
      </c>
      <c r="X1594">
        <v>1</v>
      </c>
      <c r="Y1594" t="s">
        <v>3661</v>
      </c>
      <c r="AC1594">
        <v>5225</v>
      </c>
      <c r="AD1594" t="e" vm="1584">
        <v>#VALUE!</v>
      </c>
    </row>
    <row r="1595" spans="2:30" x14ac:dyDescent="0.25">
      <c r="B1595">
        <v>5226</v>
      </c>
      <c r="C1595" t="s">
        <v>3659</v>
      </c>
      <c r="D1595" t="s">
        <v>3660</v>
      </c>
      <c r="E1595" t="s">
        <v>3813</v>
      </c>
      <c r="F1595" t="s">
        <v>83</v>
      </c>
      <c r="G1595" t="s">
        <v>103</v>
      </c>
      <c r="H1595" t="s">
        <v>3808</v>
      </c>
      <c r="I1595" t="s">
        <v>3821</v>
      </c>
      <c r="J1595" t="s">
        <v>3810</v>
      </c>
      <c r="K1595" t="s">
        <v>239</v>
      </c>
      <c r="L1595" s="13">
        <v>39605</v>
      </c>
      <c r="M1595">
        <v>15</v>
      </c>
      <c r="N1595" t="s">
        <v>88</v>
      </c>
      <c r="O1595" t="s">
        <v>3890</v>
      </c>
      <c r="P1595" t="s">
        <v>76</v>
      </c>
      <c r="Q1595" t="s">
        <v>76</v>
      </c>
      <c r="R1595" t="s">
        <v>76</v>
      </c>
      <c r="S1595" t="s">
        <v>76</v>
      </c>
      <c r="T1595" t="s">
        <v>76</v>
      </c>
      <c r="U1595">
        <v>1</v>
      </c>
      <c r="V1595" s="13">
        <v>45175</v>
      </c>
      <c r="W1595">
        <v>1</v>
      </c>
      <c r="X1595">
        <v>1</v>
      </c>
      <c r="Y1595" t="s">
        <v>3661</v>
      </c>
      <c r="AC1595">
        <v>5226</v>
      </c>
      <c r="AD1595" t="e" vm="1585">
        <v>#VALUE!</v>
      </c>
    </row>
    <row r="1596" spans="2:30" x14ac:dyDescent="0.25">
      <c r="B1596">
        <v>5227</v>
      </c>
      <c r="C1596" t="s">
        <v>3659</v>
      </c>
      <c r="D1596" t="s">
        <v>3660</v>
      </c>
      <c r="E1596" t="s">
        <v>3813</v>
      </c>
      <c r="F1596" t="s">
        <v>83</v>
      </c>
      <c r="G1596" t="s">
        <v>103</v>
      </c>
      <c r="H1596" t="s">
        <v>3808</v>
      </c>
      <c r="I1596" t="s">
        <v>3821</v>
      </c>
      <c r="J1596" t="s">
        <v>3810</v>
      </c>
      <c r="K1596" t="s">
        <v>239</v>
      </c>
      <c r="L1596" s="13">
        <v>39605</v>
      </c>
      <c r="M1596">
        <v>15</v>
      </c>
      <c r="N1596" t="s">
        <v>88</v>
      </c>
      <c r="O1596" t="s">
        <v>3890</v>
      </c>
      <c r="P1596" t="s">
        <v>76</v>
      </c>
      <c r="Q1596" t="s">
        <v>76</v>
      </c>
      <c r="R1596" t="s">
        <v>76</v>
      </c>
      <c r="S1596" t="s">
        <v>76</v>
      </c>
      <c r="T1596" t="s">
        <v>76</v>
      </c>
      <c r="U1596">
        <v>1</v>
      </c>
      <c r="V1596" s="13">
        <v>45175</v>
      </c>
      <c r="W1596">
        <v>1</v>
      </c>
      <c r="X1596">
        <v>1</v>
      </c>
      <c r="Y1596" t="s">
        <v>3661</v>
      </c>
      <c r="AC1596">
        <v>5227</v>
      </c>
      <c r="AD1596" t="e" vm="1586">
        <v>#VALUE!</v>
      </c>
    </row>
    <row r="1597" spans="2:30" x14ac:dyDescent="0.25">
      <c r="B1597">
        <v>5228</v>
      </c>
      <c r="C1597" t="s">
        <v>3659</v>
      </c>
      <c r="D1597" t="s">
        <v>3660</v>
      </c>
      <c r="E1597" t="s">
        <v>3813</v>
      </c>
      <c r="F1597" t="s">
        <v>83</v>
      </c>
      <c r="G1597" t="s">
        <v>103</v>
      </c>
      <c r="H1597" t="s">
        <v>3808</v>
      </c>
      <c r="I1597" t="s">
        <v>3821</v>
      </c>
      <c r="J1597" t="s">
        <v>3810</v>
      </c>
      <c r="K1597" t="s">
        <v>239</v>
      </c>
      <c r="L1597" s="13">
        <v>39612</v>
      </c>
      <c r="M1597">
        <v>15</v>
      </c>
      <c r="N1597" t="s">
        <v>88</v>
      </c>
      <c r="O1597" t="s">
        <v>3890</v>
      </c>
      <c r="P1597" t="s">
        <v>76</v>
      </c>
      <c r="Q1597" t="s">
        <v>76</v>
      </c>
      <c r="R1597" t="s">
        <v>76</v>
      </c>
      <c r="S1597" t="s">
        <v>76</v>
      </c>
      <c r="T1597" t="s">
        <v>76</v>
      </c>
      <c r="U1597">
        <v>1</v>
      </c>
      <c r="V1597" s="13">
        <v>45175</v>
      </c>
      <c r="W1597">
        <v>1</v>
      </c>
      <c r="X1597">
        <v>1</v>
      </c>
      <c r="Y1597" t="s">
        <v>3661</v>
      </c>
      <c r="AC1597">
        <v>5228</v>
      </c>
      <c r="AD1597" t="e" vm="1587">
        <v>#VALUE!</v>
      </c>
    </row>
    <row r="1598" spans="2:30" x14ac:dyDescent="0.25">
      <c r="B1598">
        <v>5229</v>
      </c>
      <c r="C1598" t="s">
        <v>3659</v>
      </c>
      <c r="D1598" t="s">
        <v>3660</v>
      </c>
      <c r="E1598" t="s">
        <v>3813</v>
      </c>
      <c r="F1598" t="s">
        <v>83</v>
      </c>
      <c r="G1598" t="s">
        <v>103</v>
      </c>
      <c r="H1598" t="s">
        <v>3808</v>
      </c>
      <c r="I1598" t="s">
        <v>3821</v>
      </c>
      <c r="J1598" t="s">
        <v>3810</v>
      </c>
      <c r="K1598" t="s">
        <v>239</v>
      </c>
      <c r="L1598" s="13">
        <v>39612</v>
      </c>
      <c r="M1598">
        <v>15</v>
      </c>
      <c r="N1598" t="s">
        <v>88</v>
      </c>
      <c r="O1598" t="s">
        <v>3890</v>
      </c>
      <c r="P1598" t="s">
        <v>76</v>
      </c>
      <c r="Q1598" t="s">
        <v>76</v>
      </c>
      <c r="R1598" t="s">
        <v>76</v>
      </c>
      <c r="S1598" t="s">
        <v>76</v>
      </c>
      <c r="T1598" t="s">
        <v>76</v>
      </c>
      <c r="U1598">
        <v>1</v>
      </c>
      <c r="V1598" s="13">
        <v>45175</v>
      </c>
      <c r="W1598">
        <v>1</v>
      </c>
      <c r="X1598">
        <v>1</v>
      </c>
      <c r="Y1598" t="s">
        <v>3661</v>
      </c>
      <c r="AC1598">
        <v>5229</v>
      </c>
      <c r="AD1598" t="e" vm="1588">
        <v>#VALUE!</v>
      </c>
    </row>
    <row r="1599" spans="2:30" x14ac:dyDescent="0.25">
      <c r="B1599">
        <v>5230</v>
      </c>
      <c r="C1599" t="s">
        <v>3659</v>
      </c>
      <c r="D1599" t="s">
        <v>3677</v>
      </c>
      <c r="E1599" t="s">
        <v>3823</v>
      </c>
      <c r="F1599" t="s">
        <v>87</v>
      </c>
      <c r="G1599" t="s">
        <v>86</v>
      </c>
      <c r="H1599" t="s">
        <v>3808</v>
      </c>
      <c r="I1599" t="s">
        <v>3821</v>
      </c>
      <c r="J1599" t="s">
        <v>3810</v>
      </c>
      <c r="K1599" t="s">
        <v>239</v>
      </c>
      <c r="L1599" s="13">
        <v>39612</v>
      </c>
      <c r="M1599">
        <v>15</v>
      </c>
      <c r="N1599" t="s">
        <v>88</v>
      </c>
      <c r="O1599" t="s">
        <v>3890</v>
      </c>
      <c r="P1599" t="s">
        <v>76</v>
      </c>
      <c r="Q1599" t="s">
        <v>76</v>
      </c>
      <c r="R1599" t="s">
        <v>76</v>
      </c>
      <c r="S1599" t="s">
        <v>76</v>
      </c>
      <c r="T1599" t="s">
        <v>76</v>
      </c>
      <c r="U1599">
        <v>1</v>
      </c>
      <c r="V1599" s="13">
        <v>45175</v>
      </c>
      <c r="W1599">
        <v>1</v>
      </c>
      <c r="X1599">
        <v>1</v>
      </c>
      <c r="Y1599" t="s">
        <v>3678</v>
      </c>
      <c r="AC1599">
        <v>5230</v>
      </c>
      <c r="AD1599" t="e" vm="1589">
        <v>#VALUE!</v>
      </c>
    </row>
    <row r="1600" spans="2:30" x14ac:dyDescent="0.25">
      <c r="B1600">
        <v>5231</v>
      </c>
      <c r="C1600" t="s">
        <v>3659</v>
      </c>
      <c r="D1600" t="s">
        <v>3677</v>
      </c>
      <c r="E1600" t="s">
        <v>3823</v>
      </c>
      <c r="F1600" t="s">
        <v>87</v>
      </c>
      <c r="G1600" t="s">
        <v>86</v>
      </c>
      <c r="H1600" t="s">
        <v>3808</v>
      </c>
      <c r="I1600" t="s">
        <v>3821</v>
      </c>
      <c r="J1600" t="s">
        <v>3810</v>
      </c>
      <c r="K1600" t="s">
        <v>239</v>
      </c>
      <c r="L1600" s="13">
        <v>39617</v>
      </c>
      <c r="M1600">
        <v>15</v>
      </c>
      <c r="N1600" t="s">
        <v>88</v>
      </c>
      <c r="O1600" t="s">
        <v>3890</v>
      </c>
      <c r="P1600" t="s">
        <v>76</v>
      </c>
      <c r="Q1600" t="s">
        <v>76</v>
      </c>
      <c r="R1600" t="s">
        <v>76</v>
      </c>
      <c r="S1600" t="s">
        <v>76</v>
      </c>
      <c r="T1600" t="s">
        <v>76</v>
      </c>
      <c r="U1600">
        <v>1</v>
      </c>
      <c r="V1600" s="13">
        <v>45175</v>
      </c>
      <c r="W1600">
        <v>1</v>
      </c>
      <c r="X1600">
        <v>1</v>
      </c>
      <c r="Y1600" t="s">
        <v>3678</v>
      </c>
      <c r="AC1600">
        <v>5231</v>
      </c>
      <c r="AD1600" t="e" vm="1590">
        <v>#VALUE!</v>
      </c>
    </row>
    <row r="1601" spans="2:30" x14ac:dyDescent="0.25">
      <c r="B1601">
        <v>5232</v>
      </c>
      <c r="C1601" t="s">
        <v>3659</v>
      </c>
      <c r="D1601" t="s">
        <v>3677</v>
      </c>
      <c r="E1601" t="s">
        <v>3823</v>
      </c>
      <c r="F1601" t="s">
        <v>87</v>
      </c>
      <c r="G1601" t="s">
        <v>86</v>
      </c>
      <c r="H1601" t="s">
        <v>3808</v>
      </c>
      <c r="I1601" t="s">
        <v>3821</v>
      </c>
      <c r="J1601" t="s">
        <v>3810</v>
      </c>
      <c r="K1601" t="s">
        <v>239</v>
      </c>
      <c r="L1601" s="13">
        <v>39619</v>
      </c>
      <c r="M1601">
        <v>15</v>
      </c>
      <c r="N1601" t="s">
        <v>88</v>
      </c>
      <c r="O1601" t="s">
        <v>3890</v>
      </c>
      <c r="P1601" t="s">
        <v>76</v>
      </c>
      <c r="Q1601" t="s">
        <v>76</v>
      </c>
      <c r="R1601" t="s">
        <v>76</v>
      </c>
      <c r="S1601" t="s">
        <v>76</v>
      </c>
      <c r="T1601" t="s">
        <v>76</v>
      </c>
      <c r="U1601">
        <v>1</v>
      </c>
      <c r="V1601" s="13">
        <v>45175</v>
      </c>
      <c r="W1601">
        <v>1</v>
      </c>
      <c r="X1601">
        <v>1</v>
      </c>
      <c r="Y1601" t="s">
        <v>3678</v>
      </c>
      <c r="AC1601">
        <v>5232</v>
      </c>
      <c r="AD1601" t="e" vm="1591">
        <v>#VALUE!</v>
      </c>
    </row>
    <row r="1602" spans="2:30" x14ac:dyDescent="0.25">
      <c r="B1602">
        <v>5233</v>
      </c>
      <c r="C1602" t="s">
        <v>3659</v>
      </c>
      <c r="D1602" t="s">
        <v>3677</v>
      </c>
      <c r="E1602" t="s">
        <v>3823</v>
      </c>
      <c r="F1602" t="s">
        <v>87</v>
      </c>
      <c r="G1602" t="s">
        <v>86</v>
      </c>
      <c r="H1602" t="s">
        <v>3808</v>
      </c>
      <c r="I1602" t="s">
        <v>3821</v>
      </c>
      <c r="J1602" t="s">
        <v>3810</v>
      </c>
      <c r="K1602" t="s">
        <v>239</v>
      </c>
      <c r="L1602" s="13">
        <v>39617</v>
      </c>
      <c r="M1602">
        <v>15</v>
      </c>
      <c r="N1602" t="s">
        <v>88</v>
      </c>
      <c r="O1602" t="s">
        <v>3890</v>
      </c>
      <c r="P1602" t="s">
        <v>76</v>
      </c>
      <c r="Q1602" t="s">
        <v>76</v>
      </c>
      <c r="R1602" t="s">
        <v>76</v>
      </c>
      <c r="S1602" t="s">
        <v>76</v>
      </c>
      <c r="T1602" t="s">
        <v>76</v>
      </c>
      <c r="U1602">
        <v>1</v>
      </c>
      <c r="V1602" s="13">
        <v>45175</v>
      </c>
      <c r="W1602">
        <v>1</v>
      </c>
      <c r="X1602">
        <v>1</v>
      </c>
      <c r="Y1602" t="s">
        <v>3678</v>
      </c>
      <c r="AC1602">
        <v>5233</v>
      </c>
      <c r="AD1602" t="e" vm="1592">
        <v>#VALUE!</v>
      </c>
    </row>
    <row r="1603" spans="2:30" x14ac:dyDescent="0.25">
      <c r="B1603">
        <v>5234</v>
      </c>
      <c r="C1603" t="s">
        <v>3659</v>
      </c>
      <c r="D1603" t="s">
        <v>3677</v>
      </c>
      <c r="E1603" t="s">
        <v>3823</v>
      </c>
      <c r="F1603" t="s">
        <v>87</v>
      </c>
      <c r="G1603" t="s">
        <v>86</v>
      </c>
      <c r="H1603" t="s">
        <v>3808</v>
      </c>
      <c r="I1603" t="s">
        <v>3821</v>
      </c>
      <c r="J1603" t="s">
        <v>3810</v>
      </c>
      <c r="K1603" t="s">
        <v>239</v>
      </c>
      <c r="L1603" s="13">
        <v>39619</v>
      </c>
      <c r="M1603">
        <v>15</v>
      </c>
      <c r="N1603" t="s">
        <v>88</v>
      </c>
      <c r="O1603" t="s">
        <v>3890</v>
      </c>
      <c r="P1603" t="s">
        <v>76</v>
      </c>
      <c r="Q1603" t="s">
        <v>76</v>
      </c>
      <c r="R1603" t="s">
        <v>76</v>
      </c>
      <c r="S1603" t="s">
        <v>76</v>
      </c>
      <c r="T1603" t="s">
        <v>76</v>
      </c>
      <c r="U1603">
        <v>1</v>
      </c>
      <c r="V1603" s="13">
        <v>45175</v>
      </c>
      <c r="W1603">
        <v>1</v>
      </c>
      <c r="X1603">
        <v>1</v>
      </c>
      <c r="Y1603" t="s">
        <v>3678</v>
      </c>
      <c r="AC1603">
        <v>5234</v>
      </c>
      <c r="AD1603" t="e" vm="1593">
        <v>#VALUE!</v>
      </c>
    </row>
    <row r="1604" spans="2:30" x14ac:dyDescent="0.25">
      <c r="B1604">
        <v>5235</v>
      </c>
      <c r="C1604" t="s">
        <v>3659</v>
      </c>
      <c r="D1604" t="s">
        <v>3677</v>
      </c>
      <c r="E1604" t="s">
        <v>3823</v>
      </c>
      <c r="F1604" t="s">
        <v>87</v>
      </c>
      <c r="G1604" t="s">
        <v>86</v>
      </c>
      <c r="H1604" t="s">
        <v>3808</v>
      </c>
      <c r="I1604" t="s">
        <v>3821</v>
      </c>
      <c r="J1604" t="s">
        <v>3810</v>
      </c>
      <c r="K1604" t="s">
        <v>239</v>
      </c>
      <c r="L1604" s="13">
        <v>39619</v>
      </c>
      <c r="M1604">
        <v>15</v>
      </c>
      <c r="N1604" t="s">
        <v>88</v>
      </c>
      <c r="O1604" t="s">
        <v>3890</v>
      </c>
      <c r="P1604" t="s">
        <v>76</v>
      </c>
      <c r="Q1604" t="s">
        <v>76</v>
      </c>
      <c r="R1604" t="s">
        <v>76</v>
      </c>
      <c r="S1604" t="s">
        <v>76</v>
      </c>
      <c r="T1604" t="s">
        <v>76</v>
      </c>
      <c r="U1604">
        <v>1</v>
      </c>
      <c r="V1604" s="13">
        <v>45175</v>
      </c>
      <c r="W1604">
        <v>1</v>
      </c>
      <c r="X1604">
        <v>1</v>
      </c>
      <c r="Y1604" t="s">
        <v>3678</v>
      </c>
      <c r="AC1604">
        <v>5235</v>
      </c>
      <c r="AD1604" t="e" vm="1594">
        <v>#VALUE!</v>
      </c>
    </row>
    <row r="1605" spans="2:30" x14ac:dyDescent="0.25">
      <c r="B1605">
        <v>5236</v>
      </c>
      <c r="C1605" t="s">
        <v>3659</v>
      </c>
      <c r="D1605" t="s">
        <v>3677</v>
      </c>
      <c r="E1605" t="s">
        <v>3823</v>
      </c>
      <c r="F1605" t="s">
        <v>87</v>
      </c>
      <c r="G1605" t="s">
        <v>86</v>
      </c>
      <c r="H1605" t="s">
        <v>3808</v>
      </c>
      <c r="I1605" t="s">
        <v>3821</v>
      </c>
      <c r="J1605" t="s">
        <v>3810</v>
      </c>
      <c r="K1605" t="s">
        <v>239</v>
      </c>
      <c r="L1605" s="13">
        <v>39624</v>
      </c>
      <c r="M1605">
        <v>15</v>
      </c>
      <c r="N1605" t="s">
        <v>88</v>
      </c>
      <c r="O1605" t="s">
        <v>3890</v>
      </c>
      <c r="P1605" t="s">
        <v>76</v>
      </c>
      <c r="Q1605" t="s">
        <v>76</v>
      </c>
      <c r="R1605" t="s">
        <v>76</v>
      </c>
      <c r="S1605" t="s">
        <v>76</v>
      </c>
      <c r="T1605" t="s">
        <v>76</v>
      </c>
      <c r="U1605">
        <v>1</v>
      </c>
      <c r="V1605" s="13">
        <v>45175</v>
      </c>
      <c r="W1605">
        <v>1</v>
      </c>
      <c r="X1605">
        <v>1</v>
      </c>
      <c r="Y1605" t="s">
        <v>3678</v>
      </c>
      <c r="AC1605">
        <v>5236</v>
      </c>
      <c r="AD1605" t="e" vm="1595">
        <v>#VALUE!</v>
      </c>
    </row>
    <row r="1606" spans="2:30" x14ac:dyDescent="0.25">
      <c r="B1606">
        <v>5237</v>
      </c>
      <c r="C1606" t="s">
        <v>3659</v>
      </c>
      <c r="D1606" t="s">
        <v>3677</v>
      </c>
      <c r="E1606" t="s">
        <v>3823</v>
      </c>
      <c r="F1606" t="s">
        <v>87</v>
      </c>
      <c r="G1606" t="s">
        <v>86</v>
      </c>
      <c r="H1606" t="s">
        <v>3808</v>
      </c>
      <c r="I1606" t="s">
        <v>3821</v>
      </c>
      <c r="J1606" t="s">
        <v>3810</v>
      </c>
      <c r="K1606" t="s">
        <v>239</v>
      </c>
      <c r="L1606" s="13">
        <v>39624</v>
      </c>
      <c r="M1606">
        <v>15</v>
      </c>
      <c r="N1606" t="s">
        <v>88</v>
      </c>
      <c r="O1606" t="s">
        <v>3890</v>
      </c>
      <c r="P1606" t="s">
        <v>76</v>
      </c>
      <c r="Q1606" t="s">
        <v>76</v>
      </c>
      <c r="R1606" t="s">
        <v>76</v>
      </c>
      <c r="S1606" t="s">
        <v>76</v>
      </c>
      <c r="T1606" t="s">
        <v>76</v>
      </c>
      <c r="U1606">
        <v>1</v>
      </c>
      <c r="V1606" s="13">
        <v>45175</v>
      </c>
      <c r="W1606">
        <v>1</v>
      </c>
      <c r="X1606">
        <v>1</v>
      </c>
      <c r="Y1606" t="s">
        <v>3678</v>
      </c>
      <c r="AC1606">
        <v>5237</v>
      </c>
      <c r="AD1606" t="e" vm="1596">
        <v>#VALUE!</v>
      </c>
    </row>
    <row r="1607" spans="2:30" x14ac:dyDescent="0.25">
      <c r="B1607">
        <v>5238</v>
      </c>
      <c r="C1607" t="s">
        <v>3659</v>
      </c>
      <c r="D1607" t="s">
        <v>3677</v>
      </c>
      <c r="E1607" t="s">
        <v>3823</v>
      </c>
      <c r="F1607" t="s">
        <v>87</v>
      </c>
      <c r="G1607" t="s">
        <v>86</v>
      </c>
      <c r="H1607" t="s">
        <v>3808</v>
      </c>
      <c r="I1607" t="s">
        <v>3821</v>
      </c>
      <c r="J1607" t="s">
        <v>3810</v>
      </c>
      <c r="K1607" t="s">
        <v>239</v>
      </c>
      <c r="L1607" s="13">
        <v>39625</v>
      </c>
      <c r="M1607">
        <v>15</v>
      </c>
      <c r="N1607" t="s">
        <v>88</v>
      </c>
      <c r="O1607" t="s">
        <v>3890</v>
      </c>
      <c r="P1607" t="s">
        <v>76</v>
      </c>
      <c r="Q1607" t="s">
        <v>76</v>
      </c>
      <c r="R1607" t="s">
        <v>76</v>
      </c>
      <c r="S1607" t="s">
        <v>76</v>
      </c>
      <c r="T1607" t="s">
        <v>76</v>
      </c>
      <c r="U1607">
        <v>1</v>
      </c>
      <c r="V1607" s="13">
        <v>45175</v>
      </c>
      <c r="W1607">
        <v>1</v>
      </c>
      <c r="X1607">
        <v>1</v>
      </c>
      <c r="Y1607" t="s">
        <v>3678</v>
      </c>
      <c r="AC1607">
        <v>5238</v>
      </c>
      <c r="AD1607" t="e" vm="1597">
        <v>#VALUE!</v>
      </c>
    </row>
    <row r="1608" spans="2:30" x14ac:dyDescent="0.25">
      <c r="B1608">
        <v>5239</v>
      </c>
      <c r="C1608" t="s">
        <v>3659</v>
      </c>
      <c r="D1608" t="s">
        <v>3677</v>
      </c>
      <c r="E1608" t="s">
        <v>3823</v>
      </c>
      <c r="F1608" t="s">
        <v>87</v>
      </c>
      <c r="G1608" t="s">
        <v>86</v>
      </c>
      <c r="H1608" t="s">
        <v>3808</v>
      </c>
      <c r="I1608" t="s">
        <v>3821</v>
      </c>
      <c r="J1608" t="s">
        <v>3810</v>
      </c>
      <c r="K1608" t="s">
        <v>239</v>
      </c>
      <c r="L1608" s="13">
        <v>39625</v>
      </c>
      <c r="M1608">
        <v>15</v>
      </c>
      <c r="N1608" t="s">
        <v>88</v>
      </c>
      <c r="O1608" t="s">
        <v>3890</v>
      </c>
      <c r="P1608" t="s">
        <v>76</v>
      </c>
      <c r="Q1608" t="s">
        <v>76</v>
      </c>
      <c r="R1608" t="s">
        <v>76</v>
      </c>
      <c r="S1608" t="s">
        <v>76</v>
      </c>
      <c r="T1608" t="s">
        <v>76</v>
      </c>
      <c r="U1608">
        <v>1</v>
      </c>
      <c r="V1608" s="13">
        <v>45175</v>
      </c>
      <c r="W1608">
        <v>1</v>
      </c>
      <c r="X1608">
        <v>1</v>
      </c>
      <c r="Y1608" t="s">
        <v>3678</v>
      </c>
      <c r="AC1608">
        <v>5239</v>
      </c>
      <c r="AD1608" t="e" vm="1598">
        <v>#VALUE!</v>
      </c>
    </row>
    <row r="1609" spans="2:30" x14ac:dyDescent="0.25">
      <c r="B1609">
        <v>5240</v>
      </c>
      <c r="C1609" t="s">
        <v>3659</v>
      </c>
      <c r="D1609" t="s">
        <v>3677</v>
      </c>
      <c r="E1609" t="s">
        <v>3823</v>
      </c>
      <c r="F1609" t="s">
        <v>87</v>
      </c>
      <c r="G1609" t="s">
        <v>86</v>
      </c>
      <c r="H1609" t="s">
        <v>3808</v>
      </c>
      <c r="I1609" t="s">
        <v>3821</v>
      </c>
      <c r="J1609" t="s">
        <v>3810</v>
      </c>
      <c r="K1609" t="s">
        <v>239</v>
      </c>
      <c r="L1609" s="13">
        <v>39632</v>
      </c>
      <c r="M1609">
        <v>15</v>
      </c>
      <c r="N1609" t="s">
        <v>88</v>
      </c>
      <c r="O1609" t="s">
        <v>3890</v>
      </c>
      <c r="P1609" t="s">
        <v>76</v>
      </c>
      <c r="Q1609" t="s">
        <v>76</v>
      </c>
      <c r="R1609" t="s">
        <v>76</v>
      </c>
      <c r="S1609" t="s">
        <v>76</v>
      </c>
      <c r="T1609" t="s">
        <v>76</v>
      </c>
      <c r="U1609">
        <v>1</v>
      </c>
      <c r="V1609" s="13">
        <v>45175</v>
      </c>
      <c r="W1609">
        <v>1</v>
      </c>
      <c r="X1609">
        <v>1</v>
      </c>
      <c r="Y1609" t="s">
        <v>3678</v>
      </c>
      <c r="AC1609">
        <v>5240</v>
      </c>
      <c r="AD1609" t="e" vm="1599">
        <v>#VALUE!</v>
      </c>
    </row>
    <row r="1610" spans="2:30" x14ac:dyDescent="0.25">
      <c r="B1610">
        <v>5241</v>
      </c>
      <c r="C1610" t="s">
        <v>3659</v>
      </c>
      <c r="D1610" t="s">
        <v>3677</v>
      </c>
      <c r="E1610" t="s">
        <v>3823</v>
      </c>
      <c r="F1610" t="s">
        <v>87</v>
      </c>
      <c r="G1610" t="s">
        <v>86</v>
      </c>
      <c r="H1610" t="s">
        <v>3808</v>
      </c>
      <c r="I1610" t="s">
        <v>3821</v>
      </c>
      <c r="J1610" t="s">
        <v>3810</v>
      </c>
      <c r="K1610" t="s">
        <v>239</v>
      </c>
      <c r="L1610" s="13">
        <v>39632</v>
      </c>
      <c r="M1610">
        <v>15</v>
      </c>
      <c r="N1610" t="s">
        <v>88</v>
      </c>
      <c r="O1610" t="s">
        <v>3890</v>
      </c>
      <c r="P1610" t="s">
        <v>76</v>
      </c>
      <c r="Q1610" t="s">
        <v>76</v>
      </c>
      <c r="R1610" t="s">
        <v>76</v>
      </c>
      <c r="S1610" t="s">
        <v>76</v>
      </c>
      <c r="T1610" t="s">
        <v>76</v>
      </c>
      <c r="U1610">
        <v>1</v>
      </c>
      <c r="V1610" s="13">
        <v>45175</v>
      </c>
      <c r="W1610">
        <v>1</v>
      </c>
      <c r="X1610">
        <v>1</v>
      </c>
      <c r="Y1610" t="s">
        <v>3678</v>
      </c>
      <c r="AC1610">
        <v>5241</v>
      </c>
      <c r="AD1610" t="e" vm="1600">
        <v>#VALUE!</v>
      </c>
    </row>
    <row r="1611" spans="2:30" x14ac:dyDescent="0.25">
      <c r="B1611">
        <v>5242</v>
      </c>
      <c r="C1611" t="s">
        <v>3668</v>
      </c>
      <c r="D1611" t="s">
        <v>3671</v>
      </c>
      <c r="E1611" t="s">
        <v>3818</v>
      </c>
      <c r="F1611" t="s">
        <v>83</v>
      </c>
      <c r="G1611" t="s">
        <v>77</v>
      </c>
      <c r="H1611" t="s">
        <v>3808</v>
      </c>
      <c r="I1611" t="s">
        <v>3821</v>
      </c>
      <c r="J1611" t="s">
        <v>3810</v>
      </c>
      <c r="K1611" t="s">
        <v>239</v>
      </c>
      <c r="L1611" s="13">
        <v>39638</v>
      </c>
      <c r="M1611">
        <v>15</v>
      </c>
      <c r="N1611" t="s">
        <v>82</v>
      </c>
      <c r="O1611" t="s">
        <v>3890</v>
      </c>
      <c r="P1611" t="s">
        <v>76</v>
      </c>
      <c r="Q1611" t="s">
        <v>76</v>
      </c>
      <c r="R1611" t="s">
        <v>76</v>
      </c>
      <c r="S1611" t="s">
        <v>76</v>
      </c>
      <c r="T1611" t="s">
        <v>76</v>
      </c>
      <c r="U1611">
        <v>1</v>
      </c>
      <c r="V1611" s="13">
        <v>45175</v>
      </c>
      <c r="W1611">
        <v>1</v>
      </c>
      <c r="X1611">
        <v>1</v>
      </c>
      <c r="Y1611" t="s">
        <v>3672</v>
      </c>
      <c r="AC1611">
        <v>5242</v>
      </c>
      <c r="AD1611" t="e" vm="1601">
        <v>#VALUE!</v>
      </c>
    </row>
    <row r="1612" spans="2:30" x14ac:dyDescent="0.25">
      <c r="B1612">
        <v>5243</v>
      </c>
      <c r="C1612" t="s">
        <v>3668</v>
      </c>
      <c r="D1612" t="s">
        <v>3671</v>
      </c>
      <c r="E1612" t="s">
        <v>3818</v>
      </c>
      <c r="F1612" t="s">
        <v>83</v>
      </c>
      <c r="G1612" t="s">
        <v>77</v>
      </c>
      <c r="H1612" t="s">
        <v>3808</v>
      </c>
      <c r="I1612" t="s">
        <v>3821</v>
      </c>
      <c r="J1612" t="s">
        <v>3810</v>
      </c>
      <c r="K1612" t="s">
        <v>239</v>
      </c>
      <c r="L1612" s="13">
        <v>39638</v>
      </c>
      <c r="M1612">
        <v>15</v>
      </c>
      <c r="N1612" t="s">
        <v>82</v>
      </c>
      <c r="O1612" t="s">
        <v>3890</v>
      </c>
      <c r="P1612" t="s">
        <v>76</v>
      </c>
      <c r="Q1612" t="s">
        <v>76</v>
      </c>
      <c r="R1612" t="s">
        <v>76</v>
      </c>
      <c r="S1612" t="s">
        <v>76</v>
      </c>
      <c r="T1612" t="s">
        <v>76</v>
      </c>
      <c r="U1612">
        <v>1</v>
      </c>
      <c r="V1612" s="13">
        <v>45175</v>
      </c>
      <c r="W1612">
        <v>1</v>
      </c>
      <c r="X1612">
        <v>1</v>
      </c>
      <c r="Y1612" t="s">
        <v>3672</v>
      </c>
      <c r="AC1612">
        <v>5243</v>
      </c>
      <c r="AD1612" t="e" vm="1602">
        <v>#VALUE!</v>
      </c>
    </row>
    <row r="1613" spans="2:30" x14ac:dyDescent="0.25">
      <c r="B1613">
        <v>5244</v>
      </c>
      <c r="C1613" t="s">
        <v>3668</v>
      </c>
      <c r="D1613" t="s">
        <v>3671</v>
      </c>
      <c r="E1613" t="s">
        <v>3818</v>
      </c>
      <c r="F1613" t="s">
        <v>83</v>
      </c>
      <c r="G1613" t="s">
        <v>77</v>
      </c>
      <c r="H1613" t="s">
        <v>3808</v>
      </c>
      <c r="I1613" t="s">
        <v>3821</v>
      </c>
      <c r="J1613" t="s">
        <v>3810</v>
      </c>
      <c r="K1613" t="s">
        <v>239</v>
      </c>
      <c r="L1613" s="13">
        <v>39638</v>
      </c>
      <c r="M1613">
        <v>15</v>
      </c>
      <c r="N1613" t="s">
        <v>82</v>
      </c>
      <c r="O1613" t="s">
        <v>3890</v>
      </c>
      <c r="P1613" t="s">
        <v>76</v>
      </c>
      <c r="Q1613" t="s">
        <v>76</v>
      </c>
      <c r="R1613" t="s">
        <v>76</v>
      </c>
      <c r="S1613" t="s">
        <v>76</v>
      </c>
      <c r="T1613" t="s">
        <v>76</v>
      </c>
      <c r="U1613">
        <v>1</v>
      </c>
      <c r="V1613" s="13">
        <v>45175</v>
      </c>
      <c r="W1613">
        <v>1</v>
      </c>
      <c r="X1613">
        <v>1</v>
      </c>
      <c r="Y1613" t="s">
        <v>3672</v>
      </c>
      <c r="AC1613">
        <v>5244</v>
      </c>
      <c r="AD1613" t="e" vm="1603">
        <v>#VALUE!</v>
      </c>
    </row>
    <row r="1614" spans="2:30" x14ac:dyDescent="0.25">
      <c r="B1614">
        <v>5245</v>
      </c>
      <c r="C1614" t="s">
        <v>3668</v>
      </c>
      <c r="D1614" t="s">
        <v>3665</v>
      </c>
      <c r="E1614" t="s">
        <v>3815</v>
      </c>
      <c r="F1614" t="s">
        <v>92</v>
      </c>
      <c r="G1614" t="s">
        <v>96</v>
      </c>
      <c r="H1614" t="s">
        <v>3808</v>
      </c>
      <c r="I1614" t="s">
        <v>3821</v>
      </c>
      <c r="J1614" t="s">
        <v>3810</v>
      </c>
      <c r="K1614" t="s">
        <v>239</v>
      </c>
      <c r="L1614" s="13">
        <v>39638</v>
      </c>
      <c r="M1614">
        <v>15</v>
      </c>
      <c r="N1614" t="s">
        <v>82</v>
      </c>
      <c r="O1614" t="s">
        <v>3890</v>
      </c>
      <c r="P1614" t="s">
        <v>76</v>
      </c>
      <c r="Q1614" t="s">
        <v>76</v>
      </c>
      <c r="R1614" t="s">
        <v>76</v>
      </c>
      <c r="S1614" t="s">
        <v>76</v>
      </c>
      <c r="T1614" t="s">
        <v>76</v>
      </c>
      <c r="U1614">
        <v>1</v>
      </c>
      <c r="V1614" s="13">
        <v>45175</v>
      </c>
      <c r="W1614">
        <v>1</v>
      </c>
      <c r="X1614">
        <v>1</v>
      </c>
      <c r="Y1614" t="s">
        <v>3749</v>
      </c>
      <c r="AC1614">
        <v>5245</v>
      </c>
      <c r="AD1614" t="e" vm="1604">
        <v>#VALUE!</v>
      </c>
    </row>
    <row r="1615" spans="2:30" x14ac:dyDescent="0.25">
      <c r="B1615">
        <v>5246</v>
      </c>
      <c r="C1615" t="s">
        <v>3668</v>
      </c>
      <c r="D1615" t="s">
        <v>3671</v>
      </c>
      <c r="E1615" t="s">
        <v>3818</v>
      </c>
      <c r="F1615" t="s">
        <v>83</v>
      </c>
      <c r="G1615" t="s">
        <v>77</v>
      </c>
      <c r="H1615" t="s">
        <v>3808</v>
      </c>
      <c r="I1615" t="s">
        <v>3821</v>
      </c>
      <c r="J1615" t="s">
        <v>3810</v>
      </c>
      <c r="K1615" t="s">
        <v>239</v>
      </c>
      <c r="L1615" s="13">
        <v>39638</v>
      </c>
      <c r="M1615">
        <v>15</v>
      </c>
      <c r="N1615" t="s">
        <v>82</v>
      </c>
      <c r="O1615" t="s">
        <v>3890</v>
      </c>
      <c r="P1615" t="s">
        <v>76</v>
      </c>
      <c r="Q1615" t="s">
        <v>76</v>
      </c>
      <c r="R1615" t="s">
        <v>76</v>
      </c>
      <c r="S1615" t="s">
        <v>76</v>
      </c>
      <c r="T1615" t="s">
        <v>76</v>
      </c>
      <c r="U1615">
        <v>1</v>
      </c>
      <c r="V1615" s="13">
        <v>45175</v>
      </c>
      <c r="W1615">
        <v>1</v>
      </c>
      <c r="X1615">
        <v>1</v>
      </c>
      <c r="Y1615" t="s">
        <v>3672</v>
      </c>
      <c r="AC1615">
        <v>5246</v>
      </c>
      <c r="AD1615" t="e" vm="1605">
        <v>#VALUE!</v>
      </c>
    </row>
    <row r="1616" spans="2:30" x14ac:dyDescent="0.25">
      <c r="B1616">
        <v>5247</v>
      </c>
      <c r="C1616" t="s">
        <v>3668</v>
      </c>
      <c r="D1616" t="s">
        <v>3671</v>
      </c>
      <c r="E1616" t="s">
        <v>3818</v>
      </c>
      <c r="F1616" t="s">
        <v>83</v>
      </c>
      <c r="G1616" t="s">
        <v>77</v>
      </c>
      <c r="H1616" t="s">
        <v>3808</v>
      </c>
      <c r="I1616" t="s">
        <v>3821</v>
      </c>
      <c r="J1616" t="s">
        <v>3810</v>
      </c>
      <c r="K1616" t="s">
        <v>239</v>
      </c>
      <c r="L1616" s="13">
        <v>39638</v>
      </c>
      <c r="M1616">
        <v>15</v>
      </c>
      <c r="N1616" t="s">
        <v>82</v>
      </c>
      <c r="O1616" t="s">
        <v>3890</v>
      </c>
      <c r="P1616" t="s">
        <v>76</v>
      </c>
      <c r="Q1616" t="s">
        <v>76</v>
      </c>
      <c r="R1616" t="s">
        <v>76</v>
      </c>
      <c r="S1616" t="s">
        <v>76</v>
      </c>
      <c r="T1616" t="s">
        <v>76</v>
      </c>
      <c r="U1616">
        <v>1</v>
      </c>
      <c r="V1616" s="13">
        <v>45175</v>
      </c>
      <c r="W1616">
        <v>1</v>
      </c>
      <c r="X1616">
        <v>1</v>
      </c>
      <c r="Y1616" t="s">
        <v>3672</v>
      </c>
      <c r="AC1616">
        <v>5247</v>
      </c>
      <c r="AD1616" t="e" vm="1606">
        <v>#VALUE!</v>
      </c>
    </row>
    <row r="1617" spans="2:30" x14ac:dyDescent="0.25">
      <c r="B1617">
        <v>5248</v>
      </c>
      <c r="C1617" t="s">
        <v>3662</v>
      </c>
      <c r="D1617" t="s">
        <v>3665</v>
      </c>
      <c r="E1617" t="s">
        <v>3815</v>
      </c>
      <c r="F1617" t="s">
        <v>92</v>
      </c>
      <c r="G1617" t="s">
        <v>96</v>
      </c>
      <c r="H1617" t="s">
        <v>3808</v>
      </c>
      <c r="I1617" t="s">
        <v>3821</v>
      </c>
      <c r="J1617" t="s">
        <v>3810</v>
      </c>
      <c r="K1617" t="s">
        <v>239</v>
      </c>
      <c r="L1617" s="13">
        <v>39646</v>
      </c>
      <c r="M1617">
        <v>15</v>
      </c>
      <c r="N1617" t="s">
        <v>79</v>
      </c>
      <c r="O1617" t="s">
        <v>3890</v>
      </c>
      <c r="P1617" t="s">
        <v>76</v>
      </c>
      <c r="Q1617" t="s">
        <v>76</v>
      </c>
      <c r="R1617" t="s">
        <v>76</v>
      </c>
      <c r="S1617" t="s">
        <v>76</v>
      </c>
      <c r="T1617" t="s">
        <v>76</v>
      </c>
      <c r="U1617">
        <v>1</v>
      </c>
      <c r="V1617" s="13">
        <v>45175</v>
      </c>
      <c r="W1617">
        <v>1</v>
      </c>
      <c r="X1617">
        <v>1</v>
      </c>
      <c r="Y1617" t="s">
        <v>3666</v>
      </c>
      <c r="AC1617">
        <v>5248</v>
      </c>
      <c r="AD1617" t="e" vm="1607">
        <v>#VALUE!</v>
      </c>
    </row>
    <row r="1618" spans="2:30" x14ac:dyDescent="0.25">
      <c r="B1618">
        <v>5249</v>
      </c>
      <c r="C1618" t="s">
        <v>3662</v>
      </c>
      <c r="D1618" t="s">
        <v>3665</v>
      </c>
      <c r="E1618" t="s">
        <v>3815</v>
      </c>
      <c r="F1618" t="s">
        <v>92</v>
      </c>
      <c r="G1618" t="s">
        <v>96</v>
      </c>
      <c r="H1618" t="s">
        <v>3808</v>
      </c>
      <c r="I1618" t="s">
        <v>3821</v>
      </c>
      <c r="J1618" t="s">
        <v>3810</v>
      </c>
      <c r="K1618" t="s">
        <v>239</v>
      </c>
      <c r="L1618" s="13">
        <v>39653</v>
      </c>
      <c r="M1618">
        <v>15</v>
      </c>
      <c r="N1618" t="s">
        <v>79</v>
      </c>
      <c r="O1618" t="s">
        <v>3890</v>
      </c>
      <c r="P1618" t="s">
        <v>76</v>
      </c>
      <c r="Q1618" t="s">
        <v>76</v>
      </c>
      <c r="R1618" t="s">
        <v>76</v>
      </c>
      <c r="S1618" t="s">
        <v>76</v>
      </c>
      <c r="T1618" t="s">
        <v>76</v>
      </c>
      <c r="U1618">
        <v>1</v>
      </c>
      <c r="V1618" s="13">
        <v>45175</v>
      </c>
      <c r="W1618">
        <v>1</v>
      </c>
      <c r="X1618">
        <v>1</v>
      </c>
      <c r="Y1618" t="s">
        <v>3666</v>
      </c>
      <c r="AC1618">
        <v>5249</v>
      </c>
      <c r="AD1618" t="e" vm="1608">
        <v>#VALUE!</v>
      </c>
    </row>
    <row r="1619" spans="2:30" x14ac:dyDescent="0.25">
      <c r="B1619">
        <v>5250</v>
      </c>
      <c r="C1619" t="s">
        <v>3662</v>
      </c>
      <c r="D1619" t="s">
        <v>3665</v>
      </c>
      <c r="E1619" t="s">
        <v>3815</v>
      </c>
      <c r="F1619" t="s">
        <v>92</v>
      </c>
      <c r="G1619" t="s">
        <v>96</v>
      </c>
      <c r="H1619" t="s">
        <v>3808</v>
      </c>
      <c r="I1619" t="s">
        <v>3821</v>
      </c>
      <c r="J1619" t="s">
        <v>3810</v>
      </c>
      <c r="K1619" t="s">
        <v>239</v>
      </c>
      <c r="L1619" s="13">
        <v>39646</v>
      </c>
      <c r="M1619">
        <v>15</v>
      </c>
      <c r="N1619" t="s">
        <v>79</v>
      </c>
      <c r="O1619" t="s">
        <v>3890</v>
      </c>
      <c r="P1619" t="s">
        <v>76</v>
      </c>
      <c r="Q1619" t="s">
        <v>76</v>
      </c>
      <c r="R1619" t="s">
        <v>76</v>
      </c>
      <c r="S1619" t="s">
        <v>76</v>
      </c>
      <c r="T1619" t="s">
        <v>76</v>
      </c>
      <c r="U1619">
        <v>1</v>
      </c>
      <c r="V1619" s="13">
        <v>45175</v>
      </c>
      <c r="W1619">
        <v>1</v>
      </c>
      <c r="X1619">
        <v>1</v>
      </c>
      <c r="Y1619" t="s">
        <v>3666</v>
      </c>
      <c r="AC1619">
        <v>5250</v>
      </c>
      <c r="AD1619" t="e" vm="1609">
        <v>#VALUE!</v>
      </c>
    </row>
    <row r="1620" spans="2:30" x14ac:dyDescent="0.25">
      <c r="B1620">
        <v>5251</v>
      </c>
      <c r="C1620" t="s">
        <v>3662</v>
      </c>
      <c r="D1620" t="s">
        <v>3665</v>
      </c>
      <c r="E1620" t="s">
        <v>3815</v>
      </c>
      <c r="F1620" t="s">
        <v>92</v>
      </c>
      <c r="G1620" t="s">
        <v>96</v>
      </c>
      <c r="H1620" t="s">
        <v>3808</v>
      </c>
      <c r="I1620" t="s">
        <v>3821</v>
      </c>
      <c r="J1620" t="s">
        <v>3810</v>
      </c>
      <c r="K1620" t="s">
        <v>239</v>
      </c>
      <c r="L1620" s="13">
        <v>39693</v>
      </c>
      <c r="M1620">
        <v>15</v>
      </c>
      <c r="N1620" t="s">
        <v>79</v>
      </c>
      <c r="O1620" t="s">
        <v>3890</v>
      </c>
      <c r="P1620" t="s">
        <v>76</v>
      </c>
      <c r="Q1620" t="s">
        <v>76</v>
      </c>
      <c r="R1620" t="s">
        <v>76</v>
      </c>
      <c r="S1620" t="s">
        <v>76</v>
      </c>
      <c r="T1620" t="s">
        <v>76</v>
      </c>
      <c r="U1620">
        <v>1</v>
      </c>
      <c r="V1620" s="13">
        <v>45175</v>
      </c>
      <c r="W1620">
        <v>1</v>
      </c>
      <c r="X1620">
        <v>1</v>
      </c>
      <c r="Y1620" t="s">
        <v>3666</v>
      </c>
      <c r="AC1620">
        <v>5251</v>
      </c>
      <c r="AD1620" t="e" vm="1610">
        <v>#VALUE!</v>
      </c>
    </row>
    <row r="1621" spans="2:30" x14ac:dyDescent="0.25">
      <c r="B1621">
        <v>5252</v>
      </c>
      <c r="C1621" t="s">
        <v>3662</v>
      </c>
      <c r="D1621" t="s">
        <v>3725</v>
      </c>
      <c r="E1621" t="s">
        <v>3866</v>
      </c>
      <c r="F1621" t="s">
        <v>105</v>
      </c>
      <c r="G1621" t="s">
        <v>104</v>
      </c>
      <c r="H1621" t="s">
        <v>3808</v>
      </c>
      <c r="I1621" t="s">
        <v>3821</v>
      </c>
      <c r="J1621" t="s">
        <v>3810</v>
      </c>
      <c r="K1621" t="s">
        <v>239</v>
      </c>
      <c r="L1621" s="13">
        <v>39686</v>
      </c>
      <c r="M1621">
        <v>15</v>
      </c>
      <c r="N1621" t="s">
        <v>79</v>
      </c>
      <c r="O1621" t="s">
        <v>3890</v>
      </c>
      <c r="P1621" t="s">
        <v>76</v>
      </c>
      <c r="Q1621" t="s">
        <v>76</v>
      </c>
      <c r="R1621" t="s">
        <v>76</v>
      </c>
      <c r="S1621" t="s">
        <v>76</v>
      </c>
      <c r="T1621" t="s">
        <v>76</v>
      </c>
      <c r="U1621">
        <v>1</v>
      </c>
      <c r="V1621" s="13">
        <v>45175</v>
      </c>
      <c r="W1621">
        <v>1</v>
      </c>
      <c r="X1621">
        <v>1</v>
      </c>
      <c r="Y1621" t="s">
        <v>3750</v>
      </c>
      <c r="AC1621">
        <v>5252</v>
      </c>
      <c r="AD1621" t="e" vm="1611">
        <v>#VALUE!</v>
      </c>
    </row>
    <row r="1622" spans="2:30" x14ac:dyDescent="0.25">
      <c r="B1622">
        <v>5253</v>
      </c>
      <c r="C1622" t="s">
        <v>3662</v>
      </c>
      <c r="D1622" t="s">
        <v>3665</v>
      </c>
      <c r="E1622" t="s">
        <v>3815</v>
      </c>
      <c r="F1622" t="s">
        <v>92</v>
      </c>
      <c r="G1622" t="s">
        <v>96</v>
      </c>
      <c r="H1622" t="s">
        <v>3808</v>
      </c>
      <c r="I1622" t="s">
        <v>3821</v>
      </c>
      <c r="J1622" t="s">
        <v>3810</v>
      </c>
      <c r="K1622" t="s">
        <v>239</v>
      </c>
      <c r="L1622" s="13">
        <v>39693</v>
      </c>
      <c r="M1622">
        <v>15</v>
      </c>
      <c r="N1622" t="s">
        <v>79</v>
      </c>
      <c r="O1622" t="s">
        <v>3890</v>
      </c>
      <c r="P1622" t="s">
        <v>76</v>
      </c>
      <c r="Q1622" t="s">
        <v>76</v>
      </c>
      <c r="R1622" t="s">
        <v>76</v>
      </c>
      <c r="S1622" t="s">
        <v>76</v>
      </c>
      <c r="T1622" t="s">
        <v>76</v>
      </c>
      <c r="U1622">
        <v>1</v>
      </c>
      <c r="V1622" s="13">
        <v>45175</v>
      </c>
      <c r="W1622">
        <v>1</v>
      </c>
      <c r="X1622">
        <v>1</v>
      </c>
      <c r="Y1622" t="s">
        <v>3666</v>
      </c>
      <c r="AC1622">
        <v>5253</v>
      </c>
      <c r="AD1622" t="e" vm="1612">
        <v>#VALUE!</v>
      </c>
    </row>
    <row r="1623" spans="2:30" x14ac:dyDescent="0.25">
      <c r="B1623">
        <v>5254</v>
      </c>
      <c r="C1623" t="s">
        <v>3662</v>
      </c>
      <c r="D1623" t="s">
        <v>3665</v>
      </c>
      <c r="E1623" t="s">
        <v>3815</v>
      </c>
      <c r="F1623" t="s">
        <v>92</v>
      </c>
      <c r="G1623" t="s">
        <v>96</v>
      </c>
      <c r="H1623" t="s">
        <v>3808</v>
      </c>
      <c r="I1623" t="s">
        <v>3821</v>
      </c>
      <c r="J1623" t="s">
        <v>3810</v>
      </c>
      <c r="K1623" t="s">
        <v>239</v>
      </c>
      <c r="L1623" s="13">
        <v>39686</v>
      </c>
      <c r="M1623">
        <v>15</v>
      </c>
      <c r="N1623" t="s">
        <v>79</v>
      </c>
      <c r="O1623" t="s">
        <v>3890</v>
      </c>
      <c r="P1623" t="s">
        <v>76</v>
      </c>
      <c r="Q1623" t="s">
        <v>76</v>
      </c>
      <c r="R1623" t="s">
        <v>76</v>
      </c>
      <c r="S1623" t="s">
        <v>76</v>
      </c>
      <c r="T1623" t="s">
        <v>76</v>
      </c>
      <c r="U1623">
        <v>1</v>
      </c>
      <c r="V1623" s="13">
        <v>45175</v>
      </c>
      <c r="W1623">
        <v>1</v>
      </c>
      <c r="X1623">
        <v>1</v>
      </c>
      <c r="Y1623" t="s">
        <v>3666</v>
      </c>
      <c r="AC1623">
        <v>5254</v>
      </c>
      <c r="AD1623" t="e" vm="1613">
        <v>#VALUE!</v>
      </c>
    </row>
    <row r="1624" spans="2:30" x14ac:dyDescent="0.25">
      <c r="B1624">
        <v>5255</v>
      </c>
      <c r="C1624" t="s">
        <v>3662</v>
      </c>
      <c r="D1624" t="s">
        <v>3665</v>
      </c>
      <c r="E1624" t="s">
        <v>3815</v>
      </c>
      <c r="F1624" t="s">
        <v>92</v>
      </c>
      <c r="G1624" t="s">
        <v>96</v>
      </c>
      <c r="H1624" t="s">
        <v>3808</v>
      </c>
      <c r="I1624" t="s">
        <v>3821</v>
      </c>
      <c r="J1624" t="s">
        <v>3810</v>
      </c>
      <c r="K1624" t="s">
        <v>239</v>
      </c>
      <c r="L1624" s="13">
        <v>39695</v>
      </c>
      <c r="M1624">
        <v>15</v>
      </c>
      <c r="N1624" t="s">
        <v>79</v>
      </c>
      <c r="O1624" t="s">
        <v>3890</v>
      </c>
      <c r="P1624" t="s">
        <v>76</v>
      </c>
      <c r="Q1624" t="s">
        <v>76</v>
      </c>
      <c r="R1624" t="s">
        <v>76</v>
      </c>
      <c r="S1624" t="s">
        <v>76</v>
      </c>
      <c r="T1624" t="s">
        <v>76</v>
      </c>
      <c r="U1624">
        <v>1</v>
      </c>
      <c r="V1624" s="13">
        <v>45175</v>
      </c>
      <c r="W1624">
        <v>1</v>
      </c>
      <c r="X1624">
        <v>1</v>
      </c>
      <c r="Y1624" t="s">
        <v>3666</v>
      </c>
      <c r="AC1624">
        <v>5255</v>
      </c>
      <c r="AD1624" t="e" vm="1614">
        <v>#VALUE!</v>
      </c>
    </row>
    <row r="1625" spans="2:30" x14ac:dyDescent="0.25">
      <c r="B1625">
        <v>5256</v>
      </c>
      <c r="C1625" t="s">
        <v>3662</v>
      </c>
      <c r="D1625" t="s">
        <v>3665</v>
      </c>
      <c r="E1625" t="s">
        <v>3815</v>
      </c>
      <c r="F1625" t="s">
        <v>92</v>
      </c>
      <c r="G1625" t="s">
        <v>96</v>
      </c>
      <c r="H1625" t="s">
        <v>3808</v>
      </c>
      <c r="I1625" t="s">
        <v>3821</v>
      </c>
      <c r="J1625" t="s">
        <v>3810</v>
      </c>
      <c r="K1625" t="s">
        <v>239</v>
      </c>
      <c r="L1625" s="13">
        <v>39695</v>
      </c>
      <c r="M1625">
        <v>15</v>
      </c>
      <c r="N1625" t="s">
        <v>79</v>
      </c>
      <c r="O1625" t="s">
        <v>3890</v>
      </c>
      <c r="P1625" t="s">
        <v>76</v>
      </c>
      <c r="Q1625" t="s">
        <v>76</v>
      </c>
      <c r="R1625" t="s">
        <v>76</v>
      </c>
      <c r="S1625" t="s">
        <v>76</v>
      </c>
      <c r="T1625" t="s">
        <v>76</v>
      </c>
      <c r="U1625">
        <v>1</v>
      </c>
      <c r="V1625" s="13">
        <v>45175</v>
      </c>
      <c r="W1625">
        <v>1</v>
      </c>
      <c r="X1625">
        <v>1</v>
      </c>
      <c r="Y1625" t="s">
        <v>3666</v>
      </c>
      <c r="AC1625">
        <v>5256</v>
      </c>
      <c r="AD1625" t="e" vm="1615">
        <v>#VALUE!</v>
      </c>
    </row>
    <row r="1626" spans="2:30" x14ac:dyDescent="0.25">
      <c r="B1626">
        <v>5257</v>
      </c>
      <c r="C1626" t="s">
        <v>3662</v>
      </c>
      <c r="D1626" t="s">
        <v>3665</v>
      </c>
      <c r="E1626" t="s">
        <v>3815</v>
      </c>
      <c r="F1626" t="s">
        <v>92</v>
      </c>
      <c r="G1626" t="s">
        <v>96</v>
      </c>
      <c r="H1626" t="s">
        <v>3808</v>
      </c>
      <c r="I1626" t="s">
        <v>3821</v>
      </c>
      <c r="J1626" t="s">
        <v>3810</v>
      </c>
      <c r="K1626" t="s">
        <v>239</v>
      </c>
      <c r="L1626" s="13">
        <v>39699</v>
      </c>
      <c r="M1626">
        <v>15</v>
      </c>
      <c r="N1626" t="s">
        <v>79</v>
      </c>
      <c r="O1626" t="s">
        <v>3890</v>
      </c>
      <c r="P1626" t="s">
        <v>76</v>
      </c>
      <c r="Q1626" t="s">
        <v>76</v>
      </c>
      <c r="R1626" t="s">
        <v>76</v>
      </c>
      <c r="S1626" t="s">
        <v>76</v>
      </c>
      <c r="T1626" t="s">
        <v>76</v>
      </c>
      <c r="U1626">
        <v>1</v>
      </c>
      <c r="V1626" s="13">
        <v>45175</v>
      </c>
      <c r="W1626">
        <v>1</v>
      </c>
      <c r="X1626">
        <v>1</v>
      </c>
      <c r="Y1626" t="s">
        <v>3666</v>
      </c>
      <c r="AC1626">
        <v>5257</v>
      </c>
      <c r="AD1626" t="e" vm="1616">
        <v>#VALUE!</v>
      </c>
    </row>
    <row r="1627" spans="2:30" x14ac:dyDescent="0.25">
      <c r="B1627">
        <v>5258</v>
      </c>
      <c r="C1627" t="s">
        <v>3662</v>
      </c>
      <c r="D1627" t="s">
        <v>3665</v>
      </c>
      <c r="E1627" t="s">
        <v>3815</v>
      </c>
      <c r="F1627" t="s">
        <v>92</v>
      </c>
      <c r="G1627" t="s">
        <v>96</v>
      </c>
      <c r="H1627" t="s">
        <v>3808</v>
      </c>
      <c r="I1627" t="s">
        <v>3821</v>
      </c>
      <c r="J1627" t="s">
        <v>3810</v>
      </c>
      <c r="K1627" t="s">
        <v>239</v>
      </c>
      <c r="L1627" s="13">
        <v>39699</v>
      </c>
      <c r="M1627">
        <v>15</v>
      </c>
      <c r="N1627" t="s">
        <v>79</v>
      </c>
      <c r="O1627" t="s">
        <v>3890</v>
      </c>
      <c r="P1627" t="s">
        <v>76</v>
      </c>
      <c r="Q1627" t="s">
        <v>76</v>
      </c>
      <c r="R1627" t="s">
        <v>76</v>
      </c>
      <c r="S1627" t="s">
        <v>76</v>
      </c>
      <c r="T1627" t="s">
        <v>76</v>
      </c>
      <c r="U1627">
        <v>1</v>
      </c>
      <c r="V1627" s="13">
        <v>45175</v>
      </c>
      <c r="W1627">
        <v>1</v>
      </c>
      <c r="X1627">
        <v>1</v>
      </c>
      <c r="Y1627" t="s">
        <v>3666</v>
      </c>
      <c r="AC1627">
        <v>5258</v>
      </c>
      <c r="AD1627" t="e" vm="1617">
        <v>#VALUE!</v>
      </c>
    </row>
    <row r="1628" spans="2:30" x14ac:dyDescent="0.25">
      <c r="B1628">
        <v>5259</v>
      </c>
      <c r="C1628" t="s">
        <v>3659</v>
      </c>
      <c r="D1628" t="s">
        <v>3677</v>
      </c>
      <c r="E1628" t="s">
        <v>3823</v>
      </c>
      <c r="F1628" t="s">
        <v>87</v>
      </c>
      <c r="G1628" t="s">
        <v>86</v>
      </c>
      <c r="H1628" t="s">
        <v>3808</v>
      </c>
      <c r="I1628" t="s">
        <v>3821</v>
      </c>
      <c r="J1628" t="s">
        <v>3810</v>
      </c>
      <c r="K1628" t="s">
        <v>239</v>
      </c>
      <c r="L1628" s="13">
        <v>39701</v>
      </c>
      <c r="M1628">
        <v>15</v>
      </c>
      <c r="N1628" t="s">
        <v>88</v>
      </c>
      <c r="O1628" t="s">
        <v>3890</v>
      </c>
      <c r="P1628" t="s">
        <v>76</v>
      </c>
      <c r="Q1628" t="s">
        <v>76</v>
      </c>
      <c r="R1628" t="s">
        <v>76</v>
      </c>
      <c r="S1628" t="s">
        <v>76</v>
      </c>
      <c r="T1628" t="s">
        <v>76</v>
      </c>
      <c r="U1628">
        <v>1</v>
      </c>
      <c r="V1628" s="13">
        <v>45175</v>
      </c>
      <c r="W1628">
        <v>1</v>
      </c>
      <c r="X1628">
        <v>1</v>
      </c>
      <c r="Y1628" t="s">
        <v>3678</v>
      </c>
      <c r="AC1628">
        <v>5259</v>
      </c>
      <c r="AD1628" t="e" vm="1618">
        <v>#VALUE!</v>
      </c>
    </row>
    <row r="1629" spans="2:30" x14ac:dyDescent="0.25">
      <c r="B1629">
        <v>5260</v>
      </c>
      <c r="C1629" t="s">
        <v>3659</v>
      </c>
      <c r="D1629" t="s">
        <v>3677</v>
      </c>
      <c r="E1629" t="s">
        <v>3823</v>
      </c>
      <c r="F1629" t="s">
        <v>87</v>
      </c>
      <c r="G1629" t="s">
        <v>86</v>
      </c>
      <c r="H1629" t="s">
        <v>3808</v>
      </c>
      <c r="I1629" t="s">
        <v>3821</v>
      </c>
      <c r="J1629" t="s">
        <v>3810</v>
      </c>
      <c r="K1629" t="s">
        <v>239</v>
      </c>
      <c r="L1629" s="13">
        <v>39701</v>
      </c>
      <c r="M1629">
        <v>15</v>
      </c>
      <c r="N1629" t="s">
        <v>88</v>
      </c>
      <c r="O1629" t="s">
        <v>3890</v>
      </c>
      <c r="P1629" t="s">
        <v>76</v>
      </c>
      <c r="Q1629" t="s">
        <v>76</v>
      </c>
      <c r="R1629" t="s">
        <v>76</v>
      </c>
      <c r="S1629" t="s">
        <v>76</v>
      </c>
      <c r="T1629" t="s">
        <v>76</v>
      </c>
      <c r="U1629">
        <v>1</v>
      </c>
      <c r="V1629" s="13">
        <v>45175</v>
      </c>
      <c r="W1629">
        <v>1</v>
      </c>
      <c r="X1629">
        <v>1</v>
      </c>
      <c r="Y1629" t="s">
        <v>3678</v>
      </c>
      <c r="AC1629">
        <v>5260</v>
      </c>
      <c r="AD1629" t="e" vm="1619">
        <v>#VALUE!</v>
      </c>
    </row>
    <row r="1630" spans="2:30" x14ac:dyDescent="0.25">
      <c r="B1630">
        <v>5261</v>
      </c>
      <c r="C1630" t="s">
        <v>3659</v>
      </c>
      <c r="D1630" t="s">
        <v>3677</v>
      </c>
      <c r="E1630" t="s">
        <v>3823</v>
      </c>
      <c r="F1630" t="s">
        <v>87</v>
      </c>
      <c r="G1630" t="s">
        <v>86</v>
      </c>
      <c r="H1630" t="s">
        <v>3808</v>
      </c>
      <c r="I1630" t="s">
        <v>3821</v>
      </c>
      <c r="J1630" t="s">
        <v>3810</v>
      </c>
      <c r="K1630" t="s">
        <v>239</v>
      </c>
      <c r="L1630" s="13">
        <v>39706</v>
      </c>
      <c r="M1630">
        <v>15</v>
      </c>
      <c r="N1630" t="s">
        <v>88</v>
      </c>
      <c r="O1630" t="s">
        <v>3890</v>
      </c>
      <c r="P1630" t="s">
        <v>76</v>
      </c>
      <c r="Q1630" t="s">
        <v>76</v>
      </c>
      <c r="R1630" t="s">
        <v>76</v>
      </c>
      <c r="S1630" t="s">
        <v>76</v>
      </c>
      <c r="T1630" t="s">
        <v>76</v>
      </c>
      <c r="U1630">
        <v>1</v>
      </c>
      <c r="V1630" s="13">
        <v>45175</v>
      </c>
      <c r="W1630">
        <v>1</v>
      </c>
      <c r="X1630">
        <v>1</v>
      </c>
      <c r="Y1630" t="s">
        <v>3678</v>
      </c>
      <c r="AC1630">
        <v>5261</v>
      </c>
      <c r="AD1630" t="e" vm="1620">
        <v>#VALUE!</v>
      </c>
    </row>
    <row r="1631" spans="2:30" x14ac:dyDescent="0.25">
      <c r="B1631">
        <v>5262</v>
      </c>
      <c r="C1631" t="s">
        <v>3659</v>
      </c>
      <c r="D1631" t="s">
        <v>3677</v>
      </c>
      <c r="E1631" t="s">
        <v>3823</v>
      </c>
      <c r="F1631" t="s">
        <v>87</v>
      </c>
      <c r="G1631" t="s">
        <v>86</v>
      </c>
      <c r="H1631" t="s">
        <v>3808</v>
      </c>
      <c r="I1631" t="s">
        <v>3821</v>
      </c>
      <c r="J1631" t="s">
        <v>3810</v>
      </c>
      <c r="K1631" t="s">
        <v>239</v>
      </c>
      <c r="L1631" s="13">
        <v>39706</v>
      </c>
      <c r="M1631">
        <v>15</v>
      </c>
      <c r="N1631" t="s">
        <v>88</v>
      </c>
      <c r="O1631" t="s">
        <v>3890</v>
      </c>
      <c r="P1631" t="s">
        <v>76</v>
      </c>
      <c r="Q1631" t="s">
        <v>76</v>
      </c>
      <c r="R1631" t="s">
        <v>76</v>
      </c>
      <c r="S1631" t="s">
        <v>76</v>
      </c>
      <c r="T1631" t="s">
        <v>76</v>
      </c>
      <c r="U1631">
        <v>1</v>
      </c>
      <c r="V1631" s="13">
        <v>45175</v>
      </c>
      <c r="W1631">
        <v>1</v>
      </c>
      <c r="X1631">
        <v>1</v>
      </c>
      <c r="Y1631" t="s">
        <v>3678</v>
      </c>
      <c r="AC1631">
        <v>5262</v>
      </c>
      <c r="AD1631" t="e" vm="1621">
        <v>#VALUE!</v>
      </c>
    </row>
    <row r="1632" spans="2:30" x14ac:dyDescent="0.25">
      <c r="B1632">
        <v>5263</v>
      </c>
      <c r="C1632" t="s">
        <v>3659</v>
      </c>
      <c r="D1632" t="s">
        <v>3677</v>
      </c>
      <c r="E1632" t="s">
        <v>3823</v>
      </c>
      <c r="F1632" t="s">
        <v>87</v>
      </c>
      <c r="G1632" t="s">
        <v>86</v>
      </c>
      <c r="H1632" t="s">
        <v>3808</v>
      </c>
      <c r="I1632" t="s">
        <v>3821</v>
      </c>
      <c r="J1632" t="s">
        <v>3810</v>
      </c>
      <c r="K1632" t="s">
        <v>239</v>
      </c>
      <c r="L1632" s="13">
        <v>39709</v>
      </c>
      <c r="M1632">
        <v>15</v>
      </c>
      <c r="N1632" t="s">
        <v>88</v>
      </c>
      <c r="O1632" t="s">
        <v>3890</v>
      </c>
      <c r="P1632" t="s">
        <v>76</v>
      </c>
      <c r="Q1632" t="s">
        <v>76</v>
      </c>
      <c r="R1632" t="s">
        <v>76</v>
      </c>
      <c r="S1632" t="s">
        <v>76</v>
      </c>
      <c r="T1632" t="s">
        <v>76</v>
      </c>
      <c r="U1632">
        <v>1</v>
      </c>
      <c r="V1632" s="13">
        <v>45175</v>
      </c>
      <c r="W1632">
        <v>1</v>
      </c>
      <c r="X1632">
        <v>1</v>
      </c>
      <c r="Y1632" t="s">
        <v>3678</v>
      </c>
      <c r="AC1632">
        <v>5263</v>
      </c>
      <c r="AD1632" t="e" vm="1622">
        <v>#VALUE!</v>
      </c>
    </row>
    <row r="1633" spans="2:30" x14ac:dyDescent="0.25">
      <c r="B1633">
        <v>5264</v>
      </c>
      <c r="C1633" t="s">
        <v>3659</v>
      </c>
      <c r="D1633" t="s">
        <v>3677</v>
      </c>
      <c r="E1633" t="s">
        <v>3823</v>
      </c>
      <c r="F1633" t="s">
        <v>87</v>
      </c>
      <c r="G1633" t="s">
        <v>86</v>
      </c>
      <c r="H1633" t="s">
        <v>3808</v>
      </c>
      <c r="I1633" t="s">
        <v>3821</v>
      </c>
      <c r="J1633" t="s">
        <v>3810</v>
      </c>
      <c r="K1633" t="s">
        <v>239</v>
      </c>
      <c r="L1633" s="13">
        <v>39709</v>
      </c>
      <c r="M1633">
        <v>15</v>
      </c>
      <c r="N1633" t="s">
        <v>88</v>
      </c>
      <c r="O1633" t="s">
        <v>3890</v>
      </c>
      <c r="P1633" t="s">
        <v>76</v>
      </c>
      <c r="Q1633" t="s">
        <v>76</v>
      </c>
      <c r="R1633" t="s">
        <v>76</v>
      </c>
      <c r="S1633" t="s">
        <v>76</v>
      </c>
      <c r="T1633" t="s">
        <v>76</v>
      </c>
      <c r="U1633">
        <v>1</v>
      </c>
      <c r="V1633" s="13">
        <v>45175</v>
      </c>
      <c r="W1633">
        <v>1</v>
      </c>
      <c r="X1633">
        <v>1</v>
      </c>
      <c r="Y1633" t="s">
        <v>3678</v>
      </c>
      <c r="AC1633">
        <v>5264</v>
      </c>
      <c r="AD1633" t="e" vm="1623">
        <v>#VALUE!</v>
      </c>
    </row>
    <row r="1634" spans="2:30" x14ac:dyDescent="0.25">
      <c r="B1634">
        <v>5265</v>
      </c>
      <c r="C1634" t="s">
        <v>3659</v>
      </c>
      <c r="D1634" t="s">
        <v>3677</v>
      </c>
      <c r="E1634" t="s">
        <v>3823</v>
      </c>
      <c r="F1634" t="s">
        <v>87</v>
      </c>
      <c r="G1634" t="s">
        <v>86</v>
      </c>
      <c r="H1634" t="s">
        <v>3808</v>
      </c>
      <c r="I1634" t="s">
        <v>3821</v>
      </c>
      <c r="J1634" t="s">
        <v>3810</v>
      </c>
      <c r="K1634" t="s">
        <v>239</v>
      </c>
      <c r="L1634" s="13">
        <v>39716</v>
      </c>
      <c r="M1634">
        <v>15</v>
      </c>
      <c r="N1634" t="s">
        <v>88</v>
      </c>
      <c r="O1634" t="s">
        <v>3890</v>
      </c>
      <c r="P1634" t="s">
        <v>76</v>
      </c>
      <c r="Q1634" t="s">
        <v>76</v>
      </c>
      <c r="R1634" t="s">
        <v>76</v>
      </c>
      <c r="S1634" t="s">
        <v>76</v>
      </c>
      <c r="T1634" t="s">
        <v>76</v>
      </c>
      <c r="U1634">
        <v>1</v>
      </c>
      <c r="V1634" s="13">
        <v>45175</v>
      </c>
      <c r="W1634">
        <v>1</v>
      </c>
      <c r="X1634">
        <v>1</v>
      </c>
      <c r="Y1634" t="s">
        <v>3678</v>
      </c>
      <c r="AC1634">
        <v>5265</v>
      </c>
      <c r="AD1634" t="e" vm="1624">
        <v>#VALUE!</v>
      </c>
    </row>
    <row r="1635" spans="2:30" x14ac:dyDescent="0.25">
      <c r="B1635">
        <v>5266</v>
      </c>
      <c r="C1635" t="s">
        <v>3659</v>
      </c>
      <c r="D1635" t="s">
        <v>3677</v>
      </c>
      <c r="E1635" t="s">
        <v>3823</v>
      </c>
      <c r="F1635" t="s">
        <v>87</v>
      </c>
      <c r="G1635" t="s">
        <v>86</v>
      </c>
      <c r="H1635" t="s">
        <v>3808</v>
      </c>
      <c r="I1635" t="s">
        <v>3821</v>
      </c>
      <c r="J1635" t="s">
        <v>3810</v>
      </c>
      <c r="K1635" t="s">
        <v>239</v>
      </c>
      <c r="L1635" s="13">
        <v>39716</v>
      </c>
      <c r="M1635">
        <v>15</v>
      </c>
      <c r="N1635" t="s">
        <v>88</v>
      </c>
      <c r="O1635" t="s">
        <v>3890</v>
      </c>
      <c r="P1635" t="s">
        <v>76</v>
      </c>
      <c r="Q1635" t="s">
        <v>76</v>
      </c>
      <c r="R1635" t="s">
        <v>76</v>
      </c>
      <c r="S1635" t="s">
        <v>76</v>
      </c>
      <c r="T1635" t="s">
        <v>76</v>
      </c>
      <c r="U1635">
        <v>1</v>
      </c>
      <c r="V1635" s="13">
        <v>45175</v>
      </c>
      <c r="W1635">
        <v>1</v>
      </c>
      <c r="X1635">
        <v>1</v>
      </c>
      <c r="Y1635" t="s">
        <v>3678</v>
      </c>
      <c r="AC1635">
        <v>5266</v>
      </c>
      <c r="AD1635" t="e" vm="1625">
        <v>#VALUE!</v>
      </c>
    </row>
    <row r="1636" spans="2:30" x14ac:dyDescent="0.25">
      <c r="B1636">
        <v>5267</v>
      </c>
      <c r="C1636" t="s">
        <v>3659</v>
      </c>
      <c r="D1636" t="s">
        <v>3677</v>
      </c>
      <c r="E1636" t="s">
        <v>3823</v>
      </c>
      <c r="F1636" t="s">
        <v>87</v>
      </c>
      <c r="G1636" t="s">
        <v>86</v>
      </c>
      <c r="H1636" t="s">
        <v>3808</v>
      </c>
      <c r="I1636" t="s">
        <v>3821</v>
      </c>
      <c r="J1636" t="s">
        <v>3810</v>
      </c>
      <c r="K1636" t="s">
        <v>239</v>
      </c>
      <c r="L1636" s="13">
        <v>39716</v>
      </c>
      <c r="M1636">
        <v>15</v>
      </c>
      <c r="N1636" t="s">
        <v>88</v>
      </c>
      <c r="O1636" t="s">
        <v>3890</v>
      </c>
      <c r="P1636" t="s">
        <v>76</v>
      </c>
      <c r="Q1636" t="s">
        <v>76</v>
      </c>
      <c r="R1636" t="s">
        <v>76</v>
      </c>
      <c r="S1636" t="s">
        <v>76</v>
      </c>
      <c r="T1636" t="s">
        <v>76</v>
      </c>
      <c r="U1636">
        <v>1</v>
      </c>
      <c r="V1636" s="13">
        <v>45175</v>
      </c>
      <c r="W1636">
        <v>1</v>
      </c>
      <c r="X1636">
        <v>1</v>
      </c>
      <c r="Y1636" t="s">
        <v>3678</v>
      </c>
      <c r="AC1636">
        <v>5267</v>
      </c>
      <c r="AD1636" t="e" vm="1626">
        <v>#VALUE!</v>
      </c>
    </row>
    <row r="1637" spans="2:30" x14ac:dyDescent="0.25">
      <c r="B1637">
        <v>5268</v>
      </c>
      <c r="C1637" t="s">
        <v>3684</v>
      </c>
      <c r="D1637" t="s">
        <v>3746</v>
      </c>
      <c r="E1637" t="s">
        <v>3889</v>
      </c>
      <c r="F1637" t="s">
        <v>81</v>
      </c>
      <c r="G1637" t="s">
        <v>86</v>
      </c>
      <c r="H1637" t="s">
        <v>3808</v>
      </c>
      <c r="I1637" t="s">
        <v>3821</v>
      </c>
      <c r="J1637" t="s">
        <v>3810</v>
      </c>
      <c r="K1637" t="s">
        <v>239</v>
      </c>
      <c r="L1637" s="13">
        <v>39723</v>
      </c>
      <c r="M1637">
        <v>15</v>
      </c>
      <c r="N1637" t="s">
        <v>101</v>
      </c>
      <c r="O1637" t="s">
        <v>3890</v>
      </c>
      <c r="P1637" t="s">
        <v>76</v>
      </c>
      <c r="Q1637" t="s">
        <v>76</v>
      </c>
      <c r="R1637" t="s">
        <v>76</v>
      </c>
      <c r="S1637" t="s">
        <v>76</v>
      </c>
      <c r="T1637" t="s">
        <v>76</v>
      </c>
      <c r="U1637">
        <v>1</v>
      </c>
      <c r="V1637" s="13">
        <v>45175</v>
      </c>
      <c r="W1637">
        <v>1</v>
      </c>
      <c r="X1637">
        <v>1</v>
      </c>
      <c r="Y1637" t="s">
        <v>3747</v>
      </c>
      <c r="AC1637">
        <v>5268</v>
      </c>
      <c r="AD1637" t="e" vm="1627">
        <v>#VALUE!</v>
      </c>
    </row>
    <row r="1638" spans="2:30" x14ac:dyDescent="0.25">
      <c r="B1638">
        <v>5269</v>
      </c>
      <c r="C1638" t="s">
        <v>3684</v>
      </c>
      <c r="D1638" t="s">
        <v>3746</v>
      </c>
      <c r="E1638" t="s">
        <v>3889</v>
      </c>
      <c r="F1638" t="s">
        <v>81</v>
      </c>
      <c r="G1638" t="s">
        <v>86</v>
      </c>
      <c r="H1638" t="s">
        <v>3808</v>
      </c>
      <c r="I1638" t="s">
        <v>3821</v>
      </c>
      <c r="J1638" t="s">
        <v>3810</v>
      </c>
      <c r="K1638" t="s">
        <v>239</v>
      </c>
      <c r="L1638" s="13">
        <v>39723</v>
      </c>
      <c r="M1638">
        <v>15</v>
      </c>
      <c r="N1638" t="s">
        <v>101</v>
      </c>
      <c r="O1638" t="s">
        <v>3890</v>
      </c>
      <c r="P1638" t="s">
        <v>76</v>
      </c>
      <c r="Q1638" t="s">
        <v>76</v>
      </c>
      <c r="R1638" t="s">
        <v>76</v>
      </c>
      <c r="S1638" t="s">
        <v>76</v>
      </c>
      <c r="T1638" t="s">
        <v>76</v>
      </c>
      <c r="U1638">
        <v>1</v>
      </c>
      <c r="V1638" s="13">
        <v>45175</v>
      </c>
      <c r="W1638">
        <v>1</v>
      </c>
      <c r="X1638">
        <v>1</v>
      </c>
      <c r="Y1638" t="s">
        <v>3747</v>
      </c>
      <c r="AC1638">
        <v>5269</v>
      </c>
      <c r="AD1638" t="e" vm="1628">
        <v>#VALUE!</v>
      </c>
    </row>
    <row r="1639" spans="2:30" x14ac:dyDescent="0.25">
      <c r="B1639">
        <v>5270</v>
      </c>
      <c r="C1639" t="s">
        <v>3684</v>
      </c>
      <c r="D1639" t="s">
        <v>3746</v>
      </c>
      <c r="E1639" t="s">
        <v>3889</v>
      </c>
      <c r="F1639" t="s">
        <v>81</v>
      </c>
      <c r="G1639" t="s">
        <v>86</v>
      </c>
      <c r="H1639" t="s">
        <v>3808</v>
      </c>
      <c r="I1639" t="s">
        <v>3821</v>
      </c>
      <c r="J1639" t="s">
        <v>3810</v>
      </c>
      <c r="K1639" t="s">
        <v>239</v>
      </c>
      <c r="L1639" s="13">
        <v>39723</v>
      </c>
      <c r="M1639">
        <v>15</v>
      </c>
      <c r="N1639" t="s">
        <v>101</v>
      </c>
      <c r="O1639" t="s">
        <v>3890</v>
      </c>
      <c r="P1639" t="s">
        <v>76</v>
      </c>
      <c r="Q1639" t="s">
        <v>76</v>
      </c>
      <c r="R1639" t="s">
        <v>76</v>
      </c>
      <c r="S1639" t="s">
        <v>76</v>
      </c>
      <c r="T1639" t="s">
        <v>76</v>
      </c>
      <c r="U1639">
        <v>1</v>
      </c>
      <c r="V1639" s="13">
        <v>45175</v>
      </c>
      <c r="W1639">
        <v>1</v>
      </c>
      <c r="X1639">
        <v>1</v>
      </c>
      <c r="Y1639" t="s">
        <v>3747</v>
      </c>
      <c r="AC1639">
        <v>5270</v>
      </c>
      <c r="AD1639" t="e" vm="1629">
        <v>#VALUE!</v>
      </c>
    </row>
    <row r="1640" spans="2:30" x14ac:dyDescent="0.25">
      <c r="B1640">
        <v>5271</v>
      </c>
      <c r="C1640" t="s">
        <v>3659</v>
      </c>
      <c r="D1640" t="s">
        <v>3677</v>
      </c>
      <c r="E1640" t="s">
        <v>3823</v>
      </c>
      <c r="F1640" t="s">
        <v>87</v>
      </c>
      <c r="G1640" t="s">
        <v>86</v>
      </c>
      <c r="H1640" t="s">
        <v>3808</v>
      </c>
      <c r="I1640" t="s">
        <v>3821</v>
      </c>
      <c r="J1640" t="s">
        <v>3810</v>
      </c>
      <c r="K1640" t="s">
        <v>239</v>
      </c>
      <c r="L1640" s="13">
        <v>39730</v>
      </c>
      <c r="M1640">
        <v>15</v>
      </c>
      <c r="N1640" t="s">
        <v>88</v>
      </c>
      <c r="O1640" t="s">
        <v>3890</v>
      </c>
      <c r="P1640" t="s">
        <v>76</v>
      </c>
      <c r="Q1640" t="s">
        <v>76</v>
      </c>
      <c r="R1640" t="s">
        <v>76</v>
      </c>
      <c r="S1640" t="s">
        <v>76</v>
      </c>
      <c r="T1640" t="s">
        <v>76</v>
      </c>
      <c r="U1640">
        <v>1</v>
      </c>
      <c r="V1640" s="13">
        <v>45175</v>
      </c>
      <c r="W1640">
        <v>1</v>
      </c>
      <c r="X1640">
        <v>1</v>
      </c>
      <c r="Y1640" t="s">
        <v>3678</v>
      </c>
      <c r="AC1640">
        <v>5271</v>
      </c>
      <c r="AD1640" t="e" vm="1630">
        <v>#VALUE!</v>
      </c>
    </row>
    <row r="1641" spans="2:30" x14ac:dyDescent="0.25">
      <c r="B1641">
        <v>5272</v>
      </c>
      <c r="C1641" t="s">
        <v>3659</v>
      </c>
      <c r="D1641" t="s">
        <v>3677</v>
      </c>
      <c r="E1641" t="s">
        <v>3823</v>
      </c>
      <c r="F1641" t="s">
        <v>87</v>
      </c>
      <c r="G1641" t="s">
        <v>86</v>
      </c>
      <c r="H1641" t="s">
        <v>3808</v>
      </c>
      <c r="I1641" t="s">
        <v>3821</v>
      </c>
      <c r="J1641" t="s">
        <v>3810</v>
      </c>
      <c r="K1641" t="s">
        <v>239</v>
      </c>
      <c r="L1641" s="13">
        <v>40095</v>
      </c>
      <c r="M1641">
        <v>14</v>
      </c>
      <c r="N1641" t="s">
        <v>88</v>
      </c>
      <c r="O1641" t="s">
        <v>3890</v>
      </c>
      <c r="P1641" t="s">
        <v>76</v>
      </c>
      <c r="Q1641" t="s">
        <v>76</v>
      </c>
      <c r="R1641" t="s">
        <v>76</v>
      </c>
      <c r="S1641" t="s">
        <v>76</v>
      </c>
      <c r="T1641" t="s">
        <v>76</v>
      </c>
      <c r="U1641">
        <v>1</v>
      </c>
      <c r="V1641" s="13">
        <v>45175</v>
      </c>
      <c r="W1641">
        <v>1</v>
      </c>
      <c r="X1641">
        <v>1</v>
      </c>
      <c r="Y1641" t="s">
        <v>3678</v>
      </c>
      <c r="AC1641">
        <v>5272</v>
      </c>
      <c r="AD1641" t="e" vm="1631">
        <v>#VALUE!</v>
      </c>
    </row>
    <row r="1642" spans="2:30" x14ac:dyDescent="0.25">
      <c r="B1642">
        <v>5273</v>
      </c>
      <c r="C1642" t="s">
        <v>3659</v>
      </c>
      <c r="D1642" t="s">
        <v>3677</v>
      </c>
      <c r="E1642" t="s">
        <v>3823</v>
      </c>
      <c r="F1642" t="s">
        <v>87</v>
      </c>
      <c r="G1642" t="s">
        <v>86</v>
      </c>
      <c r="H1642" t="s">
        <v>3808</v>
      </c>
      <c r="I1642" t="s">
        <v>3821</v>
      </c>
      <c r="J1642" t="s">
        <v>3810</v>
      </c>
      <c r="K1642" t="s">
        <v>239</v>
      </c>
      <c r="L1642" s="13">
        <v>39730</v>
      </c>
      <c r="M1642">
        <v>15</v>
      </c>
      <c r="N1642" t="s">
        <v>88</v>
      </c>
      <c r="O1642" t="s">
        <v>3890</v>
      </c>
      <c r="P1642" t="s">
        <v>76</v>
      </c>
      <c r="Q1642" t="s">
        <v>76</v>
      </c>
      <c r="R1642" t="s">
        <v>76</v>
      </c>
      <c r="S1642" t="s">
        <v>76</v>
      </c>
      <c r="T1642" t="s">
        <v>76</v>
      </c>
      <c r="U1642">
        <v>1</v>
      </c>
      <c r="V1642" s="13">
        <v>45175</v>
      </c>
      <c r="W1642">
        <v>1</v>
      </c>
      <c r="X1642">
        <v>1</v>
      </c>
      <c r="Y1642" t="s">
        <v>3678</v>
      </c>
      <c r="AC1642">
        <v>5273</v>
      </c>
      <c r="AD1642" t="e" vm="1632">
        <v>#VALUE!</v>
      </c>
    </row>
    <row r="1643" spans="2:30" x14ac:dyDescent="0.25">
      <c r="B1643">
        <v>5274</v>
      </c>
      <c r="C1643" t="s">
        <v>3662</v>
      </c>
      <c r="D1643" t="s">
        <v>3663</v>
      </c>
      <c r="E1643" t="s">
        <v>3814</v>
      </c>
      <c r="F1643" t="s">
        <v>97</v>
      </c>
      <c r="G1643" t="s">
        <v>106</v>
      </c>
      <c r="H1643" t="s">
        <v>3808</v>
      </c>
      <c r="I1643" t="s">
        <v>3821</v>
      </c>
      <c r="J1643" t="s">
        <v>3810</v>
      </c>
      <c r="K1643" t="s">
        <v>239</v>
      </c>
      <c r="L1643" s="13">
        <v>39737</v>
      </c>
      <c r="M1643">
        <v>15</v>
      </c>
      <c r="N1643" t="s">
        <v>79</v>
      </c>
      <c r="O1643" t="s">
        <v>3890</v>
      </c>
      <c r="P1643" t="s">
        <v>76</v>
      </c>
      <c r="Q1643" t="s">
        <v>76</v>
      </c>
      <c r="R1643" t="s">
        <v>76</v>
      </c>
      <c r="S1643" t="s">
        <v>76</v>
      </c>
      <c r="T1643" t="s">
        <v>76</v>
      </c>
      <c r="U1643">
        <v>1</v>
      </c>
      <c r="V1643" s="13">
        <v>45175</v>
      </c>
      <c r="W1643">
        <v>1</v>
      </c>
      <c r="X1643">
        <v>1</v>
      </c>
      <c r="Y1643" t="s">
        <v>3664</v>
      </c>
      <c r="AC1643">
        <v>5274</v>
      </c>
      <c r="AD1643" t="e" vm="1633">
        <v>#VALUE!</v>
      </c>
    </row>
    <row r="1644" spans="2:30" x14ac:dyDescent="0.25">
      <c r="B1644">
        <v>5275</v>
      </c>
      <c r="C1644" t="s">
        <v>3662</v>
      </c>
      <c r="D1644" t="s">
        <v>3663</v>
      </c>
      <c r="E1644" t="s">
        <v>3814</v>
      </c>
      <c r="F1644" t="s">
        <v>97</v>
      </c>
      <c r="G1644" t="s">
        <v>106</v>
      </c>
      <c r="H1644" t="s">
        <v>3808</v>
      </c>
      <c r="I1644" t="s">
        <v>3821</v>
      </c>
      <c r="J1644" t="s">
        <v>3810</v>
      </c>
      <c r="K1644" t="s">
        <v>239</v>
      </c>
      <c r="L1644" s="13">
        <v>39741</v>
      </c>
      <c r="M1644">
        <v>15</v>
      </c>
      <c r="N1644" t="s">
        <v>79</v>
      </c>
      <c r="O1644" t="s">
        <v>3890</v>
      </c>
      <c r="P1644" t="s">
        <v>76</v>
      </c>
      <c r="Q1644" t="s">
        <v>76</v>
      </c>
      <c r="R1644" t="s">
        <v>76</v>
      </c>
      <c r="S1644" t="s">
        <v>76</v>
      </c>
      <c r="T1644" t="s">
        <v>76</v>
      </c>
      <c r="U1644">
        <v>1</v>
      </c>
      <c r="V1644" s="13">
        <v>45175</v>
      </c>
      <c r="W1644">
        <v>1</v>
      </c>
      <c r="X1644">
        <v>1</v>
      </c>
      <c r="Y1644" t="s">
        <v>3664</v>
      </c>
      <c r="AC1644">
        <v>5275</v>
      </c>
      <c r="AD1644" t="e" vm="1634">
        <v>#VALUE!</v>
      </c>
    </row>
    <row r="1645" spans="2:30" x14ac:dyDescent="0.25">
      <c r="B1645">
        <v>5276</v>
      </c>
      <c r="C1645" t="s">
        <v>3646</v>
      </c>
      <c r="D1645" t="s">
        <v>3647</v>
      </c>
      <c r="E1645" t="s">
        <v>3807</v>
      </c>
      <c r="F1645" t="s">
        <v>105</v>
      </c>
      <c r="G1645" t="s">
        <v>108</v>
      </c>
      <c r="H1645" t="s">
        <v>3808</v>
      </c>
      <c r="I1645" t="s">
        <v>3839</v>
      </c>
      <c r="J1645" t="s">
        <v>3864</v>
      </c>
      <c r="K1645" t="s">
        <v>239</v>
      </c>
      <c r="L1645" s="13">
        <v>39638</v>
      </c>
      <c r="M1645">
        <v>15</v>
      </c>
      <c r="N1645" t="s">
        <v>90</v>
      </c>
      <c r="O1645" t="s">
        <v>3891</v>
      </c>
      <c r="P1645" t="s">
        <v>76</v>
      </c>
      <c r="Q1645" t="s">
        <v>76</v>
      </c>
      <c r="R1645" t="s">
        <v>76</v>
      </c>
      <c r="S1645" t="s">
        <v>76</v>
      </c>
      <c r="T1645" t="s">
        <v>76</v>
      </c>
      <c r="U1645">
        <v>1</v>
      </c>
      <c r="V1645" s="13">
        <v>45175</v>
      </c>
      <c r="W1645">
        <v>1</v>
      </c>
      <c r="X1645">
        <v>1</v>
      </c>
      <c r="Y1645" t="s">
        <v>3648</v>
      </c>
      <c r="AC1645">
        <v>5276</v>
      </c>
      <c r="AD1645" t="e" vm="1635">
        <v>#VALUE!</v>
      </c>
    </row>
    <row r="1646" spans="2:30" x14ac:dyDescent="0.25">
      <c r="B1646">
        <v>5277</v>
      </c>
      <c r="C1646" t="s">
        <v>3646</v>
      </c>
      <c r="D1646" t="s">
        <v>3647</v>
      </c>
      <c r="E1646" t="s">
        <v>3807</v>
      </c>
      <c r="F1646" t="s">
        <v>105</v>
      </c>
      <c r="G1646" t="s">
        <v>108</v>
      </c>
      <c r="H1646" t="s">
        <v>3808</v>
      </c>
      <c r="I1646" t="s">
        <v>3839</v>
      </c>
      <c r="J1646" t="s">
        <v>3864</v>
      </c>
      <c r="K1646" t="s">
        <v>239</v>
      </c>
      <c r="L1646" s="13">
        <v>39686</v>
      </c>
      <c r="M1646">
        <v>15</v>
      </c>
      <c r="N1646" t="s">
        <v>90</v>
      </c>
      <c r="O1646" t="s">
        <v>3891</v>
      </c>
      <c r="P1646" t="s">
        <v>76</v>
      </c>
      <c r="Q1646" t="s">
        <v>76</v>
      </c>
      <c r="R1646" t="s">
        <v>76</v>
      </c>
      <c r="S1646" t="s">
        <v>76</v>
      </c>
      <c r="T1646" t="s">
        <v>76</v>
      </c>
      <c r="U1646">
        <v>1</v>
      </c>
      <c r="V1646" s="13">
        <v>45175</v>
      </c>
      <c r="W1646">
        <v>1</v>
      </c>
      <c r="X1646">
        <v>1</v>
      </c>
      <c r="Y1646" t="s">
        <v>3648</v>
      </c>
      <c r="AC1646">
        <v>5277</v>
      </c>
      <c r="AD1646" t="e" vm="1636">
        <v>#VALUE!</v>
      </c>
    </row>
    <row r="1647" spans="2:30" x14ac:dyDescent="0.25">
      <c r="B1647">
        <v>5278</v>
      </c>
      <c r="C1647" t="s">
        <v>3646</v>
      </c>
      <c r="D1647" t="s">
        <v>3647</v>
      </c>
      <c r="E1647" t="s">
        <v>3807</v>
      </c>
      <c r="F1647" t="s">
        <v>105</v>
      </c>
      <c r="G1647" t="s">
        <v>108</v>
      </c>
      <c r="H1647" t="s">
        <v>3808</v>
      </c>
      <c r="I1647" t="s">
        <v>3839</v>
      </c>
      <c r="J1647" t="s">
        <v>3864</v>
      </c>
      <c r="K1647" t="s">
        <v>239</v>
      </c>
      <c r="L1647" s="13">
        <v>39611</v>
      </c>
      <c r="M1647">
        <v>15</v>
      </c>
      <c r="N1647" t="s">
        <v>90</v>
      </c>
      <c r="O1647" t="s">
        <v>3891</v>
      </c>
      <c r="P1647" t="s">
        <v>76</v>
      </c>
      <c r="Q1647" t="s">
        <v>76</v>
      </c>
      <c r="R1647" t="s">
        <v>76</v>
      </c>
      <c r="S1647" t="s">
        <v>76</v>
      </c>
      <c r="T1647" t="s">
        <v>76</v>
      </c>
      <c r="U1647">
        <v>1</v>
      </c>
      <c r="V1647" s="13">
        <v>45175</v>
      </c>
      <c r="W1647">
        <v>1</v>
      </c>
      <c r="X1647">
        <v>1</v>
      </c>
      <c r="Y1647" t="s">
        <v>3648</v>
      </c>
      <c r="AC1647">
        <v>5278</v>
      </c>
      <c r="AD1647" t="e" vm="1637">
        <v>#VALUE!</v>
      </c>
    </row>
    <row r="1648" spans="2:30" x14ac:dyDescent="0.25">
      <c r="B1648">
        <v>5279</v>
      </c>
      <c r="C1648" t="s">
        <v>3646</v>
      </c>
      <c r="D1648" t="s">
        <v>3647</v>
      </c>
      <c r="E1648" t="s">
        <v>3807</v>
      </c>
      <c r="F1648" t="s">
        <v>105</v>
      </c>
      <c r="G1648" t="s">
        <v>108</v>
      </c>
      <c r="H1648" t="s">
        <v>3808</v>
      </c>
      <c r="I1648" t="s">
        <v>3839</v>
      </c>
      <c r="J1648" t="s">
        <v>3864</v>
      </c>
      <c r="K1648" t="s">
        <v>239</v>
      </c>
      <c r="L1648" s="13">
        <v>39611</v>
      </c>
      <c r="M1648">
        <v>15</v>
      </c>
      <c r="N1648" t="s">
        <v>90</v>
      </c>
      <c r="O1648" t="s">
        <v>3891</v>
      </c>
      <c r="P1648" t="s">
        <v>76</v>
      </c>
      <c r="Q1648" t="s">
        <v>76</v>
      </c>
      <c r="R1648" t="s">
        <v>76</v>
      </c>
      <c r="S1648" t="s">
        <v>76</v>
      </c>
      <c r="T1648" t="s">
        <v>76</v>
      </c>
      <c r="U1648">
        <v>1</v>
      </c>
      <c r="V1648" s="13">
        <v>45175</v>
      </c>
      <c r="W1648">
        <v>1</v>
      </c>
      <c r="X1648">
        <v>1</v>
      </c>
      <c r="Y1648" t="s">
        <v>3648</v>
      </c>
      <c r="AC1648">
        <v>5279</v>
      </c>
      <c r="AD1648" t="e" vm="1638">
        <v>#VALUE!</v>
      </c>
    </row>
    <row r="1649" spans="2:30" x14ac:dyDescent="0.25">
      <c r="B1649">
        <v>5280</v>
      </c>
      <c r="C1649" t="s">
        <v>3646</v>
      </c>
      <c r="D1649" t="s">
        <v>3647</v>
      </c>
      <c r="E1649" t="s">
        <v>3807</v>
      </c>
      <c r="F1649" t="s">
        <v>105</v>
      </c>
      <c r="G1649" t="s">
        <v>108</v>
      </c>
      <c r="H1649" t="s">
        <v>3808</v>
      </c>
      <c r="I1649" t="s">
        <v>3839</v>
      </c>
      <c r="J1649" t="s">
        <v>3864</v>
      </c>
      <c r="K1649" t="s">
        <v>239</v>
      </c>
      <c r="L1649" s="13">
        <v>39611</v>
      </c>
      <c r="M1649">
        <v>15</v>
      </c>
      <c r="N1649" t="s">
        <v>90</v>
      </c>
      <c r="O1649" t="s">
        <v>3891</v>
      </c>
      <c r="P1649" t="s">
        <v>76</v>
      </c>
      <c r="Q1649" t="s">
        <v>76</v>
      </c>
      <c r="R1649" t="s">
        <v>76</v>
      </c>
      <c r="S1649" t="s">
        <v>76</v>
      </c>
      <c r="T1649" t="s">
        <v>76</v>
      </c>
      <c r="U1649">
        <v>1</v>
      </c>
      <c r="V1649" s="13">
        <v>45175</v>
      </c>
      <c r="W1649">
        <v>1</v>
      </c>
      <c r="X1649">
        <v>1</v>
      </c>
      <c r="Y1649" t="s">
        <v>3648</v>
      </c>
      <c r="AC1649">
        <v>5280</v>
      </c>
      <c r="AD1649" t="e" vm="1639">
        <v>#VALUE!</v>
      </c>
    </row>
    <row r="1650" spans="2:30" x14ac:dyDescent="0.25">
      <c r="B1650">
        <v>5281</v>
      </c>
      <c r="C1650" t="s">
        <v>3646</v>
      </c>
      <c r="D1650" t="s">
        <v>3647</v>
      </c>
      <c r="E1650" t="s">
        <v>3807</v>
      </c>
      <c r="F1650" t="s">
        <v>105</v>
      </c>
      <c r="G1650" t="s">
        <v>108</v>
      </c>
      <c r="H1650" t="s">
        <v>3808</v>
      </c>
      <c r="I1650" t="s">
        <v>3839</v>
      </c>
      <c r="J1650" t="s">
        <v>3864</v>
      </c>
      <c r="K1650" t="s">
        <v>239</v>
      </c>
      <c r="L1650" s="13">
        <v>39612</v>
      </c>
      <c r="M1650">
        <v>15</v>
      </c>
      <c r="N1650" t="s">
        <v>90</v>
      </c>
      <c r="O1650" t="s">
        <v>3891</v>
      </c>
      <c r="P1650" t="s">
        <v>76</v>
      </c>
      <c r="Q1650" t="s">
        <v>76</v>
      </c>
      <c r="R1650" t="s">
        <v>76</v>
      </c>
      <c r="S1650" t="s">
        <v>76</v>
      </c>
      <c r="T1650" t="s">
        <v>76</v>
      </c>
      <c r="U1650">
        <v>1</v>
      </c>
      <c r="V1650" s="13">
        <v>45175</v>
      </c>
      <c r="W1650">
        <v>1</v>
      </c>
      <c r="X1650">
        <v>1</v>
      </c>
      <c r="Y1650" t="s">
        <v>3648</v>
      </c>
      <c r="AC1650">
        <v>5281</v>
      </c>
      <c r="AD1650" t="e" vm="1640">
        <v>#VALUE!</v>
      </c>
    </row>
    <row r="1651" spans="2:30" x14ac:dyDescent="0.25">
      <c r="B1651">
        <v>5282</v>
      </c>
      <c r="C1651" t="s">
        <v>3646</v>
      </c>
      <c r="D1651" t="s">
        <v>3647</v>
      </c>
      <c r="E1651" t="s">
        <v>3807</v>
      </c>
      <c r="F1651" t="s">
        <v>105</v>
      </c>
      <c r="G1651" t="s">
        <v>108</v>
      </c>
      <c r="H1651" t="s">
        <v>3808</v>
      </c>
      <c r="I1651" t="s">
        <v>3839</v>
      </c>
      <c r="J1651" t="s">
        <v>3864</v>
      </c>
      <c r="K1651" t="s">
        <v>239</v>
      </c>
      <c r="L1651" s="13">
        <v>39612</v>
      </c>
      <c r="M1651">
        <v>15</v>
      </c>
      <c r="N1651" t="s">
        <v>90</v>
      </c>
      <c r="O1651" t="s">
        <v>3891</v>
      </c>
      <c r="P1651" t="s">
        <v>76</v>
      </c>
      <c r="Q1651" t="s">
        <v>76</v>
      </c>
      <c r="R1651" t="s">
        <v>76</v>
      </c>
      <c r="S1651" t="s">
        <v>76</v>
      </c>
      <c r="T1651" t="s">
        <v>76</v>
      </c>
      <c r="U1651">
        <v>1</v>
      </c>
      <c r="V1651" s="13">
        <v>45175</v>
      </c>
      <c r="W1651">
        <v>1</v>
      </c>
      <c r="X1651">
        <v>1</v>
      </c>
      <c r="Y1651" t="s">
        <v>3648</v>
      </c>
      <c r="AC1651">
        <v>5282</v>
      </c>
      <c r="AD1651" t="e" vm="1641">
        <v>#VALUE!</v>
      </c>
    </row>
    <row r="1652" spans="2:30" x14ac:dyDescent="0.25">
      <c r="B1652">
        <v>5283</v>
      </c>
      <c r="C1652" t="s">
        <v>3684</v>
      </c>
      <c r="D1652" t="s">
        <v>3695</v>
      </c>
      <c r="E1652" t="s">
        <v>3838</v>
      </c>
      <c r="F1652" t="s">
        <v>97</v>
      </c>
      <c r="G1652" t="s">
        <v>102</v>
      </c>
      <c r="H1652" t="s">
        <v>3808</v>
      </c>
      <c r="I1652" t="s">
        <v>3839</v>
      </c>
      <c r="J1652" t="s">
        <v>3864</v>
      </c>
      <c r="K1652" t="s">
        <v>239</v>
      </c>
      <c r="L1652" s="13">
        <v>39617</v>
      </c>
      <c r="M1652">
        <v>15</v>
      </c>
      <c r="N1652" t="s">
        <v>101</v>
      </c>
      <c r="O1652" t="s">
        <v>3891</v>
      </c>
      <c r="P1652" t="s">
        <v>76</v>
      </c>
      <c r="Q1652" t="s">
        <v>76</v>
      </c>
      <c r="R1652" t="s">
        <v>76</v>
      </c>
      <c r="S1652" t="s">
        <v>76</v>
      </c>
      <c r="T1652" t="s">
        <v>76</v>
      </c>
      <c r="U1652">
        <v>1</v>
      </c>
      <c r="V1652" s="13">
        <v>45175</v>
      </c>
      <c r="W1652">
        <v>1</v>
      </c>
      <c r="X1652">
        <v>1</v>
      </c>
      <c r="Y1652" t="s">
        <v>3696</v>
      </c>
      <c r="AC1652">
        <v>5283</v>
      </c>
      <c r="AD1652" t="e" vm="1642">
        <v>#VALUE!</v>
      </c>
    </row>
    <row r="1653" spans="2:30" x14ac:dyDescent="0.25">
      <c r="B1653">
        <v>5284</v>
      </c>
      <c r="C1653" t="s">
        <v>3684</v>
      </c>
      <c r="D1653" t="s">
        <v>3695</v>
      </c>
      <c r="E1653" t="s">
        <v>3838</v>
      </c>
      <c r="F1653" t="s">
        <v>97</v>
      </c>
      <c r="G1653" t="s">
        <v>102</v>
      </c>
      <c r="H1653" t="s">
        <v>3808</v>
      </c>
      <c r="I1653" t="s">
        <v>3839</v>
      </c>
      <c r="J1653" t="s">
        <v>3864</v>
      </c>
      <c r="K1653" t="s">
        <v>239</v>
      </c>
      <c r="L1653" s="13">
        <v>39617</v>
      </c>
      <c r="M1653">
        <v>15</v>
      </c>
      <c r="N1653" t="s">
        <v>101</v>
      </c>
      <c r="O1653" t="s">
        <v>3891</v>
      </c>
      <c r="P1653" t="s">
        <v>76</v>
      </c>
      <c r="Q1653" t="s">
        <v>76</v>
      </c>
      <c r="R1653" t="s">
        <v>76</v>
      </c>
      <c r="S1653" t="s">
        <v>76</v>
      </c>
      <c r="T1653" t="s">
        <v>76</v>
      </c>
      <c r="U1653">
        <v>1</v>
      </c>
      <c r="V1653" s="13">
        <v>45175</v>
      </c>
      <c r="W1653">
        <v>1</v>
      </c>
      <c r="X1653">
        <v>1</v>
      </c>
      <c r="Y1653" t="s">
        <v>3696</v>
      </c>
      <c r="AC1653">
        <v>5284</v>
      </c>
      <c r="AD1653" t="e" vm="1643">
        <v>#VALUE!</v>
      </c>
    </row>
    <row r="1654" spans="2:30" x14ac:dyDescent="0.25">
      <c r="B1654">
        <v>5285</v>
      </c>
      <c r="C1654" t="s">
        <v>3684</v>
      </c>
      <c r="D1654" t="s">
        <v>3695</v>
      </c>
      <c r="E1654" t="s">
        <v>3838</v>
      </c>
      <c r="F1654" t="s">
        <v>97</v>
      </c>
      <c r="G1654" t="s">
        <v>102</v>
      </c>
      <c r="H1654" t="s">
        <v>3808</v>
      </c>
      <c r="I1654" t="s">
        <v>3839</v>
      </c>
      <c r="J1654" t="s">
        <v>3864</v>
      </c>
      <c r="K1654" t="s">
        <v>239</v>
      </c>
      <c r="L1654" s="13">
        <v>39618</v>
      </c>
      <c r="M1654">
        <v>15</v>
      </c>
      <c r="N1654" t="s">
        <v>101</v>
      </c>
      <c r="O1654" t="s">
        <v>3891</v>
      </c>
      <c r="P1654" t="s">
        <v>76</v>
      </c>
      <c r="Q1654" t="s">
        <v>76</v>
      </c>
      <c r="R1654" t="s">
        <v>76</v>
      </c>
      <c r="S1654" t="s">
        <v>76</v>
      </c>
      <c r="T1654" t="s">
        <v>76</v>
      </c>
      <c r="U1654">
        <v>1</v>
      </c>
      <c r="V1654" s="13">
        <v>45175</v>
      </c>
      <c r="W1654">
        <v>1</v>
      </c>
      <c r="X1654">
        <v>1</v>
      </c>
      <c r="Y1654" t="s">
        <v>3696</v>
      </c>
      <c r="AC1654">
        <v>5285</v>
      </c>
      <c r="AD1654" t="e" vm="1644">
        <v>#VALUE!</v>
      </c>
    </row>
    <row r="1655" spans="2:30" x14ac:dyDescent="0.25">
      <c r="B1655">
        <v>5286</v>
      </c>
      <c r="C1655" t="s">
        <v>3684</v>
      </c>
      <c r="D1655" t="s">
        <v>3695</v>
      </c>
      <c r="E1655" t="s">
        <v>3838</v>
      </c>
      <c r="F1655" t="s">
        <v>97</v>
      </c>
      <c r="G1655" t="s">
        <v>102</v>
      </c>
      <c r="H1655" t="s">
        <v>3808</v>
      </c>
      <c r="I1655" t="s">
        <v>3839</v>
      </c>
      <c r="J1655" t="s">
        <v>3864</v>
      </c>
      <c r="K1655" t="s">
        <v>239</v>
      </c>
      <c r="L1655" s="13">
        <v>39618</v>
      </c>
      <c r="M1655">
        <v>15</v>
      </c>
      <c r="N1655" t="s">
        <v>101</v>
      </c>
      <c r="O1655" t="s">
        <v>3891</v>
      </c>
      <c r="P1655" t="s">
        <v>76</v>
      </c>
      <c r="Q1655" t="s">
        <v>76</v>
      </c>
      <c r="R1655" t="s">
        <v>76</v>
      </c>
      <c r="S1655" t="s">
        <v>76</v>
      </c>
      <c r="T1655" t="s">
        <v>76</v>
      </c>
      <c r="U1655">
        <v>1</v>
      </c>
      <c r="V1655" s="13">
        <v>45175</v>
      </c>
      <c r="W1655">
        <v>1</v>
      </c>
      <c r="X1655">
        <v>1</v>
      </c>
      <c r="Y1655" t="s">
        <v>3696</v>
      </c>
      <c r="AC1655">
        <v>5286</v>
      </c>
      <c r="AD1655" t="e" vm="1645">
        <v>#VALUE!</v>
      </c>
    </row>
    <row r="1656" spans="2:30" x14ac:dyDescent="0.25">
      <c r="B1656">
        <v>5287</v>
      </c>
      <c r="C1656" t="s">
        <v>3684</v>
      </c>
      <c r="D1656" t="s">
        <v>3695</v>
      </c>
      <c r="E1656" t="s">
        <v>3838</v>
      </c>
      <c r="F1656" t="s">
        <v>97</v>
      </c>
      <c r="G1656" t="s">
        <v>102</v>
      </c>
      <c r="H1656" t="s">
        <v>3808</v>
      </c>
      <c r="I1656" t="s">
        <v>3839</v>
      </c>
      <c r="J1656" t="s">
        <v>3864</v>
      </c>
      <c r="K1656" t="s">
        <v>239</v>
      </c>
      <c r="L1656" s="13">
        <v>39619</v>
      </c>
      <c r="M1656">
        <v>15</v>
      </c>
      <c r="N1656" t="s">
        <v>101</v>
      </c>
      <c r="O1656" t="s">
        <v>3891</v>
      </c>
      <c r="P1656" t="s">
        <v>76</v>
      </c>
      <c r="Q1656" t="s">
        <v>76</v>
      </c>
      <c r="R1656" t="s">
        <v>76</v>
      </c>
      <c r="S1656" t="s">
        <v>76</v>
      </c>
      <c r="T1656" t="s">
        <v>76</v>
      </c>
      <c r="U1656">
        <v>1</v>
      </c>
      <c r="V1656" s="13">
        <v>45175</v>
      </c>
      <c r="W1656">
        <v>1</v>
      </c>
      <c r="X1656">
        <v>1</v>
      </c>
      <c r="Y1656" t="s">
        <v>3696</v>
      </c>
      <c r="AC1656">
        <v>5287</v>
      </c>
      <c r="AD1656" t="e" vm="1646">
        <v>#VALUE!</v>
      </c>
    </row>
    <row r="1657" spans="2:30" x14ac:dyDescent="0.25">
      <c r="B1657">
        <v>5288</v>
      </c>
      <c r="C1657" t="s">
        <v>3684</v>
      </c>
      <c r="D1657" t="s">
        <v>3695</v>
      </c>
      <c r="E1657" t="s">
        <v>3838</v>
      </c>
      <c r="F1657" t="s">
        <v>97</v>
      </c>
      <c r="G1657" t="s">
        <v>102</v>
      </c>
      <c r="H1657" t="s">
        <v>3808</v>
      </c>
      <c r="I1657" t="s">
        <v>3839</v>
      </c>
      <c r="J1657" t="s">
        <v>3864</v>
      </c>
      <c r="K1657" t="s">
        <v>239</v>
      </c>
      <c r="L1657" s="13">
        <v>39619</v>
      </c>
      <c r="M1657">
        <v>15</v>
      </c>
      <c r="N1657" t="s">
        <v>101</v>
      </c>
      <c r="O1657" t="s">
        <v>3891</v>
      </c>
      <c r="P1657" t="s">
        <v>76</v>
      </c>
      <c r="Q1657" t="s">
        <v>76</v>
      </c>
      <c r="R1657" t="s">
        <v>76</v>
      </c>
      <c r="S1657" t="s">
        <v>76</v>
      </c>
      <c r="T1657" t="s">
        <v>76</v>
      </c>
      <c r="U1657">
        <v>1</v>
      </c>
      <c r="V1657" s="13">
        <v>45175</v>
      </c>
      <c r="W1657">
        <v>1</v>
      </c>
      <c r="X1657">
        <v>1</v>
      </c>
      <c r="Y1657" t="s">
        <v>3696</v>
      </c>
      <c r="AC1657">
        <v>5288</v>
      </c>
      <c r="AD1657" t="e" vm="1647">
        <v>#VALUE!</v>
      </c>
    </row>
    <row r="1658" spans="2:30" x14ac:dyDescent="0.25">
      <c r="B1658">
        <v>5289</v>
      </c>
      <c r="C1658" t="s">
        <v>3684</v>
      </c>
      <c r="D1658" t="s">
        <v>3695</v>
      </c>
      <c r="E1658" t="s">
        <v>3838</v>
      </c>
      <c r="F1658" t="s">
        <v>97</v>
      </c>
      <c r="G1658" t="s">
        <v>102</v>
      </c>
      <c r="H1658" t="s">
        <v>3808</v>
      </c>
      <c r="I1658" t="s">
        <v>3839</v>
      </c>
      <c r="J1658" t="s">
        <v>3864</v>
      </c>
      <c r="K1658" t="s">
        <v>239</v>
      </c>
      <c r="L1658" s="13">
        <v>39626</v>
      </c>
      <c r="M1658">
        <v>15</v>
      </c>
      <c r="N1658" t="s">
        <v>101</v>
      </c>
      <c r="O1658" t="s">
        <v>3891</v>
      </c>
      <c r="P1658" t="s">
        <v>76</v>
      </c>
      <c r="Q1658" t="s">
        <v>76</v>
      </c>
      <c r="R1658" t="s">
        <v>76</v>
      </c>
      <c r="S1658" t="s">
        <v>76</v>
      </c>
      <c r="T1658" t="s">
        <v>76</v>
      </c>
      <c r="U1658">
        <v>1</v>
      </c>
      <c r="V1658" s="13">
        <v>45175</v>
      </c>
      <c r="W1658">
        <v>1</v>
      </c>
      <c r="X1658">
        <v>1</v>
      </c>
      <c r="Y1658" t="s">
        <v>3696</v>
      </c>
      <c r="AC1658">
        <v>5289</v>
      </c>
      <c r="AD1658" t="e" vm="1648">
        <v>#VALUE!</v>
      </c>
    </row>
    <row r="1659" spans="2:30" x14ac:dyDescent="0.25">
      <c r="B1659">
        <v>5290</v>
      </c>
      <c r="C1659" t="s">
        <v>3684</v>
      </c>
      <c r="D1659" t="s">
        <v>3695</v>
      </c>
      <c r="E1659" t="s">
        <v>3838</v>
      </c>
      <c r="F1659" t="s">
        <v>97</v>
      </c>
      <c r="G1659" t="s">
        <v>102</v>
      </c>
      <c r="H1659" t="s">
        <v>3808</v>
      </c>
      <c r="I1659" t="s">
        <v>3839</v>
      </c>
      <c r="J1659" t="s">
        <v>3864</v>
      </c>
      <c r="K1659" t="s">
        <v>239</v>
      </c>
      <c r="L1659" s="13">
        <v>39626</v>
      </c>
      <c r="M1659">
        <v>15</v>
      </c>
      <c r="N1659" t="s">
        <v>101</v>
      </c>
      <c r="O1659" t="s">
        <v>3891</v>
      </c>
      <c r="P1659" t="s">
        <v>76</v>
      </c>
      <c r="Q1659" t="s">
        <v>76</v>
      </c>
      <c r="R1659" t="s">
        <v>76</v>
      </c>
      <c r="S1659" t="s">
        <v>76</v>
      </c>
      <c r="T1659" t="s">
        <v>76</v>
      </c>
      <c r="U1659">
        <v>1</v>
      </c>
      <c r="V1659" s="13">
        <v>45175</v>
      </c>
      <c r="W1659">
        <v>1</v>
      </c>
      <c r="X1659">
        <v>1</v>
      </c>
      <c r="Y1659" t="s">
        <v>3696</v>
      </c>
      <c r="AC1659">
        <v>5290</v>
      </c>
      <c r="AD1659" t="e" vm="1649">
        <v>#VALUE!</v>
      </c>
    </row>
    <row r="1660" spans="2:30" x14ac:dyDescent="0.25">
      <c r="B1660">
        <v>5291</v>
      </c>
      <c r="C1660" t="s">
        <v>3684</v>
      </c>
      <c r="D1660" t="s">
        <v>3695</v>
      </c>
      <c r="E1660" t="s">
        <v>3838</v>
      </c>
      <c r="F1660" t="s">
        <v>97</v>
      </c>
      <c r="G1660" t="s">
        <v>102</v>
      </c>
      <c r="H1660" t="s">
        <v>3808</v>
      </c>
      <c r="I1660" t="s">
        <v>3839</v>
      </c>
      <c r="J1660" t="s">
        <v>3864</v>
      </c>
      <c r="K1660" t="s">
        <v>239</v>
      </c>
      <c r="L1660" s="13">
        <v>39626</v>
      </c>
      <c r="M1660">
        <v>15</v>
      </c>
      <c r="N1660" t="s">
        <v>101</v>
      </c>
      <c r="O1660" t="s">
        <v>3891</v>
      </c>
      <c r="P1660" t="s">
        <v>76</v>
      </c>
      <c r="Q1660" t="s">
        <v>76</v>
      </c>
      <c r="R1660" t="s">
        <v>76</v>
      </c>
      <c r="S1660" t="s">
        <v>76</v>
      </c>
      <c r="T1660" t="s">
        <v>76</v>
      </c>
      <c r="U1660">
        <v>1</v>
      </c>
      <c r="V1660" s="13">
        <v>45175</v>
      </c>
      <c r="W1660">
        <v>1</v>
      </c>
      <c r="X1660">
        <v>1</v>
      </c>
      <c r="Y1660" t="s">
        <v>3696</v>
      </c>
      <c r="AC1660">
        <v>5291</v>
      </c>
      <c r="AD1660" t="e" vm="1650">
        <v>#VALUE!</v>
      </c>
    </row>
    <row r="1661" spans="2:30" x14ac:dyDescent="0.25">
      <c r="B1661">
        <v>5292</v>
      </c>
      <c r="C1661" t="s">
        <v>3684</v>
      </c>
      <c r="D1661" t="s">
        <v>3695</v>
      </c>
      <c r="E1661" t="s">
        <v>3838</v>
      </c>
      <c r="F1661" t="s">
        <v>97</v>
      </c>
      <c r="G1661" t="s">
        <v>102</v>
      </c>
      <c r="H1661" t="s">
        <v>3808</v>
      </c>
      <c r="I1661" t="s">
        <v>3839</v>
      </c>
      <c r="J1661" t="s">
        <v>3864</v>
      </c>
      <c r="K1661" t="s">
        <v>239</v>
      </c>
      <c r="L1661" s="13">
        <v>39626</v>
      </c>
      <c r="M1661">
        <v>15</v>
      </c>
      <c r="N1661" t="s">
        <v>101</v>
      </c>
      <c r="O1661" t="s">
        <v>3891</v>
      </c>
      <c r="P1661" t="s">
        <v>76</v>
      </c>
      <c r="Q1661" t="s">
        <v>76</v>
      </c>
      <c r="R1661" t="s">
        <v>76</v>
      </c>
      <c r="S1661" t="s">
        <v>76</v>
      </c>
      <c r="T1661" t="s">
        <v>76</v>
      </c>
      <c r="U1661">
        <v>1</v>
      </c>
      <c r="V1661" s="13">
        <v>45175</v>
      </c>
      <c r="W1661">
        <v>1</v>
      </c>
      <c r="X1661">
        <v>1</v>
      </c>
      <c r="Y1661" t="s">
        <v>3696</v>
      </c>
      <c r="AC1661">
        <v>5292</v>
      </c>
      <c r="AD1661" t="e" vm="1651">
        <v>#VALUE!</v>
      </c>
    </row>
    <row r="1662" spans="2:30" x14ac:dyDescent="0.25">
      <c r="B1662">
        <v>5293</v>
      </c>
      <c r="C1662" t="s">
        <v>3684</v>
      </c>
      <c r="D1662" t="s">
        <v>3695</v>
      </c>
      <c r="E1662" t="s">
        <v>3838</v>
      </c>
      <c r="F1662" t="s">
        <v>97</v>
      </c>
      <c r="G1662" t="s">
        <v>102</v>
      </c>
      <c r="H1662" t="s">
        <v>3808</v>
      </c>
      <c r="I1662" t="s">
        <v>3839</v>
      </c>
      <c r="J1662" t="s">
        <v>3864</v>
      </c>
      <c r="K1662" t="s">
        <v>239</v>
      </c>
      <c r="L1662" s="13">
        <v>39632</v>
      </c>
      <c r="M1662">
        <v>15</v>
      </c>
      <c r="N1662" t="s">
        <v>101</v>
      </c>
      <c r="O1662" t="s">
        <v>3891</v>
      </c>
      <c r="P1662" t="s">
        <v>76</v>
      </c>
      <c r="Q1662" t="s">
        <v>76</v>
      </c>
      <c r="R1662" t="s">
        <v>76</v>
      </c>
      <c r="S1662" t="s">
        <v>76</v>
      </c>
      <c r="T1662" t="s">
        <v>76</v>
      </c>
      <c r="U1662">
        <v>1</v>
      </c>
      <c r="V1662" s="13">
        <v>45175</v>
      </c>
      <c r="W1662">
        <v>1</v>
      </c>
      <c r="X1662">
        <v>1</v>
      </c>
      <c r="Y1662" t="s">
        <v>3696</v>
      </c>
      <c r="AC1662">
        <v>5293</v>
      </c>
      <c r="AD1662" t="e" vm="1652">
        <v>#VALUE!</v>
      </c>
    </row>
    <row r="1663" spans="2:30" x14ac:dyDescent="0.25">
      <c r="B1663">
        <v>5294</v>
      </c>
      <c r="C1663" t="s">
        <v>3684</v>
      </c>
      <c r="D1663" t="s">
        <v>3695</v>
      </c>
      <c r="E1663" t="s">
        <v>3838</v>
      </c>
      <c r="F1663" t="s">
        <v>97</v>
      </c>
      <c r="G1663" t="s">
        <v>102</v>
      </c>
      <c r="H1663" t="s">
        <v>3808</v>
      </c>
      <c r="I1663" t="s">
        <v>3839</v>
      </c>
      <c r="J1663" t="s">
        <v>3864</v>
      </c>
      <c r="K1663" t="s">
        <v>239</v>
      </c>
      <c r="L1663" s="13">
        <v>39632</v>
      </c>
      <c r="M1663">
        <v>15</v>
      </c>
      <c r="N1663" t="s">
        <v>101</v>
      </c>
      <c r="O1663" t="s">
        <v>3891</v>
      </c>
      <c r="P1663" t="s">
        <v>76</v>
      </c>
      <c r="Q1663" t="s">
        <v>76</v>
      </c>
      <c r="R1663" t="s">
        <v>76</v>
      </c>
      <c r="S1663" t="s">
        <v>76</v>
      </c>
      <c r="T1663" t="s">
        <v>76</v>
      </c>
      <c r="U1663">
        <v>1</v>
      </c>
      <c r="V1663" s="13">
        <v>45175</v>
      </c>
      <c r="W1663">
        <v>1</v>
      </c>
      <c r="X1663">
        <v>1</v>
      </c>
      <c r="Y1663" t="s">
        <v>3696</v>
      </c>
      <c r="AC1663">
        <v>5294</v>
      </c>
      <c r="AD1663" t="e" vm="1653">
        <v>#VALUE!</v>
      </c>
    </row>
    <row r="1664" spans="2:30" x14ac:dyDescent="0.25">
      <c r="B1664">
        <v>5295</v>
      </c>
      <c r="C1664" t="s">
        <v>3684</v>
      </c>
      <c r="D1664" t="s">
        <v>3695</v>
      </c>
      <c r="E1664" t="s">
        <v>3838</v>
      </c>
      <c r="F1664" t="s">
        <v>97</v>
      </c>
      <c r="G1664" t="s">
        <v>102</v>
      </c>
      <c r="H1664" t="s">
        <v>3808</v>
      </c>
      <c r="I1664" t="s">
        <v>3839</v>
      </c>
      <c r="J1664" t="s">
        <v>3864</v>
      </c>
      <c r="K1664" t="s">
        <v>239</v>
      </c>
      <c r="L1664" s="13">
        <v>39632</v>
      </c>
      <c r="M1664">
        <v>15</v>
      </c>
      <c r="N1664" t="s">
        <v>101</v>
      </c>
      <c r="O1664" t="s">
        <v>3891</v>
      </c>
      <c r="P1664" t="s">
        <v>76</v>
      </c>
      <c r="Q1664" t="s">
        <v>76</v>
      </c>
      <c r="R1664" t="s">
        <v>76</v>
      </c>
      <c r="S1664" t="s">
        <v>76</v>
      </c>
      <c r="T1664" t="s">
        <v>76</v>
      </c>
      <c r="U1664">
        <v>1</v>
      </c>
      <c r="V1664" s="13">
        <v>45175</v>
      </c>
      <c r="W1664">
        <v>1</v>
      </c>
      <c r="X1664">
        <v>1</v>
      </c>
      <c r="Y1664" t="s">
        <v>3696</v>
      </c>
      <c r="AC1664">
        <v>5295</v>
      </c>
      <c r="AD1664" t="e" vm="1654">
        <v>#VALUE!</v>
      </c>
    </row>
    <row r="1665" spans="2:30" x14ac:dyDescent="0.25">
      <c r="B1665">
        <v>5296</v>
      </c>
      <c r="C1665" t="s">
        <v>3684</v>
      </c>
      <c r="D1665" t="s">
        <v>3695</v>
      </c>
      <c r="E1665" t="s">
        <v>3838</v>
      </c>
      <c r="F1665" t="s">
        <v>97</v>
      </c>
      <c r="G1665" t="s">
        <v>102</v>
      </c>
      <c r="H1665" t="s">
        <v>3808</v>
      </c>
      <c r="I1665" t="s">
        <v>3839</v>
      </c>
      <c r="J1665" t="s">
        <v>3864</v>
      </c>
      <c r="K1665" t="s">
        <v>239</v>
      </c>
      <c r="L1665" s="13">
        <v>39632</v>
      </c>
      <c r="M1665">
        <v>15</v>
      </c>
      <c r="N1665" t="s">
        <v>101</v>
      </c>
      <c r="O1665" t="s">
        <v>3891</v>
      </c>
      <c r="P1665" t="s">
        <v>76</v>
      </c>
      <c r="Q1665" t="s">
        <v>76</v>
      </c>
      <c r="R1665" t="s">
        <v>76</v>
      </c>
      <c r="S1665" t="s">
        <v>76</v>
      </c>
      <c r="T1665" t="s">
        <v>76</v>
      </c>
      <c r="U1665">
        <v>1</v>
      </c>
      <c r="V1665" s="13">
        <v>45175</v>
      </c>
      <c r="W1665">
        <v>1</v>
      </c>
      <c r="X1665">
        <v>1</v>
      </c>
      <c r="Y1665" t="s">
        <v>3696</v>
      </c>
      <c r="AC1665">
        <v>5296</v>
      </c>
      <c r="AD1665" t="e" vm="1655">
        <v>#VALUE!</v>
      </c>
    </row>
    <row r="1666" spans="2:30" x14ac:dyDescent="0.25">
      <c r="B1666">
        <v>5297</v>
      </c>
      <c r="C1666" t="s">
        <v>3684</v>
      </c>
      <c r="D1666" t="s">
        <v>3695</v>
      </c>
      <c r="E1666" t="s">
        <v>3838</v>
      </c>
      <c r="F1666" t="s">
        <v>97</v>
      </c>
      <c r="G1666" t="s">
        <v>102</v>
      </c>
      <c r="H1666" t="s">
        <v>3808</v>
      </c>
      <c r="I1666" t="s">
        <v>3839</v>
      </c>
      <c r="J1666" t="s">
        <v>3864</v>
      </c>
      <c r="K1666" t="s">
        <v>239</v>
      </c>
      <c r="L1666" s="13">
        <v>39638</v>
      </c>
      <c r="M1666">
        <v>15</v>
      </c>
      <c r="N1666" t="s">
        <v>101</v>
      </c>
      <c r="O1666" t="s">
        <v>3891</v>
      </c>
      <c r="P1666" t="s">
        <v>76</v>
      </c>
      <c r="Q1666" t="s">
        <v>76</v>
      </c>
      <c r="R1666" t="s">
        <v>76</v>
      </c>
      <c r="S1666" t="s">
        <v>76</v>
      </c>
      <c r="T1666" t="s">
        <v>76</v>
      </c>
      <c r="U1666">
        <v>1</v>
      </c>
      <c r="V1666" s="13">
        <v>45175</v>
      </c>
      <c r="W1666">
        <v>1</v>
      </c>
      <c r="X1666">
        <v>1</v>
      </c>
      <c r="Y1666" t="s">
        <v>3696</v>
      </c>
      <c r="AC1666">
        <v>5297</v>
      </c>
      <c r="AD1666" t="e" vm="1656">
        <v>#VALUE!</v>
      </c>
    </row>
    <row r="1667" spans="2:30" x14ac:dyDescent="0.25">
      <c r="B1667">
        <v>5298</v>
      </c>
      <c r="C1667" t="s">
        <v>3684</v>
      </c>
      <c r="D1667" t="s">
        <v>3695</v>
      </c>
      <c r="E1667" t="s">
        <v>3838</v>
      </c>
      <c r="F1667" t="s">
        <v>97</v>
      </c>
      <c r="G1667" t="s">
        <v>102</v>
      </c>
      <c r="H1667" t="s">
        <v>3808</v>
      </c>
      <c r="I1667" t="s">
        <v>3839</v>
      </c>
      <c r="J1667" t="s">
        <v>3864</v>
      </c>
      <c r="K1667" t="s">
        <v>239</v>
      </c>
      <c r="L1667" s="13">
        <v>39638</v>
      </c>
      <c r="M1667">
        <v>15</v>
      </c>
      <c r="N1667" t="s">
        <v>101</v>
      </c>
      <c r="O1667" t="s">
        <v>3891</v>
      </c>
      <c r="P1667" t="s">
        <v>76</v>
      </c>
      <c r="Q1667" t="s">
        <v>76</v>
      </c>
      <c r="R1667" t="s">
        <v>76</v>
      </c>
      <c r="S1667" t="s">
        <v>76</v>
      </c>
      <c r="T1667" t="s">
        <v>76</v>
      </c>
      <c r="U1667">
        <v>1</v>
      </c>
      <c r="V1667" s="13">
        <v>45175</v>
      </c>
      <c r="W1667">
        <v>1</v>
      </c>
      <c r="X1667">
        <v>1</v>
      </c>
      <c r="Y1667" t="s">
        <v>3696</v>
      </c>
      <c r="AC1667">
        <v>5298</v>
      </c>
      <c r="AD1667" t="e" vm="1657">
        <v>#VALUE!</v>
      </c>
    </row>
    <row r="1668" spans="2:30" x14ac:dyDescent="0.25">
      <c r="B1668">
        <v>5299</v>
      </c>
      <c r="C1668" t="s">
        <v>3659</v>
      </c>
      <c r="D1668" t="s">
        <v>3722</v>
      </c>
      <c r="E1668" t="s">
        <v>3861</v>
      </c>
      <c r="F1668" t="s">
        <v>105</v>
      </c>
      <c r="G1668" t="s">
        <v>94</v>
      </c>
      <c r="H1668" t="s">
        <v>3808</v>
      </c>
      <c r="I1668" t="s">
        <v>3839</v>
      </c>
      <c r="J1668" t="s">
        <v>3864</v>
      </c>
      <c r="K1668" t="s">
        <v>239</v>
      </c>
      <c r="L1668" s="13">
        <v>39646</v>
      </c>
      <c r="M1668">
        <v>15</v>
      </c>
      <c r="N1668" t="s">
        <v>88</v>
      </c>
      <c r="O1668" t="s">
        <v>3891</v>
      </c>
      <c r="P1668" t="s">
        <v>76</v>
      </c>
      <c r="Q1668" t="s">
        <v>76</v>
      </c>
      <c r="R1668" t="s">
        <v>76</v>
      </c>
      <c r="S1668" t="s">
        <v>76</v>
      </c>
      <c r="T1668" t="s">
        <v>76</v>
      </c>
      <c r="U1668">
        <v>1</v>
      </c>
      <c r="V1668" s="13">
        <v>45175</v>
      </c>
      <c r="W1668">
        <v>1</v>
      </c>
      <c r="X1668">
        <v>1</v>
      </c>
      <c r="Y1668" t="s">
        <v>3723</v>
      </c>
      <c r="AC1668">
        <v>5299</v>
      </c>
      <c r="AD1668" t="e" vm="1658">
        <v>#VALUE!</v>
      </c>
    </row>
    <row r="1669" spans="2:30" x14ac:dyDescent="0.25">
      <c r="B1669">
        <v>5300</v>
      </c>
      <c r="C1669" t="s">
        <v>3659</v>
      </c>
      <c r="D1669" t="s">
        <v>3722</v>
      </c>
      <c r="E1669" t="s">
        <v>3861</v>
      </c>
      <c r="F1669" t="s">
        <v>105</v>
      </c>
      <c r="G1669" t="s">
        <v>94</v>
      </c>
      <c r="H1669" t="s">
        <v>3808</v>
      </c>
      <c r="I1669" t="s">
        <v>3839</v>
      </c>
      <c r="J1669" t="s">
        <v>3864</v>
      </c>
      <c r="K1669" t="s">
        <v>239</v>
      </c>
      <c r="L1669" s="13">
        <v>39646</v>
      </c>
      <c r="M1669">
        <v>15</v>
      </c>
      <c r="N1669" t="s">
        <v>88</v>
      </c>
      <c r="O1669" t="s">
        <v>3891</v>
      </c>
      <c r="P1669" t="s">
        <v>76</v>
      </c>
      <c r="Q1669" t="s">
        <v>76</v>
      </c>
      <c r="R1669" t="s">
        <v>76</v>
      </c>
      <c r="S1669" t="s">
        <v>76</v>
      </c>
      <c r="T1669" t="s">
        <v>76</v>
      </c>
      <c r="U1669">
        <v>1</v>
      </c>
      <c r="V1669" s="13">
        <v>45175</v>
      </c>
      <c r="W1669">
        <v>1</v>
      </c>
      <c r="X1669">
        <v>1</v>
      </c>
      <c r="Y1669" t="s">
        <v>3723</v>
      </c>
      <c r="AC1669">
        <v>5300</v>
      </c>
      <c r="AD1669" t="e" vm="1659">
        <v>#VALUE!</v>
      </c>
    </row>
    <row r="1670" spans="2:30" x14ac:dyDescent="0.25">
      <c r="B1670">
        <v>5301</v>
      </c>
      <c r="C1670" t="s">
        <v>3659</v>
      </c>
      <c r="D1670" t="s">
        <v>3722</v>
      </c>
      <c r="E1670" t="s">
        <v>3861</v>
      </c>
      <c r="F1670" t="s">
        <v>105</v>
      </c>
      <c r="G1670" t="s">
        <v>94</v>
      </c>
      <c r="H1670" t="s">
        <v>3808</v>
      </c>
      <c r="I1670" t="s">
        <v>3839</v>
      </c>
      <c r="J1670" t="s">
        <v>3864</v>
      </c>
      <c r="K1670" t="s">
        <v>239</v>
      </c>
      <c r="L1670" s="13">
        <v>39646</v>
      </c>
      <c r="M1670">
        <v>15</v>
      </c>
      <c r="N1670" t="s">
        <v>88</v>
      </c>
      <c r="O1670" t="s">
        <v>3891</v>
      </c>
      <c r="P1670" t="s">
        <v>76</v>
      </c>
      <c r="Q1670" t="s">
        <v>76</v>
      </c>
      <c r="R1670" t="s">
        <v>76</v>
      </c>
      <c r="S1670" t="s">
        <v>76</v>
      </c>
      <c r="T1670" t="s">
        <v>76</v>
      </c>
      <c r="U1670">
        <v>1</v>
      </c>
      <c r="V1670" s="13">
        <v>45175</v>
      </c>
      <c r="W1670">
        <v>1</v>
      </c>
      <c r="X1670">
        <v>1</v>
      </c>
      <c r="Y1670" t="s">
        <v>3723</v>
      </c>
      <c r="AC1670">
        <v>5301</v>
      </c>
      <c r="AD1670" t="e" vm="1660">
        <v>#VALUE!</v>
      </c>
    </row>
    <row r="1671" spans="2:30" x14ac:dyDescent="0.25">
      <c r="B1671">
        <v>5302</v>
      </c>
      <c r="C1671" t="s">
        <v>3659</v>
      </c>
      <c r="D1671" t="s">
        <v>3722</v>
      </c>
      <c r="E1671" t="s">
        <v>3861</v>
      </c>
      <c r="F1671" t="s">
        <v>105</v>
      </c>
      <c r="G1671" t="s">
        <v>94</v>
      </c>
      <c r="H1671" t="s">
        <v>3808</v>
      </c>
      <c r="I1671" t="s">
        <v>3839</v>
      </c>
      <c r="J1671" t="s">
        <v>3864</v>
      </c>
      <c r="K1671" t="s">
        <v>239</v>
      </c>
      <c r="L1671" s="13">
        <v>39646</v>
      </c>
      <c r="M1671">
        <v>15</v>
      </c>
      <c r="N1671" t="s">
        <v>88</v>
      </c>
      <c r="O1671" t="s">
        <v>3891</v>
      </c>
      <c r="P1671" t="s">
        <v>76</v>
      </c>
      <c r="Q1671" t="s">
        <v>76</v>
      </c>
      <c r="R1671" t="s">
        <v>76</v>
      </c>
      <c r="S1671" t="s">
        <v>76</v>
      </c>
      <c r="T1671" t="s">
        <v>76</v>
      </c>
      <c r="U1671">
        <v>1</v>
      </c>
      <c r="V1671" s="13">
        <v>45175</v>
      </c>
      <c r="W1671">
        <v>1</v>
      </c>
      <c r="X1671">
        <v>1</v>
      </c>
      <c r="Y1671" t="s">
        <v>3723</v>
      </c>
      <c r="AC1671">
        <v>5302</v>
      </c>
      <c r="AD1671" t="e" vm="1661">
        <v>#VALUE!</v>
      </c>
    </row>
    <row r="1672" spans="2:30" x14ac:dyDescent="0.25">
      <c r="B1672">
        <v>5303</v>
      </c>
      <c r="C1672" t="s">
        <v>3659</v>
      </c>
      <c r="D1672" t="s">
        <v>3722</v>
      </c>
      <c r="E1672" t="s">
        <v>3861</v>
      </c>
      <c r="F1672" t="s">
        <v>105</v>
      </c>
      <c r="G1672" t="s">
        <v>94</v>
      </c>
      <c r="H1672" t="s">
        <v>3808</v>
      </c>
      <c r="I1672" t="s">
        <v>3839</v>
      </c>
      <c r="J1672" t="s">
        <v>3864</v>
      </c>
      <c r="K1672" t="s">
        <v>239</v>
      </c>
      <c r="L1672" s="13">
        <v>39653</v>
      </c>
      <c r="M1672">
        <v>15</v>
      </c>
      <c r="N1672" t="s">
        <v>88</v>
      </c>
      <c r="O1672" t="s">
        <v>3891</v>
      </c>
      <c r="P1672" t="s">
        <v>76</v>
      </c>
      <c r="Q1672" t="s">
        <v>76</v>
      </c>
      <c r="R1672" t="s">
        <v>76</v>
      </c>
      <c r="S1672" t="s">
        <v>76</v>
      </c>
      <c r="T1672" t="s">
        <v>76</v>
      </c>
      <c r="U1672">
        <v>1</v>
      </c>
      <c r="V1672" s="13">
        <v>45175</v>
      </c>
      <c r="W1672">
        <v>1</v>
      </c>
      <c r="X1672">
        <v>1</v>
      </c>
      <c r="Y1672" t="s">
        <v>3723</v>
      </c>
      <c r="AC1672">
        <v>5303</v>
      </c>
      <c r="AD1672" t="e" vm="1662">
        <v>#VALUE!</v>
      </c>
    </row>
    <row r="1673" spans="2:30" x14ac:dyDescent="0.25">
      <c r="B1673">
        <v>5304</v>
      </c>
      <c r="C1673" t="s">
        <v>3659</v>
      </c>
      <c r="D1673" t="s">
        <v>3722</v>
      </c>
      <c r="E1673" t="s">
        <v>3861</v>
      </c>
      <c r="F1673" t="s">
        <v>105</v>
      </c>
      <c r="G1673" t="s">
        <v>94</v>
      </c>
      <c r="H1673" t="s">
        <v>3808</v>
      </c>
      <c r="I1673" t="s">
        <v>3839</v>
      </c>
      <c r="J1673" t="s">
        <v>3864</v>
      </c>
      <c r="K1673" t="s">
        <v>239</v>
      </c>
      <c r="L1673" s="13">
        <v>39653</v>
      </c>
      <c r="M1673">
        <v>15</v>
      </c>
      <c r="N1673" t="s">
        <v>88</v>
      </c>
      <c r="O1673" t="s">
        <v>3891</v>
      </c>
      <c r="P1673" t="s">
        <v>76</v>
      </c>
      <c r="Q1673" t="s">
        <v>76</v>
      </c>
      <c r="R1673" t="s">
        <v>76</v>
      </c>
      <c r="S1673" t="s">
        <v>76</v>
      </c>
      <c r="T1673" t="s">
        <v>76</v>
      </c>
      <c r="U1673">
        <v>1</v>
      </c>
      <c r="V1673" s="13">
        <v>45175</v>
      </c>
      <c r="W1673">
        <v>1</v>
      </c>
      <c r="X1673">
        <v>1</v>
      </c>
      <c r="Y1673" t="s">
        <v>3723</v>
      </c>
      <c r="AC1673">
        <v>5304</v>
      </c>
      <c r="AD1673" t="e" vm="1663">
        <v>#VALUE!</v>
      </c>
    </row>
    <row r="1674" spans="2:30" x14ac:dyDescent="0.25">
      <c r="B1674">
        <v>5305</v>
      </c>
      <c r="C1674" t="s">
        <v>3659</v>
      </c>
      <c r="D1674" t="s">
        <v>3722</v>
      </c>
      <c r="E1674" t="s">
        <v>3861</v>
      </c>
      <c r="F1674" t="s">
        <v>105</v>
      </c>
      <c r="G1674" t="s">
        <v>94</v>
      </c>
      <c r="H1674" t="s">
        <v>3808</v>
      </c>
      <c r="I1674" t="s">
        <v>3839</v>
      </c>
      <c r="J1674" t="s">
        <v>3864</v>
      </c>
      <c r="K1674" t="s">
        <v>239</v>
      </c>
      <c r="L1674" s="13">
        <v>39692</v>
      </c>
      <c r="M1674">
        <v>15</v>
      </c>
      <c r="N1674" t="s">
        <v>88</v>
      </c>
      <c r="O1674" t="s">
        <v>3891</v>
      </c>
      <c r="P1674" t="s">
        <v>76</v>
      </c>
      <c r="Q1674" t="s">
        <v>76</v>
      </c>
      <c r="R1674" t="s">
        <v>76</v>
      </c>
      <c r="S1674" t="s">
        <v>76</v>
      </c>
      <c r="T1674" t="s">
        <v>76</v>
      </c>
      <c r="U1674">
        <v>1</v>
      </c>
      <c r="V1674" s="13">
        <v>45175</v>
      </c>
      <c r="W1674">
        <v>1</v>
      </c>
      <c r="X1674">
        <v>1</v>
      </c>
      <c r="Y1674" t="s">
        <v>3723</v>
      </c>
      <c r="AC1674">
        <v>5305</v>
      </c>
      <c r="AD1674" t="e" vm="1664">
        <v>#VALUE!</v>
      </c>
    </row>
    <row r="1675" spans="2:30" x14ac:dyDescent="0.25">
      <c r="B1675">
        <v>5306</v>
      </c>
      <c r="C1675" t="s">
        <v>3659</v>
      </c>
      <c r="D1675" t="s">
        <v>3722</v>
      </c>
      <c r="E1675" t="s">
        <v>3861</v>
      </c>
      <c r="F1675" t="s">
        <v>105</v>
      </c>
      <c r="G1675" t="s">
        <v>94</v>
      </c>
      <c r="H1675" t="s">
        <v>3808</v>
      </c>
      <c r="I1675" t="s">
        <v>3839</v>
      </c>
      <c r="J1675" t="s">
        <v>3864</v>
      </c>
      <c r="K1675" t="s">
        <v>239</v>
      </c>
      <c r="L1675" s="13">
        <v>39692</v>
      </c>
      <c r="M1675">
        <v>15</v>
      </c>
      <c r="N1675" t="s">
        <v>88</v>
      </c>
      <c r="O1675" t="s">
        <v>3891</v>
      </c>
      <c r="P1675" t="s">
        <v>76</v>
      </c>
      <c r="Q1675" t="s">
        <v>76</v>
      </c>
      <c r="R1675" t="s">
        <v>76</v>
      </c>
      <c r="S1675" t="s">
        <v>76</v>
      </c>
      <c r="T1675" t="s">
        <v>76</v>
      </c>
      <c r="U1675">
        <v>1</v>
      </c>
      <c r="V1675" s="13">
        <v>45175</v>
      </c>
      <c r="W1675">
        <v>1</v>
      </c>
      <c r="X1675">
        <v>1</v>
      </c>
      <c r="Y1675" t="s">
        <v>3723</v>
      </c>
      <c r="AC1675">
        <v>5306</v>
      </c>
      <c r="AD1675" t="e" vm="1665">
        <v>#VALUE!</v>
      </c>
    </row>
    <row r="1676" spans="2:30" x14ac:dyDescent="0.25">
      <c r="B1676">
        <v>5309</v>
      </c>
      <c r="C1676" t="s">
        <v>3659</v>
      </c>
      <c r="D1676" t="s">
        <v>3660</v>
      </c>
      <c r="E1676" t="s">
        <v>3813</v>
      </c>
      <c r="F1676" t="s">
        <v>83</v>
      </c>
      <c r="G1676" t="s">
        <v>103</v>
      </c>
      <c r="H1676" t="s">
        <v>3808</v>
      </c>
      <c r="I1676" t="s">
        <v>3809</v>
      </c>
      <c r="J1676" t="s">
        <v>3810</v>
      </c>
      <c r="K1676" t="s">
        <v>239</v>
      </c>
      <c r="L1676" s="13">
        <v>40221</v>
      </c>
      <c r="M1676">
        <v>14</v>
      </c>
      <c r="N1676" t="s">
        <v>88</v>
      </c>
      <c r="O1676" t="s">
        <v>3892</v>
      </c>
      <c r="P1676" t="s">
        <v>76</v>
      </c>
      <c r="Q1676" t="s">
        <v>76</v>
      </c>
      <c r="R1676" t="s">
        <v>76</v>
      </c>
      <c r="S1676" t="s">
        <v>76</v>
      </c>
      <c r="T1676" t="s">
        <v>76</v>
      </c>
      <c r="U1676">
        <v>1</v>
      </c>
      <c r="V1676" s="13">
        <v>45175</v>
      </c>
      <c r="W1676">
        <v>1</v>
      </c>
      <c r="X1676">
        <v>1</v>
      </c>
      <c r="Y1676" t="s">
        <v>3661</v>
      </c>
      <c r="AC1676">
        <v>5309</v>
      </c>
      <c r="AD1676" t="e" vm="1666">
        <v>#VALUE!</v>
      </c>
    </row>
    <row r="1677" spans="2:30" x14ac:dyDescent="0.25">
      <c r="B1677">
        <v>5310</v>
      </c>
      <c r="C1677" t="s">
        <v>3659</v>
      </c>
      <c r="D1677" t="s">
        <v>3660</v>
      </c>
      <c r="E1677" t="s">
        <v>3813</v>
      </c>
      <c r="F1677" t="s">
        <v>83</v>
      </c>
      <c r="G1677" t="s">
        <v>103</v>
      </c>
      <c r="H1677" t="s">
        <v>3808</v>
      </c>
      <c r="I1677" t="s">
        <v>3809</v>
      </c>
      <c r="J1677" t="s">
        <v>3810</v>
      </c>
      <c r="K1677" t="s">
        <v>239</v>
      </c>
      <c r="L1677" s="13">
        <v>40221</v>
      </c>
      <c r="M1677">
        <v>14</v>
      </c>
      <c r="N1677" t="s">
        <v>88</v>
      </c>
      <c r="O1677" t="s">
        <v>3892</v>
      </c>
      <c r="P1677" t="s">
        <v>76</v>
      </c>
      <c r="Q1677" t="s">
        <v>76</v>
      </c>
      <c r="R1677" t="s">
        <v>76</v>
      </c>
      <c r="S1677" t="s">
        <v>76</v>
      </c>
      <c r="T1677" t="s">
        <v>76</v>
      </c>
      <c r="U1677">
        <v>1</v>
      </c>
      <c r="V1677" s="13">
        <v>45175</v>
      </c>
      <c r="W1677">
        <v>1</v>
      </c>
      <c r="X1677">
        <v>1</v>
      </c>
      <c r="Y1677" t="s">
        <v>3661</v>
      </c>
      <c r="AC1677">
        <v>5310</v>
      </c>
      <c r="AD1677" t="e" vm="1667">
        <v>#VALUE!</v>
      </c>
    </row>
    <row r="1678" spans="2:30" x14ac:dyDescent="0.25">
      <c r="B1678">
        <v>5311</v>
      </c>
      <c r="C1678" t="s">
        <v>3659</v>
      </c>
      <c r="D1678" t="s">
        <v>3660</v>
      </c>
      <c r="E1678" t="s">
        <v>3813</v>
      </c>
      <c r="F1678" t="s">
        <v>83</v>
      </c>
      <c r="G1678" t="s">
        <v>103</v>
      </c>
      <c r="H1678" t="s">
        <v>3808</v>
      </c>
      <c r="I1678" t="s">
        <v>3809</v>
      </c>
      <c r="J1678" t="s">
        <v>3810</v>
      </c>
      <c r="K1678" t="s">
        <v>239</v>
      </c>
      <c r="L1678" s="13">
        <v>40224</v>
      </c>
      <c r="M1678">
        <v>14</v>
      </c>
      <c r="N1678" t="s">
        <v>88</v>
      </c>
      <c r="O1678" t="s">
        <v>3892</v>
      </c>
      <c r="P1678" t="s">
        <v>76</v>
      </c>
      <c r="Q1678" t="s">
        <v>76</v>
      </c>
      <c r="R1678" t="s">
        <v>76</v>
      </c>
      <c r="S1678" t="s">
        <v>76</v>
      </c>
      <c r="T1678" t="s">
        <v>76</v>
      </c>
      <c r="U1678">
        <v>1</v>
      </c>
      <c r="V1678" s="13">
        <v>45175</v>
      </c>
      <c r="W1678">
        <v>1</v>
      </c>
      <c r="X1678">
        <v>1</v>
      </c>
      <c r="Y1678" t="s">
        <v>3661</v>
      </c>
      <c r="AC1678">
        <v>5311</v>
      </c>
      <c r="AD1678" t="e" vm="1668">
        <v>#VALUE!</v>
      </c>
    </row>
    <row r="1679" spans="2:30" x14ac:dyDescent="0.25">
      <c r="B1679">
        <v>5312</v>
      </c>
      <c r="C1679" t="s">
        <v>3659</v>
      </c>
      <c r="D1679" t="s">
        <v>3660</v>
      </c>
      <c r="E1679" t="s">
        <v>3813</v>
      </c>
      <c r="F1679" t="s">
        <v>83</v>
      </c>
      <c r="G1679" t="s">
        <v>103</v>
      </c>
      <c r="H1679" t="s">
        <v>3808</v>
      </c>
      <c r="I1679" t="s">
        <v>3809</v>
      </c>
      <c r="J1679" t="s">
        <v>3810</v>
      </c>
      <c r="K1679" t="s">
        <v>239</v>
      </c>
      <c r="L1679" s="13">
        <v>40235</v>
      </c>
      <c r="M1679">
        <v>14</v>
      </c>
      <c r="N1679" t="s">
        <v>88</v>
      </c>
      <c r="O1679" t="s">
        <v>3892</v>
      </c>
      <c r="P1679" t="s">
        <v>76</v>
      </c>
      <c r="Q1679" t="s">
        <v>76</v>
      </c>
      <c r="R1679" t="s">
        <v>76</v>
      </c>
      <c r="S1679" t="s">
        <v>76</v>
      </c>
      <c r="T1679" t="s">
        <v>76</v>
      </c>
      <c r="U1679">
        <v>1</v>
      </c>
      <c r="V1679" s="13">
        <v>45175</v>
      </c>
      <c r="W1679">
        <v>1</v>
      </c>
      <c r="X1679">
        <v>1</v>
      </c>
      <c r="Y1679" t="s">
        <v>3661</v>
      </c>
      <c r="AC1679">
        <v>5312</v>
      </c>
      <c r="AD1679" t="e" vm="1669">
        <v>#VALUE!</v>
      </c>
    </row>
    <row r="1680" spans="2:30" x14ac:dyDescent="0.25">
      <c r="B1680">
        <v>5313</v>
      </c>
      <c r="C1680" t="s">
        <v>3659</v>
      </c>
      <c r="D1680" t="s">
        <v>3660</v>
      </c>
      <c r="E1680" t="s">
        <v>3813</v>
      </c>
      <c r="F1680" t="s">
        <v>83</v>
      </c>
      <c r="G1680" t="s">
        <v>103</v>
      </c>
      <c r="H1680" t="s">
        <v>3808</v>
      </c>
      <c r="I1680" t="s">
        <v>3809</v>
      </c>
      <c r="J1680" t="s">
        <v>3810</v>
      </c>
      <c r="K1680" t="s">
        <v>239</v>
      </c>
      <c r="L1680" s="13">
        <v>40235</v>
      </c>
      <c r="M1680">
        <v>14</v>
      </c>
      <c r="N1680" t="s">
        <v>88</v>
      </c>
      <c r="O1680" t="s">
        <v>3892</v>
      </c>
      <c r="P1680" t="s">
        <v>76</v>
      </c>
      <c r="Q1680" t="s">
        <v>76</v>
      </c>
      <c r="R1680" t="s">
        <v>76</v>
      </c>
      <c r="S1680" t="s">
        <v>76</v>
      </c>
      <c r="T1680" t="s">
        <v>76</v>
      </c>
      <c r="U1680">
        <v>1</v>
      </c>
      <c r="V1680" s="13">
        <v>45175</v>
      </c>
      <c r="W1680">
        <v>1</v>
      </c>
      <c r="X1680">
        <v>1</v>
      </c>
      <c r="Y1680" t="s">
        <v>3661</v>
      </c>
      <c r="AC1680">
        <v>5313</v>
      </c>
      <c r="AD1680" t="e" vm="1670">
        <v>#VALUE!</v>
      </c>
    </row>
    <row r="1681" spans="2:30" x14ac:dyDescent="0.25">
      <c r="B1681">
        <v>5314</v>
      </c>
      <c r="C1681" t="s">
        <v>3684</v>
      </c>
      <c r="D1681" t="s">
        <v>3687</v>
      </c>
      <c r="E1681" t="s">
        <v>3830</v>
      </c>
      <c r="F1681" t="s">
        <v>116</v>
      </c>
      <c r="G1681" t="s">
        <v>113</v>
      </c>
      <c r="H1681" t="s">
        <v>3808</v>
      </c>
      <c r="I1681" t="s">
        <v>3809</v>
      </c>
      <c r="J1681" t="s">
        <v>3810</v>
      </c>
      <c r="K1681" t="s">
        <v>239</v>
      </c>
      <c r="L1681" s="13">
        <v>40241</v>
      </c>
      <c r="M1681">
        <v>14</v>
      </c>
      <c r="N1681" t="s">
        <v>101</v>
      </c>
      <c r="O1681" t="s">
        <v>3892</v>
      </c>
      <c r="P1681" t="s">
        <v>76</v>
      </c>
      <c r="Q1681" t="s">
        <v>76</v>
      </c>
      <c r="R1681" t="s">
        <v>76</v>
      </c>
      <c r="S1681" t="s">
        <v>76</v>
      </c>
      <c r="T1681" t="s">
        <v>76</v>
      </c>
      <c r="U1681">
        <v>1</v>
      </c>
      <c r="V1681" s="13">
        <v>45175</v>
      </c>
      <c r="W1681">
        <v>1</v>
      </c>
      <c r="X1681">
        <v>1</v>
      </c>
      <c r="Y1681" t="s">
        <v>3688</v>
      </c>
      <c r="AC1681">
        <v>5314</v>
      </c>
      <c r="AD1681" t="e" vm="1671">
        <v>#VALUE!</v>
      </c>
    </row>
    <row r="1682" spans="2:30" x14ac:dyDescent="0.25">
      <c r="B1682">
        <v>5315</v>
      </c>
      <c r="C1682" t="s">
        <v>3668</v>
      </c>
      <c r="D1682" t="s">
        <v>3673</v>
      </c>
      <c r="E1682" t="s">
        <v>3819</v>
      </c>
      <c r="F1682" t="s">
        <v>87</v>
      </c>
      <c r="G1682" t="s">
        <v>84</v>
      </c>
      <c r="H1682" t="s">
        <v>3808</v>
      </c>
      <c r="I1682" t="s">
        <v>3809</v>
      </c>
      <c r="J1682" t="s">
        <v>3810</v>
      </c>
      <c r="K1682" t="s">
        <v>239</v>
      </c>
      <c r="L1682" s="13">
        <v>40233</v>
      </c>
      <c r="M1682">
        <v>14</v>
      </c>
      <c r="N1682" t="s">
        <v>82</v>
      </c>
      <c r="O1682" t="s">
        <v>3892</v>
      </c>
      <c r="P1682" t="s">
        <v>76</v>
      </c>
      <c r="Q1682" t="s">
        <v>76</v>
      </c>
      <c r="R1682" t="s">
        <v>76</v>
      </c>
      <c r="S1682" t="s">
        <v>76</v>
      </c>
      <c r="T1682" t="s">
        <v>76</v>
      </c>
      <c r="U1682">
        <v>1</v>
      </c>
      <c r="V1682" s="13">
        <v>45175</v>
      </c>
      <c r="W1682">
        <v>1</v>
      </c>
      <c r="X1682">
        <v>1</v>
      </c>
      <c r="Y1682" t="s">
        <v>3674</v>
      </c>
      <c r="AC1682">
        <v>5315</v>
      </c>
      <c r="AD1682" t="e" vm="1672">
        <v>#VALUE!</v>
      </c>
    </row>
    <row r="1683" spans="2:30" x14ac:dyDescent="0.25">
      <c r="B1683">
        <v>5316</v>
      </c>
      <c r="C1683" t="s">
        <v>3684</v>
      </c>
      <c r="D1683" t="s">
        <v>3687</v>
      </c>
      <c r="E1683" t="s">
        <v>3830</v>
      </c>
      <c r="F1683" t="s">
        <v>116</v>
      </c>
      <c r="G1683" t="s">
        <v>113</v>
      </c>
      <c r="H1683" t="s">
        <v>3808</v>
      </c>
      <c r="I1683" t="s">
        <v>3809</v>
      </c>
      <c r="J1683" t="s">
        <v>3810</v>
      </c>
      <c r="K1683" t="s">
        <v>239</v>
      </c>
      <c r="L1683" s="13">
        <v>40233</v>
      </c>
      <c r="M1683">
        <v>14</v>
      </c>
      <c r="N1683" t="s">
        <v>101</v>
      </c>
      <c r="O1683" t="s">
        <v>3892</v>
      </c>
      <c r="P1683" t="s">
        <v>76</v>
      </c>
      <c r="Q1683" t="s">
        <v>76</v>
      </c>
      <c r="R1683" t="s">
        <v>76</v>
      </c>
      <c r="S1683" t="s">
        <v>76</v>
      </c>
      <c r="T1683" t="s">
        <v>76</v>
      </c>
      <c r="U1683">
        <v>1</v>
      </c>
      <c r="V1683" s="13">
        <v>45175</v>
      </c>
      <c r="W1683">
        <v>1</v>
      </c>
      <c r="X1683">
        <v>1</v>
      </c>
      <c r="Y1683" t="s">
        <v>3688</v>
      </c>
      <c r="AC1683">
        <v>5316</v>
      </c>
      <c r="AD1683" t="e" vm="1673">
        <v>#VALUE!</v>
      </c>
    </row>
    <row r="1684" spans="2:30" x14ac:dyDescent="0.25">
      <c r="B1684">
        <v>5317</v>
      </c>
      <c r="C1684" t="s">
        <v>3684</v>
      </c>
      <c r="D1684" t="s">
        <v>3687</v>
      </c>
      <c r="E1684" t="s">
        <v>3830</v>
      </c>
      <c r="F1684" t="s">
        <v>116</v>
      </c>
      <c r="G1684" t="s">
        <v>113</v>
      </c>
      <c r="H1684" t="s">
        <v>3808</v>
      </c>
      <c r="I1684" t="s">
        <v>3809</v>
      </c>
      <c r="J1684" t="s">
        <v>3810</v>
      </c>
      <c r="K1684" t="s">
        <v>239</v>
      </c>
      <c r="L1684" s="13">
        <v>40238</v>
      </c>
      <c r="M1684">
        <v>14</v>
      </c>
      <c r="N1684" t="s">
        <v>101</v>
      </c>
      <c r="O1684" t="s">
        <v>3892</v>
      </c>
      <c r="P1684" t="s">
        <v>76</v>
      </c>
      <c r="Q1684" t="s">
        <v>76</v>
      </c>
      <c r="R1684" t="s">
        <v>76</v>
      </c>
      <c r="S1684" t="s">
        <v>76</v>
      </c>
      <c r="T1684" t="s">
        <v>76</v>
      </c>
      <c r="U1684">
        <v>1</v>
      </c>
      <c r="V1684" s="13">
        <v>45175</v>
      </c>
      <c r="W1684">
        <v>1</v>
      </c>
      <c r="X1684">
        <v>1</v>
      </c>
      <c r="Y1684" t="s">
        <v>3688</v>
      </c>
      <c r="AC1684">
        <v>5317</v>
      </c>
      <c r="AD1684" t="e" vm="1674">
        <v>#VALUE!</v>
      </c>
    </row>
    <row r="1685" spans="2:30" x14ac:dyDescent="0.25">
      <c r="B1685">
        <v>5318</v>
      </c>
      <c r="C1685" t="s">
        <v>3684</v>
      </c>
      <c r="D1685" t="s">
        <v>3687</v>
      </c>
      <c r="E1685" t="s">
        <v>3830</v>
      </c>
      <c r="F1685" t="s">
        <v>116</v>
      </c>
      <c r="G1685" t="s">
        <v>113</v>
      </c>
      <c r="H1685" t="s">
        <v>3808</v>
      </c>
      <c r="I1685" t="s">
        <v>3809</v>
      </c>
      <c r="J1685" t="s">
        <v>3810</v>
      </c>
      <c r="K1685" t="s">
        <v>239</v>
      </c>
      <c r="L1685" s="13">
        <v>40233</v>
      </c>
      <c r="M1685">
        <v>14</v>
      </c>
      <c r="N1685" t="s">
        <v>101</v>
      </c>
      <c r="O1685" t="s">
        <v>3892</v>
      </c>
      <c r="P1685" t="s">
        <v>76</v>
      </c>
      <c r="Q1685" t="s">
        <v>76</v>
      </c>
      <c r="R1685" t="s">
        <v>76</v>
      </c>
      <c r="S1685" t="s">
        <v>76</v>
      </c>
      <c r="T1685" t="s">
        <v>76</v>
      </c>
      <c r="U1685">
        <v>1</v>
      </c>
      <c r="V1685" s="13">
        <v>45175</v>
      </c>
      <c r="W1685">
        <v>1</v>
      </c>
      <c r="X1685">
        <v>1</v>
      </c>
      <c r="Y1685" t="s">
        <v>3688</v>
      </c>
      <c r="AC1685">
        <v>5318</v>
      </c>
      <c r="AD1685" t="e" vm="1675">
        <v>#VALUE!</v>
      </c>
    </row>
    <row r="1686" spans="2:30" x14ac:dyDescent="0.25">
      <c r="B1686">
        <v>5319</v>
      </c>
      <c r="C1686" t="s">
        <v>3668</v>
      </c>
      <c r="D1686" t="s">
        <v>3673</v>
      </c>
      <c r="E1686" t="s">
        <v>3819</v>
      </c>
      <c r="F1686" t="s">
        <v>87</v>
      </c>
      <c r="G1686" t="s">
        <v>84</v>
      </c>
      <c r="H1686" t="s">
        <v>3808</v>
      </c>
      <c r="I1686" t="s">
        <v>3809</v>
      </c>
      <c r="J1686" t="s">
        <v>3810</v>
      </c>
      <c r="K1686" t="s">
        <v>239</v>
      </c>
      <c r="L1686" s="13">
        <v>40228</v>
      </c>
      <c r="M1686">
        <v>14</v>
      </c>
      <c r="N1686" t="s">
        <v>82</v>
      </c>
      <c r="O1686" t="s">
        <v>3892</v>
      </c>
      <c r="P1686" t="s">
        <v>76</v>
      </c>
      <c r="Q1686" t="s">
        <v>76</v>
      </c>
      <c r="R1686" t="s">
        <v>76</v>
      </c>
      <c r="S1686" t="s">
        <v>76</v>
      </c>
      <c r="T1686" t="s">
        <v>76</v>
      </c>
      <c r="U1686">
        <v>1</v>
      </c>
      <c r="V1686" s="13">
        <v>45175</v>
      </c>
      <c r="W1686">
        <v>1</v>
      </c>
      <c r="X1686">
        <v>1</v>
      </c>
      <c r="Y1686" t="s">
        <v>3674</v>
      </c>
      <c r="AC1686">
        <v>5319</v>
      </c>
      <c r="AD1686" t="e" vm="1676">
        <v>#VALUE!</v>
      </c>
    </row>
    <row r="1687" spans="2:30" x14ac:dyDescent="0.25">
      <c r="B1687">
        <v>5320</v>
      </c>
      <c r="C1687" t="s">
        <v>3668</v>
      </c>
      <c r="D1687" t="s">
        <v>3673</v>
      </c>
      <c r="E1687" t="s">
        <v>3819</v>
      </c>
      <c r="F1687" t="s">
        <v>87</v>
      </c>
      <c r="G1687" t="s">
        <v>84</v>
      </c>
      <c r="H1687" t="s">
        <v>3808</v>
      </c>
      <c r="I1687" t="s">
        <v>3809</v>
      </c>
      <c r="J1687" t="s">
        <v>3810</v>
      </c>
      <c r="K1687" t="s">
        <v>239</v>
      </c>
      <c r="L1687" s="13">
        <v>40235</v>
      </c>
      <c r="M1687">
        <v>14</v>
      </c>
      <c r="N1687" t="s">
        <v>82</v>
      </c>
      <c r="O1687" t="s">
        <v>3892</v>
      </c>
      <c r="P1687" t="s">
        <v>76</v>
      </c>
      <c r="Q1687" t="s">
        <v>76</v>
      </c>
      <c r="R1687" t="s">
        <v>76</v>
      </c>
      <c r="S1687" t="s">
        <v>76</v>
      </c>
      <c r="T1687" t="s">
        <v>76</v>
      </c>
      <c r="U1687">
        <v>1</v>
      </c>
      <c r="V1687" s="13">
        <v>45175</v>
      </c>
      <c r="W1687">
        <v>1</v>
      </c>
      <c r="X1687">
        <v>1</v>
      </c>
      <c r="Y1687" t="s">
        <v>3674</v>
      </c>
      <c r="AC1687">
        <v>5320</v>
      </c>
      <c r="AD1687" t="e" vm="1677">
        <v>#VALUE!</v>
      </c>
    </row>
    <row r="1688" spans="2:30" x14ac:dyDescent="0.25">
      <c r="B1688">
        <v>5321</v>
      </c>
      <c r="C1688" t="s">
        <v>3668</v>
      </c>
      <c r="D1688" t="s">
        <v>3673</v>
      </c>
      <c r="E1688" t="s">
        <v>3819</v>
      </c>
      <c r="F1688" t="s">
        <v>87</v>
      </c>
      <c r="G1688" t="s">
        <v>84</v>
      </c>
      <c r="H1688" t="s">
        <v>3808</v>
      </c>
      <c r="I1688" t="s">
        <v>3809</v>
      </c>
      <c r="J1688" t="s">
        <v>3810</v>
      </c>
      <c r="K1688" t="s">
        <v>239</v>
      </c>
      <c r="L1688" s="13">
        <v>40238</v>
      </c>
      <c r="M1688">
        <v>14</v>
      </c>
      <c r="N1688" t="s">
        <v>82</v>
      </c>
      <c r="O1688" t="s">
        <v>3892</v>
      </c>
      <c r="P1688" t="s">
        <v>76</v>
      </c>
      <c r="Q1688" t="s">
        <v>76</v>
      </c>
      <c r="R1688" t="s">
        <v>76</v>
      </c>
      <c r="S1688" t="s">
        <v>76</v>
      </c>
      <c r="T1688" t="s">
        <v>76</v>
      </c>
      <c r="U1688">
        <v>1</v>
      </c>
      <c r="V1688" s="13">
        <v>45175</v>
      </c>
      <c r="W1688">
        <v>1</v>
      </c>
      <c r="X1688">
        <v>1</v>
      </c>
      <c r="Y1688" t="s">
        <v>3674</v>
      </c>
      <c r="AC1688">
        <v>5321</v>
      </c>
      <c r="AD1688" t="e" vm="1678">
        <v>#VALUE!</v>
      </c>
    </row>
    <row r="1689" spans="2:30" x14ac:dyDescent="0.25">
      <c r="B1689">
        <v>5322</v>
      </c>
      <c r="C1689" t="s">
        <v>3668</v>
      </c>
      <c r="D1689" t="s">
        <v>3673</v>
      </c>
      <c r="E1689" t="s">
        <v>3819</v>
      </c>
      <c r="F1689" t="s">
        <v>87</v>
      </c>
      <c r="G1689" t="s">
        <v>84</v>
      </c>
      <c r="H1689" t="s">
        <v>3808</v>
      </c>
      <c r="I1689" t="s">
        <v>3809</v>
      </c>
      <c r="J1689" t="s">
        <v>3810</v>
      </c>
      <c r="K1689" t="s">
        <v>239</v>
      </c>
      <c r="L1689" s="13">
        <v>40240</v>
      </c>
      <c r="M1689">
        <v>14</v>
      </c>
      <c r="N1689" t="s">
        <v>82</v>
      </c>
      <c r="O1689" t="s">
        <v>3892</v>
      </c>
      <c r="P1689" t="s">
        <v>76</v>
      </c>
      <c r="Q1689" t="s">
        <v>76</v>
      </c>
      <c r="R1689" t="s">
        <v>76</v>
      </c>
      <c r="S1689" t="s">
        <v>76</v>
      </c>
      <c r="T1689" t="s">
        <v>76</v>
      </c>
      <c r="U1689">
        <v>1</v>
      </c>
      <c r="V1689" s="13">
        <v>45175</v>
      </c>
      <c r="W1689">
        <v>1</v>
      </c>
      <c r="X1689">
        <v>1</v>
      </c>
      <c r="Y1689" t="s">
        <v>3674</v>
      </c>
      <c r="AC1689">
        <v>5322</v>
      </c>
      <c r="AD1689" t="e" vm="1679">
        <v>#VALUE!</v>
      </c>
    </row>
    <row r="1690" spans="2:30" x14ac:dyDescent="0.25">
      <c r="B1690">
        <v>5323</v>
      </c>
      <c r="C1690" t="s">
        <v>3668</v>
      </c>
      <c r="D1690" t="s">
        <v>3673</v>
      </c>
      <c r="E1690" t="s">
        <v>3819</v>
      </c>
      <c r="F1690" t="s">
        <v>87</v>
      </c>
      <c r="G1690" t="s">
        <v>84</v>
      </c>
      <c r="H1690" t="s">
        <v>3808</v>
      </c>
      <c r="I1690" t="s">
        <v>3809</v>
      </c>
      <c r="J1690" t="s">
        <v>3810</v>
      </c>
      <c r="K1690" t="s">
        <v>239</v>
      </c>
      <c r="L1690" s="13">
        <v>40241</v>
      </c>
      <c r="M1690">
        <v>14</v>
      </c>
      <c r="N1690" t="s">
        <v>82</v>
      </c>
      <c r="O1690" t="s">
        <v>3892</v>
      </c>
      <c r="P1690" t="s">
        <v>76</v>
      </c>
      <c r="Q1690" t="s">
        <v>76</v>
      </c>
      <c r="R1690" t="s">
        <v>76</v>
      </c>
      <c r="S1690" t="s">
        <v>76</v>
      </c>
      <c r="T1690" t="s">
        <v>76</v>
      </c>
      <c r="U1690">
        <v>1</v>
      </c>
      <c r="V1690" s="13">
        <v>45175</v>
      </c>
      <c r="W1690">
        <v>1</v>
      </c>
      <c r="X1690">
        <v>1</v>
      </c>
      <c r="Y1690" t="s">
        <v>3674</v>
      </c>
      <c r="AC1690">
        <v>5323</v>
      </c>
      <c r="AD1690" t="e" vm="1680">
        <v>#VALUE!</v>
      </c>
    </row>
    <row r="1691" spans="2:30" x14ac:dyDescent="0.25">
      <c r="B1691">
        <v>5324</v>
      </c>
      <c r="C1691" t="s">
        <v>3659</v>
      </c>
      <c r="D1691" t="s">
        <v>3677</v>
      </c>
      <c r="E1691" t="s">
        <v>3823</v>
      </c>
      <c r="F1691" t="s">
        <v>87</v>
      </c>
      <c r="G1691" t="s">
        <v>86</v>
      </c>
      <c r="H1691" t="s">
        <v>3808</v>
      </c>
      <c r="I1691" t="s">
        <v>3821</v>
      </c>
      <c r="J1691" t="s">
        <v>3810</v>
      </c>
      <c r="K1691" t="s">
        <v>239</v>
      </c>
      <c r="L1691" s="13">
        <v>39981</v>
      </c>
      <c r="M1691">
        <v>14</v>
      </c>
      <c r="N1691" t="s">
        <v>88</v>
      </c>
      <c r="O1691" t="s">
        <v>3893</v>
      </c>
      <c r="P1691" t="s">
        <v>76</v>
      </c>
      <c r="Q1691" t="s">
        <v>76</v>
      </c>
      <c r="R1691" t="s">
        <v>76</v>
      </c>
      <c r="S1691" t="s">
        <v>76</v>
      </c>
      <c r="T1691" t="s">
        <v>76</v>
      </c>
      <c r="U1691">
        <v>1</v>
      </c>
      <c r="V1691" s="13">
        <v>45175</v>
      </c>
      <c r="W1691">
        <v>1</v>
      </c>
      <c r="X1691">
        <v>1</v>
      </c>
      <c r="Y1691" t="s">
        <v>3678</v>
      </c>
      <c r="AC1691">
        <v>5324</v>
      </c>
      <c r="AD1691" t="e" vm="1681">
        <v>#VALUE!</v>
      </c>
    </row>
    <row r="1692" spans="2:30" x14ac:dyDescent="0.25">
      <c r="B1692">
        <v>5325</v>
      </c>
      <c r="C1692" t="s">
        <v>3659</v>
      </c>
      <c r="D1692" t="s">
        <v>3677</v>
      </c>
      <c r="E1692" t="s">
        <v>3823</v>
      </c>
      <c r="F1692" t="s">
        <v>87</v>
      </c>
      <c r="G1692" t="s">
        <v>86</v>
      </c>
      <c r="H1692" t="s">
        <v>3808</v>
      </c>
      <c r="I1692" t="s">
        <v>3821</v>
      </c>
      <c r="J1692" t="s">
        <v>3810</v>
      </c>
      <c r="K1692" t="s">
        <v>239</v>
      </c>
      <c r="L1692" s="13">
        <v>39986</v>
      </c>
      <c r="M1692">
        <v>14</v>
      </c>
      <c r="N1692" t="s">
        <v>88</v>
      </c>
      <c r="O1692" t="s">
        <v>3893</v>
      </c>
      <c r="P1692" t="s">
        <v>76</v>
      </c>
      <c r="Q1692" t="s">
        <v>76</v>
      </c>
      <c r="R1692" t="s">
        <v>76</v>
      </c>
      <c r="S1692" t="s">
        <v>76</v>
      </c>
      <c r="T1692" t="s">
        <v>76</v>
      </c>
      <c r="U1692">
        <v>1</v>
      </c>
      <c r="V1692" s="13">
        <v>45175</v>
      </c>
      <c r="W1692">
        <v>1</v>
      </c>
      <c r="X1692">
        <v>1</v>
      </c>
      <c r="Y1692" t="s">
        <v>3678</v>
      </c>
      <c r="AC1692">
        <v>5325</v>
      </c>
      <c r="AD1692" t="e" vm="1682">
        <v>#VALUE!</v>
      </c>
    </row>
    <row r="1693" spans="2:30" x14ac:dyDescent="0.25">
      <c r="B1693">
        <v>5326</v>
      </c>
      <c r="C1693" t="s">
        <v>3659</v>
      </c>
      <c r="D1693" t="s">
        <v>3677</v>
      </c>
      <c r="E1693" t="s">
        <v>3823</v>
      </c>
      <c r="F1693" t="s">
        <v>87</v>
      </c>
      <c r="G1693" t="s">
        <v>86</v>
      </c>
      <c r="H1693" t="s">
        <v>3808</v>
      </c>
      <c r="I1693" t="s">
        <v>3821</v>
      </c>
      <c r="J1693" t="s">
        <v>3810</v>
      </c>
      <c r="K1693" t="s">
        <v>239</v>
      </c>
      <c r="L1693" s="13">
        <v>39993</v>
      </c>
      <c r="M1693">
        <v>14</v>
      </c>
      <c r="N1693" t="s">
        <v>88</v>
      </c>
      <c r="O1693" t="s">
        <v>3893</v>
      </c>
      <c r="P1693" t="s">
        <v>76</v>
      </c>
      <c r="Q1693" t="s">
        <v>76</v>
      </c>
      <c r="R1693" t="s">
        <v>76</v>
      </c>
      <c r="S1693" t="s">
        <v>76</v>
      </c>
      <c r="T1693" t="s">
        <v>76</v>
      </c>
      <c r="U1693">
        <v>1</v>
      </c>
      <c r="V1693" s="13">
        <v>45175</v>
      </c>
      <c r="W1693">
        <v>1</v>
      </c>
      <c r="X1693">
        <v>1</v>
      </c>
      <c r="Y1693" t="s">
        <v>3678</v>
      </c>
      <c r="AC1693">
        <v>5326</v>
      </c>
      <c r="AD1693" t="e" vm="1683">
        <v>#VALUE!</v>
      </c>
    </row>
    <row r="1694" spans="2:30" x14ac:dyDescent="0.25">
      <c r="B1694">
        <v>5327</v>
      </c>
      <c r="C1694" t="s">
        <v>3659</v>
      </c>
      <c r="D1694" t="s">
        <v>3677</v>
      </c>
      <c r="E1694" t="s">
        <v>3823</v>
      </c>
      <c r="F1694" t="s">
        <v>87</v>
      </c>
      <c r="G1694" t="s">
        <v>86</v>
      </c>
      <c r="H1694" t="s">
        <v>3808</v>
      </c>
      <c r="I1694" t="s">
        <v>3821</v>
      </c>
      <c r="J1694" t="s">
        <v>3810</v>
      </c>
      <c r="K1694" t="s">
        <v>239</v>
      </c>
      <c r="L1694" s="13">
        <v>39995</v>
      </c>
      <c r="M1694">
        <v>14</v>
      </c>
      <c r="N1694" t="s">
        <v>88</v>
      </c>
      <c r="O1694" t="s">
        <v>3893</v>
      </c>
      <c r="P1694" t="s">
        <v>76</v>
      </c>
      <c r="Q1694" t="s">
        <v>76</v>
      </c>
      <c r="R1694" t="s">
        <v>76</v>
      </c>
      <c r="S1694" t="s">
        <v>76</v>
      </c>
      <c r="T1694" t="s">
        <v>76</v>
      </c>
      <c r="U1694">
        <v>1</v>
      </c>
      <c r="V1694" s="13">
        <v>45175</v>
      </c>
      <c r="W1694">
        <v>1</v>
      </c>
      <c r="X1694">
        <v>1</v>
      </c>
      <c r="Y1694" t="s">
        <v>3678</v>
      </c>
      <c r="AC1694">
        <v>5327</v>
      </c>
      <c r="AD1694" t="e" vm="1684">
        <v>#VALUE!</v>
      </c>
    </row>
    <row r="1695" spans="2:30" x14ac:dyDescent="0.25">
      <c r="B1695">
        <v>5328</v>
      </c>
      <c r="C1695" t="s">
        <v>3659</v>
      </c>
      <c r="D1695" t="s">
        <v>3677</v>
      </c>
      <c r="E1695" t="s">
        <v>3823</v>
      </c>
      <c r="F1695" t="s">
        <v>87</v>
      </c>
      <c r="G1695" t="s">
        <v>86</v>
      </c>
      <c r="H1695" t="s">
        <v>3808</v>
      </c>
      <c r="I1695" t="s">
        <v>3821</v>
      </c>
      <c r="J1695" t="s">
        <v>3810</v>
      </c>
      <c r="K1695" t="s">
        <v>239</v>
      </c>
      <c r="L1695" s="13">
        <v>40001</v>
      </c>
      <c r="M1695">
        <v>14</v>
      </c>
      <c r="N1695" t="s">
        <v>88</v>
      </c>
      <c r="O1695" t="s">
        <v>3893</v>
      </c>
      <c r="P1695" t="s">
        <v>76</v>
      </c>
      <c r="Q1695" t="s">
        <v>76</v>
      </c>
      <c r="R1695" t="s">
        <v>76</v>
      </c>
      <c r="S1695" t="s">
        <v>76</v>
      </c>
      <c r="T1695" t="s">
        <v>76</v>
      </c>
      <c r="U1695">
        <v>1</v>
      </c>
      <c r="V1695" s="13">
        <v>45175</v>
      </c>
      <c r="W1695">
        <v>1</v>
      </c>
      <c r="X1695">
        <v>1</v>
      </c>
      <c r="Y1695" t="s">
        <v>3678</v>
      </c>
      <c r="AC1695">
        <v>5328</v>
      </c>
      <c r="AD1695" t="e" vm="1685">
        <v>#VALUE!</v>
      </c>
    </row>
    <row r="1696" spans="2:30" x14ac:dyDescent="0.25">
      <c r="B1696">
        <v>5329</v>
      </c>
      <c r="C1696" t="s">
        <v>3662</v>
      </c>
      <c r="D1696" t="s">
        <v>3663</v>
      </c>
      <c r="E1696" t="s">
        <v>3814</v>
      </c>
      <c r="F1696" t="s">
        <v>97</v>
      </c>
      <c r="G1696" t="s">
        <v>106</v>
      </c>
      <c r="H1696" t="s">
        <v>3808</v>
      </c>
      <c r="I1696" t="s">
        <v>3821</v>
      </c>
      <c r="J1696" t="s">
        <v>3810</v>
      </c>
      <c r="K1696" t="s">
        <v>239</v>
      </c>
      <c r="L1696" s="13">
        <v>40010</v>
      </c>
      <c r="M1696">
        <v>14</v>
      </c>
      <c r="N1696" t="s">
        <v>79</v>
      </c>
      <c r="O1696" t="s">
        <v>3893</v>
      </c>
      <c r="P1696" t="s">
        <v>76</v>
      </c>
      <c r="Q1696" t="s">
        <v>76</v>
      </c>
      <c r="R1696" t="s">
        <v>76</v>
      </c>
      <c r="S1696" t="s">
        <v>76</v>
      </c>
      <c r="T1696" t="s">
        <v>76</v>
      </c>
      <c r="U1696">
        <v>1</v>
      </c>
      <c r="V1696" s="13">
        <v>45175</v>
      </c>
      <c r="W1696">
        <v>1</v>
      </c>
      <c r="X1696">
        <v>1</v>
      </c>
      <c r="Y1696" t="s">
        <v>3664</v>
      </c>
      <c r="AC1696">
        <v>5329</v>
      </c>
      <c r="AD1696" t="e" vm="1686">
        <v>#VALUE!</v>
      </c>
    </row>
    <row r="1697" spans="2:30" x14ac:dyDescent="0.25">
      <c r="B1697">
        <v>5330</v>
      </c>
      <c r="C1697" t="s">
        <v>3662</v>
      </c>
      <c r="D1697" t="s">
        <v>3663</v>
      </c>
      <c r="E1697" t="s">
        <v>3814</v>
      </c>
      <c r="F1697" t="s">
        <v>97</v>
      </c>
      <c r="G1697" t="s">
        <v>106</v>
      </c>
      <c r="H1697" t="s">
        <v>3808</v>
      </c>
      <c r="I1697" t="s">
        <v>3821</v>
      </c>
      <c r="J1697" t="s">
        <v>3810</v>
      </c>
      <c r="K1697" t="s">
        <v>239</v>
      </c>
      <c r="L1697" s="13">
        <v>40010</v>
      </c>
      <c r="M1697">
        <v>14</v>
      </c>
      <c r="N1697" t="s">
        <v>79</v>
      </c>
      <c r="O1697" t="s">
        <v>3893</v>
      </c>
      <c r="P1697" t="s">
        <v>76</v>
      </c>
      <c r="Q1697" t="s">
        <v>76</v>
      </c>
      <c r="R1697" t="s">
        <v>76</v>
      </c>
      <c r="S1697" t="s">
        <v>76</v>
      </c>
      <c r="T1697" t="s">
        <v>76</v>
      </c>
      <c r="U1697">
        <v>1</v>
      </c>
      <c r="V1697" s="13">
        <v>45175</v>
      </c>
      <c r="W1697">
        <v>1</v>
      </c>
      <c r="X1697">
        <v>1</v>
      </c>
      <c r="Y1697" t="s">
        <v>3664</v>
      </c>
      <c r="AC1697">
        <v>5330</v>
      </c>
      <c r="AD1697" t="e" vm="1687">
        <v>#VALUE!</v>
      </c>
    </row>
    <row r="1698" spans="2:30" x14ac:dyDescent="0.25">
      <c r="B1698">
        <v>5331</v>
      </c>
      <c r="C1698" t="s">
        <v>3646</v>
      </c>
      <c r="D1698" t="s">
        <v>3649</v>
      </c>
      <c r="E1698" t="s">
        <v>3812</v>
      </c>
      <c r="F1698" t="s">
        <v>85</v>
      </c>
      <c r="G1698" t="s">
        <v>112</v>
      </c>
      <c r="H1698" t="s">
        <v>3808</v>
      </c>
      <c r="I1698" t="s">
        <v>3821</v>
      </c>
      <c r="J1698" t="s">
        <v>3810</v>
      </c>
      <c r="K1698" t="s">
        <v>239</v>
      </c>
      <c r="L1698" s="13">
        <v>40059</v>
      </c>
      <c r="M1698">
        <v>14</v>
      </c>
      <c r="N1698" t="s">
        <v>90</v>
      </c>
      <c r="O1698" t="s">
        <v>3893</v>
      </c>
      <c r="P1698" t="s">
        <v>76</v>
      </c>
      <c r="Q1698" t="s">
        <v>76</v>
      </c>
      <c r="R1698" t="s">
        <v>76</v>
      </c>
      <c r="S1698" t="s">
        <v>76</v>
      </c>
      <c r="T1698" t="s">
        <v>76</v>
      </c>
      <c r="U1698">
        <v>1</v>
      </c>
      <c r="V1698" s="13">
        <v>45175</v>
      </c>
      <c r="W1698">
        <v>1</v>
      </c>
      <c r="X1698">
        <v>1</v>
      </c>
      <c r="Y1698" t="s">
        <v>3650</v>
      </c>
      <c r="AC1698">
        <v>5331</v>
      </c>
      <c r="AD1698" t="e" vm="1688">
        <v>#VALUE!</v>
      </c>
    </row>
    <row r="1699" spans="2:30" x14ac:dyDescent="0.25">
      <c r="B1699">
        <v>5332</v>
      </c>
      <c r="C1699" t="s">
        <v>3646</v>
      </c>
      <c r="D1699" t="s">
        <v>3649</v>
      </c>
      <c r="E1699" t="s">
        <v>3812</v>
      </c>
      <c r="F1699" t="s">
        <v>85</v>
      </c>
      <c r="G1699" t="s">
        <v>112</v>
      </c>
      <c r="H1699" t="s">
        <v>3808</v>
      </c>
      <c r="I1699" t="s">
        <v>3821</v>
      </c>
      <c r="J1699" t="s">
        <v>3810</v>
      </c>
      <c r="K1699" t="s">
        <v>239</v>
      </c>
      <c r="L1699" s="13">
        <v>40064</v>
      </c>
      <c r="M1699">
        <v>14</v>
      </c>
      <c r="N1699" t="s">
        <v>90</v>
      </c>
      <c r="O1699" t="s">
        <v>3893</v>
      </c>
      <c r="P1699" t="s">
        <v>76</v>
      </c>
      <c r="Q1699" t="s">
        <v>76</v>
      </c>
      <c r="R1699" t="s">
        <v>76</v>
      </c>
      <c r="S1699" t="s">
        <v>76</v>
      </c>
      <c r="T1699" t="s">
        <v>76</v>
      </c>
      <c r="U1699">
        <v>1</v>
      </c>
      <c r="V1699" s="13">
        <v>45175</v>
      </c>
      <c r="W1699">
        <v>1</v>
      </c>
      <c r="X1699">
        <v>1</v>
      </c>
      <c r="Y1699" t="s">
        <v>3650</v>
      </c>
      <c r="AC1699">
        <v>5332</v>
      </c>
      <c r="AD1699" t="e" vm="1689">
        <v>#VALUE!</v>
      </c>
    </row>
    <row r="1700" spans="2:30" x14ac:dyDescent="0.25">
      <c r="B1700">
        <v>5333</v>
      </c>
      <c r="C1700" t="s">
        <v>3646</v>
      </c>
      <c r="D1700" t="s">
        <v>3649</v>
      </c>
      <c r="E1700" t="s">
        <v>3812</v>
      </c>
      <c r="F1700" t="s">
        <v>85</v>
      </c>
      <c r="G1700" t="s">
        <v>112</v>
      </c>
      <c r="H1700" t="s">
        <v>3808</v>
      </c>
      <c r="I1700" t="s">
        <v>3821</v>
      </c>
      <c r="J1700" t="s">
        <v>3810</v>
      </c>
      <c r="K1700" t="s">
        <v>239</v>
      </c>
      <c r="L1700" s="13">
        <v>40077</v>
      </c>
      <c r="M1700">
        <v>14</v>
      </c>
      <c r="N1700" t="s">
        <v>90</v>
      </c>
      <c r="O1700" t="s">
        <v>3893</v>
      </c>
      <c r="P1700" t="s">
        <v>76</v>
      </c>
      <c r="Q1700" t="s">
        <v>76</v>
      </c>
      <c r="R1700" t="s">
        <v>76</v>
      </c>
      <c r="S1700" t="s">
        <v>76</v>
      </c>
      <c r="T1700" t="s">
        <v>76</v>
      </c>
      <c r="U1700">
        <v>1</v>
      </c>
      <c r="V1700" s="13">
        <v>45175</v>
      </c>
      <c r="W1700">
        <v>1</v>
      </c>
      <c r="X1700">
        <v>1</v>
      </c>
      <c r="Y1700" t="s">
        <v>3650</v>
      </c>
      <c r="AC1700">
        <v>5333</v>
      </c>
      <c r="AD1700" t="e" vm="1690">
        <v>#VALUE!</v>
      </c>
    </row>
    <row r="1701" spans="2:30" x14ac:dyDescent="0.25">
      <c r="B1701">
        <v>5334</v>
      </c>
      <c r="C1701" t="s">
        <v>3662</v>
      </c>
      <c r="D1701" t="s">
        <v>3737</v>
      </c>
      <c r="E1701" t="s">
        <v>3876</v>
      </c>
      <c r="F1701" t="s">
        <v>89</v>
      </c>
      <c r="G1701" t="s">
        <v>100</v>
      </c>
      <c r="H1701" t="s">
        <v>3808</v>
      </c>
      <c r="I1701" t="s">
        <v>3839</v>
      </c>
      <c r="J1701" t="s">
        <v>3864</v>
      </c>
      <c r="K1701" t="s">
        <v>239</v>
      </c>
      <c r="L1701" s="13">
        <v>40003</v>
      </c>
      <c r="M1701">
        <v>14</v>
      </c>
      <c r="N1701" t="s">
        <v>79</v>
      </c>
      <c r="O1701" t="s">
        <v>3894</v>
      </c>
      <c r="P1701" t="s">
        <v>76</v>
      </c>
      <c r="Q1701" t="s">
        <v>76</v>
      </c>
      <c r="R1701" t="s">
        <v>76</v>
      </c>
      <c r="S1701" t="s">
        <v>76</v>
      </c>
      <c r="T1701" t="s">
        <v>76</v>
      </c>
      <c r="U1701">
        <v>1</v>
      </c>
      <c r="V1701" s="13">
        <v>45175</v>
      </c>
      <c r="W1701">
        <v>1</v>
      </c>
      <c r="X1701">
        <v>1</v>
      </c>
      <c r="Y1701" t="s">
        <v>3738</v>
      </c>
      <c r="AC1701">
        <v>5334</v>
      </c>
      <c r="AD1701" t="e" vm="1691">
        <v>#VALUE!</v>
      </c>
    </row>
    <row r="1702" spans="2:30" x14ac:dyDescent="0.25">
      <c r="B1702">
        <v>5335</v>
      </c>
      <c r="C1702" t="s">
        <v>3662</v>
      </c>
      <c r="D1702" t="s">
        <v>3737</v>
      </c>
      <c r="E1702" t="s">
        <v>3876</v>
      </c>
      <c r="F1702" t="s">
        <v>89</v>
      </c>
      <c r="G1702" t="s">
        <v>100</v>
      </c>
      <c r="H1702" t="s">
        <v>3808</v>
      </c>
      <c r="I1702" t="s">
        <v>3839</v>
      </c>
      <c r="J1702" t="s">
        <v>3864</v>
      </c>
      <c r="K1702" t="s">
        <v>239</v>
      </c>
      <c r="L1702" s="13">
        <v>40003</v>
      </c>
      <c r="M1702">
        <v>14</v>
      </c>
      <c r="N1702" t="s">
        <v>79</v>
      </c>
      <c r="O1702" t="s">
        <v>3894</v>
      </c>
      <c r="P1702" t="s">
        <v>76</v>
      </c>
      <c r="Q1702" t="s">
        <v>76</v>
      </c>
      <c r="R1702" t="s">
        <v>76</v>
      </c>
      <c r="S1702" t="s">
        <v>76</v>
      </c>
      <c r="T1702" t="s">
        <v>76</v>
      </c>
      <c r="U1702">
        <v>1</v>
      </c>
      <c r="V1702" s="13">
        <v>45175</v>
      </c>
      <c r="W1702">
        <v>1</v>
      </c>
      <c r="X1702">
        <v>1</v>
      </c>
      <c r="Y1702" t="s">
        <v>3738</v>
      </c>
      <c r="AC1702">
        <v>5335</v>
      </c>
      <c r="AD1702" t="e" vm="1692">
        <v>#VALUE!</v>
      </c>
    </row>
    <row r="1703" spans="2:30" x14ac:dyDescent="0.25">
      <c r="B1703">
        <v>5336</v>
      </c>
      <c r="C1703" t="s">
        <v>3662</v>
      </c>
      <c r="D1703" t="s">
        <v>3737</v>
      </c>
      <c r="E1703" t="s">
        <v>3876</v>
      </c>
      <c r="F1703" t="s">
        <v>89</v>
      </c>
      <c r="G1703" t="s">
        <v>100</v>
      </c>
      <c r="H1703" t="s">
        <v>3808</v>
      </c>
      <c r="I1703" t="s">
        <v>3839</v>
      </c>
      <c r="J1703" t="s">
        <v>3864</v>
      </c>
      <c r="K1703" t="s">
        <v>239</v>
      </c>
      <c r="L1703" s="13">
        <v>40018</v>
      </c>
      <c r="M1703">
        <v>14</v>
      </c>
      <c r="N1703" t="s">
        <v>79</v>
      </c>
      <c r="O1703" t="s">
        <v>3894</v>
      </c>
      <c r="P1703" t="s">
        <v>76</v>
      </c>
      <c r="Q1703" t="s">
        <v>76</v>
      </c>
      <c r="R1703" t="s">
        <v>76</v>
      </c>
      <c r="S1703" t="s">
        <v>76</v>
      </c>
      <c r="T1703" t="s">
        <v>76</v>
      </c>
      <c r="U1703">
        <v>1</v>
      </c>
      <c r="V1703" s="13">
        <v>45175</v>
      </c>
      <c r="W1703">
        <v>1</v>
      </c>
      <c r="X1703">
        <v>1</v>
      </c>
      <c r="Y1703" t="s">
        <v>3738</v>
      </c>
      <c r="AC1703">
        <v>5336</v>
      </c>
      <c r="AD1703" t="e" vm="1693">
        <v>#VALUE!</v>
      </c>
    </row>
    <row r="1704" spans="2:30" x14ac:dyDescent="0.25">
      <c r="B1704">
        <v>5337</v>
      </c>
      <c r="C1704" t="s">
        <v>3662</v>
      </c>
      <c r="D1704" t="s">
        <v>3737</v>
      </c>
      <c r="E1704" t="s">
        <v>3876</v>
      </c>
      <c r="F1704" t="s">
        <v>89</v>
      </c>
      <c r="G1704" t="s">
        <v>100</v>
      </c>
      <c r="H1704" t="s">
        <v>3808</v>
      </c>
      <c r="I1704" t="s">
        <v>3839</v>
      </c>
      <c r="J1704" t="s">
        <v>3864</v>
      </c>
      <c r="K1704" t="s">
        <v>239</v>
      </c>
      <c r="L1704" s="13">
        <v>40018</v>
      </c>
      <c r="M1704">
        <v>14</v>
      </c>
      <c r="N1704" t="s">
        <v>79</v>
      </c>
      <c r="O1704" t="s">
        <v>3894</v>
      </c>
      <c r="P1704" t="s">
        <v>76</v>
      </c>
      <c r="Q1704" t="s">
        <v>76</v>
      </c>
      <c r="R1704" t="s">
        <v>76</v>
      </c>
      <c r="S1704" t="s">
        <v>76</v>
      </c>
      <c r="T1704" t="s">
        <v>76</v>
      </c>
      <c r="U1704">
        <v>1</v>
      </c>
      <c r="V1704" s="13">
        <v>45175</v>
      </c>
      <c r="W1704">
        <v>1</v>
      </c>
      <c r="X1704">
        <v>1</v>
      </c>
      <c r="Y1704" t="s">
        <v>3738</v>
      </c>
      <c r="AC1704">
        <v>5337</v>
      </c>
      <c r="AD1704" t="e" vm="1694">
        <v>#VALUE!</v>
      </c>
    </row>
    <row r="1705" spans="2:30" x14ac:dyDescent="0.25">
      <c r="B1705">
        <v>5338</v>
      </c>
      <c r="C1705" t="s">
        <v>3662</v>
      </c>
      <c r="D1705" t="s">
        <v>3737</v>
      </c>
      <c r="E1705" t="s">
        <v>3876</v>
      </c>
      <c r="F1705" t="s">
        <v>89</v>
      </c>
      <c r="G1705" t="s">
        <v>100</v>
      </c>
      <c r="H1705" t="s">
        <v>3808</v>
      </c>
      <c r="I1705" t="s">
        <v>3839</v>
      </c>
      <c r="J1705" t="s">
        <v>3864</v>
      </c>
      <c r="K1705" t="s">
        <v>239</v>
      </c>
      <c r="L1705" s="13">
        <v>40115</v>
      </c>
      <c r="M1705">
        <v>14</v>
      </c>
      <c r="N1705" t="s">
        <v>79</v>
      </c>
      <c r="O1705" t="s">
        <v>3894</v>
      </c>
      <c r="P1705" t="s">
        <v>76</v>
      </c>
      <c r="Q1705" t="s">
        <v>76</v>
      </c>
      <c r="R1705" t="s">
        <v>76</v>
      </c>
      <c r="S1705" t="s">
        <v>76</v>
      </c>
      <c r="T1705" t="s">
        <v>76</v>
      </c>
      <c r="U1705">
        <v>1</v>
      </c>
      <c r="V1705" s="13">
        <v>45175</v>
      </c>
      <c r="W1705">
        <v>1</v>
      </c>
      <c r="X1705">
        <v>1</v>
      </c>
      <c r="Y1705" t="s">
        <v>3738</v>
      </c>
      <c r="AC1705">
        <v>5338</v>
      </c>
      <c r="AD1705" t="e" vm="1695">
        <v>#VALUE!</v>
      </c>
    </row>
    <row r="1706" spans="2:30" x14ac:dyDescent="0.25">
      <c r="B1706">
        <v>5339</v>
      </c>
      <c r="C1706" t="s">
        <v>3662</v>
      </c>
      <c r="D1706" t="s">
        <v>3737</v>
      </c>
      <c r="E1706" t="s">
        <v>3876</v>
      </c>
      <c r="F1706" t="s">
        <v>89</v>
      </c>
      <c r="G1706" t="s">
        <v>100</v>
      </c>
      <c r="H1706" t="s">
        <v>3808</v>
      </c>
      <c r="I1706" t="s">
        <v>3839</v>
      </c>
      <c r="J1706" t="s">
        <v>3864</v>
      </c>
      <c r="K1706" t="s">
        <v>239</v>
      </c>
      <c r="L1706" s="13">
        <v>40121</v>
      </c>
      <c r="M1706">
        <v>14</v>
      </c>
      <c r="N1706" t="s">
        <v>79</v>
      </c>
      <c r="O1706" t="s">
        <v>3894</v>
      </c>
      <c r="P1706" t="s">
        <v>76</v>
      </c>
      <c r="Q1706" t="s">
        <v>76</v>
      </c>
      <c r="R1706" t="s">
        <v>76</v>
      </c>
      <c r="S1706" t="s">
        <v>76</v>
      </c>
      <c r="T1706" t="s">
        <v>76</v>
      </c>
      <c r="U1706">
        <v>1</v>
      </c>
      <c r="V1706" s="13">
        <v>45175</v>
      </c>
      <c r="W1706">
        <v>1</v>
      </c>
      <c r="X1706">
        <v>1</v>
      </c>
      <c r="Y1706" t="s">
        <v>3738</v>
      </c>
      <c r="AC1706">
        <v>5339</v>
      </c>
      <c r="AD1706" t="e" vm="1696">
        <v>#VALUE!</v>
      </c>
    </row>
    <row r="1707" spans="2:30" x14ac:dyDescent="0.25">
      <c r="B1707">
        <v>5340</v>
      </c>
      <c r="C1707" t="s">
        <v>3662</v>
      </c>
      <c r="D1707" t="s">
        <v>3737</v>
      </c>
      <c r="E1707" t="s">
        <v>3876</v>
      </c>
      <c r="F1707" t="s">
        <v>89</v>
      </c>
      <c r="G1707" t="s">
        <v>100</v>
      </c>
      <c r="H1707" t="s">
        <v>3808</v>
      </c>
      <c r="I1707" t="s">
        <v>3839</v>
      </c>
      <c r="J1707" t="s">
        <v>3864</v>
      </c>
      <c r="K1707" t="s">
        <v>239</v>
      </c>
      <c r="L1707" s="13">
        <v>40115</v>
      </c>
      <c r="M1707">
        <v>14</v>
      </c>
      <c r="N1707" t="s">
        <v>79</v>
      </c>
      <c r="O1707" t="s">
        <v>3894</v>
      </c>
      <c r="P1707" t="s">
        <v>76</v>
      </c>
      <c r="Q1707" t="s">
        <v>76</v>
      </c>
      <c r="R1707" t="s">
        <v>76</v>
      </c>
      <c r="S1707" t="s">
        <v>76</v>
      </c>
      <c r="T1707" t="s">
        <v>76</v>
      </c>
      <c r="U1707">
        <v>1</v>
      </c>
      <c r="V1707" s="13">
        <v>45175</v>
      </c>
      <c r="W1707">
        <v>1</v>
      </c>
      <c r="X1707">
        <v>1</v>
      </c>
      <c r="Y1707" t="s">
        <v>3738</v>
      </c>
      <c r="AC1707">
        <v>5340</v>
      </c>
      <c r="AD1707" t="e" vm="1697">
        <v>#VALUE!</v>
      </c>
    </row>
    <row r="1708" spans="2:30" x14ac:dyDescent="0.25">
      <c r="B1708">
        <v>5341</v>
      </c>
      <c r="C1708" t="s">
        <v>3662</v>
      </c>
      <c r="D1708" t="s">
        <v>3737</v>
      </c>
      <c r="E1708" t="s">
        <v>3876</v>
      </c>
      <c r="F1708" t="s">
        <v>89</v>
      </c>
      <c r="G1708" t="s">
        <v>100</v>
      </c>
      <c r="H1708" t="s">
        <v>3808</v>
      </c>
      <c r="I1708" t="s">
        <v>3839</v>
      </c>
      <c r="J1708" t="s">
        <v>3864</v>
      </c>
      <c r="K1708" t="s">
        <v>239</v>
      </c>
      <c r="L1708" s="13">
        <v>40129</v>
      </c>
      <c r="M1708">
        <v>14</v>
      </c>
      <c r="N1708" t="s">
        <v>79</v>
      </c>
      <c r="O1708" t="s">
        <v>3894</v>
      </c>
      <c r="P1708" t="s">
        <v>76</v>
      </c>
      <c r="Q1708" t="s">
        <v>76</v>
      </c>
      <c r="R1708" t="s">
        <v>76</v>
      </c>
      <c r="S1708" t="s">
        <v>76</v>
      </c>
      <c r="T1708" t="s">
        <v>76</v>
      </c>
      <c r="U1708">
        <v>1</v>
      </c>
      <c r="V1708" s="13">
        <v>45175</v>
      </c>
      <c r="W1708">
        <v>1</v>
      </c>
      <c r="X1708">
        <v>1</v>
      </c>
      <c r="Y1708" t="s">
        <v>3738</v>
      </c>
      <c r="AC1708">
        <v>5341</v>
      </c>
      <c r="AD1708" t="e" vm="1698">
        <v>#VALUE!</v>
      </c>
    </row>
    <row r="1709" spans="2:30" x14ac:dyDescent="0.25">
      <c r="B1709">
        <v>5342</v>
      </c>
      <c r="C1709" t="s">
        <v>3662</v>
      </c>
      <c r="D1709" t="s">
        <v>3737</v>
      </c>
      <c r="E1709" t="s">
        <v>3876</v>
      </c>
      <c r="F1709" t="s">
        <v>89</v>
      </c>
      <c r="G1709" t="s">
        <v>100</v>
      </c>
      <c r="H1709" t="s">
        <v>3808</v>
      </c>
      <c r="I1709" t="s">
        <v>3839</v>
      </c>
      <c r="J1709" t="s">
        <v>3864</v>
      </c>
      <c r="K1709" t="s">
        <v>239</v>
      </c>
      <c r="L1709" s="13">
        <v>40136</v>
      </c>
      <c r="M1709">
        <v>14</v>
      </c>
      <c r="N1709" t="s">
        <v>79</v>
      </c>
      <c r="O1709" t="s">
        <v>3894</v>
      </c>
      <c r="P1709" t="s">
        <v>76</v>
      </c>
      <c r="Q1709" t="s">
        <v>76</v>
      </c>
      <c r="R1709" t="s">
        <v>76</v>
      </c>
      <c r="S1709" t="s">
        <v>76</v>
      </c>
      <c r="T1709" t="s">
        <v>76</v>
      </c>
      <c r="U1709">
        <v>1</v>
      </c>
      <c r="V1709" s="13">
        <v>45175</v>
      </c>
      <c r="W1709">
        <v>1</v>
      </c>
      <c r="X1709">
        <v>1</v>
      </c>
      <c r="Y1709" t="s">
        <v>3738</v>
      </c>
      <c r="AC1709">
        <v>5342</v>
      </c>
      <c r="AD1709" t="e" vm="1699">
        <v>#VALUE!</v>
      </c>
    </row>
    <row r="1710" spans="2:30" x14ac:dyDescent="0.25">
      <c r="B1710">
        <v>5343</v>
      </c>
      <c r="C1710" t="s">
        <v>3662</v>
      </c>
      <c r="D1710" t="s">
        <v>3737</v>
      </c>
      <c r="E1710" t="s">
        <v>3876</v>
      </c>
      <c r="F1710" t="s">
        <v>89</v>
      </c>
      <c r="G1710" t="s">
        <v>100</v>
      </c>
      <c r="H1710" t="s">
        <v>3808</v>
      </c>
      <c r="I1710" t="s">
        <v>3839</v>
      </c>
      <c r="J1710" t="s">
        <v>3864</v>
      </c>
      <c r="K1710" t="s">
        <v>239</v>
      </c>
      <c r="L1710" s="13">
        <v>40136</v>
      </c>
      <c r="M1710">
        <v>14</v>
      </c>
      <c r="N1710" t="s">
        <v>79</v>
      </c>
      <c r="O1710" t="s">
        <v>3894</v>
      </c>
      <c r="P1710" t="s">
        <v>76</v>
      </c>
      <c r="Q1710" t="s">
        <v>76</v>
      </c>
      <c r="R1710" t="s">
        <v>76</v>
      </c>
      <c r="S1710" t="s">
        <v>76</v>
      </c>
      <c r="T1710" t="s">
        <v>76</v>
      </c>
      <c r="U1710">
        <v>1</v>
      </c>
      <c r="V1710" s="13">
        <v>45175</v>
      </c>
      <c r="W1710">
        <v>1</v>
      </c>
      <c r="X1710">
        <v>1</v>
      </c>
      <c r="Y1710" t="s">
        <v>3738</v>
      </c>
      <c r="AC1710">
        <v>5343</v>
      </c>
      <c r="AD1710" t="e" vm="1700">
        <v>#VALUE!</v>
      </c>
    </row>
    <row r="1711" spans="2:30" x14ac:dyDescent="0.25">
      <c r="B1711">
        <v>5344</v>
      </c>
      <c r="C1711" t="s">
        <v>3662</v>
      </c>
      <c r="D1711" t="s">
        <v>3737</v>
      </c>
      <c r="E1711" t="s">
        <v>3876</v>
      </c>
      <c r="F1711" t="s">
        <v>89</v>
      </c>
      <c r="G1711" t="s">
        <v>100</v>
      </c>
      <c r="H1711" t="s">
        <v>3808</v>
      </c>
      <c r="I1711" t="s">
        <v>3839</v>
      </c>
      <c r="J1711" t="s">
        <v>3864</v>
      </c>
      <c r="K1711" t="s">
        <v>239</v>
      </c>
      <c r="L1711" s="13">
        <v>40147</v>
      </c>
      <c r="M1711">
        <v>14</v>
      </c>
      <c r="N1711" t="s">
        <v>79</v>
      </c>
      <c r="O1711" t="s">
        <v>3894</v>
      </c>
      <c r="P1711" t="s">
        <v>76</v>
      </c>
      <c r="Q1711" t="s">
        <v>76</v>
      </c>
      <c r="R1711" t="s">
        <v>76</v>
      </c>
      <c r="S1711" t="s">
        <v>76</v>
      </c>
      <c r="T1711" t="s">
        <v>76</v>
      </c>
      <c r="U1711">
        <v>1</v>
      </c>
      <c r="V1711" s="13">
        <v>45175</v>
      </c>
      <c r="W1711">
        <v>1</v>
      </c>
      <c r="X1711">
        <v>1</v>
      </c>
      <c r="Y1711" t="s">
        <v>3738</v>
      </c>
      <c r="AC1711">
        <v>5344</v>
      </c>
      <c r="AD1711" t="e" vm="1701">
        <v>#VALUE!</v>
      </c>
    </row>
    <row r="1712" spans="2:30" x14ac:dyDescent="0.25">
      <c r="B1712">
        <v>5345</v>
      </c>
      <c r="C1712" t="s">
        <v>3662</v>
      </c>
      <c r="D1712" t="s">
        <v>3737</v>
      </c>
      <c r="E1712" t="s">
        <v>3876</v>
      </c>
      <c r="F1712" t="s">
        <v>89</v>
      </c>
      <c r="G1712" t="s">
        <v>100</v>
      </c>
      <c r="H1712" t="s">
        <v>3808</v>
      </c>
      <c r="I1712" t="s">
        <v>3839</v>
      </c>
      <c r="J1712" t="s">
        <v>3864</v>
      </c>
      <c r="K1712" t="s">
        <v>239</v>
      </c>
      <c r="L1712" s="13">
        <v>40155</v>
      </c>
      <c r="M1712">
        <v>14</v>
      </c>
      <c r="N1712" t="s">
        <v>79</v>
      </c>
      <c r="O1712" t="s">
        <v>3894</v>
      </c>
      <c r="P1712" t="s">
        <v>76</v>
      </c>
      <c r="Q1712" t="s">
        <v>76</v>
      </c>
      <c r="R1712" t="s">
        <v>76</v>
      </c>
      <c r="S1712" t="s">
        <v>76</v>
      </c>
      <c r="T1712" t="s">
        <v>76</v>
      </c>
      <c r="U1712">
        <v>1</v>
      </c>
      <c r="V1712" s="13">
        <v>45175</v>
      </c>
      <c r="W1712">
        <v>1</v>
      </c>
      <c r="X1712">
        <v>1</v>
      </c>
      <c r="Y1712" t="s">
        <v>3738</v>
      </c>
      <c r="AC1712">
        <v>5345</v>
      </c>
      <c r="AD1712" t="e" vm="1702">
        <v>#VALUE!</v>
      </c>
    </row>
    <row r="1713" spans="2:30" x14ac:dyDescent="0.25">
      <c r="B1713">
        <v>5346</v>
      </c>
      <c r="C1713" t="s">
        <v>3662</v>
      </c>
      <c r="D1713" t="s">
        <v>3737</v>
      </c>
      <c r="E1713" t="s">
        <v>3876</v>
      </c>
      <c r="F1713" t="s">
        <v>89</v>
      </c>
      <c r="G1713" t="s">
        <v>100</v>
      </c>
      <c r="H1713" t="s">
        <v>3808</v>
      </c>
      <c r="I1713" t="s">
        <v>3839</v>
      </c>
      <c r="J1713" t="s">
        <v>3864</v>
      </c>
      <c r="K1713" t="s">
        <v>239</v>
      </c>
      <c r="L1713" s="13">
        <v>40147</v>
      </c>
      <c r="M1713">
        <v>14</v>
      </c>
      <c r="N1713" t="s">
        <v>79</v>
      </c>
      <c r="O1713" t="s">
        <v>3894</v>
      </c>
      <c r="P1713" t="s">
        <v>76</v>
      </c>
      <c r="Q1713" t="s">
        <v>76</v>
      </c>
      <c r="R1713" t="s">
        <v>76</v>
      </c>
      <c r="S1713" t="s">
        <v>76</v>
      </c>
      <c r="T1713" t="s">
        <v>76</v>
      </c>
      <c r="U1713">
        <v>1</v>
      </c>
      <c r="V1713" s="13">
        <v>45175</v>
      </c>
      <c r="W1713">
        <v>1</v>
      </c>
      <c r="X1713">
        <v>1</v>
      </c>
      <c r="Y1713" t="s">
        <v>3738</v>
      </c>
      <c r="AC1713">
        <v>5346</v>
      </c>
      <c r="AD1713" t="e" vm="1703">
        <v>#VALUE!</v>
      </c>
    </row>
    <row r="1714" spans="2:30" x14ac:dyDescent="0.25">
      <c r="B1714">
        <v>5347</v>
      </c>
      <c r="C1714" t="s">
        <v>3662</v>
      </c>
      <c r="D1714" t="s">
        <v>3737</v>
      </c>
      <c r="E1714" t="s">
        <v>3876</v>
      </c>
      <c r="F1714" t="s">
        <v>89</v>
      </c>
      <c r="G1714" t="s">
        <v>100</v>
      </c>
      <c r="H1714" t="s">
        <v>3808</v>
      </c>
      <c r="I1714" t="s">
        <v>3839</v>
      </c>
      <c r="J1714" t="s">
        <v>3864</v>
      </c>
      <c r="K1714" t="s">
        <v>239</v>
      </c>
      <c r="L1714" s="13">
        <v>40155</v>
      </c>
      <c r="M1714">
        <v>14</v>
      </c>
      <c r="N1714" t="s">
        <v>79</v>
      </c>
      <c r="O1714" t="s">
        <v>3894</v>
      </c>
      <c r="P1714" t="s">
        <v>76</v>
      </c>
      <c r="Q1714" t="s">
        <v>76</v>
      </c>
      <c r="R1714" t="s">
        <v>76</v>
      </c>
      <c r="S1714" t="s">
        <v>76</v>
      </c>
      <c r="T1714" t="s">
        <v>76</v>
      </c>
      <c r="U1714">
        <v>1</v>
      </c>
      <c r="V1714" s="13">
        <v>45175</v>
      </c>
      <c r="W1714">
        <v>1</v>
      </c>
      <c r="X1714">
        <v>1</v>
      </c>
      <c r="Y1714" t="s">
        <v>3738</v>
      </c>
      <c r="AC1714">
        <v>5347</v>
      </c>
      <c r="AD1714" t="e" vm="1704">
        <v>#VALUE!</v>
      </c>
    </row>
    <row r="1715" spans="2:30" x14ac:dyDescent="0.25">
      <c r="B1715">
        <v>5348</v>
      </c>
      <c r="C1715" t="s">
        <v>3684</v>
      </c>
      <c r="D1715" t="s">
        <v>3695</v>
      </c>
      <c r="E1715" t="s">
        <v>3838</v>
      </c>
      <c r="F1715" t="s">
        <v>97</v>
      </c>
      <c r="G1715" t="s">
        <v>102</v>
      </c>
      <c r="H1715" t="s">
        <v>3808</v>
      </c>
      <c r="I1715" t="s">
        <v>3809</v>
      </c>
      <c r="J1715" t="s">
        <v>3827</v>
      </c>
      <c r="K1715" t="s">
        <v>239</v>
      </c>
      <c r="L1715" s="13">
        <v>39891</v>
      </c>
      <c r="M1715">
        <v>15</v>
      </c>
      <c r="N1715" t="s">
        <v>101</v>
      </c>
      <c r="O1715" t="s">
        <v>3895</v>
      </c>
      <c r="P1715" t="s">
        <v>76</v>
      </c>
      <c r="Q1715" t="s">
        <v>76</v>
      </c>
      <c r="R1715" t="s">
        <v>76</v>
      </c>
      <c r="S1715" t="s">
        <v>76</v>
      </c>
      <c r="T1715" t="s">
        <v>76</v>
      </c>
      <c r="U1715">
        <v>1</v>
      </c>
      <c r="V1715" s="13">
        <v>45175</v>
      </c>
      <c r="W1715">
        <v>1</v>
      </c>
      <c r="X1715">
        <v>1</v>
      </c>
      <c r="Y1715" t="s">
        <v>3696</v>
      </c>
      <c r="AC1715">
        <v>5348</v>
      </c>
      <c r="AD1715" t="e" vm="1705">
        <v>#VALUE!</v>
      </c>
    </row>
    <row r="1716" spans="2:30" x14ac:dyDescent="0.25">
      <c r="B1716">
        <v>5349</v>
      </c>
      <c r="C1716" t="s">
        <v>3684</v>
      </c>
      <c r="D1716" t="s">
        <v>3695</v>
      </c>
      <c r="E1716" t="s">
        <v>3838</v>
      </c>
      <c r="F1716" t="s">
        <v>97</v>
      </c>
      <c r="G1716" t="s">
        <v>102</v>
      </c>
      <c r="H1716" t="s">
        <v>3808</v>
      </c>
      <c r="I1716" t="s">
        <v>3809</v>
      </c>
      <c r="J1716" t="s">
        <v>3827</v>
      </c>
      <c r="K1716" t="s">
        <v>239</v>
      </c>
      <c r="L1716" s="13">
        <v>40534</v>
      </c>
      <c r="M1716">
        <v>13</v>
      </c>
      <c r="N1716" t="s">
        <v>101</v>
      </c>
      <c r="O1716" t="s">
        <v>3895</v>
      </c>
      <c r="P1716" t="s">
        <v>76</v>
      </c>
      <c r="Q1716" t="s">
        <v>76</v>
      </c>
      <c r="R1716" t="s">
        <v>76</v>
      </c>
      <c r="S1716" t="s">
        <v>76</v>
      </c>
      <c r="T1716" t="s">
        <v>76</v>
      </c>
      <c r="U1716">
        <v>1</v>
      </c>
      <c r="V1716" s="13">
        <v>45175</v>
      </c>
      <c r="W1716">
        <v>1</v>
      </c>
      <c r="X1716">
        <v>1</v>
      </c>
      <c r="Y1716" t="s">
        <v>3696</v>
      </c>
      <c r="AC1716">
        <v>5349</v>
      </c>
      <c r="AD1716" t="e" vm="1706">
        <v>#VALUE!</v>
      </c>
    </row>
    <row r="1717" spans="2:30" x14ac:dyDescent="0.25">
      <c r="B1717">
        <v>5350</v>
      </c>
      <c r="C1717" t="s">
        <v>3684</v>
      </c>
      <c r="D1717" t="s">
        <v>3695</v>
      </c>
      <c r="E1717" t="s">
        <v>3838</v>
      </c>
      <c r="F1717" t="s">
        <v>97</v>
      </c>
      <c r="G1717" t="s">
        <v>102</v>
      </c>
      <c r="H1717" t="s">
        <v>3808</v>
      </c>
      <c r="I1717" t="s">
        <v>3809</v>
      </c>
      <c r="J1717" t="s">
        <v>3827</v>
      </c>
      <c r="K1717" t="s">
        <v>239</v>
      </c>
      <c r="L1717" s="13">
        <v>40382</v>
      </c>
      <c r="M1717">
        <v>13</v>
      </c>
      <c r="N1717" t="s">
        <v>101</v>
      </c>
      <c r="O1717" t="s">
        <v>3895</v>
      </c>
      <c r="P1717" t="s">
        <v>76</v>
      </c>
      <c r="Q1717" t="s">
        <v>76</v>
      </c>
      <c r="R1717" t="s">
        <v>76</v>
      </c>
      <c r="S1717" t="s">
        <v>76</v>
      </c>
      <c r="T1717" t="s">
        <v>76</v>
      </c>
      <c r="U1717">
        <v>1</v>
      </c>
      <c r="V1717" s="13">
        <v>45175</v>
      </c>
      <c r="W1717">
        <v>1</v>
      </c>
      <c r="X1717">
        <v>1</v>
      </c>
      <c r="Y1717" t="s">
        <v>3696</v>
      </c>
      <c r="AC1717">
        <v>5350</v>
      </c>
      <c r="AD1717" t="e" vm="1707">
        <v>#VALUE!</v>
      </c>
    </row>
    <row r="1718" spans="2:30" x14ac:dyDescent="0.25">
      <c r="B1718">
        <v>5351</v>
      </c>
      <c r="C1718" t="s">
        <v>3684</v>
      </c>
      <c r="D1718" t="s">
        <v>3695</v>
      </c>
      <c r="E1718" t="s">
        <v>3838</v>
      </c>
      <c r="F1718" t="s">
        <v>97</v>
      </c>
      <c r="G1718" t="s">
        <v>102</v>
      </c>
      <c r="H1718" t="s">
        <v>3808</v>
      </c>
      <c r="I1718" t="s">
        <v>3809</v>
      </c>
      <c r="J1718" t="s">
        <v>3827</v>
      </c>
      <c r="K1718" t="s">
        <v>239</v>
      </c>
      <c r="L1718" s="13">
        <v>40435</v>
      </c>
      <c r="M1718">
        <v>13</v>
      </c>
      <c r="N1718" t="s">
        <v>101</v>
      </c>
      <c r="O1718" t="s">
        <v>3895</v>
      </c>
      <c r="P1718" t="s">
        <v>76</v>
      </c>
      <c r="Q1718" t="s">
        <v>76</v>
      </c>
      <c r="R1718" t="s">
        <v>76</v>
      </c>
      <c r="S1718" t="s">
        <v>76</v>
      </c>
      <c r="T1718" t="s">
        <v>76</v>
      </c>
      <c r="U1718">
        <v>1</v>
      </c>
      <c r="V1718" s="13">
        <v>45175</v>
      </c>
      <c r="W1718">
        <v>1</v>
      </c>
      <c r="X1718">
        <v>1</v>
      </c>
      <c r="Y1718" t="s">
        <v>3696</v>
      </c>
      <c r="AC1718">
        <v>5351</v>
      </c>
      <c r="AD1718" t="e" vm="1708">
        <v>#VALUE!</v>
      </c>
    </row>
    <row r="1719" spans="2:30" x14ac:dyDescent="0.25">
      <c r="B1719">
        <v>5352</v>
      </c>
      <c r="C1719" t="s">
        <v>3684</v>
      </c>
      <c r="D1719" t="s">
        <v>3695</v>
      </c>
      <c r="E1719" t="s">
        <v>3838</v>
      </c>
      <c r="F1719" t="s">
        <v>97</v>
      </c>
      <c r="G1719" t="s">
        <v>102</v>
      </c>
      <c r="H1719" t="s">
        <v>3808</v>
      </c>
      <c r="I1719" t="s">
        <v>3809</v>
      </c>
      <c r="J1719" t="s">
        <v>3827</v>
      </c>
      <c r="K1719" t="s">
        <v>239</v>
      </c>
      <c r="L1719" s="13">
        <v>40435</v>
      </c>
      <c r="M1719">
        <v>13</v>
      </c>
      <c r="N1719" t="s">
        <v>101</v>
      </c>
      <c r="O1719" t="s">
        <v>3895</v>
      </c>
      <c r="P1719" t="s">
        <v>76</v>
      </c>
      <c r="Q1719" t="s">
        <v>76</v>
      </c>
      <c r="R1719" t="s">
        <v>76</v>
      </c>
      <c r="S1719" t="s">
        <v>76</v>
      </c>
      <c r="T1719" t="s">
        <v>76</v>
      </c>
      <c r="U1719">
        <v>1</v>
      </c>
      <c r="V1719" s="13">
        <v>45175</v>
      </c>
      <c r="W1719">
        <v>1</v>
      </c>
      <c r="X1719">
        <v>1</v>
      </c>
      <c r="Y1719" t="s">
        <v>3696</v>
      </c>
      <c r="AC1719">
        <v>5352</v>
      </c>
      <c r="AD1719" t="e" vm="1709">
        <v>#VALUE!</v>
      </c>
    </row>
    <row r="1720" spans="2:30" x14ac:dyDescent="0.25">
      <c r="B1720">
        <v>5353</v>
      </c>
      <c r="C1720" t="s">
        <v>3646</v>
      </c>
      <c r="D1720" t="s">
        <v>3647</v>
      </c>
      <c r="E1720" t="s">
        <v>3807</v>
      </c>
      <c r="F1720" t="s">
        <v>105</v>
      </c>
      <c r="G1720" t="s">
        <v>108</v>
      </c>
      <c r="H1720" t="s">
        <v>3808</v>
      </c>
      <c r="I1720" t="s">
        <v>3839</v>
      </c>
      <c r="J1720" t="s">
        <v>3840</v>
      </c>
      <c r="K1720" t="s">
        <v>239</v>
      </c>
      <c r="L1720" s="13">
        <v>39927</v>
      </c>
      <c r="M1720">
        <v>14</v>
      </c>
      <c r="N1720" t="s">
        <v>90</v>
      </c>
      <c r="O1720" t="s">
        <v>3896</v>
      </c>
      <c r="P1720" t="s">
        <v>76</v>
      </c>
      <c r="Q1720" t="s">
        <v>76</v>
      </c>
      <c r="R1720" t="s">
        <v>76</v>
      </c>
      <c r="S1720" t="s">
        <v>76</v>
      </c>
      <c r="T1720" t="s">
        <v>76</v>
      </c>
      <c r="U1720">
        <v>1</v>
      </c>
      <c r="V1720" s="13">
        <v>45175</v>
      </c>
      <c r="W1720">
        <v>1</v>
      </c>
      <c r="X1720">
        <v>1</v>
      </c>
      <c r="Y1720" t="s">
        <v>3648</v>
      </c>
      <c r="AC1720">
        <v>5353</v>
      </c>
      <c r="AD1720" t="e" vm="1710">
        <v>#VALUE!</v>
      </c>
    </row>
    <row r="1721" spans="2:30" x14ac:dyDescent="0.25">
      <c r="B1721">
        <v>5354</v>
      </c>
      <c r="C1721" t="s">
        <v>3646</v>
      </c>
      <c r="D1721" t="s">
        <v>3647</v>
      </c>
      <c r="E1721" t="s">
        <v>3807</v>
      </c>
      <c r="F1721" t="s">
        <v>105</v>
      </c>
      <c r="G1721" t="s">
        <v>108</v>
      </c>
      <c r="H1721" t="s">
        <v>3808</v>
      </c>
      <c r="I1721" t="s">
        <v>3839</v>
      </c>
      <c r="J1721" t="s">
        <v>3840</v>
      </c>
      <c r="K1721" t="s">
        <v>239</v>
      </c>
      <c r="L1721" s="13">
        <v>40416</v>
      </c>
      <c r="M1721">
        <v>13</v>
      </c>
      <c r="N1721" t="s">
        <v>90</v>
      </c>
      <c r="O1721" t="s">
        <v>3896</v>
      </c>
      <c r="P1721" t="s">
        <v>76</v>
      </c>
      <c r="Q1721" t="s">
        <v>76</v>
      </c>
      <c r="R1721" t="s">
        <v>76</v>
      </c>
      <c r="S1721" t="s">
        <v>76</v>
      </c>
      <c r="T1721" t="s">
        <v>76</v>
      </c>
      <c r="U1721">
        <v>1</v>
      </c>
      <c r="V1721" s="13">
        <v>45175</v>
      </c>
      <c r="W1721">
        <v>1</v>
      </c>
      <c r="X1721">
        <v>1</v>
      </c>
      <c r="Y1721" t="s">
        <v>3648</v>
      </c>
      <c r="AC1721">
        <v>5354</v>
      </c>
      <c r="AD1721" t="e" vm="1711">
        <v>#VALUE!</v>
      </c>
    </row>
    <row r="1722" spans="2:30" x14ac:dyDescent="0.25">
      <c r="B1722">
        <v>5355</v>
      </c>
      <c r="C1722" t="s">
        <v>3698</v>
      </c>
      <c r="D1722" t="s">
        <v>73</v>
      </c>
      <c r="E1722" t="s">
        <v>73</v>
      </c>
      <c r="F1722" t="s">
        <v>3816</v>
      </c>
      <c r="G1722" t="s">
        <v>3816</v>
      </c>
      <c r="H1722" t="s">
        <v>3808</v>
      </c>
      <c r="I1722" t="s">
        <v>3839</v>
      </c>
      <c r="J1722" t="s">
        <v>3840</v>
      </c>
      <c r="K1722" t="s">
        <v>239</v>
      </c>
      <c r="L1722" s="13">
        <v>40416</v>
      </c>
      <c r="M1722">
        <v>13</v>
      </c>
      <c r="N1722" t="s">
        <v>98</v>
      </c>
      <c r="O1722" t="s">
        <v>3896</v>
      </c>
      <c r="P1722" t="s">
        <v>76</v>
      </c>
      <c r="Q1722" t="s">
        <v>76</v>
      </c>
      <c r="R1722" t="s">
        <v>76</v>
      </c>
      <c r="S1722" t="s">
        <v>76</v>
      </c>
      <c r="T1722" t="s">
        <v>76</v>
      </c>
      <c r="U1722">
        <v>1</v>
      </c>
      <c r="V1722" s="13">
        <v>45175</v>
      </c>
      <c r="W1722">
        <v>2</v>
      </c>
      <c r="X1722">
        <v>1</v>
      </c>
      <c r="Y1722" t="s">
        <v>3724</v>
      </c>
      <c r="AC1722">
        <v>5355</v>
      </c>
      <c r="AD1722" t="e" vm="1712">
        <v>#VALUE!</v>
      </c>
    </row>
    <row r="1723" spans="2:30" x14ac:dyDescent="0.25">
      <c r="B1723">
        <v>5356</v>
      </c>
      <c r="C1723" t="s">
        <v>3646</v>
      </c>
      <c r="D1723" t="s">
        <v>3647</v>
      </c>
      <c r="E1723" t="s">
        <v>3807</v>
      </c>
      <c r="F1723" t="s">
        <v>105</v>
      </c>
      <c r="G1723" t="s">
        <v>108</v>
      </c>
      <c r="H1723" t="s">
        <v>3808</v>
      </c>
      <c r="I1723" t="s">
        <v>3839</v>
      </c>
      <c r="J1723" t="s">
        <v>3840</v>
      </c>
      <c r="K1723" t="s">
        <v>239</v>
      </c>
      <c r="L1723" s="13">
        <v>40423</v>
      </c>
      <c r="M1723">
        <v>13</v>
      </c>
      <c r="N1723" t="s">
        <v>90</v>
      </c>
      <c r="O1723" t="s">
        <v>3896</v>
      </c>
      <c r="P1723" t="s">
        <v>76</v>
      </c>
      <c r="Q1723" t="s">
        <v>76</v>
      </c>
      <c r="R1723" t="s">
        <v>76</v>
      </c>
      <c r="S1723" t="s">
        <v>76</v>
      </c>
      <c r="T1723" t="s">
        <v>76</v>
      </c>
      <c r="U1723">
        <v>1</v>
      </c>
      <c r="V1723" s="13">
        <v>45175</v>
      </c>
      <c r="W1723">
        <v>1</v>
      </c>
      <c r="X1723">
        <v>1</v>
      </c>
      <c r="Y1723" t="s">
        <v>3648</v>
      </c>
      <c r="AC1723">
        <v>5356</v>
      </c>
      <c r="AD1723" t="e" vm="1713">
        <v>#VALUE!</v>
      </c>
    </row>
    <row r="1724" spans="2:30" x14ac:dyDescent="0.25">
      <c r="B1724">
        <v>5357</v>
      </c>
      <c r="C1724" t="s">
        <v>3646</v>
      </c>
      <c r="D1724" t="s">
        <v>3647</v>
      </c>
      <c r="E1724" t="s">
        <v>3807</v>
      </c>
      <c r="F1724" t="s">
        <v>105</v>
      </c>
      <c r="G1724" t="s">
        <v>108</v>
      </c>
      <c r="H1724" t="s">
        <v>3808</v>
      </c>
      <c r="I1724" t="s">
        <v>3839</v>
      </c>
      <c r="J1724" t="s">
        <v>3840</v>
      </c>
      <c r="K1724" t="s">
        <v>239</v>
      </c>
      <c r="L1724" s="13">
        <v>40416</v>
      </c>
      <c r="M1724">
        <v>13</v>
      </c>
      <c r="N1724" t="s">
        <v>90</v>
      </c>
      <c r="O1724" t="s">
        <v>3896</v>
      </c>
      <c r="P1724" t="s">
        <v>76</v>
      </c>
      <c r="Q1724" t="s">
        <v>76</v>
      </c>
      <c r="R1724" t="s">
        <v>76</v>
      </c>
      <c r="S1724" t="s">
        <v>76</v>
      </c>
      <c r="T1724" t="s">
        <v>76</v>
      </c>
      <c r="U1724">
        <v>1</v>
      </c>
      <c r="V1724" s="13">
        <v>45175</v>
      </c>
      <c r="W1724">
        <v>1</v>
      </c>
      <c r="X1724">
        <v>1</v>
      </c>
      <c r="Y1724" t="s">
        <v>3648</v>
      </c>
      <c r="AC1724">
        <v>5357</v>
      </c>
      <c r="AD1724" t="e" vm="1714">
        <v>#VALUE!</v>
      </c>
    </row>
    <row r="1725" spans="2:30" x14ac:dyDescent="0.25">
      <c r="B1725">
        <v>5358</v>
      </c>
      <c r="C1725" t="s">
        <v>3659</v>
      </c>
      <c r="D1725" t="s">
        <v>3677</v>
      </c>
      <c r="E1725" t="s">
        <v>3823</v>
      </c>
      <c r="F1725" t="s">
        <v>87</v>
      </c>
      <c r="G1725" t="s">
        <v>86</v>
      </c>
      <c r="H1725" t="s">
        <v>3808</v>
      </c>
      <c r="I1725" t="s">
        <v>3821</v>
      </c>
      <c r="J1725" t="s">
        <v>3827</v>
      </c>
      <c r="K1725" t="s">
        <v>239</v>
      </c>
      <c r="L1725" s="13">
        <v>39878</v>
      </c>
      <c r="M1725">
        <v>15</v>
      </c>
      <c r="N1725" t="s">
        <v>88</v>
      </c>
      <c r="O1725" t="s">
        <v>3897</v>
      </c>
      <c r="P1725" t="s">
        <v>76</v>
      </c>
      <c r="Q1725" t="s">
        <v>76</v>
      </c>
      <c r="R1725" t="s">
        <v>76</v>
      </c>
      <c r="S1725" t="s">
        <v>76</v>
      </c>
      <c r="T1725" t="s">
        <v>76</v>
      </c>
      <c r="U1725">
        <v>1</v>
      </c>
      <c r="V1725" s="13">
        <v>45175</v>
      </c>
      <c r="W1725">
        <v>1</v>
      </c>
      <c r="X1725">
        <v>1</v>
      </c>
      <c r="Y1725" t="s">
        <v>3678</v>
      </c>
      <c r="AC1725">
        <v>5358</v>
      </c>
      <c r="AD1725" t="e" vm="1715">
        <v>#VALUE!</v>
      </c>
    </row>
    <row r="1726" spans="2:30" x14ac:dyDescent="0.25">
      <c r="B1726">
        <v>5359</v>
      </c>
      <c r="C1726" t="s">
        <v>3659</v>
      </c>
      <c r="D1726" t="s">
        <v>3677</v>
      </c>
      <c r="E1726" t="s">
        <v>3823</v>
      </c>
      <c r="F1726" t="s">
        <v>87</v>
      </c>
      <c r="G1726" t="s">
        <v>86</v>
      </c>
      <c r="H1726" t="s">
        <v>3808</v>
      </c>
      <c r="I1726" t="s">
        <v>3821</v>
      </c>
      <c r="J1726" t="s">
        <v>3827</v>
      </c>
      <c r="K1726" t="s">
        <v>239</v>
      </c>
      <c r="L1726" s="13">
        <v>40211</v>
      </c>
      <c r="M1726">
        <v>14</v>
      </c>
      <c r="N1726" t="s">
        <v>88</v>
      </c>
      <c r="O1726" t="s">
        <v>3897</v>
      </c>
      <c r="P1726" t="s">
        <v>76</v>
      </c>
      <c r="Q1726" t="s">
        <v>76</v>
      </c>
      <c r="R1726" t="s">
        <v>76</v>
      </c>
      <c r="S1726" t="s">
        <v>76</v>
      </c>
      <c r="T1726" t="s">
        <v>76</v>
      </c>
      <c r="U1726">
        <v>1</v>
      </c>
      <c r="V1726" s="13">
        <v>45175</v>
      </c>
      <c r="W1726">
        <v>1</v>
      </c>
      <c r="X1726">
        <v>1</v>
      </c>
      <c r="Y1726" t="s">
        <v>3678</v>
      </c>
      <c r="AC1726">
        <v>5359</v>
      </c>
      <c r="AD1726" t="e" vm="1716">
        <v>#VALUE!</v>
      </c>
    </row>
    <row r="1727" spans="2:30" x14ac:dyDescent="0.25">
      <c r="B1727">
        <v>5360</v>
      </c>
      <c r="C1727" t="s">
        <v>3659</v>
      </c>
      <c r="D1727" t="s">
        <v>3677</v>
      </c>
      <c r="E1727" t="s">
        <v>3823</v>
      </c>
      <c r="F1727" t="s">
        <v>87</v>
      </c>
      <c r="G1727" t="s">
        <v>86</v>
      </c>
      <c r="H1727" t="s">
        <v>3808</v>
      </c>
      <c r="I1727" t="s">
        <v>3821</v>
      </c>
      <c r="J1727" t="s">
        <v>3827</v>
      </c>
      <c r="K1727" t="s">
        <v>239</v>
      </c>
      <c r="L1727" s="13">
        <v>40211</v>
      </c>
      <c r="M1727">
        <v>14</v>
      </c>
      <c r="N1727" t="s">
        <v>88</v>
      </c>
      <c r="O1727" t="s">
        <v>3897</v>
      </c>
      <c r="P1727" t="s">
        <v>76</v>
      </c>
      <c r="Q1727" t="s">
        <v>76</v>
      </c>
      <c r="R1727" t="s">
        <v>76</v>
      </c>
      <c r="S1727" t="s">
        <v>76</v>
      </c>
      <c r="T1727" t="s">
        <v>76</v>
      </c>
      <c r="U1727">
        <v>1</v>
      </c>
      <c r="V1727" s="13">
        <v>45175</v>
      </c>
      <c r="W1727">
        <v>1</v>
      </c>
      <c r="X1727">
        <v>1</v>
      </c>
      <c r="Y1727" t="s">
        <v>3678</v>
      </c>
      <c r="AC1727">
        <v>5360</v>
      </c>
      <c r="AD1727" t="e" vm="1717">
        <v>#VALUE!</v>
      </c>
    </row>
    <row r="1728" spans="2:30" x14ac:dyDescent="0.25">
      <c r="B1728">
        <v>5361</v>
      </c>
      <c r="C1728" t="s">
        <v>3659</v>
      </c>
      <c r="D1728" t="s">
        <v>3677</v>
      </c>
      <c r="E1728" t="s">
        <v>3823</v>
      </c>
      <c r="F1728" t="s">
        <v>87</v>
      </c>
      <c r="G1728" t="s">
        <v>86</v>
      </c>
      <c r="H1728" t="s">
        <v>3808</v>
      </c>
      <c r="I1728" t="s">
        <v>3821</v>
      </c>
      <c r="J1728" t="s">
        <v>3827</v>
      </c>
      <c r="K1728" t="s">
        <v>239</v>
      </c>
      <c r="L1728" s="13">
        <v>40170</v>
      </c>
      <c r="M1728">
        <v>14</v>
      </c>
      <c r="N1728" t="s">
        <v>88</v>
      </c>
      <c r="O1728" t="s">
        <v>3897</v>
      </c>
      <c r="P1728" t="s">
        <v>76</v>
      </c>
      <c r="Q1728" t="s">
        <v>76</v>
      </c>
      <c r="R1728" t="s">
        <v>76</v>
      </c>
      <c r="S1728" t="s">
        <v>76</v>
      </c>
      <c r="T1728" t="s">
        <v>76</v>
      </c>
      <c r="U1728">
        <v>1</v>
      </c>
      <c r="V1728" s="13">
        <v>45175</v>
      </c>
      <c r="W1728">
        <v>1</v>
      </c>
      <c r="X1728">
        <v>1</v>
      </c>
      <c r="Y1728" t="s">
        <v>3678</v>
      </c>
      <c r="AC1728">
        <v>5361</v>
      </c>
      <c r="AD1728" t="e" vm="1718">
        <v>#VALUE!</v>
      </c>
    </row>
    <row r="1729" spans="2:30" x14ac:dyDescent="0.25">
      <c r="B1729">
        <v>5362</v>
      </c>
      <c r="C1729" t="s">
        <v>3659</v>
      </c>
      <c r="D1729" t="s">
        <v>3677</v>
      </c>
      <c r="E1729" t="s">
        <v>3823</v>
      </c>
      <c r="F1729" t="s">
        <v>87</v>
      </c>
      <c r="G1729" t="s">
        <v>86</v>
      </c>
      <c r="H1729" t="s">
        <v>3808</v>
      </c>
      <c r="I1729" t="s">
        <v>3821</v>
      </c>
      <c r="J1729" t="s">
        <v>3827</v>
      </c>
      <c r="K1729" t="s">
        <v>239</v>
      </c>
      <c r="L1729" s="13">
        <v>40170</v>
      </c>
      <c r="M1729">
        <v>14</v>
      </c>
      <c r="N1729" t="s">
        <v>88</v>
      </c>
      <c r="O1729" t="s">
        <v>3897</v>
      </c>
      <c r="P1729" t="s">
        <v>76</v>
      </c>
      <c r="Q1729" t="s">
        <v>76</v>
      </c>
      <c r="R1729" t="s">
        <v>76</v>
      </c>
      <c r="S1729" t="s">
        <v>76</v>
      </c>
      <c r="T1729" t="s">
        <v>76</v>
      </c>
      <c r="U1729">
        <v>1</v>
      </c>
      <c r="V1729" s="13">
        <v>45175</v>
      </c>
      <c r="W1729">
        <v>1</v>
      </c>
      <c r="X1729">
        <v>1</v>
      </c>
      <c r="Y1729" t="s">
        <v>3678</v>
      </c>
      <c r="AC1729">
        <v>5362</v>
      </c>
      <c r="AD1729" t="e" vm="1719">
        <v>#VALUE!</v>
      </c>
    </row>
    <row r="1730" spans="2:30" x14ac:dyDescent="0.25">
      <c r="B1730">
        <v>5363</v>
      </c>
      <c r="C1730" t="s">
        <v>3659</v>
      </c>
      <c r="D1730" t="s">
        <v>3677</v>
      </c>
      <c r="E1730" t="s">
        <v>3823</v>
      </c>
      <c r="F1730" t="s">
        <v>87</v>
      </c>
      <c r="G1730" t="s">
        <v>86</v>
      </c>
      <c r="H1730" t="s">
        <v>3808</v>
      </c>
      <c r="I1730" t="s">
        <v>3821</v>
      </c>
      <c r="J1730" t="s">
        <v>3827</v>
      </c>
      <c r="K1730" t="s">
        <v>239</v>
      </c>
      <c r="L1730" s="13">
        <v>40225</v>
      </c>
      <c r="M1730">
        <v>14</v>
      </c>
      <c r="N1730" t="s">
        <v>88</v>
      </c>
      <c r="O1730" t="s">
        <v>3897</v>
      </c>
      <c r="P1730" t="s">
        <v>76</v>
      </c>
      <c r="Q1730" t="s">
        <v>76</v>
      </c>
      <c r="R1730" t="s">
        <v>76</v>
      </c>
      <c r="S1730" t="s">
        <v>76</v>
      </c>
      <c r="T1730" t="s">
        <v>76</v>
      </c>
      <c r="U1730">
        <v>1</v>
      </c>
      <c r="V1730" s="13">
        <v>45175</v>
      </c>
      <c r="W1730">
        <v>1</v>
      </c>
      <c r="X1730">
        <v>1</v>
      </c>
      <c r="Y1730" t="s">
        <v>3678</v>
      </c>
      <c r="AC1730">
        <v>5363</v>
      </c>
      <c r="AD1730" t="e" vm="1720">
        <v>#VALUE!</v>
      </c>
    </row>
    <row r="1731" spans="2:30" x14ac:dyDescent="0.25">
      <c r="B1731">
        <v>5364</v>
      </c>
      <c r="C1731" t="s">
        <v>3659</v>
      </c>
      <c r="D1731" t="s">
        <v>3677</v>
      </c>
      <c r="E1731" t="s">
        <v>3823</v>
      </c>
      <c r="F1731" t="s">
        <v>87</v>
      </c>
      <c r="G1731" t="s">
        <v>86</v>
      </c>
      <c r="H1731" t="s">
        <v>3808</v>
      </c>
      <c r="I1731" t="s">
        <v>3821</v>
      </c>
      <c r="J1731" t="s">
        <v>3827</v>
      </c>
      <c r="K1731" t="s">
        <v>239</v>
      </c>
      <c r="L1731" s="13">
        <v>40225</v>
      </c>
      <c r="M1731">
        <v>14</v>
      </c>
      <c r="N1731" t="s">
        <v>88</v>
      </c>
      <c r="O1731" t="s">
        <v>3897</v>
      </c>
      <c r="P1731" t="s">
        <v>76</v>
      </c>
      <c r="Q1731" t="s">
        <v>76</v>
      </c>
      <c r="R1731" t="s">
        <v>76</v>
      </c>
      <c r="S1731" t="s">
        <v>76</v>
      </c>
      <c r="T1731" t="s">
        <v>76</v>
      </c>
      <c r="U1731">
        <v>1</v>
      </c>
      <c r="V1731" s="13">
        <v>45175</v>
      </c>
      <c r="W1731">
        <v>1</v>
      </c>
      <c r="X1731">
        <v>1</v>
      </c>
      <c r="Y1731" t="s">
        <v>3678</v>
      </c>
      <c r="AC1731">
        <v>5364</v>
      </c>
      <c r="AD1731" t="e" vm="1721">
        <v>#VALUE!</v>
      </c>
    </row>
    <row r="1732" spans="2:30" x14ac:dyDescent="0.25">
      <c r="B1732">
        <v>5365</v>
      </c>
      <c r="C1732" t="s">
        <v>3659</v>
      </c>
      <c r="D1732" t="s">
        <v>3677</v>
      </c>
      <c r="E1732" t="s">
        <v>3823</v>
      </c>
      <c r="F1732" t="s">
        <v>87</v>
      </c>
      <c r="G1732" t="s">
        <v>86</v>
      </c>
      <c r="H1732" t="s">
        <v>3808</v>
      </c>
      <c r="I1732" t="s">
        <v>3821</v>
      </c>
      <c r="J1732" t="s">
        <v>3827</v>
      </c>
      <c r="K1732" t="s">
        <v>239</v>
      </c>
      <c r="L1732" s="13">
        <v>40266</v>
      </c>
      <c r="M1732">
        <v>13</v>
      </c>
      <c r="N1732" t="s">
        <v>88</v>
      </c>
      <c r="O1732" t="s">
        <v>3897</v>
      </c>
      <c r="P1732" t="s">
        <v>76</v>
      </c>
      <c r="Q1732" t="s">
        <v>76</v>
      </c>
      <c r="R1732" t="s">
        <v>76</v>
      </c>
      <c r="S1732" t="s">
        <v>76</v>
      </c>
      <c r="T1732" t="s">
        <v>76</v>
      </c>
      <c r="U1732">
        <v>1</v>
      </c>
      <c r="V1732" s="13">
        <v>45175</v>
      </c>
      <c r="W1732">
        <v>1</v>
      </c>
      <c r="X1732">
        <v>1</v>
      </c>
      <c r="Y1732" t="s">
        <v>3678</v>
      </c>
      <c r="AC1732">
        <v>5365</v>
      </c>
      <c r="AD1732" t="e" vm="1722">
        <v>#VALUE!</v>
      </c>
    </row>
    <row r="1733" spans="2:30" x14ac:dyDescent="0.25">
      <c r="B1733">
        <v>5366</v>
      </c>
      <c r="C1733" t="s">
        <v>3659</v>
      </c>
      <c r="D1733" t="s">
        <v>3677</v>
      </c>
      <c r="E1733" t="s">
        <v>3823</v>
      </c>
      <c r="F1733" t="s">
        <v>87</v>
      </c>
      <c r="G1733" t="s">
        <v>86</v>
      </c>
      <c r="H1733" t="s">
        <v>3808</v>
      </c>
      <c r="I1733" t="s">
        <v>3821</v>
      </c>
      <c r="J1733" t="s">
        <v>3827</v>
      </c>
      <c r="K1733" t="s">
        <v>239</v>
      </c>
      <c r="L1733" s="13">
        <v>40267</v>
      </c>
      <c r="M1733">
        <v>13</v>
      </c>
      <c r="N1733" t="s">
        <v>88</v>
      </c>
      <c r="O1733" t="s">
        <v>3897</v>
      </c>
      <c r="P1733" t="s">
        <v>76</v>
      </c>
      <c r="Q1733" t="s">
        <v>76</v>
      </c>
      <c r="R1733" t="s">
        <v>76</v>
      </c>
      <c r="S1733" t="s">
        <v>76</v>
      </c>
      <c r="T1733" t="s">
        <v>76</v>
      </c>
      <c r="U1733">
        <v>1</v>
      </c>
      <c r="V1733" s="13">
        <v>45175</v>
      </c>
      <c r="W1733">
        <v>1</v>
      </c>
      <c r="X1733">
        <v>1</v>
      </c>
      <c r="Y1733" t="s">
        <v>3678</v>
      </c>
      <c r="AC1733">
        <v>5366</v>
      </c>
      <c r="AD1733" t="e" vm="1723">
        <v>#VALUE!</v>
      </c>
    </row>
    <row r="1734" spans="2:30" x14ac:dyDescent="0.25">
      <c r="B1734">
        <v>5367</v>
      </c>
      <c r="C1734" t="s">
        <v>3659</v>
      </c>
      <c r="D1734" t="s">
        <v>3677</v>
      </c>
      <c r="E1734" t="s">
        <v>3823</v>
      </c>
      <c r="F1734" t="s">
        <v>87</v>
      </c>
      <c r="G1734" t="s">
        <v>86</v>
      </c>
      <c r="H1734" t="s">
        <v>3808</v>
      </c>
      <c r="I1734" t="s">
        <v>3821</v>
      </c>
      <c r="J1734" t="s">
        <v>3827</v>
      </c>
      <c r="K1734" t="s">
        <v>239</v>
      </c>
      <c r="L1734" s="13">
        <v>40274</v>
      </c>
      <c r="M1734">
        <v>13</v>
      </c>
      <c r="N1734" t="s">
        <v>88</v>
      </c>
      <c r="O1734" t="s">
        <v>3897</v>
      </c>
      <c r="P1734" t="s">
        <v>76</v>
      </c>
      <c r="Q1734" t="s">
        <v>76</v>
      </c>
      <c r="R1734" t="s">
        <v>76</v>
      </c>
      <c r="S1734" t="s">
        <v>76</v>
      </c>
      <c r="T1734" t="s">
        <v>76</v>
      </c>
      <c r="U1734">
        <v>1</v>
      </c>
      <c r="V1734" s="13">
        <v>45175</v>
      </c>
      <c r="W1734">
        <v>1</v>
      </c>
      <c r="X1734">
        <v>1</v>
      </c>
      <c r="Y1734" t="s">
        <v>3678</v>
      </c>
      <c r="AC1734">
        <v>5367</v>
      </c>
      <c r="AD1734" t="e" vm="1724">
        <v>#VALUE!</v>
      </c>
    </row>
    <row r="1735" spans="2:30" x14ac:dyDescent="0.25">
      <c r="B1735">
        <v>5368</v>
      </c>
      <c r="C1735" t="s">
        <v>3659</v>
      </c>
      <c r="D1735" t="s">
        <v>3677</v>
      </c>
      <c r="E1735" t="s">
        <v>3823</v>
      </c>
      <c r="F1735" t="s">
        <v>87</v>
      </c>
      <c r="G1735" t="s">
        <v>86</v>
      </c>
      <c r="H1735" t="s">
        <v>3808</v>
      </c>
      <c r="I1735" t="s">
        <v>3821</v>
      </c>
      <c r="J1735" t="s">
        <v>3827</v>
      </c>
      <c r="K1735" t="s">
        <v>239</v>
      </c>
      <c r="L1735" s="13">
        <v>40267</v>
      </c>
      <c r="M1735">
        <v>13</v>
      </c>
      <c r="N1735" t="s">
        <v>88</v>
      </c>
      <c r="O1735" t="s">
        <v>3897</v>
      </c>
      <c r="P1735" t="s">
        <v>76</v>
      </c>
      <c r="Q1735" t="s">
        <v>76</v>
      </c>
      <c r="R1735" t="s">
        <v>76</v>
      </c>
      <c r="S1735" t="s">
        <v>76</v>
      </c>
      <c r="T1735" t="s">
        <v>76</v>
      </c>
      <c r="U1735">
        <v>1</v>
      </c>
      <c r="V1735" s="13">
        <v>45175</v>
      </c>
      <c r="W1735">
        <v>1</v>
      </c>
      <c r="X1735">
        <v>1</v>
      </c>
      <c r="Y1735" t="s">
        <v>3678</v>
      </c>
      <c r="AC1735">
        <v>5368</v>
      </c>
      <c r="AD1735" t="e" vm="1725">
        <v>#VALUE!</v>
      </c>
    </row>
    <row r="1736" spans="2:30" x14ac:dyDescent="0.25">
      <c r="B1736">
        <v>5369</v>
      </c>
      <c r="C1736" t="s">
        <v>3659</v>
      </c>
      <c r="D1736" t="s">
        <v>3677</v>
      </c>
      <c r="E1736" t="s">
        <v>3823</v>
      </c>
      <c r="F1736" t="s">
        <v>87</v>
      </c>
      <c r="G1736" t="s">
        <v>86</v>
      </c>
      <c r="H1736" t="s">
        <v>3808</v>
      </c>
      <c r="I1736" t="s">
        <v>3821</v>
      </c>
      <c r="J1736" t="s">
        <v>3827</v>
      </c>
      <c r="K1736" t="s">
        <v>239</v>
      </c>
      <c r="L1736" s="13">
        <v>40290</v>
      </c>
      <c r="M1736">
        <v>13</v>
      </c>
      <c r="N1736" t="s">
        <v>88</v>
      </c>
      <c r="O1736" t="s">
        <v>3897</v>
      </c>
      <c r="P1736" t="s">
        <v>76</v>
      </c>
      <c r="Q1736" t="s">
        <v>76</v>
      </c>
      <c r="R1736" t="s">
        <v>76</v>
      </c>
      <c r="S1736" t="s">
        <v>76</v>
      </c>
      <c r="T1736" t="s">
        <v>76</v>
      </c>
      <c r="U1736">
        <v>1</v>
      </c>
      <c r="V1736" s="13">
        <v>45175</v>
      </c>
      <c r="W1736">
        <v>1</v>
      </c>
      <c r="X1736">
        <v>1</v>
      </c>
      <c r="Y1736" t="s">
        <v>3678</v>
      </c>
      <c r="AC1736">
        <v>5369</v>
      </c>
      <c r="AD1736" t="e" vm="1726">
        <v>#VALUE!</v>
      </c>
    </row>
    <row r="1737" spans="2:30" x14ac:dyDescent="0.25">
      <c r="B1737">
        <v>5370</v>
      </c>
      <c r="C1737" t="s">
        <v>3659</v>
      </c>
      <c r="D1737" t="s">
        <v>3677</v>
      </c>
      <c r="E1737" t="s">
        <v>3823</v>
      </c>
      <c r="F1737" t="s">
        <v>87</v>
      </c>
      <c r="G1737" t="s">
        <v>86</v>
      </c>
      <c r="H1737" t="s">
        <v>3808</v>
      </c>
      <c r="I1737" t="s">
        <v>3821</v>
      </c>
      <c r="J1737" t="s">
        <v>3827</v>
      </c>
      <c r="K1737" t="s">
        <v>239</v>
      </c>
      <c r="L1737" s="13">
        <v>40280</v>
      </c>
      <c r="M1737">
        <v>13</v>
      </c>
      <c r="N1737" t="s">
        <v>88</v>
      </c>
      <c r="O1737" t="s">
        <v>3897</v>
      </c>
      <c r="P1737" t="s">
        <v>76</v>
      </c>
      <c r="Q1737" t="s">
        <v>76</v>
      </c>
      <c r="R1737" t="s">
        <v>76</v>
      </c>
      <c r="S1737" t="s">
        <v>76</v>
      </c>
      <c r="T1737" t="s">
        <v>76</v>
      </c>
      <c r="U1737">
        <v>1</v>
      </c>
      <c r="V1737" s="13">
        <v>45175</v>
      </c>
      <c r="W1737">
        <v>1</v>
      </c>
      <c r="X1737">
        <v>1</v>
      </c>
      <c r="Y1737" t="s">
        <v>3678</v>
      </c>
      <c r="AC1737">
        <v>5370</v>
      </c>
      <c r="AD1737" t="e" vm="1727">
        <v>#VALUE!</v>
      </c>
    </row>
    <row r="1738" spans="2:30" x14ac:dyDescent="0.25">
      <c r="B1738">
        <v>5371</v>
      </c>
      <c r="C1738" t="s">
        <v>3659</v>
      </c>
      <c r="D1738" t="s">
        <v>3677</v>
      </c>
      <c r="E1738" t="s">
        <v>3823</v>
      </c>
      <c r="F1738" t="s">
        <v>87</v>
      </c>
      <c r="G1738" t="s">
        <v>86</v>
      </c>
      <c r="H1738" t="s">
        <v>3808</v>
      </c>
      <c r="I1738" t="s">
        <v>3821</v>
      </c>
      <c r="J1738" t="s">
        <v>3827</v>
      </c>
      <c r="K1738" t="s">
        <v>239</v>
      </c>
      <c r="L1738" s="13">
        <v>40290</v>
      </c>
      <c r="M1738">
        <v>13</v>
      </c>
      <c r="N1738" t="s">
        <v>88</v>
      </c>
      <c r="O1738" t="s">
        <v>3897</v>
      </c>
      <c r="P1738" t="s">
        <v>76</v>
      </c>
      <c r="Q1738" t="s">
        <v>76</v>
      </c>
      <c r="R1738" t="s">
        <v>76</v>
      </c>
      <c r="S1738" t="s">
        <v>76</v>
      </c>
      <c r="T1738" t="s">
        <v>76</v>
      </c>
      <c r="U1738">
        <v>1</v>
      </c>
      <c r="V1738" s="13">
        <v>45175</v>
      </c>
      <c r="W1738">
        <v>1</v>
      </c>
      <c r="X1738">
        <v>1</v>
      </c>
      <c r="Y1738" t="s">
        <v>3678</v>
      </c>
      <c r="AC1738">
        <v>5371</v>
      </c>
      <c r="AD1738" t="e" vm="1728">
        <v>#VALUE!</v>
      </c>
    </row>
    <row r="1739" spans="2:30" x14ac:dyDescent="0.25">
      <c r="B1739">
        <v>5372</v>
      </c>
      <c r="C1739" t="s">
        <v>3659</v>
      </c>
      <c r="D1739" t="s">
        <v>3677</v>
      </c>
      <c r="E1739" t="s">
        <v>3823</v>
      </c>
      <c r="F1739" t="s">
        <v>87</v>
      </c>
      <c r="G1739" t="s">
        <v>86</v>
      </c>
      <c r="H1739" t="s">
        <v>3808</v>
      </c>
      <c r="I1739" t="s">
        <v>3821</v>
      </c>
      <c r="J1739" t="s">
        <v>3827</v>
      </c>
      <c r="K1739" t="s">
        <v>239</v>
      </c>
      <c r="L1739" s="13">
        <v>40339</v>
      </c>
      <c r="M1739">
        <v>13</v>
      </c>
      <c r="N1739" t="s">
        <v>88</v>
      </c>
      <c r="O1739" t="s">
        <v>3897</v>
      </c>
      <c r="P1739" t="s">
        <v>76</v>
      </c>
      <c r="Q1739" t="s">
        <v>76</v>
      </c>
      <c r="R1739" t="s">
        <v>76</v>
      </c>
      <c r="S1739" t="s">
        <v>76</v>
      </c>
      <c r="T1739" t="s">
        <v>76</v>
      </c>
      <c r="U1739">
        <v>1</v>
      </c>
      <c r="V1739" s="13">
        <v>45175</v>
      </c>
      <c r="W1739">
        <v>1</v>
      </c>
      <c r="X1739">
        <v>1</v>
      </c>
      <c r="Y1739" t="s">
        <v>3678</v>
      </c>
      <c r="AC1739">
        <v>5372</v>
      </c>
      <c r="AD1739" t="e" vm="1729">
        <v>#VALUE!</v>
      </c>
    </row>
    <row r="1740" spans="2:30" x14ac:dyDescent="0.25">
      <c r="B1740">
        <v>5373</v>
      </c>
      <c r="C1740" t="s">
        <v>3659</v>
      </c>
      <c r="D1740" t="s">
        <v>3677</v>
      </c>
      <c r="E1740" t="s">
        <v>3823</v>
      </c>
      <c r="F1740" t="s">
        <v>87</v>
      </c>
      <c r="G1740" t="s">
        <v>86</v>
      </c>
      <c r="H1740" t="s">
        <v>3808</v>
      </c>
      <c r="I1740" t="s">
        <v>3821</v>
      </c>
      <c r="J1740" t="s">
        <v>3827</v>
      </c>
      <c r="K1740" t="s">
        <v>239</v>
      </c>
      <c r="L1740" s="13">
        <v>40310</v>
      </c>
      <c r="M1740">
        <v>13</v>
      </c>
      <c r="N1740" t="s">
        <v>88</v>
      </c>
      <c r="O1740" t="s">
        <v>3897</v>
      </c>
      <c r="P1740" t="s">
        <v>76</v>
      </c>
      <c r="Q1740" t="s">
        <v>76</v>
      </c>
      <c r="R1740" t="s">
        <v>76</v>
      </c>
      <c r="S1740" t="s">
        <v>76</v>
      </c>
      <c r="T1740" t="s">
        <v>76</v>
      </c>
      <c r="U1740">
        <v>1</v>
      </c>
      <c r="V1740" s="13">
        <v>45175</v>
      </c>
      <c r="W1740">
        <v>1</v>
      </c>
      <c r="X1740">
        <v>1</v>
      </c>
      <c r="Y1740" t="s">
        <v>3678</v>
      </c>
      <c r="AC1740">
        <v>5373</v>
      </c>
      <c r="AD1740" t="e" vm="1730">
        <v>#VALUE!</v>
      </c>
    </row>
    <row r="1741" spans="2:30" x14ac:dyDescent="0.25">
      <c r="B1741">
        <v>5374</v>
      </c>
      <c r="C1741" t="s">
        <v>3659</v>
      </c>
      <c r="D1741" t="s">
        <v>3677</v>
      </c>
      <c r="E1741" t="s">
        <v>3823</v>
      </c>
      <c r="F1741" t="s">
        <v>87</v>
      </c>
      <c r="G1741" t="s">
        <v>86</v>
      </c>
      <c r="H1741" t="s">
        <v>3808</v>
      </c>
      <c r="I1741" t="s">
        <v>3821</v>
      </c>
      <c r="J1741" t="s">
        <v>3827</v>
      </c>
      <c r="K1741" t="s">
        <v>239</v>
      </c>
      <c r="L1741" s="13">
        <v>40302</v>
      </c>
      <c r="M1741">
        <v>13</v>
      </c>
      <c r="N1741" t="s">
        <v>88</v>
      </c>
      <c r="O1741" t="s">
        <v>3897</v>
      </c>
      <c r="P1741" t="s">
        <v>76</v>
      </c>
      <c r="Q1741" t="s">
        <v>76</v>
      </c>
      <c r="R1741" t="s">
        <v>76</v>
      </c>
      <c r="S1741" t="s">
        <v>76</v>
      </c>
      <c r="T1741" t="s">
        <v>76</v>
      </c>
      <c r="U1741">
        <v>1</v>
      </c>
      <c r="V1741" s="13">
        <v>45175</v>
      </c>
      <c r="W1741">
        <v>1</v>
      </c>
      <c r="X1741">
        <v>1</v>
      </c>
      <c r="Y1741" t="s">
        <v>3678</v>
      </c>
      <c r="AC1741">
        <v>5374</v>
      </c>
      <c r="AD1741" t="e" vm="1731">
        <v>#VALUE!</v>
      </c>
    </row>
    <row r="1742" spans="2:30" x14ac:dyDescent="0.25">
      <c r="B1742">
        <v>5375</v>
      </c>
      <c r="C1742" t="s">
        <v>3659</v>
      </c>
      <c r="D1742" t="s">
        <v>3677</v>
      </c>
      <c r="E1742" t="s">
        <v>3823</v>
      </c>
      <c r="F1742" t="s">
        <v>87</v>
      </c>
      <c r="G1742" t="s">
        <v>86</v>
      </c>
      <c r="H1742" t="s">
        <v>3808</v>
      </c>
      <c r="I1742" t="s">
        <v>3821</v>
      </c>
      <c r="J1742" t="s">
        <v>3827</v>
      </c>
      <c r="K1742" t="s">
        <v>239</v>
      </c>
      <c r="L1742" s="13">
        <v>40339</v>
      </c>
      <c r="M1742">
        <v>13</v>
      </c>
      <c r="N1742" t="s">
        <v>88</v>
      </c>
      <c r="O1742" t="s">
        <v>3897</v>
      </c>
      <c r="P1742" t="s">
        <v>76</v>
      </c>
      <c r="Q1742" t="s">
        <v>76</v>
      </c>
      <c r="R1742" t="s">
        <v>76</v>
      </c>
      <c r="S1742" t="s">
        <v>76</v>
      </c>
      <c r="T1742" t="s">
        <v>76</v>
      </c>
      <c r="U1742">
        <v>1</v>
      </c>
      <c r="V1742" s="13">
        <v>45175</v>
      </c>
      <c r="W1742">
        <v>1</v>
      </c>
      <c r="X1742">
        <v>1</v>
      </c>
      <c r="Y1742" t="s">
        <v>3678</v>
      </c>
      <c r="AC1742">
        <v>5375</v>
      </c>
      <c r="AD1742" t="e" vm="1732">
        <v>#VALUE!</v>
      </c>
    </row>
    <row r="1743" spans="2:30" x14ac:dyDescent="0.25">
      <c r="B1743">
        <v>5376</v>
      </c>
      <c r="C1743" t="s">
        <v>3659</v>
      </c>
      <c r="D1743" t="s">
        <v>3677</v>
      </c>
      <c r="E1743" t="s">
        <v>3823</v>
      </c>
      <c r="F1743" t="s">
        <v>87</v>
      </c>
      <c r="G1743" t="s">
        <v>86</v>
      </c>
      <c r="H1743" t="s">
        <v>3808</v>
      </c>
      <c r="I1743" t="s">
        <v>3821</v>
      </c>
      <c r="J1743" t="s">
        <v>3827</v>
      </c>
      <c r="K1743" t="s">
        <v>239</v>
      </c>
      <c r="L1743" s="13">
        <v>40351</v>
      </c>
      <c r="M1743">
        <v>13</v>
      </c>
      <c r="N1743" t="s">
        <v>88</v>
      </c>
      <c r="O1743" t="s">
        <v>3897</v>
      </c>
      <c r="P1743" t="s">
        <v>76</v>
      </c>
      <c r="Q1743" t="s">
        <v>76</v>
      </c>
      <c r="R1743" t="s">
        <v>76</v>
      </c>
      <c r="S1743" t="s">
        <v>76</v>
      </c>
      <c r="T1743" t="s">
        <v>76</v>
      </c>
      <c r="U1743">
        <v>1</v>
      </c>
      <c r="V1743" s="13">
        <v>45175</v>
      </c>
      <c r="W1743">
        <v>1</v>
      </c>
      <c r="X1743">
        <v>1</v>
      </c>
      <c r="Y1743" t="s">
        <v>3678</v>
      </c>
      <c r="AC1743">
        <v>5376</v>
      </c>
      <c r="AD1743" t="e" vm="1733">
        <v>#VALUE!</v>
      </c>
    </row>
    <row r="1744" spans="2:30" x14ac:dyDescent="0.25">
      <c r="B1744">
        <v>5377</v>
      </c>
      <c r="C1744" t="s">
        <v>3659</v>
      </c>
      <c r="D1744" t="s">
        <v>3677</v>
      </c>
      <c r="E1744" t="s">
        <v>3823</v>
      </c>
      <c r="F1744" t="s">
        <v>87</v>
      </c>
      <c r="G1744" t="s">
        <v>86</v>
      </c>
      <c r="H1744" t="s">
        <v>3808</v>
      </c>
      <c r="I1744" t="s">
        <v>3821</v>
      </c>
      <c r="J1744" t="s">
        <v>3827</v>
      </c>
      <c r="K1744" t="s">
        <v>239</v>
      </c>
      <c r="L1744" s="13">
        <v>40351</v>
      </c>
      <c r="M1744">
        <v>13</v>
      </c>
      <c r="N1744" t="s">
        <v>88</v>
      </c>
      <c r="O1744" t="s">
        <v>3897</v>
      </c>
      <c r="P1744" t="s">
        <v>76</v>
      </c>
      <c r="Q1744" t="s">
        <v>76</v>
      </c>
      <c r="R1744" t="s">
        <v>76</v>
      </c>
      <c r="S1744" t="s">
        <v>76</v>
      </c>
      <c r="T1744" t="s">
        <v>76</v>
      </c>
      <c r="U1744">
        <v>1</v>
      </c>
      <c r="V1744" s="13">
        <v>45175</v>
      </c>
      <c r="W1744">
        <v>1</v>
      </c>
      <c r="X1744">
        <v>1</v>
      </c>
      <c r="Y1744" t="s">
        <v>3678</v>
      </c>
      <c r="AC1744">
        <v>5377</v>
      </c>
      <c r="AD1744" t="e" vm="1734">
        <v>#VALUE!</v>
      </c>
    </row>
    <row r="1745" spans="2:30" x14ac:dyDescent="0.25">
      <c r="B1745">
        <v>5378</v>
      </c>
      <c r="C1745" t="s">
        <v>3684</v>
      </c>
      <c r="D1745" t="s">
        <v>3695</v>
      </c>
      <c r="E1745" t="s">
        <v>3838</v>
      </c>
      <c r="F1745" t="s">
        <v>97</v>
      </c>
      <c r="G1745" t="s">
        <v>102</v>
      </c>
      <c r="H1745" t="s">
        <v>3808</v>
      </c>
      <c r="I1745" t="s">
        <v>3821</v>
      </c>
      <c r="J1745" t="s">
        <v>3827</v>
      </c>
      <c r="K1745" t="s">
        <v>239</v>
      </c>
      <c r="L1745" s="13">
        <v>40361</v>
      </c>
      <c r="M1745">
        <v>13</v>
      </c>
      <c r="N1745" t="s">
        <v>101</v>
      </c>
      <c r="O1745" t="s">
        <v>3897</v>
      </c>
      <c r="P1745" t="s">
        <v>76</v>
      </c>
      <c r="Q1745" t="s">
        <v>76</v>
      </c>
      <c r="R1745" t="s">
        <v>76</v>
      </c>
      <c r="S1745" t="s">
        <v>76</v>
      </c>
      <c r="T1745" t="s">
        <v>76</v>
      </c>
      <c r="U1745">
        <v>1</v>
      </c>
      <c r="V1745" s="13">
        <v>45175</v>
      </c>
      <c r="W1745">
        <v>1</v>
      </c>
      <c r="X1745">
        <v>1</v>
      </c>
      <c r="Y1745" t="s">
        <v>3696</v>
      </c>
      <c r="AC1745">
        <v>5378</v>
      </c>
      <c r="AD1745" t="e" vm="1735">
        <v>#VALUE!</v>
      </c>
    </row>
    <row r="1746" spans="2:30" x14ac:dyDescent="0.25">
      <c r="B1746">
        <v>5379</v>
      </c>
      <c r="C1746" t="s">
        <v>3684</v>
      </c>
      <c r="D1746" t="s">
        <v>3695</v>
      </c>
      <c r="E1746" t="s">
        <v>3838</v>
      </c>
      <c r="F1746" t="s">
        <v>97</v>
      </c>
      <c r="G1746" t="s">
        <v>102</v>
      </c>
      <c r="H1746" t="s">
        <v>3808</v>
      </c>
      <c r="I1746" t="s">
        <v>3821</v>
      </c>
      <c r="J1746" t="s">
        <v>3827</v>
      </c>
      <c r="K1746" t="s">
        <v>239</v>
      </c>
      <c r="L1746" s="13">
        <v>40351</v>
      </c>
      <c r="M1746">
        <v>13</v>
      </c>
      <c r="N1746" t="s">
        <v>101</v>
      </c>
      <c r="O1746" t="s">
        <v>3897</v>
      </c>
      <c r="P1746" t="s">
        <v>76</v>
      </c>
      <c r="Q1746" t="s">
        <v>76</v>
      </c>
      <c r="R1746" t="s">
        <v>76</v>
      </c>
      <c r="S1746" t="s">
        <v>76</v>
      </c>
      <c r="T1746" t="s">
        <v>76</v>
      </c>
      <c r="U1746">
        <v>1</v>
      </c>
      <c r="V1746" s="13">
        <v>45175</v>
      </c>
      <c r="W1746">
        <v>1</v>
      </c>
      <c r="X1746">
        <v>1</v>
      </c>
      <c r="Y1746" t="s">
        <v>3696</v>
      </c>
      <c r="AC1746">
        <v>5379</v>
      </c>
      <c r="AD1746" t="e" vm="1736">
        <v>#VALUE!</v>
      </c>
    </row>
    <row r="1747" spans="2:30" x14ac:dyDescent="0.25">
      <c r="B1747">
        <v>5380</v>
      </c>
      <c r="C1747" t="s">
        <v>3684</v>
      </c>
      <c r="D1747" t="s">
        <v>3695</v>
      </c>
      <c r="E1747" t="s">
        <v>3838</v>
      </c>
      <c r="F1747" t="s">
        <v>97</v>
      </c>
      <c r="G1747" t="s">
        <v>102</v>
      </c>
      <c r="H1747" t="s">
        <v>3808</v>
      </c>
      <c r="I1747" t="s">
        <v>3821</v>
      </c>
      <c r="J1747" t="s">
        <v>3827</v>
      </c>
      <c r="K1747" t="s">
        <v>239</v>
      </c>
      <c r="L1747" s="13">
        <v>40372</v>
      </c>
      <c r="M1747">
        <v>13</v>
      </c>
      <c r="N1747" t="s">
        <v>101</v>
      </c>
      <c r="O1747" t="s">
        <v>3897</v>
      </c>
      <c r="P1747" t="s">
        <v>76</v>
      </c>
      <c r="Q1747" t="s">
        <v>76</v>
      </c>
      <c r="R1747" t="s">
        <v>76</v>
      </c>
      <c r="S1747" t="s">
        <v>76</v>
      </c>
      <c r="T1747" t="s">
        <v>76</v>
      </c>
      <c r="U1747">
        <v>1</v>
      </c>
      <c r="V1747" s="13">
        <v>45175</v>
      </c>
      <c r="W1747">
        <v>1</v>
      </c>
      <c r="X1747">
        <v>1</v>
      </c>
      <c r="Y1747" t="s">
        <v>3696</v>
      </c>
      <c r="AC1747">
        <v>5380</v>
      </c>
      <c r="AD1747" t="e" vm="1737">
        <v>#VALUE!</v>
      </c>
    </row>
    <row r="1748" spans="2:30" x14ac:dyDescent="0.25">
      <c r="B1748">
        <v>5381</v>
      </c>
      <c r="C1748" t="s">
        <v>3684</v>
      </c>
      <c r="D1748" t="s">
        <v>3695</v>
      </c>
      <c r="E1748" t="s">
        <v>3838</v>
      </c>
      <c r="F1748" t="s">
        <v>97</v>
      </c>
      <c r="G1748" t="s">
        <v>102</v>
      </c>
      <c r="H1748" t="s">
        <v>3808</v>
      </c>
      <c r="I1748" t="s">
        <v>3821</v>
      </c>
      <c r="J1748" t="s">
        <v>3827</v>
      </c>
      <c r="K1748" t="s">
        <v>239</v>
      </c>
      <c r="L1748" s="13">
        <v>40361</v>
      </c>
      <c r="M1748">
        <v>13</v>
      </c>
      <c r="N1748" t="s">
        <v>101</v>
      </c>
      <c r="O1748" t="s">
        <v>3897</v>
      </c>
      <c r="P1748" t="s">
        <v>76</v>
      </c>
      <c r="Q1748" t="s">
        <v>76</v>
      </c>
      <c r="R1748" t="s">
        <v>76</v>
      </c>
      <c r="S1748" t="s">
        <v>76</v>
      </c>
      <c r="T1748" t="s">
        <v>76</v>
      </c>
      <c r="U1748">
        <v>1</v>
      </c>
      <c r="V1748" s="13">
        <v>45175</v>
      </c>
      <c r="W1748">
        <v>1</v>
      </c>
      <c r="X1748">
        <v>1</v>
      </c>
      <c r="Y1748" t="s">
        <v>3696</v>
      </c>
      <c r="AC1748">
        <v>5381</v>
      </c>
      <c r="AD1748" t="e" vm="1738">
        <v>#VALUE!</v>
      </c>
    </row>
    <row r="1749" spans="2:30" x14ac:dyDescent="0.25">
      <c r="B1749">
        <v>5382</v>
      </c>
      <c r="C1749" t="s">
        <v>3684</v>
      </c>
      <c r="D1749" t="s">
        <v>3695</v>
      </c>
      <c r="E1749" t="s">
        <v>3838</v>
      </c>
      <c r="F1749" t="s">
        <v>97</v>
      </c>
      <c r="G1749" t="s">
        <v>102</v>
      </c>
      <c r="H1749" t="s">
        <v>3808</v>
      </c>
      <c r="I1749" t="s">
        <v>3821</v>
      </c>
      <c r="J1749" t="s">
        <v>3827</v>
      </c>
      <c r="K1749" t="s">
        <v>239</v>
      </c>
      <c r="L1749" s="13">
        <v>40381</v>
      </c>
      <c r="M1749">
        <v>13</v>
      </c>
      <c r="N1749" t="s">
        <v>101</v>
      </c>
      <c r="O1749" t="s">
        <v>3897</v>
      </c>
      <c r="P1749" t="s">
        <v>76</v>
      </c>
      <c r="Q1749" t="s">
        <v>76</v>
      </c>
      <c r="R1749" t="s">
        <v>76</v>
      </c>
      <c r="S1749" t="s">
        <v>76</v>
      </c>
      <c r="T1749" t="s">
        <v>76</v>
      </c>
      <c r="U1749">
        <v>1</v>
      </c>
      <c r="V1749" s="13">
        <v>45175</v>
      </c>
      <c r="W1749">
        <v>1</v>
      </c>
      <c r="X1749">
        <v>1</v>
      </c>
      <c r="Y1749" t="s">
        <v>3696</v>
      </c>
      <c r="AC1749">
        <v>5382</v>
      </c>
      <c r="AD1749" t="e" vm="1739">
        <v>#VALUE!</v>
      </c>
    </row>
    <row r="1750" spans="2:30" x14ac:dyDescent="0.25">
      <c r="B1750">
        <v>5389</v>
      </c>
      <c r="C1750" t="s">
        <v>3668</v>
      </c>
      <c r="D1750" t="s">
        <v>3725</v>
      </c>
      <c r="E1750" t="s">
        <v>3866</v>
      </c>
      <c r="F1750" t="s">
        <v>105</v>
      </c>
      <c r="G1750" t="s">
        <v>104</v>
      </c>
      <c r="H1750" t="s">
        <v>3808</v>
      </c>
      <c r="I1750" t="s">
        <v>3839</v>
      </c>
      <c r="J1750" t="s">
        <v>3898</v>
      </c>
      <c r="K1750" t="s">
        <v>79</v>
      </c>
      <c r="L1750" s="13">
        <v>40268</v>
      </c>
      <c r="M1750">
        <v>13</v>
      </c>
      <c r="N1750" t="s">
        <v>82</v>
      </c>
      <c r="O1750" t="s">
        <v>3899</v>
      </c>
      <c r="P1750" t="s">
        <v>76</v>
      </c>
      <c r="Q1750" t="s">
        <v>95</v>
      </c>
      <c r="R1750" t="s">
        <v>76</v>
      </c>
      <c r="S1750" t="s">
        <v>76</v>
      </c>
      <c r="T1750" t="s">
        <v>76</v>
      </c>
      <c r="U1750">
        <v>1</v>
      </c>
      <c r="V1750" s="13">
        <v>45175</v>
      </c>
      <c r="W1750">
        <v>1</v>
      </c>
      <c r="X1750">
        <v>1</v>
      </c>
      <c r="Y1750" t="s">
        <v>3726</v>
      </c>
      <c r="AC1750">
        <v>5389</v>
      </c>
      <c r="AD1750" t="e" vm="1740">
        <v>#VALUE!</v>
      </c>
    </row>
    <row r="1751" spans="2:30" x14ac:dyDescent="0.25">
      <c r="B1751">
        <v>5391</v>
      </c>
      <c r="C1751" t="s">
        <v>3698</v>
      </c>
      <c r="D1751" t="s">
        <v>73</v>
      </c>
      <c r="E1751" t="s">
        <v>73</v>
      </c>
      <c r="F1751" t="s">
        <v>3816</v>
      </c>
      <c r="G1751" t="s">
        <v>3816</v>
      </c>
      <c r="H1751" t="s">
        <v>3808</v>
      </c>
      <c r="I1751" t="s">
        <v>3839</v>
      </c>
      <c r="J1751" t="s">
        <v>3898</v>
      </c>
      <c r="K1751" t="s">
        <v>79</v>
      </c>
      <c r="L1751" s="13">
        <v>40256</v>
      </c>
      <c r="M1751">
        <v>14</v>
      </c>
      <c r="N1751" t="s">
        <v>98</v>
      </c>
      <c r="O1751" t="s">
        <v>3899</v>
      </c>
      <c r="P1751" t="s">
        <v>76</v>
      </c>
      <c r="Q1751" t="s">
        <v>95</v>
      </c>
      <c r="R1751" t="s">
        <v>76</v>
      </c>
      <c r="S1751" t="s">
        <v>76</v>
      </c>
      <c r="T1751" t="s">
        <v>76</v>
      </c>
      <c r="U1751">
        <v>1</v>
      </c>
      <c r="V1751" s="13">
        <v>45175</v>
      </c>
      <c r="W1751">
        <v>2</v>
      </c>
      <c r="X1751">
        <v>1</v>
      </c>
      <c r="Y1751" t="s">
        <v>3724</v>
      </c>
      <c r="AC1751">
        <v>5391</v>
      </c>
      <c r="AD1751" t="e" vm="1741">
        <v>#VALUE!</v>
      </c>
    </row>
    <row r="1752" spans="2:30" x14ac:dyDescent="0.25">
      <c r="B1752">
        <v>5396</v>
      </c>
      <c r="C1752" t="s">
        <v>3698</v>
      </c>
      <c r="D1752" t="s">
        <v>73</v>
      </c>
      <c r="E1752" t="s">
        <v>73</v>
      </c>
      <c r="F1752" t="s">
        <v>3816</v>
      </c>
      <c r="G1752" t="s">
        <v>3816</v>
      </c>
      <c r="H1752" t="s">
        <v>3808</v>
      </c>
      <c r="I1752" t="s">
        <v>3839</v>
      </c>
      <c r="J1752" t="s">
        <v>3898</v>
      </c>
      <c r="K1752" t="s">
        <v>79</v>
      </c>
      <c r="L1752" s="13">
        <v>40267</v>
      </c>
      <c r="M1752">
        <v>13</v>
      </c>
      <c r="N1752" t="s">
        <v>98</v>
      </c>
      <c r="O1752" t="s">
        <v>3899</v>
      </c>
      <c r="P1752" t="s">
        <v>76</v>
      </c>
      <c r="Q1752" t="s">
        <v>95</v>
      </c>
      <c r="R1752" t="s">
        <v>76</v>
      </c>
      <c r="S1752" t="s">
        <v>76</v>
      </c>
      <c r="T1752" t="s">
        <v>76</v>
      </c>
      <c r="U1752">
        <v>1</v>
      </c>
      <c r="V1752" s="13">
        <v>45175</v>
      </c>
      <c r="W1752">
        <v>2</v>
      </c>
      <c r="X1752">
        <v>1</v>
      </c>
      <c r="Y1752" t="s">
        <v>3724</v>
      </c>
      <c r="AC1752">
        <v>5396</v>
      </c>
      <c r="AD1752" t="e" vm="1742">
        <v>#VALUE!</v>
      </c>
    </row>
    <row r="1753" spans="2:30" x14ac:dyDescent="0.25">
      <c r="B1753">
        <v>5399</v>
      </c>
      <c r="C1753" t="s">
        <v>3698</v>
      </c>
      <c r="D1753" t="s">
        <v>73</v>
      </c>
      <c r="E1753" t="s">
        <v>73</v>
      </c>
      <c r="F1753" t="s">
        <v>3816</v>
      </c>
      <c r="G1753" t="s">
        <v>3816</v>
      </c>
      <c r="H1753" t="s">
        <v>3808</v>
      </c>
      <c r="I1753" t="s">
        <v>3839</v>
      </c>
      <c r="J1753" t="s">
        <v>3898</v>
      </c>
      <c r="K1753" t="s">
        <v>79</v>
      </c>
      <c r="L1753" s="13">
        <v>40291</v>
      </c>
      <c r="M1753">
        <v>13</v>
      </c>
      <c r="N1753" t="s">
        <v>98</v>
      </c>
      <c r="O1753" t="s">
        <v>3899</v>
      </c>
      <c r="P1753" t="s">
        <v>76</v>
      </c>
      <c r="Q1753" t="s">
        <v>95</v>
      </c>
      <c r="R1753" t="s">
        <v>76</v>
      </c>
      <c r="S1753" t="s">
        <v>76</v>
      </c>
      <c r="T1753" t="s">
        <v>76</v>
      </c>
      <c r="U1753">
        <v>1</v>
      </c>
      <c r="V1753" s="13">
        <v>45175</v>
      </c>
      <c r="W1753">
        <v>2</v>
      </c>
      <c r="X1753">
        <v>1</v>
      </c>
      <c r="Y1753" t="s">
        <v>3724</v>
      </c>
      <c r="AC1753">
        <v>5399</v>
      </c>
      <c r="AD1753" t="e" vm="1743">
        <v>#VALUE!</v>
      </c>
    </row>
    <row r="1754" spans="2:30" x14ac:dyDescent="0.25">
      <c r="B1754">
        <v>5402</v>
      </c>
      <c r="C1754" t="s">
        <v>3684</v>
      </c>
      <c r="D1754" t="s">
        <v>3695</v>
      </c>
      <c r="E1754" t="s">
        <v>3838</v>
      </c>
      <c r="F1754" t="s">
        <v>97</v>
      </c>
      <c r="G1754" t="s">
        <v>102</v>
      </c>
      <c r="H1754" t="s">
        <v>3808</v>
      </c>
      <c r="I1754" t="s">
        <v>3809</v>
      </c>
      <c r="J1754" t="s">
        <v>3827</v>
      </c>
      <c r="K1754" t="s">
        <v>239</v>
      </c>
      <c r="L1754" s="13">
        <v>40724</v>
      </c>
      <c r="M1754">
        <v>12</v>
      </c>
      <c r="N1754" t="s">
        <v>101</v>
      </c>
      <c r="O1754" t="s">
        <v>3900</v>
      </c>
      <c r="P1754" t="s">
        <v>76</v>
      </c>
      <c r="Q1754" t="s">
        <v>76</v>
      </c>
      <c r="R1754" t="s">
        <v>76</v>
      </c>
      <c r="S1754" t="s">
        <v>76</v>
      </c>
      <c r="T1754" t="s">
        <v>76</v>
      </c>
      <c r="U1754">
        <v>1</v>
      </c>
      <c r="V1754" s="13">
        <v>45175</v>
      </c>
      <c r="W1754">
        <v>1</v>
      </c>
      <c r="X1754">
        <v>1</v>
      </c>
      <c r="Y1754" t="s">
        <v>3696</v>
      </c>
      <c r="AC1754">
        <v>5402</v>
      </c>
      <c r="AD1754" t="e" vm="1744">
        <v>#VALUE!</v>
      </c>
    </row>
    <row r="1755" spans="2:30" x14ac:dyDescent="0.25">
      <c r="B1755">
        <v>5403</v>
      </c>
      <c r="C1755" t="s">
        <v>3684</v>
      </c>
      <c r="D1755" t="s">
        <v>3695</v>
      </c>
      <c r="E1755" t="s">
        <v>3838</v>
      </c>
      <c r="F1755" t="s">
        <v>97</v>
      </c>
      <c r="G1755" t="s">
        <v>102</v>
      </c>
      <c r="H1755" t="s">
        <v>3808</v>
      </c>
      <c r="I1755" t="s">
        <v>3809</v>
      </c>
      <c r="J1755" t="s">
        <v>3827</v>
      </c>
      <c r="K1755" t="s">
        <v>239</v>
      </c>
      <c r="L1755" s="13">
        <v>40549</v>
      </c>
      <c r="M1755">
        <v>13</v>
      </c>
      <c r="N1755" t="s">
        <v>101</v>
      </c>
      <c r="O1755" t="s">
        <v>3900</v>
      </c>
      <c r="P1755" t="s">
        <v>76</v>
      </c>
      <c r="Q1755" t="s">
        <v>76</v>
      </c>
      <c r="R1755" t="s">
        <v>76</v>
      </c>
      <c r="S1755" t="s">
        <v>76</v>
      </c>
      <c r="T1755" t="s">
        <v>76</v>
      </c>
      <c r="U1755">
        <v>1</v>
      </c>
      <c r="V1755" s="13">
        <v>45175</v>
      </c>
      <c r="W1755">
        <v>1</v>
      </c>
      <c r="X1755">
        <v>1</v>
      </c>
      <c r="Y1755" t="s">
        <v>3696</v>
      </c>
      <c r="AC1755">
        <v>5403</v>
      </c>
      <c r="AD1755" t="e" vm="1745">
        <v>#VALUE!</v>
      </c>
    </row>
    <row r="1756" spans="2:30" x14ac:dyDescent="0.25">
      <c r="B1756">
        <v>5404</v>
      </c>
      <c r="C1756" t="s">
        <v>3684</v>
      </c>
      <c r="D1756" t="s">
        <v>3695</v>
      </c>
      <c r="E1756" t="s">
        <v>3838</v>
      </c>
      <c r="F1756" t="s">
        <v>97</v>
      </c>
      <c r="G1756" t="s">
        <v>102</v>
      </c>
      <c r="H1756" t="s">
        <v>3808</v>
      </c>
      <c r="I1756" t="s">
        <v>3809</v>
      </c>
      <c r="J1756" t="s">
        <v>3827</v>
      </c>
      <c r="K1756" t="s">
        <v>239</v>
      </c>
      <c r="L1756" s="13">
        <v>40534</v>
      </c>
      <c r="M1756">
        <v>13</v>
      </c>
      <c r="N1756" t="s">
        <v>101</v>
      </c>
      <c r="O1756" t="s">
        <v>3900</v>
      </c>
      <c r="P1756" t="s">
        <v>76</v>
      </c>
      <c r="Q1756" t="s">
        <v>76</v>
      </c>
      <c r="R1756" t="s">
        <v>76</v>
      </c>
      <c r="S1756" t="s">
        <v>76</v>
      </c>
      <c r="T1756" t="s">
        <v>76</v>
      </c>
      <c r="U1756">
        <v>1</v>
      </c>
      <c r="V1756" s="13">
        <v>45175</v>
      </c>
      <c r="W1756">
        <v>1</v>
      </c>
      <c r="X1756">
        <v>1</v>
      </c>
      <c r="Y1756" t="s">
        <v>3696</v>
      </c>
      <c r="AC1756">
        <v>5404</v>
      </c>
      <c r="AD1756" t="e" vm="1746">
        <v>#VALUE!</v>
      </c>
    </row>
    <row r="1757" spans="2:30" x14ac:dyDescent="0.25">
      <c r="B1757">
        <v>5405</v>
      </c>
      <c r="C1757" t="s">
        <v>3684</v>
      </c>
      <c r="D1757" t="s">
        <v>3695</v>
      </c>
      <c r="E1757" t="s">
        <v>3838</v>
      </c>
      <c r="F1757" t="s">
        <v>97</v>
      </c>
      <c r="G1757" t="s">
        <v>102</v>
      </c>
      <c r="H1757" t="s">
        <v>3808</v>
      </c>
      <c r="I1757" t="s">
        <v>3809</v>
      </c>
      <c r="J1757" t="s">
        <v>3827</v>
      </c>
      <c r="K1757" t="s">
        <v>239</v>
      </c>
      <c r="L1757" s="13">
        <v>40534</v>
      </c>
      <c r="M1757">
        <v>13</v>
      </c>
      <c r="N1757" t="s">
        <v>101</v>
      </c>
      <c r="O1757" t="s">
        <v>3900</v>
      </c>
      <c r="P1757" t="s">
        <v>76</v>
      </c>
      <c r="Q1757" t="s">
        <v>76</v>
      </c>
      <c r="R1757" t="s">
        <v>76</v>
      </c>
      <c r="S1757" t="s">
        <v>76</v>
      </c>
      <c r="T1757" t="s">
        <v>76</v>
      </c>
      <c r="U1757">
        <v>1</v>
      </c>
      <c r="V1757" s="13">
        <v>45175</v>
      </c>
      <c r="W1757">
        <v>1</v>
      </c>
      <c r="X1757">
        <v>1</v>
      </c>
      <c r="Y1757" t="s">
        <v>3696</v>
      </c>
      <c r="AC1757">
        <v>5405</v>
      </c>
      <c r="AD1757" t="e" vm="1747">
        <v>#VALUE!</v>
      </c>
    </row>
    <row r="1758" spans="2:30" x14ac:dyDescent="0.25">
      <c r="B1758">
        <v>5406</v>
      </c>
      <c r="C1758" t="s">
        <v>3684</v>
      </c>
      <c r="D1758" t="s">
        <v>3695</v>
      </c>
      <c r="E1758" t="s">
        <v>3838</v>
      </c>
      <c r="F1758" t="s">
        <v>97</v>
      </c>
      <c r="G1758" t="s">
        <v>102</v>
      </c>
      <c r="H1758" t="s">
        <v>3808</v>
      </c>
      <c r="I1758" t="s">
        <v>3809</v>
      </c>
      <c r="J1758" t="s">
        <v>3827</v>
      </c>
      <c r="K1758" t="s">
        <v>239</v>
      </c>
      <c r="L1758" s="13">
        <v>40549</v>
      </c>
      <c r="M1758">
        <v>13</v>
      </c>
      <c r="N1758" t="s">
        <v>101</v>
      </c>
      <c r="O1758" t="s">
        <v>3900</v>
      </c>
      <c r="P1758" t="s">
        <v>76</v>
      </c>
      <c r="Q1758" t="s">
        <v>76</v>
      </c>
      <c r="R1758" t="s">
        <v>76</v>
      </c>
      <c r="S1758" t="s">
        <v>76</v>
      </c>
      <c r="T1758" t="s">
        <v>76</v>
      </c>
      <c r="U1758">
        <v>1</v>
      </c>
      <c r="V1758" s="13">
        <v>45175</v>
      </c>
      <c r="W1758">
        <v>1</v>
      </c>
      <c r="X1758">
        <v>1</v>
      </c>
      <c r="Y1758" t="s">
        <v>3696</v>
      </c>
      <c r="AC1758">
        <v>5406</v>
      </c>
      <c r="AD1758" t="e" vm="1748">
        <v>#VALUE!</v>
      </c>
    </row>
    <row r="1759" spans="2:30" x14ac:dyDescent="0.25">
      <c r="B1759">
        <v>5407</v>
      </c>
      <c r="C1759" t="s">
        <v>3684</v>
      </c>
      <c r="D1759" t="s">
        <v>3695</v>
      </c>
      <c r="E1759" t="s">
        <v>3838</v>
      </c>
      <c r="F1759" t="s">
        <v>97</v>
      </c>
      <c r="G1759" t="s">
        <v>102</v>
      </c>
      <c r="H1759" t="s">
        <v>3808</v>
      </c>
      <c r="I1759" t="s">
        <v>3809</v>
      </c>
      <c r="J1759" t="s">
        <v>3827</v>
      </c>
      <c r="K1759" t="s">
        <v>239</v>
      </c>
      <c r="L1759" s="13">
        <v>40534</v>
      </c>
      <c r="M1759">
        <v>13</v>
      </c>
      <c r="N1759" t="s">
        <v>101</v>
      </c>
      <c r="O1759" t="s">
        <v>3900</v>
      </c>
      <c r="P1759" t="s">
        <v>76</v>
      </c>
      <c r="Q1759" t="s">
        <v>76</v>
      </c>
      <c r="R1759" t="s">
        <v>76</v>
      </c>
      <c r="S1759" t="s">
        <v>76</v>
      </c>
      <c r="T1759" t="s">
        <v>76</v>
      </c>
      <c r="U1759">
        <v>1</v>
      </c>
      <c r="V1759" s="13">
        <v>45175</v>
      </c>
      <c r="W1759">
        <v>1</v>
      </c>
      <c r="X1759">
        <v>1</v>
      </c>
      <c r="Y1759" t="s">
        <v>3696</v>
      </c>
      <c r="AC1759">
        <v>5407</v>
      </c>
      <c r="AD1759" t="e" vm="1749">
        <v>#VALUE!</v>
      </c>
    </row>
    <row r="1760" spans="2:30" x14ac:dyDescent="0.25">
      <c r="B1760">
        <v>5408</v>
      </c>
      <c r="C1760" t="s">
        <v>3684</v>
      </c>
      <c r="D1760" t="s">
        <v>3695</v>
      </c>
      <c r="E1760" t="s">
        <v>3838</v>
      </c>
      <c r="F1760" t="s">
        <v>97</v>
      </c>
      <c r="G1760" t="s">
        <v>102</v>
      </c>
      <c r="H1760" t="s">
        <v>3808</v>
      </c>
      <c r="I1760" t="s">
        <v>3809</v>
      </c>
      <c r="J1760" t="s">
        <v>3827</v>
      </c>
      <c r="K1760" t="s">
        <v>239</v>
      </c>
      <c r="L1760" s="13">
        <v>40557</v>
      </c>
      <c r="M1760">
        <v>13</v>
      </c>
      <c r="N1760" t="s">
        <v>101</v>
      </c>
      <c r="O1760" t="s">
        <v>3900</v>
      </c>
      <c r="P1760" t="s">
        <v>76</v>
      </c>
      <c r="Q1760" t="s">
        <v>76</v>
      </c>
      <c r="R1760" t="s">
        <v>76</v>
      </c>
      <c r="S1760" t="s">
        <v>76</v>
      </c>
      <c r="T1760" t="s">
        <v>76</v>
      </c>
      <c r="U1760">
        <v>1</v>
      </c>
      <c r="V1760" s="13">
        <v>45175</v>
      </c>
      <c r="W1760">
        <v>1</v>
      </c>
      <c r="X1760">
        <v>1</v>
      </c>
      <c r="Y1760" t="s">
        <v>3696</v>
      </c>
      <c r="AC1760">
        <v>5408</v>
      </c>
      <c r="AD1760" t="e" vm="1750">
        <v>#VALUE!</v>
      </c>
    </row>
    <row r="1761" spans="2:30" x14ac:dyDescent="0.25">
      <c r="B1761">
        <v>5409</v>
      </c>
      <c r="C1761" t="s">
        <v>3684</v>
      </c>
      <c r="D1761" t="s">
        <v>3695</v>
      </c>
      <c r="E1761" t="s">
        <v>3838</v>
      </c>
      <c r="F1761" t="s">
        <v>97</v>
      </c>
      <c r="G1761" t="s">
        <v>102</v>
      </c>
      <c r="H1761" t="s">
        <v>3808</v>
      </c>
      <c r="I1761" t="s">
        <v>3809</v>
      </c>
      <c r="J1761" t="s">
        <v>3827</v>
      </c>
      <c r="K1761" t="s">
        <v>239</v>
      </c>
      <c r="L1761" s="13">
        <v>40550</v>
      </c>
      <c r="M1761">
        <v>13</v>
      </c>
      <c r="N1761" t="s">
        <v>101</v>
      </c>
      <c r="O1761" t="s">
        <v>3900</v>
      </c>
      <c r="P1761" t="s">
        <v>76</v>
      </c>
      <c r="Q1761" t="s">
        <v>76</v>
      </c>
      <c r="R1761" t="s">
        <v>76</v>
      </c>
      <c r="S1761" t="s">
        <v>76</v>
      </c>
      <c r="T1761" t="s">
        <v>76</v>
      </c>
      <c r="U1761">
        <v>1</v>
      </c>
      <c r="V1761" s="13">
        <v>45175</v>
      </c>
      <c r="W1761">
        <v>1</v>
      </c>
      <c r="X1761">
        <v>1</v>
      </c>
      <c r="Y1761" t="s">
        <v>3696</v>
      </c>
      <c r="AC1761">
        <v>5409</v>
      </c>
      <c r="AD1761" t="e" vm="1751">
        <v>#VALUE!</v>
      </c>
    </row>
    <row r="1762" spans="2:30" x14ac:dyDescent="0.25">
      <c r="B1762">
        <v>5410</v>
      </c>
      <c r="C1762" t="s">
        <v>3684</v>
      </c>
      <c r="D1762" t="s">
        <v>3695</v>
      </c>
      <c r="E1762" t="s">
        <v>3838</v>
      </c>
      <c r="F1762" t="s">
        <v>97</v>
      </c>
      <c r="G1762" t="s">
        <v>102</v>
      </c>
      <c r="H1762" t="s">
        <v>3808</v>
      </c>
      <c r="I1762" t="s">
        <v>3809</v>
      </c>
      <c r="J1762" t="s">
        <v>3827</v>
      </c>
      <c r="K1762" t="s">
        <v>239</v>
      </c>
      <c r="L1762" s="13">
        <v>40564</v>
      </c>
      <c r="M1762">
        <v>13</v>
      </c>
      <c r="N1762" t="s">
        <v>101</v>
      </c>
      <c r="O1762" t="s">
        <v>3900</v>
      </c>
      <c r="P1762" t="s">
        <v>76</v>
      </c>
      <c r="Q1762" t="s">
        <v>76</v>
      </c>
      <c r="R1762" t="s">
        <v>76</v>
      </c>
      <c r="S1762" t="s">
        <v>76</v>
      </c>
      <c r="T1762" t="s">
        <v>76</v>
      </c>
      <c r="U1762">
        <v>1</v>
      </c>
      <c r="V1762" s="13">
        <v>45175</v>
      </c>
      <c r="W1762">
        <v>1</v>
      </c>
      <c r="X1762">
        <v>1</v>
      </c>
      <c r="Y1762" t="s">
        <v>3696</v>
      </c>
      <c r="AC1762">
        <v>5410</v>
      </c>
      <c r="AD1762" t="e" vm="1752">
        <v>#VALUE!</v>
      </c>
    </row>
    <row r="1763" spans="2:30" x14ac:dyDescent="0.25">
      <c r="B1763">
        <v>5411</v>
      </c>
      <c r="C1763" t="s">
        <v>3684</v>
      </c>
      <c r="D1763" t="s">
        <v>3695</v>
      </c>
      <c r="E1763" t="s">
        <v>3838</v>
      </c>
      <c r="F1763" t="s">
        <v>97</v>
      </c>
      <c r="G1763" t="s">
        <v>102</v>
      </c>
      <c r="H1763" t="s">
        <v>3808</v>
      </c>
      <c r="I1763" t="s">
        <v>3809</v>
      </c>
      <c r="J1763" t="s">
        <v>3827</v>
      </c>
      <c r="K1763" t="s">
        <v>239</v>
      </c>
      <c r="L1763" s="13">
        <v>40564</v>
      </c>
      <c r="M1763">
        <v>13</v>
      </c>
      <c r="N1763" t="s">
        <v>101</v>
      </c>
      <c r="O1763" t="s">
        <v>3900</v>
      </c>
      <c r="P1763" t="s">
        <v>76</v>
      </c>
      <c r="Q1763" t="s">
        <v>76</v>
      </c>
      <c r="R1763" t="s">
        <v>76</v>
      </c>
      <c r="S1763" t="s">
        <v>76</v>
      </c>
      <c r="T1763" t="s">
        <v>76</v>
      </c>
      <c r="U1763">
        <v>1</v>
      </c>
      <c r="V1763" s="13">
        <v>45175</v>
      </c>
      <c r="W1763">
        <v>1</v>
      </c>
      <c r="X1763">
        <v>1</v>
      </c>
      <c r="Y1763" t="s">
        <v>3696</v>
      </c>
      <c r="AC1763">
        <v>5411</v>
      </c>
      <c r="AD1763" t="e" vm="1753">
        <v>#VALUE!</v>
      </c>
    </row>
    <row r="1764" spans="2:30" x14ac:dyDescent="0.25">
      <c r="B1764">
        <v>5412</v>
      </c>
      <c r="C1764" t="s">
        <v>3684</v>
      </c>
      <c r="D1764" t="s">
        <v>3695</v>
      </c>
      <c r="E1764" t="s">
        <v>3838</v>
      </c>
      <c r="F1764" t="s">
        <v>97</v>
      </c>
      <c r="G1764" t="s">
        <v>102</v>
      </c>
      <c r="H1764" t="s">
        <v>3808</v>
      </c>
      <c r="I1764" t="s">
        <v>3809</v>
      </c>
      <c r="J1764" t="s">
        <v>3827</v>
      </c>
      <c r="K1764" t="s">
        <v>239</v>
      </c>
      <c r="L1764" s="13">
        <v>40899</v>
      </c>
      <c r="M1764">
        <v>12</v>
      </c>
      <c r="N1764" t="s">
        <v>101</v>
      </c>
      <c r="O1764" t="s">
        <v>3900</v>
      </c>
      <c r="P1764" t="s">
        <v>76</v>
      </c>
      <c r="Q1764" t="s">
        <v>76</v>
      </c>
      <c r="R1764" t="s">
        <v>76</v>
      </c>
      <c r="S1764" t="s">
        <v>76</v>
      </c>
      <c r="T1764" t="s">
        <v>76</v>
      </c>
      <c r="U1764">
        <v>1</v>
      </c>
      <c r="V1764" s="13">
        <v>45175</v>
      </c>
      <c r="W1764">
        <v>1</v>
      </c>
      <c r="X1764">
        <v>1</v>
      </c>
      <c r="Y1764" t="s">
        <v>3696</v>
      </c>
      <c r="AC1764">
        <v>5412</v>
      </c>
      <c r="AD1764" t="e" vm="1754">
        <v>#VALUE!</v>
      </c>
    </row>
    <row r="1765" spans="2:30" x14ac:dyDescent="0.25">
      <c r="B1765">
        <v>5413</v>
      </c>
      <c r="C1765" t="s">
        <v>3684</v>
      </c>
      <c r="D1765" t="s">
        <v>3695</v>
      </c>
      <c r="E1765" t="s">
        <v>3838</v>
      </c>
      <c r="F1765" t="s">
        <v>97</v>
      </c>
      <c r="G1765" t="s">
        <v>102</v>
      </c>
      <c r="H1765" t="s">
        <v>3808</v>
      </c>
      <c r="I1765" t="s">
        <v>3809</v>
      </c>
      <c r="J1765" t="s">
        <v>3827</v>
      </c>
      <c r="K1765" t="s">
        <v>239</v>
      </c>
      <c r="L1765" s="13">
        <v>40570</v>
      </c>
      <c r="M1765">
        <v>13</v>
      </c>
      <c r="N1765" t="s">
        <v>101</v>
      </c>
      <c r="O1765" t="s">
        <v>3900</v>
      </c>
      <c r="P1765" t="s">
        <v>76</v>
      </c>
      <c r="Q1765" t="s">
        <v>76</v>
      </c>
      <c r="R1765" t="s">
        <v>76</v>
      </c>
      <c r="S1765" t="s">
        <v>76</v>
      </c>
      <c r="T1765" t="s">
        <v>76</v>
      </c>
      <c r="U1765">
        <v>1</v>
      </c>
      <c r="V1765" s="13">
        <v>45175</v>
      </c>
      <c r="W1765">
        <v>1</v>
      </c>
      <c r="X1765">
        <v>1</v>
      </c>
      <c r="Y1765" t="s">
        <v>3696</v>
      </c>
      <c r="AC1765">
        <v>5413</v>
      </c>
      <c r="AD1765" t="e" vm="1755">
        <v>#VALUE!</v>
      </c>
    </row>
    <row r="1766" spans="2:30" x14ac:dyDescent="0.25">
      <c r="B1766">
        <v>5414</v>
      </c>
      <c r="C1766" t="s">
        <v>3684</v>
      </c>
      <c r="D1766" t="s">
        <v>3695</v>
      </c>
      <c r="E1766" t="s">
        <v>3838</v>
      </c>
      <c r="F1766" t="s">
        <v>97</v>
      </c>
      <c r="G1766" t="s">
        <v>102</v>
      </c>
      <c r="H1766" t="s">
        <v>3808</v>
      </c>
      <c r="I1766" t="s">
        <v>3809</v>
      </c>
      <c r="J1766" t="s">
        <v>3827</v>
      </c>
      <c r="K1766" t="s">
        <v>239</v>
      </c>
      <c r="L1766" s="13">
        <v>40581</v>
      </c>
      <c r="M1766">
        <v>13</v>
      </c>
      <c r="N1766" t="s">
        <v>101</v>
      </c>
      <c r="O1766" t="s">
        <v>3900</v>
      </c>
      <c r="P1766" t="s">
        <v>76</v>
      </c>
      <c r="Q1766" t="s">
        <v>76</v>
      </c>
      <c r="R1766" t="s">
        <v>76</v>
      </c>
      <c r="S1766" t="s">
        <v>76</v>
      </c>
      <c r="T1766" t="s">
        <v>76</v>
      </c>
      <c r="U1766">
        <v>1</v>
      </c>
      <c r="V1766" s="13">
        <v>45175</v>
      </c>
      <c r="W1766">
        <v>1</v>
      </c>
      <c r="X1766">
        <v>1</v>
      </c>
      <c r="Y1766" t="s">
        <v>3696</v>
      </c>
      <c r="AC1766">
        <v>5414</v>
      </c>
      <c r="AD1766" t="e" vm="1756">
        <v>#VALUE!</v>
      </c>
    </row>
    <row r="1767" spans="2:30" x14ac:dyDescent="0.25">
      <c r="B1767">
        <v>5415</v>
      </c>
      <c r="C1767" t="s">
        <v>3684</v>
      </c>
      <c r="D1767" t="s">
        <v>3695</v>
      </c>
      <c r="E1767" t="s">
        <v>3838</v>
      </c>
      <c r="F1767" t="s">
        <v>97</v>
      </c>
      <c r="G1767" t="s">
        <v>102</v>
      </c>
      <c r="H1767" t="s">
        <v>3808</v>
      </c>
      <c r="I1767" t="s">
        <v>3809</v>
      </c>
      <c r="J1767" t="s">
        <v>3827</v>
      </c>
      <c r="K1767" t="s">
        <v>239</v>
      </c>
      <c r="L1767" s="13">
        <v>40583</v>
      </c>
      <c r="M1767">
        <v>13</v>
      </c>
      <c r="N1767" t="s">
        <v>101</v>
      </c>
      <c r="O1767" t="s">
        <v>3900</v>
      </c>
      <c r="P1767" t="s">
        <v>76</v>
      </c>
      <c r="Q1767" t="s">
        <v>76</v>
      </c>
      <c r="R1767" t="s">
        <v>76</v>
      </c>
      <c r="S1767" t="s">
        <v>76</v>
      </c>
      <c r="T1767" t="s">
        <v>76</v>
      </c>
      <c r="U1767">
        <v>1</v>
      </c>
      <c r="V1767" s="13">
        <v>45175</v>
      </c>
      <c r="W1767">
        <v>1</v>
      </c>
      <c r="X1767">
        <v>1</v>
      </c>
      <c r="Y1767" t="s">
        <v>3696</v>
      </c>
      <c r="AC1767">
        <v>5415</v>
      </c>
      <c r="AD1767" t="e" vm="1757">
        <v>#VALUE!</v>
      </c>
    </row>
    <row r="1768" spans="2:30" x14ac:dyDescent="0.25">
      <c r="B1768">
        <v>5416</v>
      </c>
      <c r="C1768" t="s">
        <v>3684</v>
      </c>
      <c r="D1768" t="s">
        <v>3695</v>
      </c>
      <c r="E1768" t="s">
        <v>3838</v>
      </c>
      <c r="F1768" t="s">
        <v>97</v>
      </c>
      <c r="G1768" t="s">
        <v>102</v>
      </c>
      <c r="H1768" t="s">
        <v>3808</v>
      </c>
      <c r="I1768" t="s">
        <v>3809</v>
      </c>
      <c r="J1768" t="s">
        <v>3827</v>
      </c>
      <c r="K1768" t="s">
        <v>239</v>
      </c>
      <c r="L1768" s="13">
        <v>40583</v>
      </c>
      <c r="M1768">
        <v>13</v>
      </c>
      <c r="N1768" t="s">
        <v>101</v>
      </c>
      <c r="O1768" t="s">
        <v>3900</v>
      </c>
      <c r="P1768" t="s">
        <v>76</v>
      </c>
      <c r="Q1768" t="s">
        <v>76</v>
      </c>
      <c r="R1768" t="s">
        <v>76</v>
      </c>
      <c r="S1768" t="s">
        <v>76</v>
      </c>
      <c r="T1768" t="s">
        <v>76</v>
      </c>
      <c r="U1768">
        <v>1</v>
      </c>
      <c r="V1768" s="13">
        <v>45175</v>
      </c>
      <c r="W1768">
        <v>1</v>
      </c>
      <c r="X1768">
        <v>1</v>
      </c>
      <c r="Y1768" t="s">
        <v>3696</v>
      </c>
      <c r="AC1768">
        <v>5416</v>
      </c>
      <c r="AD1768" t="e" vm="1758">
        <v>#VALUE!</v>
      </c>
    </row>
    <row r="1769" spans="2:30" x14ac:dyDescent="0.25">
      <c r="B1769">
        <v>5417</v>
      </c>
      <c r="C1769" t="s">
        <v>3684</v>
      </c>
      <c r="D1769" t="s">
        <v>3695</v>
      </c>
      <c r="E1769" t="s">
        <v>3838</v>
      </c>
      <c r="F1769" t="s">
        <v>97</v>
      </c>
      <c r="G1769" t="s">
        <v>102</v>
      </c>
      <c r="H1769" t="s">
        <v>3808</v>
      </c>
      <c r="I1769" t="s">
        <v>3809</v>
      </c>
      <c r="J1769" t="s">
        <v>3827</v>
      </c>
      <c r="K1769" t="s">
        <v>239</v>
      </c>
      <c r="L1769" s="13">
        <v>40584</v>
      </c>
      <c r="M1769">
        <v>13</v>
      </c>
      <c r="N1769" t="s">
        <v>101</v>
      </c>
      <c r="O1769" t="s">
        <v>3900</v>
      </c>
      <c r="P1769" t="s">
        <v>76</v>
      </c>
      <c r="Q1769" t="s">
        <v>76</v>
      </c>
      <c r="R1769" t="s">
        <v>76</v>
      </c>
      <c r="S1769" t="s">
        <v>76</v>
      </c>
      <c r="T1769" t="s">
        <v>76</v>
      </c>
      <c r="U1769">
        <v>1</v>
      </c>
      <c r="V1769" s="13">
        <v>45175</v>
      </c>
      <c r="W1769">
        <v>1</v>
      </c>
      <c r="X1769">
        <v>1</v>
      </c>
      <c r="Y1769" t="s">
        <v>3696</v>
      </c>
      <c r="AC1769">
        <v>5417</v>
      </c>
      <c r="AD1769" t="e" vm="1759">
        <v>#VALUE!</v>
      </c>
    </row>
    <row r="1770" spans="2:30" x14ac:dyDescent="0.25">
      <c r="B1770">
        <v>5418</v>
      </c>
      <c r="C1770" t="s">
        <v>3684</v>
      </c>
      <c r="D1770" t="s">
        <v>3695</v>
      </c>
      <c r="E1770" t="s">
        <v>3838</v>
      </c>
      <c r="F1770" t="s">
        <v>97</v>
      </c>
      <c r="G1770" t="s">
        <v>102</v>
      </c>
      <c r="H1770" t="s">
        <v>3808</v>
      </c>
      <c r="I1770" t="s">
        <v>3809</v>
      </c>
      <c r="J1770" t="s">
        <v>3827</v>
      </c>
      <c r="K1770" t="s">
        <v>239</v>
      </c>
      <c r="L1770" s="13">
        <v>40596</v>
      </c>
      <c r="M1770">
        <v>13</v>
      </c>
      <c r="N1770" t="s">
        <v>101</v>
      </c>
      <c r="O1770" t="s">
        <v>3900</v>
      </c>
      <c r="P1770" t="s">
        <v>76</v>
      </c>
      <c r="Q1770" t="s">
        <v>76</v>
      </c>
      <c r="R1770" t="s">
        <v>76</v>
      </c>
      <c r="S1770" t="s">
        <v>76</v>
      </c>
      <c r="T1770" t="s">
        <v>76</v>
      </c>
      <c r="U1770">
        <v>1</v>
      </c>
      <c r="V1770" s="13">
        <v>45175</v>
      </c>
      <c r="W1770">
        <v>1</v>
      </c>
      <c r="X1770">
        <v>1</v>
      </c>
      <c r="Y1770" t="s">
        <v>3696</v>
      </c>
      <c r="AC1770">
        <v>5418</v>
      </c>
      <c r="AD1770" t="e" vm="1760">
        <v>#VALUE!</v>
      </c>
    </row>
    <row r="1771" spans="2:30" x14ac:dyDescent="0.25">
      <c r="B1771">
        <v>5419</v>
      </c>
      <c r="C1771" t="s">
        <v>3684</v>
      </c>
      <c r="D1771" t="s">
        <v>3695</v>
      </c>
      <c r="E1771" t="s">
        <v>3838</v>
      </c>
      <c r="F1771" t="s">
        <v>97</v>
      </c>
      <c r="G1771" t="s">
        <v>102</v>
      </c>
      <c r="H1771" t="s">
        <v>3808</v>
      </c>
      <c r="I1771" t="s">
        <v>3809</v>
      </c>
      <c r="J1771" t="s">
        <v>3827</v>
      </c>
      <c r="K1771" t="s">
        <v>239</v>
      </c>
      <c r="L1771" s="13">
        <v>40596</v>
      </c>
      <c r="M1771">
        <v>13</v>
      </c>
      <c r="N1771" t="s">
        <v>101</v>
      </c>
      <c r="O1771" t="s">
        <v>3900</v>
      </c>
      <c r="P1771" t="s">
        <v>76</v>
      </c>
      <c r="Q1771" t="s">
        <v>76</v>
      </c>
      <c r="R1771" t="s">
        <v>76</v>
      </c>
      <c r="S1771" t="s">
        <v>76</v>
      </c>
      <c r="T1771" t="s">
        <v>76</v>
      </c>
      <c r="U1771">
        <v>1</v>
      </c>
      <c r="V1771" s="13">
        <v>45175</v>
      </c>
      <c r="W1771">
        <v>1</v>
      </c>
      <c r="X1771">
        <v>1</v>
      </c>
      <c r="Y1771" t="s">
        <v>3696</v>
      </c>
      <c r="AC1771">
        <v>5419</v>
      </c>
      <c r="AD1771" t="e" vm="1761">
        <v>#VALUE!</v>
      </c>
    </row>
    <row r="1772" spans="2:30" x14ac:dyDescent="0.25">
      <c r="B1772">
        <v>5420</v>
      </c>
      <c r="C1772" t="s">
        <v>3684</v>
      </c>
      <c r="D1772" t="s">
        <v>3695</v>
      </c>
      <c r="E1772" t="s">
        <v>3838</v>
      </c>
      <c r="F1772" t="s">
        <v>97</v>
      </c>
      <c r="G1772" t="s">
        <v>102</v>
      </c>
      <c r="H1772" t="s">
        <v>3808</v>
      </c>
      <c r="I1772" t="s">
        <v>3809</v>
      </c>
      <c r="J1772" t="s">
        <v>3827</v>
      </c>
      <c r="K1772" t="s">
        <v>239</v>
      </c>
      <c r="L1772" s="13">
        <v>40605</v>
      </c>
      <c r="M1772">
        <v>13</v>
      </c>
      <c r="N1772" t="s">
        <v>101</v>
      </c>
      <c r="O1772" t="s">
        <v>3900</v>
      </c>
      <c r="P1772" t="s">
        <v>76</v>
      </c>
      <c r="Q1772" t="s">
        <v>76</v>
      </c>
      <c r="R1772" t="s">
        <v>76</v>
      </c>
      <c r="S1772" t="s">
        <v>76</v>
      </c>
      <c r="T1772" t="s">
        <v>76</v>
      </c>
      <c r="U1772">
        <v>1</v>
      </c>
      <c r="V1772" s="13">
        <v>45175</v>
      </c>
      <c r="W1772">
        <v>1</v>
      </c>
      <c r="X1772">
        <v>1</v>
      </c>
      <c r="Y1772" t="s">
        <v>3696</v>
      </c>
      <c r="AC1772">
        <v>5420</v>
      </c>
      <c r="AD1772" t="e" vm="1762">
        <v>#VALUE!</v>
      </c>
    </row>
    <row r="1773" spans="2:30" x14ac:dyDescent="0.25">
      <c r="B1773">
        <v>5421</v>
      </c>
      <c r="C1773" t="s">
        <v>3684</v>
      </c>
      <c r="D1773" t="s">
        <v>3695</v>
      </c>
      <c r="E1773" t="s">
        <v>3838</v>
      </c>
      <c r="F1773" t="s">
        <v>97</v>
      </c>
      <c r="G1773" t="s">
        <v>102</v>
      </c>
      <c r="H1773" t="s">
        <v>3808</v>
      </c>
      <c r="I1773" t="s">
        <v>3809</v>
      </c>
      <c r="J1773" t="s">
        <v>3827</v>
      </c>
      <c r="K1773" t="s">
        <v>239</v>
      </c>
      <c r="L1773" s="13">
        <v>40605</v>
      </c>
      <c r="M1773">
        <v>13</v>
      </c>
      <c r="N1773" t="s">
        <v>101</v>
      </c>
      <c r="O1773" t="s">
        <v>3900</v>
      </c>
      <c r="P1773" t="s">
        <v>76</v>
      </c>
      <c r="Q1773" t="s">
        <v>76</v>
      </c>
      <c r="R1773" t="s">
        <v>76</v>
      </c>
      <c r="S1773" t="s">
        <v>76</v>
      </c>
      <c r="T1773" t="s">
        <v>76</v>
      </c>
      <c r="U1773">
        <v>1</v>
      </c>
      <c r="V1773" s="13">
        <v>45175</v>
      </c>
      <c r="W1773">
        <v>1</v>
      </c>
      <c r="X1773">
        <v>1</v>
      </c>
      <c r="Y1773" t="s">
        <v>3696</v>
      </c>
      <c r="AC1773">
        <v>5421</v>
      </c>
      <c r="AD1773" t="e" vm="1763">
        <v>#VALUE!</v>
      </c>
    </row>
    <row r="1774" spans="2:30" x14ac:dyDescent="0.25">
      <c r="B1774">
        <v>5422</v>
      </c>
      <c r="C1774" t="s">
        <v>3684</v>
      </c>
      <c r="D1774" t="s">
        <v>3695</v>
      </c>
      <c r="E1774" t="s">
        <v>3838</v>
      </c>
      <c r="F1774" t="s">
        <v>97</v>
      </c>
      <c r="G1774" t="s">
        <v>102</v>
      </c>
      <c r="H1774" t="s">
        <v>3808</v>
      </c>
      <c r="I1774" t="s">
        <v>3809</v>
      </c>
      <c r="J1774" t="s">
        <v>3827</v>
      </c>
      <c r="K1774" t="s">
        <v>239</v>
      </c>
      <c r="L1774" s="13">
        <v>40613</v>
      </c>
      <c r="M1774">
        <v>13</v>
      </c>
      <c r="N1774" t="s">
        <v>101</v>
      </c>
      <c r="O1774" t="s">
        <v>3900</v>
      </c>
      <c r="P1774" t="s">
        <v>76</v>
      </c>
      <c r="Q1774" t="s">
        <v>76</v>
      </c>
      <c r="R1774" t="s">
        <v>76</v>
      </c>
      <c r="S1774" t="s">
        <v>76</v>
      </c>
      <c r="T1774" t="s">
        <v>76</v>
      </c>
      <c r="U1774">
        <v>1</v>
      </c>
      <c r="V1774" s="13">
        <v>45175</v>
      </c>
      <c r="W1774">
        <v>1</v>
      </c>
      <c r="X1774">
        <v>1</v>
      </c>
      <c r="Y1774" t="s">
        <v>3696</v>
      </c>
      <c r="AC1774">
        <v>5422</v>
      </c>
      <c r="AD1774" t="e" vm="1764">
        <v>#VALUE!</v>
      </c>
    </row>
    <row r="1775" spans="2:30" x14ac:dyDescent="0.25">
      <c r="B1775">
        <v>5423</v>
      </c>
      <c r="C1775" t="s">
        <v>3684</v>
      </c>
      <c r="D1775" t="s">
        <v>3695</v>
      </c>
      <c r="E1775" t="s">
        <v>3838</v>
      </c>
      <c r="F1775" t="s">
        <v>97</v>
      </c>
      <c r="G1775" t="s">
        <v>102</v>
      </c>
      <c r="H1775" t="s">
        <v>3808</v>
      </c>
      <c r="I1775" t="s">
        <v>3809</v>
      </c>
      <c r="J1775" t="s">
        <v>3827</v>
      </c>
      <c r="K1775" t="s">
        <v>239</v>
      </c>
      <c r="L1775" s="13">
        <v>40625</v>
      </c>
      <c r="M1775">
        <v>12</v>
      </c>
      <c r="N1775" t="s">
        <v>101</v>
      </c>
      <c r="O1775" t="s">
        <v>3900</v>
      </c>
      <c r="P1775" t="s">
        <v>76</v>
      </c>
      <c r="Q1775" t="s">
        <v>76</v>
      </c>
      <c r="R1775" t="s">
        <v>76</v>
      </c>
      <c r="S1775" t="s">
        <v>76</v>
      </c>
      <c r="T1775" t="s">
        <v>76</v>
      </c>
      <c r="U1775">
        <v>1</v>
      </c>
      <c r="V1775" s="13">
        <v>45175</v>
      </c>
      <c r="W1775">
        <v>1</v>
      </c>
      <c r="X1775">
        <v>1</v>
      </c>
      <c r="Y1775" t="s">
        <v>3696</v>
      </c>
      <c r="AC1775">
        <v>5423</v>
      </c>
      <c r="AD1775" t="e" vm="1765">
        <v>#VALUE!</v>
      </c>
    </row>
    <row r="1776" spans="2:30" x14ac:dyDescent="0.25">
      <c r="B1776">
        <v>5424</v>
      </c>
      <c r="C1776" t="s">
        <v>3684</v>
      </c>
      <c r="D1776" t="s">
        <v>3695</v>
      </c>
      <c r="E1776" t="s">
        <v>3838</v>
      </c>
      <c r="F1776" t="s">
        <v>97</v>
      </c>
      <c r="G1776" t="s">
        <v>102</v>
      </c>
      <c r="H1776" t="s">
        <v>3808</v>
      </c>
      <c r="I1776" t="s">
        <v>3809</v>
      </c>
      <c r="J1776" t="s">
        <v>3827</v>
      </c>
      <c r="K1776" t="s">
        <v>239</v>
      </c>
      <c r="L1776" s="13">
        <v>40613</v>
      </c>
      <c r="M1776">
        <v>13</v>
      </c>
      <c r="N1776" t="s">
        <v>101</v>
      </c>
      <c r="O1776" t="s">
        <v>3900</v>
      </c>
      <c r="P1776" t="s">
        <v>76</v>
      </c>
      <c r="Q1776" t="s">
        <v>76</v>
      </c>
      <c r="R1776" t="s">
        <v>76</v>
      </c>
      <c r="S1776" t="s">
        <v>76</v>
      </c>
      <c r="T1776" t="s">
        <v>76</v>
      </c>
      <c r="U1776">
        <v>1</v>
      </c>
      <c r="V1776" s="13">
        <v>45175</v>
      </c>
      <c r="W1776">
        <v>1</v>
      </c>
      <c r="X1776">
        <v>1</v>
      </c>
      <c r="Y1776" t="s">
        <v>3696</v>
      </c>
      <c r="AC1776">
        <v>5424</v>
      </c>
      <c r="AD1776" t="e" vm="1766">
        <v>#VALUE!</v>
      </c>
    </row>
    <row r="1777" spans="2:30" x14ac:dyDescent="0.25">
      <c r="B1777">
        <v>5425</v>
      </c>
      <c r="C1777" t="s">
        <v>3684</v>
      </c>
      <c r="D1777" t="s">
        <v>3695</v>
      </c>
      <c r="E1777" t="s">
        <v>3838</v>
      </c>
      <c r="F1777" t="s">
        <v>97</v>
      </c>
      <c r="G1777" t="s">
        <v>102</v>
      </c>
      <c r="H1777" t="s">
        <v>3808</v>
      </c>
      <c r="I1777" t="s">
        <v>3809</v>
      </c>
      <c r="J1777" t="s">
        <v>3827</v>
      </c>
      <c r="K1777" t="s">
        <v>239</v>
      </c>
      <c r="L1777" s="13">
        <v>40625</v>
      </c>
      <c r="M1777">
        <v>12</v>
      </c>
      <c r="N1777" t="s">
        <v>101</v>
      </c>
      <c r="O1777" t="s">
        <v>3900</v>
      </c>
      <c r="P1777" t="s">
        <v>76</v>
      </c>
      <c r="Q1777" t="s">
        <v>76</v>
      </c>
      <c r="R1777" t="s">
        <v>76</v>
      </c>
      <c r="S1777" t="s">
        <v>76</v>
      </c>
      <c r="T1777" t="s">
        <v>76</v>
      </c>
      <c r="U1777">
        <v>1</v>
      </c>
      <c r="V1777" s="13">
        <v>45175</v>
      </c>
      <c r="W1777">
        <v>1</v>
      </c>
      <c r="X1777">
        <v>1</v>
      </c>
      <c r="Y1777" t="s">
        <v>3696</v>
      </c>
      <c r="AC1777">
        <v>5425</v>
      </c>
      <c r="AD1777" t="e" vm="1767">
        <v>#VALUE!</v>
      </c>
    </row>
    <row r="1778" spans="2:30" x14ac:dyDescent="0.25">
      <c r="B1778">
        <v>5426</v>
      </c>
      <c r="C1778" t="s">
        <v>3684</v>
      </c>
      <c r="D1778" t="s">
        <v>3695</v>
      </c>
      <c r="E1778" t="s">
        <v>3838</v>
      </c>
      <c r="F1778" t="s">
        <v>97</v>
      </c>
      <c r="G1778" t="s">
        <v>102</v>
      </c>
      <c r="H1778" t="s">
        <v>3808</v>
      </c>
      <c r="I1778" t="s">
        <v>3809</v>
      </c>
      <c r="J1778" t="s">
        <v>3827</v>
      </c>
      <c r="K1778" t="s">
        <v>239</v>
      </c>
      <c r="L1778" s="13">
        <v>40640</v>
      </c>
      <c r="M1778">
        <v>12</v>
      </c>
      <c r="N1778" t="s">
        <v>101</v>
      </c>
      <c r="O1778" t="s">
        <v>3900</v>
      </c>
      <c r="P1778" t="s">
        <v>76</v>
      </c>
      <c r="Q1778" t="s">
        <v>76</v>
      </c>
      <c r="R1778" t="s">
        <v>76</v>
      </c>
      <c r="S1778" t="s">
        <v>76</v>
      </c>
      <c r="T1778" t="s">
        <v>76</v>
      </c>
      <c r="U1778">
        <v>1</v>
      </c>
      <c r="V1778" s="13">
        <v>45175</v>
      </c>
      <c r="W1778">
        <v>1</v>
      </c>
      <c r="X1778">
        <v>1</v>
      </c>
      <c r="Y1778" t="s">
        <v>3696</v>
      </c>
      <c r="AC1778">
        <v>5426</v>
      </c>
      <c r="AD1778" t="e" vm="1768">
        <v>#VALUE!</v>
      </c>
    </row>
    <row r="1779" spans="2:30" x14ac:dyDescent="0.25">
      <c r="B1779">
        <v>5427</v>
      </c>
      <c r="C1779" t="s">
        <v>3684</v>
      </c>
      <c r="D1779" t="s">
        <v>3695</v>
      </c>
      <c r="E1779" t="s">
        <v>3838</v>
      </c>
      <c r="F1779" t="s">
        <v>97</v>
      </c>
      <c r="G1779" t="s">
        <v>102</v>
      </c>
      <c r="H1779" t="s">
        <v>3808</v>
      </c>
      <c r="I1779" t="s">
        <v>3809</v>
      </c>
      <c r="J1779" t="s">
        <v>3827</v>
      </c>
      <c r="K1779" t="s">
        <v>239</v>
      </c>
      <c r="L1779" s="13">
        <v>40744</v>
      </c>
      <c r="M1779">
        <v>12</v>
      </c>
      <c r="N1779" t="s">
        <v>101</v>
      </c>
      <c r="O1779" t="s">
        <v>3900</v>
      </c>
      <c r="P1779" t="s">
        <v>76</v>
      </c>
      <c r="Q1779" t="s">
        <v>76</v>
      </c>
      <c r="R1779" t="s">
        <v>76</v>
      </c>
      <c r="S1779" t="s">
        <v>76</v>
      </c>
      <c r="T1779" t="s">
        <v>76</v>
      </c>
      <c r="U1779">
        <v>1</v>
      </c>
      <c r="V1779" s="13">
        <v>45175</v>
      </c>
      <c r="W1779">
        <v>1</v>
      </c>
      <c r="X1779">
        <v>1</v>
      </c>
      <c r="Y1779" t="s">
        <v>3696</v>
      </c>
      <c r="AC1779">
        <v>5427</v>
      </c>
      <c r="AD1779" t="e" vm="1769">
        <v>#VALUE!</v>
      </c>
    </row>
    <row r="1780" spans="2:30" x14ac:dyDescent="0.25">
      <c r="B1780">
        <v>5428</v>
      </c>
      <c r="C1780" t="s">
        <v>3684</v>
      </c>
      <c r="D1780" t="s">
        <v>3695</v>
      </c>
      <c r="E1780" t="s">
        <v>3838</v>
      </c>
      <c r="F1780" t="s">
        <v>97</v>
      </c>
      <c r="G1780" t="s">
        <v>102</v>
      </c>
      <c r="H1780" t="s">
        <v>3808</v>
      </c>
      <c r="I1780" t="s">
        <v>3809</v>
      </c>
      <c r="J1780" t="s">
        <v>3827</v>
      </c>
      <c r="K1780" t="s">
        <v>239</v>
      </c>
      <c r="L1780" s="13">
        <v>40780</v>
      </c>
      <c r="M1780">
        <v>12</v>
      </c>
      <c r="N1780" t="s">
        <v>101</v>
      </c>
      <c r="O1780" t="s">
        <v>3900</v>
      </c>
      <c r="P1780" t="s">
        <v>76</v>
      </c>
      <c r="Q1780" t="s">
        <v>76</v>
      </c>
      <c r="R1780" t="s">
        <v>76</v>
      </c>
      <c r="S1780" t="s">
        <v>76</v>
      </c>
      <c r="T1780" t="s">
        <v>76</v>
      </c>
      <c r="U1780">
        <v>1</v>
      </c>
      <c r="V1780" s="13">
        <v>45175</v>
      </c>
      <c r="W1780">
        <v>1</v>
      </c>
      <c r="X1780">
        <v>1</v>
      </c>
      <c r="Y1780" t="s">
        <v>3696</v>
      </c>
      <c r="AC1780">
        <v>5428</v>
      </c>
      <c r="AD1780" t="e" vm="1770">
        <v>#VALUE!</v>
      </c>
    </row>
    <row r="1781" spans="2:30" x14ac:dyDescent="0.25">
      <c r="B1781">
        <v>5429</v>
      </c>
      <c r="C1781" t="s">
        <v>3684</v>
      </c>
      <c r="D1781" t="s">
        <v>3695</v>
      </c>
      <c r="E1781" t="s">
        <v>3838</v>
      </c>
      <c r="F1781" t="s">
        <v>97</v>
      </c>
      <c r="G1781" t="s">
        <v>102</v>
      </c>
      <c r="H1781" t="s">
        <v>3808</v>
      </c>
      <c r="I1781" t="s">
        <v>3809</v>
      </c>
      <c r="J1781" t="s">
        <v>3827</v>
      </c>
      <c r="K1781" t="s">
        <v>239</v>
      </c>
      <c r="L1781" s="13">
        <v>40744</v>
      </c>
      <c r="M1781">
        <v>12</v>
      </c>
      <c r="N1781" t="s">
        <v>101</v>
      </c>
      <c r="O1781" t="s">
        <v>3900</v>
      </c>
      <c r="P1781" t="s">
        <v>76</v>
      </c>
      <c r="Q1781" t="s">
        <v>76</v>
      </c>
      <c r="R1781" t="s">
        <v>76</v>
      </c>
      <c r="S1781" t="s">
        <v>76</v>
      </c>
      <c r="T1781" t="s">
        <v>76</v>
      </c>
      <c r="U1781">
        <v>1</v>
      </c>
      <c r="V1781" s="13">
        <v>45175</v>
      </c>
      <c r="W1781">
        <v>1</v>
      </c>
      <c r="X1781">
        <v>1</v>
      </c>
      <c r="Y1781" t="s">
        <v>3696</v>
      </c>
      <c r="AC1781">
        <v>5429</v>
      </c>
      <c r="AD1781" t="e" vm="1771">
        <v>#VALUE!</v>
      </c>
    </row>
    <row r="1782" spans="2:30" x14ac:dyDescent="0.25">
      <c r="B1782">
        <v>5430</v>
      </c>
      <c r="C1782" t="s">
        <v>3684</v>
      </c>
      <c r="D1782" t="s">
        <v>3695</v>
      </c>
      <c r="E1782" t="s">
        <v>3838</v>
      </c>
      <c r="F1782" t="s">
        <v>97</v>
      </c>
      <c r="G1782" t="s">
        <v>102</v>
      </c>
      <c r="H1782" t="s">
        <v>3808</v>
      </c>
      <c r="I1782" t="s">
        <v>3809</v>
      </c>
      <c r="J1782" t="s">
        <v>3827</v>
      </c>
      <c r="K1782" t="s">
        <v>239</v>
      </c>
      <c r="L1782" s="13">
        <v>40780</v>
      </c>
      <c r="M1782">
        <v>12</v>
      </c>
      <c r="N1782" t="s">
        <v>101</v>
      </c>
      <c r="O1782" t="s">
        <v>3900</v>
      </c>
      <c r="P1782" t="s">
        <v>76</v>
      </c>
      <c r="Q1782" t="s">
        <v>76</v>
      </c>
      <c r="R1782" t="s">
        <v>76</v>
      </c>
      <c r="S1782" t="s">
        <v>76</v>
      </c>
      <c r="T1782" t="s">
        <v>76</v>
      </c>
      <c r="U1782">
        <v>1</v>
      </c>
      <c r="V1782" s="13">
        <v>45175</v>
      </c>
      <c r="W1782">
        <v>1</v>
      </c>
      <c r="X1782">
        <v>1</v>
      </c>
      <c r="Y1782" t="s">
        <v>3696</v>
      </c>
      <c r="AC1782">
        <v>5430</v>
      </c>
      <c r="AD1782" t="e" vm="1772">
        <v>#VALUE!</v>
      </c>
    </row>
    <row r="1783" spans="2:30" x14ac:dyDescent="0.25">
      <c r="B1783">
        <v>5431</v>
      </c>
      <c r="C1783" t="s">
        <v>3684</v>
      </c>
      <c r="D1783" t="s">
        <v>3695</v>
      </c>
      <c r="E1783" t="s">
        <v>3838</v>
      </c>
      <c r="F1783" t="s">
        <v>97</v>
      </c>
      <c r="G1783" t="s">
        <v>102</v>
      </c>
      <c r="H1783" t="s">
        <v>3808</v>
      </c>
      <c r="I1783" t="s">
        <v>3809</v>
      </c>
      <c r="J1783" t="s">
        <v>3827</v>
      </c>
      <c r="K1783" t="s">
        <v>239</v>
      </c>
      <c r="L1783" s="13">
        <v>40793</v>
      </c>
      <c r="M1783">
        <v>12</v>
      </c>
      <c r="N1783" t="s">
        <v>101</v>
      </c>
      <c r="O1783" t="s">
        <v>3900</v>
      </c>
      <c r="P1783" t="s">
        <v>76</v>
      </c>
      <c r="Q1783" t="s">
        <v>76</v>
      </c>
      <c r="R1783" t="s">
        <v>76</v>
      </c>
      <c r="S1783" t="s">
        <v>76</v>
      </c>
      <c r="T1783" t="s">
        <v>76</v>
      </c>
      <c r="U1783">
        <v>1</v>
      </c>
      <c r="V1783" s="13">
        <v>45175</v>
      </c>
      <c r="W1783">
        <v>1</v>
      </c>
      <c r="X1783">
        <v>1</v>
      </c>
      <c r="Y1783" t="s">
        <v>3696</v>
      </c>
      <c r="AC1783">
        <v>5431</v>
      </c>
      <c r="AD1783" t="e" vm="1773">
        <v>#VALUE!</v>
      </c>
    </row>
    <row r="1784" spans="2:30" x14ac:dyDescent="0.25">
      <c r="B1784">
        <v>5432</v>
      </c>
      <c r="C1784" t="s">
        <v>3684</v>
      </c>
      <c r="D1784" t="s">
        <v>3695</v>
      </c>
      <c r="E1784" t="s">
        <v>3838</v>
      </c>
      <c r="F1784" t="s">
        <v>97</v>
      </c>
      <c r="G1784" t="s">
        <v>102</v>
      </c>
      <c r="H1784" t="s">
        <v>3808</v>
      </c>
      <c r="I1784" t="s">
        <v>3809</v>
      </c>
      <c r="J1784" t="s">
        <v>3827</v>
      </c>
      <c r="K1784" t="s">
        <v>239</v>
      </c>
      <c r="L1784" s="13">
        <v>40801</v>
      </c>
      <c r="M1784">
        <v>12</v>
      </c>
      <c r="N1784" t="s">
        <v>101</v>
      </c>
      <c r="O1784" t="s">
        <v>3900</v>
      </c>
      <c r="P1784" t="s">
        <v>76</v>
      </c>
      <c r="Q1784" t="s">
        <v>76</v>
      </c>
      <c r="R1784" t="s">
        <v>76</v>
      </c>
      <c r="S1784" t="s">
        <v>76</v>
      </c>
      <c r="T1784" t="s">
        <v>76</v>
      </c>
      <c r="U1784">
        <v>1</v>
      </c>
      <c r="V1784" s="13">
        <v>45175</v>
      </c>
      <c r="W1784">
        <v>1</v>
      </c>
      <c r="X1784">
        <v>1</v>
      </c>
      <c r="Y1784" t="s">
        <v>3696</v>
      </c>
      <c r="AC1784">
        <v>5432</v>
      </c>
      <c r="AD1784" t="e" vm="1774">
        <v>#VALUE!</v>
      </c>
    </row>
    <row r="1785" spans="2:30" x14ac:dyDescent="0.25">
      <c r="B1785">
        <v>5433</v>
      </c>
      <c r="C1785" t="s">
        <v>3684</v>
      </c>
      <c r="D1785" t="s">
        <v>3695</v>
      </c>
      <c r="E1785" t="s">
        <v>3838</v>
      </c>
      <c r="F1785" t="s">
        <v>97</v>
      </c>
      <c r="G1785" t="s">
        <v>102</v>
      </c>
      <c r="H1785" t="s">
        <v>3808</v>
      </c>
      <c r="I1785" t="s">
        <v>3809</v>
      </c>
      <c r="J1785" t="s">
        <v>3827</v>
      </c>
      <c r="K1785" t="s">
        <v>239</v>
      </c>
      <c r="L1785" s="13">
        <v>40801</v>
      </c>
      <c r="M1785">
        <v>12</v>
      </c>
      <c r="N1785" t="s">
        <v>101</v>
      </c>
      <c r="O1785" t="s">
        <v>3900</v>
      </c>
      <c r="P1785" t="s">
        <v>76</v>
      </c>
      <c r="Q1785" t="s">
        <v>76</v>
      </c>
      <c r="R1785" t="s">
        <v>76</v>
      </c>
      <c r="S1785" t="s">
        <v>76</v>
      </c>
      <c r="T1785" t="s">
        <v>76</v>
      </c>
      <c r="U1785">
        <v>1</v>
      </c>
      <c r="V1785" s="13">
        <v>45175</v>
      </c>
      <c r="W1785">
        <v>1</v>
      </c>
      <c r="X1785">
        <v>1</v>
      </c>
      <c r="Y1785" t="s">
        <v>3696</v>
      </c>
      <c r="AC1785">
        <v>5433</v>
      </c>
      <c r="AD1785" t="e" vm="1775">
        <v>#VALUE!</v>
      </c>
    </row>
    <row r="1786" spans="2:30" x14ac:dyDescent="0.25">
      <c r="B1786">
        <v>5434</v>
      </c>
      <c r="C1786" t="s">
        <v>3684</v>
      </c>
      <c r="D1786" t="s">
        <v>3695</v>
      </c>
      <c r="E1786" t="s">
        <v>3838</v>
      </c>
      <c r="F1786" t="s">
        <v>97</v>
      </c>
      <c r="G1786" t="s">
        <v>102</v>
      </c>
      <c r="H1786" t="s">
        <v>3808</v>
      </c>
      <c r="I1786" t="s">
        <v>3809</v>
      </c>
      <c r="J1786" t="s">
        <v>3827</v>
      </c>
      <c r="K1786" t="s">
        <v>239</v>
      </c>
      <c r="L1786" s="13">
        <v>40709</v>
      </c>
      <c r="M1786">
        <v>12</v>
      </c>
      <c r="N1786" t="s">
        <v>101</v>
      </c>
      <c r="O1786" t="s">
        <v>3900</v>
      </c>
      <c r="P1786" t="s">
        <v>76</v>
      </c>
      <c r="Q1786" t="s">
        <v>76</v>
      </c>
      <c r="R1786" t="s">
        <v>76</v>
      </c>
      <c r="S1786" t="s">
        <v>76</v>
      </c>
      <c r="T1786" t="s">
        <v>76</v>
      </c>
      <c r="U1786">
        <v>1</v>
      </c>
      <c r="V1786" s="13">
        <v>45175</v>
      </c>
      <c r="W1786">
        <v>1</v>
      </c>
      <c r="X1786">
        <v>1</v>
      </c>
      <c r="Y1786" t="s">
        <v>3696</v>
      </c>
      <c r="AC1786">
        <v>5434</v>
      </c>
      <c r="AD1786" t="e" vm="1776">
        <v>#VALUE!</v>
      </c>
    </row>
    <row r="1787" spans="2:30" x14ac:dyDescent="0.25">
      <c r="B1787">
        <v>5435</v>
      </c>
      <c r="C1787" t="s">
        <v>3684</v>
      </c>
      <c r="D1787" t="s">
        <v>3695</v>
      </c>
      <c r="E1787" t="s">
        <v>3838</v>
      </c>
      <c r="F1787" t="s">
        <v>97</v>
      </c>
      <c r="G1787" t="s">
        <v>102</v>
      </c>
      <c r="H1787" t="s">
        <v>3808</v>
      </c>
      <c r="I1787" t="s">
        <v>3809</v>
      </c>
      <c r="J1787" t="s">
        <v>3827</v>
      </c>
      <c r="K1787" t="s">
        <v>239</v>
      </c>
      <c r="L1787" s="13">
        <v>40780</v>
      </c>
      <c r="M1787">
        <v>12</v>
      </c>
      <c r="N1787" t="s">
        <v>101</v>
      </c>
      <c r="O1787" t="s">
        <v>3900</v>
      </c>
      <c r="P1787" t="s">
        <v>76</v>
      </c>
      <c r="Q1787" t="s">
        <v>76</v>
      </c>
      <c r="R1787" t="s">
        <v>76</v>
      </c>
      <c r="S1787" t="s">
        <v>76</v>
      </c>
      <c r="T1787" t="s">
        <v>76</v>
      </c>
      <c r="U1787">
        <v>1</v>
      </c>
      <c r="V1787" s="13">
        <v>45175</v>
      </c>
      <c r="W1787">
        <v>1</v>
      </c>
      <c r="X1787">
        <v>1</v>
      </c>
      <c r="Y1787" t="s">
        <v>3696</v>
      </c>
      <c r="AC1787">
        <v>5435</v>
      </c>
      <c r="AD1787" t="e" vm="1777">
        <v>#VALUE!</v>
      </c>
    </row>
    <row r="1788" spans="2:30" x14ac:dyDescent="0.25">
      <c r="B1788">
        <v>5436</v>
      </c>
      <c r="C1788" t="s">
        <v>3684</v>
      </c>
      <c r="D1788" t="s">
        <v>3695</v>
      </c>
      <c r="E1788" t="s">
        <v>3838</v>
      </c>
      <c r="F1788" t="s">
        <v>97</v>
      </c>
      <c r="G1788" t="s">
        <v>102</v>
      </c>
      <c r="H1788" t="s">
        <v>3808</v>
      </c>
      <c r="I1788" t="s">
        <v>3809</v>
      </c>
      <c r="J1788" t="s">
        <v>3827</v>
      </c>
      <c r="K1788" t="s">
        <v>239</v>
      </c>
      <c r="L1788" s="13">
        <v>40830</v>
      </c>
      <c r="M1788">
        <v>12</v>
      </c>
      <c r="N1788" t="s">
        <v>101</v>
      </c>
      <c r="O1788" t="s">
        <v>3900</v>
      </c>
      <c r="P1788" t="s">
        <v>76</v>
      </c>
      <c r="Q1788" t="s">
        <v>76</v>
      </c>
      <c r="R1788" t="s">
        <v>76</v>
      </c>
      <c r="S1788" t="s">
        <v>76</v>
      </c>
      <c r="T1788" t="s">
        <v>76</v>
      </c>
      <c r="U1788">
        <v>1</v>
      </c>
      <c r="V1788" s="13">
        <v>45175</v>
      </c>
      <c r="W1788">
        <v>1</v>
      </c>
      <c r="X1788">
        <v>1</v>
      </c>
      <c r="Y1788" t="s">
        <v>3696</v>
      </c>
      <c r="AC1788">
        <v>5436</v>
      </c>
      <c r="AD1788" t="e" vm="1778">
        <v>#VALUE!</v>
      </c>
    </row>
    <row r="1789" spans="2:30" x14ac:dyDescent="0.25">
      <c r="B1789">
        <v>5437</v>
      </c>
      <c r="C1789" t="s">
        <v>3662</v>
      </c>
      <c r="D1789" t="s">
        <v>3716</v>
      </c>
      <c r="E1789" t="s">
        <v>3853</v>
      </c>
      <c r="F1789" t="s">
        <v>78</v>
      </c>
      <c r="G1789" t="s">
        <v>77</v>
      </c>
      <c r="H1789" t="s">
        <v>3808</v>
      </c>
      <c r="I1789" t="s">
        <v>3809</v>
      </c>
      <c r="J1789" t="s">
        <v>3827</v>
      </c>
      <c r="K1789" t="s">
        <v>239</v>
      </c>
      <c r="L1789" s="13">
        <v>40828</v>
      </c>
      <c r="M1789">
        <v>12</v>
      </c>
      <c r="N1789" t="s">
        <v>79</v>
      </c>
      <c r="O1789" t="s">
        <v>3900</v>
      </c>
      <c r="P1789" t="s">
        <v>76</v>
      </c>
      <c r="Q1789" t="s">
        <v>76</v>
      </c>
      <c r="R1789" t="s">
        <v>76</v>
      </c>
      <c r="S1789" t="s">
        <v>76</v>
      </c>
      <c r="T1789" t="s">
        <v>76</v>
      </c>
      <c r="U1789">
        <v>1</v>
      </c>
      <c r="V1789" s="13">
        <v>45175</v>
      </c>
      <c r="W1789">
        <v>1</v>
      </c>
      <c r="X1789">
        <v>1</v>
      </c>
      <c r="Y1789" t="s">
        <v>3717</v>
      </c>
      <c r="AC1789">
        <v>5437</v>
      </c>
      <c r="AD1789" t="e" vm="1779">
        <v>#VALUE!</v>
      </c>
    </row>
    <row r="1790" spans="2:30" x14ac:dyDescent="0.25">
      <c r="B1790">
        <v>5438</v>
      </c>
      <c r="C1790" t="s">
        <v>3662</v>
      </c>
      <c r="D1790" t="s">
        <v>3716</v>
      </c>
      <c r="E1790" t="s">
        <v>3853</v>
      </c>
      <c r="F1790" t="s">
        <v>78</v>
      </c>
      <c r="G1790" t="s">
        <v>77</v>
      </c>
      <c r="H1790" t="s">
        <v>3808</v>
      </c>
      <c r="I1790" t="s">
        <v>3809</v>
      </c>
      <c r="J1790" t="s">
        <v>3827</v>
      </c>
      <c r="K1790" t="s">
        <v>239</v>
      </c>
      <c r="L1790" s="13">
        <v>40837</v>
      </c>
      <c r="M1790">
        <v>12</v>
      </c>
      <c r="N1790" t="s">
        <v>79</v>
      </c>
      <c r="O1790" t="s">
        <v>3900</v>
      </c>
      <c r="P1790" t="s">
        <v>76</v>
      </c>
      <c r="Q1790" t="s">
        <v>76</v>
      </c>
      <c r="R1790" t="s">
        <v>76</v>
      </c>
      <c r="S1790" t="s">
        <v>76</v>
      </c>
      <c r="T1790" t="s">
        <v>76</v>
      </c>
      <c r="U1790">
        <v>1</v>
      </c>
      <c r="V1790" s="13">
        <v>45175</v>
      </c>
      <c r="W1790">
        <v>1</v>
      </c>
      <c r="X1790">
        <v>1</v>
      </c>
      <c r="Y1790" t="s">
        <v>3717</v>
      </c>
      <c r="AC1790">
        <v>5438</v>
      </c>
      <c r="AD1790" t="e" vm="1780">
        <v>#VALUE!</v>
      </c>
    </row>
    <row r="1791" spans="2:30" x14ac:dyDescent="0.25">
      <c r="B1791">
        <v>5439</v>
      </c>
      <c r="C1791" t="s">
        <v>3662</v>
      </c>
      <c r="D1791" t="s">
        <v>3716</v>
      </c>
      <c r="E1791" t="s">
        <v>3853</v>
      </c>
      <c r="F1791" t="s">
        <v>78</v>
      </c>
      <c r="G1791" t="s">
        <v>77</v>
      </c>
      <c r="H1791" t="s">
        <v>3808</v>
      </c>
      <c r="I1791" t="s">
        <v>3809</v>
      </c>
      <c r="J1791" t="s">
        <v>3827</v>
      </c>
      <c r="K1791" t="s">
        <v>239</v>
      </c>
      <c r="L1791" s="13">
        <v>40871</v>
      </c>
      <c r="M1791">
        <v>12</v>
      </c>
      <c r="N1791" t="s">
        <v>79</v>
      </c>
      <c r="O1791" t="s">
        <v>3900</v>
      </c>
      <c r="P1791" t="s">
        <v>76</v>
      </c>
      <c r="Q1791" t="s">
        <v>76</v>
      </c>
      <c r="R1791" t="s">
        <v>76</v>
      </c>
      <c r="S1791" t="s">
        <v>76</v>
      </c>
      <c r="T1791" t="s">
        <v>76</v>
      </c>
      <c r="U1791">
        <v>1</v>
      </c>
      <c r="V1791" s="13">
        <v>45175</v>
      </c>
      <c r="W1791">
        <v>1</v>
      </c>
      <c r="X1791">
        <v>1</v>
      </c>
      <c r="Y1791" t="s">
        <v>3717</v>
      </c>
      <c r="AC1791">
        <v>5439</v>
      </c>
      <c r="AD1791" t="e" vm="1781">
        <v>#VALUE!</v>
      </c>
    </row>
    <row r="1792" spans="2:30" x14ac:dyDescent="0.25">
      <c r="B1792">
        <v>5440</v>
      </c>
      <c r="C1792" t="s">
        <v>3662</v>
      </c>
      <c r="D1792" t="s">
        <v>3716</v>
      </c>
      <c r="E1792" t="s">
        <v>3853</v>
      </c>
      <c r="F1792" t="s">
        <v>78</v>
      </c>
      <c r="G1792" t="s">
        <v>77</v>
      </c>
      <c r="H1792" t="s">
        <v>3808</v>
      </c>
      <c r="I1792" t="s">
        <v>3809</v>
      </c>
      <c r="J1792" t="s">
        <v>3827</v>
      </c>
      <c r="K1792" t="s">
        <v>239</v>
      </c>
      <c r="L1792" s="13">
        <v>40870</v>
      </c>
      <c r="M1792">
        <v>12</v>
      </c>
      <c r="N1792" t="s">
        <v>79</v>
      </c>
      <c r="O1792" t="s">
        <v>3900</v>
      </c>
      <c r="P1792" t="s">
        <v>76</v>
      </c>
      <c r="Q1792" t="s">
        <v>76</v>
      </c>
      <c r="R1792" t="s">
        <v>76</v>
      </c>
      <c r="S1792" t="s">
        <v>76</v>
      </c>
      <c r="T1792" t="s">
        <v>76</v>
      </c>
      <c r="U1792">
        <v>1</v>
      </c>
      <c r="V1792" s="13">
        <v>45175</v>
      </c>
      <c r="W1792">
        <v>1</v>
      </c>
      <c r="X1792">
        <v>1</v>
      </c>
      <c r="Y1792" t="s">
        <v>3717</v>
      </c>
      <c r="AC1792">
        <v>5440</v>
      </c>
      <c r="AD1792" t="e" vm="1782">
        <v>#VALUE!</v>
      </c>
    </row>
    <row r="1793" spans="2:30" x14ac:dyDescent="0.25">
      <c r="B1793">
        <v>5441</v>
      </c>
      <c r="C1793" t="s">
        <v>3662</v>
      </c>
      <c r="D1793" t="s">
        <v>3716</v>
      </c>
      <c r="E1793" t="s">
        <v>3853</v>
      </c>
      <c r="F1793" t="s">
        <v>78</v>
      </c>
      <c r="G1793" t="s">
        <v>77</v>
      </c>
      <c r="H1793" t="s">
        <v>3808</v>
      </c>
      <c r="I1793" t="s">
        <v>3809</v>
      </c>
      <c r="J1793" t="s">
        <v>3827</v>
      </c>
      <c r="K1793" t="s">
        <v>239</v>
      </c>
      <c r="L1793" s="13">
        <v>40885</v>
      </c>
      <c r="M1793">
        <v>12</v>
      </c>
      <c r="N1793" t="s">
        <v>79</v>
      </c>
      <c r="O1793" t="s">
        <v>3900</v>
      </c>
      <c r="P1793" t="s">
        <v>76</v>
      </c>
      <c r="Q1793" t="s">
        <v>76</v>
      </c>
      <c r="R1793" t="s">
        <v>76</v>
      </c>
      <c r="S1793" t="s">
        <v>76</v>
      </c>
      <c r="T1793" t="s">
        <v>76</v>
      </c>
      <c r="U1793">
        <v>1</v>
      </c>
      <c r="V1793" s="13">
        <v>45175</v>
      </c>
      <c r="W1793">
        <v>1</v>
      </c>
      <c r="X1793">
        <v>1</v>
      </c>
      <c r="Y1793" t="s">
        <v>3717</v>
      </c>
      <c r="AC1793">
        <v>5441</v>
      </c>
      <c r="AD1793" t="e" vm="1783">
        <v>#VALUE!</v>
      </c>
    </row>
    <row r="1794" spans="2:30" x14ac:dyDescent="0.25">
      <c r="B1794">
        <v>5442</v>
      </c>
      <c r="C1794" t="s">
        <v>3662</v>
      </c>
      <c r="D1794" t="s">
        <v>3716</v>
      </c>
      <c r="E1794" t="s">
        <v>3853</v>
      </c>
      <c r="F1794" t="s">
        <v>78</v>
      </c>
      <c r="G1794" t="s">
        <v>77</v>
      </c>
      <c r="H1794" t="s">
        <v>3808</v>
      </c>
      <c r="I1794" t="s">
        <v>3809</v>
      </c>
      <c r="J1794" t="s">
        <v>3827</v>
      </c>
      <c r="K1794" t="s">
        <v>239</v>
      </c>
      <c r="L1794" s="13">
        <v>40791</v>
      </c>
      <c r="M1794">
        <v>12</v>
      </c>
      <c r="N1794" t="s">
        <v>79</v>
      </c>
      <c r="O1794" t="s">
        <v>3900</v>
      </c>
      <c r="P1794" t="s">
        <v>76</v>
      </c>
      <c r="Q1794" t="s">
        <v>76</v>
      </c>
      <c r="R1794" t="s">
        <v>76</v>
      </c>
      <c r="S1794" t="s">
        <v>76</v>
      </c>
      <c r="T1794" t="s">
        <v>76</v>
      </c>
      <c r="U1794">
        <v>1</v>
      </c>
      <c r="V1794" s="13">
        <v>45175</v>
      </c>
      <c r="W1794">
        <v>1</v>
      </c>
      <c r="X1794">
        <v>1</v>
      </c>
      <c r="Y1794" t="s">
        <v>3717</v>
      </c>
      <c r="AC1794">
        <v>5442</v>
      </c>
      <c r="AD1794" t="e" vm="1784">
        <v>#VALUE!</v>
      </c>
    </row>
    <row r="1795" spans="2:30" x14ac:dyDescent="0.25">
      <c r="B1795">
        <v>5443</v>
      </c>
      <c r="C1795" t="s">
        <v>3662</v>
      </c>
      <c r="D1795" t="s">
        <v>3716</v>
      </c>
      <c r="E1795" t="s">
        <v>3853</v>
      </c>
      <c r="F1795" t="s">
        <v>78</v>
      </c>
      <c r="G1795" t="s">
        <v>77</v>
      </c>
      <c r="H1795" t="s">
        <v>3808</v>
      </c>
      <c r="I1795" t="s">
        <v>3809</v>
      </c>
      <c r="J1795" t="s">
        <v>3827</v>
      </c>
      <c r="K1795" t="s">
        <v>239</v>
      </c>
      <c r="L1795" s="13">
        <v>40878</v>
      </c>
      <c r="M1795">
        <v>12</v>
      </c>
      <c r="N1795" t="s">
        <v>79</v>
      </c>
      <c r="O1795" t="s">
        <v>3900</v>
      </c>
      <c r="P1795" t="s">
        <v>76</v>
      </c>
      <c r="Q1795" t="s">
        <v>76</v>
      </c>
      <c r="R1795" t="s">
        <v>76</v>
      </c>
      <c r="S1795" t="s">
        <v>76</v>
      </c>
      <c r="T1795" t="s">
        <v>76</v>
      </c>
      <c r="U1795">
        <v>1</v>
      </c>
      <c r="V1795" s="13">
        <v>45175</v>
      </c>
      <c r="W1795">
        <v>1</v>
      </c>
      <c r="X1795">
        <v>1</v>
      </c>
      <c r="Y1795" t="s">
        <v>3717</v>
      </c>
      <c r="AC1795">
        <v>5443</v>
      </c>
      <c r="AD1795" t="e" vm="1785">
        <v>#VALUE!</v>
      </c>
    </row>
    <row r="1796" spans="2:30" x14ac:dyDescent="0.25">
      <c r="B1796">
        <v>5444</v>
      </c>
      <c r="C1796" t="s">
        <v>3662</v>
      </c>
      <c r="D1796" t="s">
        <v>3716</v>
      </c>
      <c r="E1796" t="s">
        <v>3853</v>
      </c>
      <c r="F1796" t="s">
        <v>78</v>
      </c>
      <c r="G1796" t="s">
        <v>77</v>
      </c>
      <c r="H1796" t="s">
        <v>3808</v>
      </c>
      <c r="I1796" t="s">
        <v>3809</v>
      </c>
      <c r="J1796" t="s">
        <v>3827</v>
      </c>
      <c r="K1796" t="s">
        <v>239</v>
      </c>
      <c r="L1796" s="13">
        <v>40884</v>
      </c>
      <c r="M1796">
        <v>12</v>
      </c>
      <c r="N1796" t="s">
        <v>79</v>
      </c>
      <c r="O1796" t="s">
        <v>3900</v>
      </c>
      <c r="P1796" t="s">
        <v>76</v>
      </c>
      <c r="Q1796" t="s">
        <v>76</v>
      </c>
      <c r="R1796" t="s">
        <v>76</v>
      </c>
      <c r="S1796" t="s">
        <v>76</v>
      </c>
      <c r="T1796" t="s">
        <v>76</v>
      </c>
      <c r="U1796">
        <v>1</v>
      </c>
      <c r="V1796" s="13">
        <v>45175</v>
      </c>
      <c r="W1796">
        <v>1</v>
      </c>
      <c r="X1796">
        <v>1</v>
      </c>
      <c r="Y1796" t="s">
        <v>3717</v>
      </c>
      <c r="AC1796">
        <v>5444</v>
      </c>
      <c r="AD1796" t="e" vm="1786">
        <v>#VALUE!</v>
      </c>
    </row>
    <row r="1797" spans="2:30" x14ac:dyDescent="0.25">
      <c r="B1797">
        <v>5445</v>
      </c>
      <c r="C1797" t="s">
        <v>3662</v>
      </c>
      <c r="D1797" t="s">
        <v>3716</v>
      </c>
      <c r="E1797" t="s">
        <v>3853</v>
      </c>
      <c r="F1797" t="s">
        <v>78</v>
      </c>
      <c r="G1797" t="s">
        <v>77</v>
      </c>
      <c r="H1797" t="s">
        <v>3808</v>
      </c>
      <c r="I1797" t="s">
        <v>3809</v>
      </c>
      <c r="J1797" t="s">
        <v>3827</v>
      </c>
      <c r="K1797" t="s">
        <v>239</v>
      </c>
      <c r="L1797" s="13">
        <v>40883</v>
      </c>
      <c r="M1797">
        <v>12</v>
      </c>
      <c r="N1797" t="s">
        <v>79</v>
      </c>
      <c r="O1797" t="s">
        <v>3900</v>
      </c>
      <c r="P1797" t="s">
        <v>76</v>
      </c>
      <c r="Q1797" t="s">
        <v>76</v>
      </c>
      <c r="R1797" t="s">
        <v>76</v>
      </c>
      <c r="S1797" t="s">
        <v>76</v>
      </c>
      <c r="T1797" t="s">
        <v>76</v>
      </c>
      <c r="U1797">
        <v>1</v>
      </c>
      <c r="V1797" s="13">
        <v>45175</v>
      </c>
      <c r="W1797">
        <v>1</v>
      </c>
      <c r="X1797">
        <v>1</v>
      </c>
      <c r="Y1797" t="s">
        <v>3717</v>
      </c>
      <c r="AC1797">
        <v>5445</v>
      </c>
      <c r="AD1797" t="e" vm="1787">
        <v>#VALUE!</v>
      </c>
    </row>
    <row r="1798" spans="2:30" x14ac:dyDescent="0.25">
      <c r="B1798">
        <v>5448</v>
      </c>
      <c r="C1798" t="s">
        <v>3659</v>
      </c>
      <c r="D1798" t="s">
        <v>3722</v>
      </c>
      <c r="E1798" t="s">
        <v>3861</v>
      </c>
      <c r="F1798" t="s">
        <v>105</v>
      </c>
      <c r="G1798" t="s">
        <v>94</v>
      </c>
      <c r="H1798" t="s">
        <v>3808</v>
      </c>
      <c r="I1798" t="s">
        <v>3809</v>
      </c>
      <c r="J1798" t="s">
        <v>3810</v>
      </c>
      <c r="K1798" t="s">
        <v>239</v>
      </c>
      <c r="L1798" s="13">
        <v>40450</v>
      </c>
      <c r="M1798">
        <v>13</v>
      </c>
      <c r="N1798" t="s">
        <v>88</v>
      </c>
      <c r="O1798" t="s">
        <v>3901</v>
      </c>
      <c r="P1798" t="s">
        <v>76</v>
      </c>
      <c r="Q1798" t="s">
        <v>76</v>
      </c>
      <c r="R1798" t="s">
        <v>76</v>
      </c>
      <c r="S1798" t="s">
        <v>76</v>
      </c>
      <c r="T1798" t="s">
        <v>76</v>
      </c>
      <c r="U1798">
        <v>1</v>
      </c>
      <c r="V1798" s="13">
        <v>45175</v>
      </c>
      <c r="W1798">
        <v>1</v>
      </c>
      <c r="X1798">
        <v>1</v>
      </c>
      <c r="Y1798" t="s">
        <v>3723</v>
      </c>
      <c r="AC1798">
        <v>5448</v>
      </c>
      <c r="AD1798" t="e" vm="1788">
        <v>#VALUE!</v>
      </c>
    </row>
    <row r="1799" spans="2:30" x14ac:dyDescent="0.25">
      <c r="B1799">
        <v>5449</v>
      </c>
      <c r="C1799" t="s">
        <v>3659</v>
      </c>
      <c r="D1799" t="s">
        <v>3722</v>
      </c>
      <c r="E1799" t="s">
        <v>3861</v>
      </c>
      <c r="F1799" t="s">
        <v>105</v>
      </c>
      <c r="G1799" t="s">
        <v>94</v>
      </c>
      <c r="H1799" t="s">
        <v>3808</v>
      </c>
      <c r="I1799" t="s">
        <v>3809</v>
      </c>
      <c r="J1799" t="s">
        <v>3810</v>
      </c>
      <c r="K1799" t="s">
        <v>239</v>
      </c>
      <c r="L1799" s="13">
        <v>40450</v>
      </c>
      <c r="M1799">
        <v>13</v>
      </c>
      <c r="N1799" t="s">
        <v>88</v>
      </c>
      <c r="O1799" t="s">
        <v>3901</v>
      </c>
      <c r="P1799" t="s">
        <v>76</v>
      </c>
      <c r="Q1799" t="s">
        <v>76</v>
      </c>
      <c r="R1799" t="s">
        <v>76</v>
      </c>
      <c r="S1799" t="s">
        <v>76</v>
      </c>
      <c r="T1799" t="s">
        <v>76</v>
      </c>
      <c r="U1799">
        <v>1</v>
      </c>
      <c r="V1799" s="13">
        <v>45175</v>
      </c>
      <c r="W1799">
        <v>1</v>
      </c>
      <c r="X1799">
        <v>1</v>
      </c>
      <c r="Y1799" t="s">
        <v>3723</v>
      </c>
      <c r="AC1799">
        <v>5449</v>
      </c>
      <c r="AD1799" t="e" vm="1789">
        <v>#VALUE!</v>
      </c>
    </row>
    <row r="1800" spans="2:30" x14ac:dyDescent="0.25">
      <c r="B1800">
        <v>5450</v>
      </c>
      <c r="C1800" t="s">
        <v>3659</v>
      </c>
      <c r="D1800" t="s">
        <v>3722</v>
      </c>
      <c r="E1800" t="s">
        <v>3861</v>
      </c>
      <c r="F1800" t="s">
        <v>105</v>
      </c>
      <c r="G1800" t="s">
        <v>94</v>
      </c>
      <c r="H1800" t="s">
        <v>3808</v>
      </c>
      <c r="I1800" t="s">
        <v>3809</v>
      </c>
      <c r="J1800" t="s">
        <v>3810</v>
      </c>
      <c r="K1800" t="s">
        <v>239</v>
      </c>
      <c r="L1800" s="13">
        <v>40448</v>
      </c>
      <c r="M1800">
        <v>13</v>
      </c>
      <c r="N1800" t="s">
        <v>88</v>
      </c>
      <c r="O1800" t="s">
        <v>3901</v>
      </c>
      <c r="P1800" t="s">
        <v>76</v>
      </c>
      <c r="Q1800" t="s">
        <v>76</v>
      </c>
      <c r="R1800" t="s">
        <v>76</v>
      </c>
      <c r="S1800" t="s">
        <v>76</v>
      </c>
      <c r="T1800" t="s">
        <v>76</v>
      </c>
      <c r="U1800">
        <v>1</v>
      </c>
      <c r="V1800" s="13">
        <v>45175</v>
      </c>
      <c r="W1800">
        <v>1</v>
      </c>
      <c r="X1800">
        <v>1</v>
      </c>
      <c r="Y1800" t="s">
        <v>3723</v>
      </c>
      <c r="AC1800">
        <v>5450</v>
      </c>
      <c r="AD1800" t="e" vm="1790">
        <v>#VALUE!</v>
      </c>
    </row>
    <row r="1801" spans="2:30" x14ac:dyDescent="0.25">
      <c r="B1801">
        <v>5451</v>
      </c>
      <c r="C1801" t="s">
        <v>3659</v>
      </c>
      <c r="D1801" t="s">
        <v>3722</v>
      </c>
      <c r="E1801" t="s">
        <v>3861</v>
      </c>
      <c r="F1801" t="s">
        <v>105</v>
      </c>
      <c r="G1801" t="s">
        <v>94</v>
      </c>
      <c r="H1801" t="s">
        <v>3808</v>
      </c>
      <c r="I1801" t="s">
        <v>3809</v>
      </c>
      <c r="J1801" t="s">
        <v>3810</v>
      </c>
      <c r="K1801" t="s">
        <v>239</v>
      </c>
      <c r="L1801" s="13">
        <v>40462</v>
      </c>
      <c r="M1801">
        <v>13</v>
      </c>
      <c r="N1801" t="s">
        <v>88</v>
      </c>
      <c r="O1801" t="s">
        <v>3901</v>
      </c>
      <c r="P1801" t="s">
        <v>76</v>
      </c>
      <c r="Q1801" t="s">
        <v>76</v>
      </c>
      <c r="R1801" t="s">
        <v>76</v>
      </c>
      <c r="S1801" t="s">
        <v>76</v>
      </c>
      <c r="T1801" t="s">
        <v>76</v>
      </c>
      <c r="U1801">
        <v>1</v>
      </c>
      <c r="V1801" s="13">
        <v>45175</v>
      </c>
      <c r="W1801">
        <v>1</v>
      </c>
      <c r="X1801">
        <v>1</v>
      </c>
      <c r="Y1801" t="s">
        <v>3723</v>
      </c>
      <c r="AC1801">
        <v>5451</v>
      </c>
      <c r="AD1801" t="e" vm="1791">
        <v>#VALUE!</v>
      </c>
    </row>
    <row r="1802" spans="2:30" x14ac:dyDescent="0.25">
      <c r="B1802">
        <v>5452</v>
      </c>
      <c r="C1802" t="s">
        <v>3659</v>
      </c>
      <c r="D1802" t="s">
        <v>3722</v>
      </c>
      <c r="E1802" t="s">
        <v>3861</v>
      </c>
      <c r="F1802" t="s">
        <v>105</v>
      </c>
      <c r="G1802" t="s">
        <v>94</v>
      </c>
      <c r="H1802" t="s">
        <v>3808</v>
      </c>
      <c r="I1802" t="s">
        <v>3809</v>
      </c>
      <c r="J1802" t="s">
        <v>3810</v>
      </c>
      <c r="K1802" t="s">
        <v>239</v>
      </c>
      <c r="L1802" s="13">
        <v>40462</v>
      </c>
      <c r="M1802">
        <v>13</v>
      </c>
      <c r="N1802" t="s">
        <v>88</v>
      </c>
      <c r="O1802" t="s">
        <v>3901</v>
      </c>
      <c r="P1802" t="s">
        <v>76</v>
      </c>
      <c r="Q1802" t="s">
        <v>76</v>
      </c>
      <c r="R1802" t="s">
        <v>76</v>
      </c>
      <c r="S1802" t="s">
        <v>76</v>
      </c>
      <c r="T1802" t="s">
        <v>76</v>
      </c>
      <c r="U1802">
        <v>1</v>
      </c>
      <c r="V1802" s="13">
        <v>45175</v>
      </c>
      <c r="W1802">
        <v>1</v>
      </c>
      <c r="X1802">
        <v>1</v>
      </c>
      <c r="Y1802" t="s">
        <v>3723</v>
      </c>
      <c r="AC1802">
        <v>5452</v>
      </c>
      <c r="AD1802" t="e" vm="1792">
        <v>#VALUE!</v>
      </c>
    </row>
    <row r="1803" spans="2:30" x14ac:dyDescent="0.25">
      <c r="B1803">
        <v>5453</v>
      </c>
      <c r="C1803" t="s">
        <v>3659</v>
      </c>
      <c r="D1803" t="s">
        <v>3722</v>
      </c>
      <c r="E1803" t="s">
        <v>3861</v>
      </c>
      <c r="F1803" t="s">
        <v>105</v>
      </c>
      <c r="G1803" t="s">
        <v>94</v>
      </c>
      <c r="H1803" t="s">
        <v>3808</v>
      </c>
      <c r="I1803" t="s">
        <v>3809</v>
      </c>
      <c r="J1803" t="s">
        <v>3810</v>
      </c>
      <c r="K1803" t="s">
        <v>239</v>
      </c>
      <c r="L1803" s="13">
        <v>40462</v>
      </c>
      <c r="M1803">
        <v>13</v>
      </c>
      <c r="N1803" t="s">
        <v>88</v>
      </c>
      <c r="O1803" t="s">
        <v>3901</v>
      </c>
      <c r="P1803" t="s">
        <v>76</v>
      </c>
      <c r="Q1803" t="s">
        <v>76</v>
      </c>
      <c r="R1803" t="s">
        <v>76</v>
      </c>
      <c r="S1803" t="s">
        <v>76</v>
      </c>
      <c r="T1803" t="s">
        <v>76</v>
      </c>
      <c r="U1803">
        <v>1</v>
      </c>
      <c r="V1803" s="13">
        <v>45175</v>
      </c>
      <c r="W1803">
        <v>1</v>
      </c>
      <c r="X1803">
        <v>1</v>
      </c>
      <c r="Y1803" t="s">
        <v>3723</v>
      </c>
      <c r="AC1803">
        <v>5453</v>
      </c>
      <c r="AD1803" t="e" vm="1793">
        <v>#VALUE!</v>
      </c>
    </row>
    <row r="1804" spans="2:30" x14ac:dyDescent="0.25">
      <c r="B1804">
        <v>5454</v>
      </c>
      <c r="C1804" t="s">
        <v>3659</v>
      </c>
      <c r="D1804" t="s">
        <v>3722</v>
      </c>
      <c r="E1804" t="s">
        <v>3861</v>
      </c>
      <c r="F1804" t="s">
        <v>105</v>
      </c>
      <c r="G1804" t="s">
        <v>94</v>
      </c>
      <c r="H1804" t="s">
        <v>3808</v>
      </c>
      <c r="I1804" t="s">
        <v>3809</v>
      </c>
      <c r="J1804" t="s">
        <v>3810</v>
      </c>
      <c r="K1804" t="s">
        <v>239</v>
      </c>
      <c r="L1804" s="13">
        <v>40469</v>
      </c>
      <c r="M1804">
        <v>13</v>
      </c>
      <c r="N1804" t="s">
        <v>88</v>
      </c>
      <c r="O1804" t="s">
        <v>3901</v>
      </c>
      <c r="P1804" t="s">
        <v>76</v>
      </c>
      <c r="Q1804" t="s">
        <v>76</v>
      </c>
      <c r="R1804" t="s">
        <v>76</v>
      </c>
      <c r="S1804" t="s">
        <v>76</v>
      </c>
      <c r="T1804" t="s">
        <v>76</v>
      </c>
      <c r="U1804">
        <v>1</v>
      </c>
      <c r="V1804" s="13">
        <v>45175</v>
      </c>
      <c r="W1804">
        <v>1</v>
      </c>
      <c r="X1804">
        <v>1</v>
      </c>
      <c r="Y1804" t="s">
        <v>3723</v>
      </c>
      <c r="AC1804">
        <v>5454</v>
      </c>
      <c r="AD1804" t="e" vm="1794">
        <v>#VALUE!</v>
      </c>
    </row>
    <row r="1805" spans="2:30" x14ac:dyDescent="0.25">
      <c r="B1805">
        <v>5455</v>
      </c>
      <c r="C1805" t="s">
        <v>3659</v>
      </c>
      <c r="D1805" t="s">
        <v>3722</v>
      </c>
      <c r="E1805" t="s">
        <v>3861</v>
      </c>
      <c r="F1805" t="s">
        <v>105</v>
      </c>
      <c r="G1805" t="s">
        <v>94</v>
      </c>
      <c r="H1805" t="s">
        <v>3808</v>
      </c>
      <c r="I1805" t="s">
        <v>3809</v>
      </c>
      <c r="J1805" t="s">
        <v>3810</v>
      </c>
      <c r="K1805" t="s">
        <v>239</v>
      </c>
      <c r="L1805" s="13">
        <v>40469</v>
      </c>
      <c r="M1805">
        <v>13</v>
      </c>
      <c r="N1805" t="s">
        <v>88</v>
      </c>
      <c r="O1805" t="s">
        <v>3901</v>
      </c>
      <c r="P1805" t="s">
        <v>76</v>
      </c>
      <c r="Q1805" t="s">
        <v>76</v>
      </c>
      <c r="R1805" t="s">
        <v>76</v>
      </c>
      <c r="S1805" t="s">
        <v>76</v>
      </c>
      <c r="T1805" t="s">
        <v>76</v>
      </c>
      <c r="U1805">
        <v>1</v>
      </c>
      <c r="V1805" s="13">
        <v>45175</v>
      </c>
      <c r="W1805">
        <v>1</v>
      </c>
      <c r="X1805">
        <v>1</v>
      </c>
      <c r="Y1805" t="s">
        <v>3723</v>
      </c>
      <c r="AC1805">
        <v>5455</v>
      </c>
      <c r="AD1805" t="e" vm="1795">
        <v>#VALUE!</v>
      </c>
    </row>
    <row r="1806" spans="2:30" x14ac:dyDescent="0.25">
      <c r="B1806">
        <v>5456</v>
      </c>
      <c r="C1806" t="s">
        <v>3659</v>
      </c>
      <c r="D1806" t="s">
        <v>3722</v>
      </c>
      <c r="E1806" t="s">
        <v>3861</v>
      </c>
      <c r="F1806" t="s">
        <v>105</v>
      </c>
      <c r="G1806" t="s">
        <v>94</v>
      </c>
      <c r="H1806" t="s">
        <v>3808</v>
      </c>
      <c r="I1806" t="s">
        <v>3809</v>
      </c>
      <c r="J1806" t="s">
        <v>3810</v>
      </c>
      <c r="K1806" t="s">
        <v>239</v>
      </c>
      <c r="L1806" s="13">
        <v>40469</v>
      </c>
      <c r="M1806">
        <v>13</v>
      </c>
      <c r="N1806" t="s">
        <v>88</v>
      </c>
      <c r="O1806" t="s">
        <v>3901</v>
      </c>
      <c r="P1806" t="s">
        <v>76</v>
      </c>
      <c r="Q1806" t="s">
        <v>76</v>
      </c>
      <c r="R1806" t="s">
        <v>76</v>
      </c>
      <c r="S1806" t="s">
        <v>76</v>
      </c>
      <c r="T1806" t="s">
        <v>76</v>
      </c>
      <c r="U1806">
        <v>1</v>
      </c>
      <c r="V1806" s="13">
        <v>45175</v>
      </c>
      <c r="W1806">
        <v>1</v>
      </c>
      <c r="X1806">
        <v>1</v>
      </c>
      <c r="Y1806" t="s">
        <v>3723</v>
      </c>
      <c r="AC1806">
        <v>5456</v>
      </c>
      <c r="AD1806" t="e" vm="1796">
        <v>#VALUE!</v>
      </c>
    </row>
    <row r="1807" spans="2:30" x14ac:dyDescent="0.25">
      <c r="B1807">
        <v>5457</v>
      </c>
      <c r="C1807" t="s">
        <v>3659</v>
      </c>
      <c r="D1807" t="s">
        <v>3722</v>
      </c>
      <c r="E1807" t="s">
        <v>3861</v>
      </c>
      <c r="F1807" t="s">
        <v>105</v>
      </c>
      <c r="G1807" t="s">
        <v>94</v>
      </c>
      <c r="H1807" t="s">
        <v>3808</v>
      </c>
      <c r="I1807" t="s">
        <v>3809</v>
      </c>
      <c r="J1807" t="s">
        <v>3810</v>
      </c>
      <c r="K1807" t="s">
        <v>239</v>
      </c>
      <c r="L1807" s="13">
        <v>40477</v>
      </c>
      <c r="M1807">
        <v>13</v>
      </c>
      <c r="N1807" t="s">
        <v>88</v>
      </c>
      <c r="O1807" t="s">
        <v>3901</v>
      </c>
      <c r="P1807" t="s">
        <v>76</v>
      </c>
      <c r="Q1807" t="s">
        <v>76</v>
      </c>
      <c r="R1807" t="s">
        <v>76</v>
      </c>
      <c r="S1807" t="s">
        <v>76</v>
      </c>
      <c r="T1807" t="s">
        <v>76</v>
      </c>
      <c r="U1807">
        <v>1</v>
      </c>
      <c r="V1807" s="13">
        <v>45175</v>
      </c>
      <c r="W1807">
        <v>1</v>
      </c>
      <c r="X1807">
        <v>1</v>
      </c>
      <c r="Y1807" t="s">
        <v>3723</v>
      </c>
      <c r="AC1807">
        <v>5457</v>
      </c>
      <c r="AD1807" t="e" vm="1797">
        <v>#VALUE!</v>
      </c>
    </row>
    <row r="1808" spans="2:30" x14ac:dyDescent="0.25">
      <c r="B1808">
        <v>5458</v>
      </c>
      <c r="C1808" t="s">
        <v>3659</v>
      </c>
      <c r="D1808" t="s">
        <v>3722</v>
      </c>
      <c r="E1808" t="s">
        <v>3861</v>
      </c>
      <c r="F1808" t="s">
        <v>105</v>
      </c>
      <c r="G1808" t="s">
        <v>94</v>
      </c>
      <c r="H1808" t="s">
        <v>3808</v>
      </c>
      <c r="I1808" t="s">
        <v>3809</v>
      </c>
      <c r="J1808" t="s">
        <v>3810</v>
      </c>
      <c r="K1808" t="s">
        <v>239</v>
      </c>
      <c r="L1808" s="13">
        <v>40477</v>
      </c>
      <c r="M1808">
        <v>13</v>
      </c>
      <c r="N1808" t="s">
        <v>88</v>
      </c>
      <c r="O1808" t="s">
        <v>3901</v>
      </c>
      <c r="P1808" t="s">
        <v>76</v>
      </c>
      <c r="Q1808" t="s">
        <v>76</v>
      </c>
      <c r="R1808" t="s">
        <v>76</v>
      </c>
      <c r="S1808" t="s">
        <v>76</v>
      </c>
      <c r="T1808" t="s">
        <v>76</v>
      </c>
      <c r="U1808">
        <v>1</v>
      </c>
      <c r="V1808" s="13">
        <v>45175</v>
      </c>
      <c r="W1808">
        <v>1</v>
      </c>
      <c r="X1808">
        <v>1</v>
      </c>
      <c r="Y1808" t="s">
        <v>3723</v>
      </c>
      <c r="AC1808">
        <v>5458</v>
      </c>
      <c r="AD1808" t="e" vm="1798">
        <v>#VALUE!</v>
      </c>
    </row>
    <row r="1809" spans="2:30" x14ac:dyDescent="0.25">
      <c r="B1809">
        <v>5459</v>
      </c>
      <c r="C1809" t="s">
        <v>3659</v>
      </c>
      <c r="D1809" t="s">
        <v>3722</v>
      </c>
      <c r="E1809" t="s">
        <v>3861</v>
      </c>
      <c r="F1809" t="s">
        <v>105</v>
      </c>
      <c r="G1809" t="s">
        <v>94</v>
      </c>
      <c r="H1809" t="s">
        <v>3808</v>
      </c>
      <c r="I1809" t="s">
        <v>3809</v>
      </c>
      <c r="J1809" t="s">
        <v>3810</v>
      </c>
      <c r="K1809" t="s">
        <v>239</v>
      </c>
      <c r="L1809" s="13">
        <v>40477</v>
      </c>
      <c r="M1809">
        <v>13</v>
      </c>
      <c r="N1809" t="s">
        <v>88</v>
      </c>
      <c r="O1809" t="s">
        <v>3901</v>
      </c>
      <c r="P1809" t="s">
        <v>76</v>
      </c>
      <c r="Q1809" t="s">
        <v>76</v>
      </c>
      <c r="R1809" t="s">
        <v>76</v>
      </c>
      <c r="S1809" t="s">
        <v>76</v>
      </c>
      <c r="T1809" t="s">
        <v>76</v>
      </c>
      <c r="U1809">
        <v>1</v>
      </c>
      <c r="V1809" s="13">
        <v>45175</v>
      </c>
      <c r="W1809">
        <v>1</v>
      </c>
      <c r="X1809">
        <v>1</v>
      </c>
      <c r="Y1809" t="s">
        <v>3723</v>
      </c>
      <c r="AC1809">
        <v>5459</v>
      </c>
      <c r="AD1809" t="e" vm="1799">
        <v>#VALUE!</v>
      </c>
    </row>
    <row r="1810" spans="2:30" x14ac:dyDescent="0.25">
      <c r="B1810">
        <v>5460</v>
      </c>
      <c r="C1810" t="s">
        <v>3659</v>
      </c>
      <c r="D1810" t="s">
        <v>3722</v>
      </c>
      <c r="E1810" t="s">
        <v>3861</v>
      </c>
      <c r="F1810" t="s">
        <v>105</v>
      </c>
      <c r="G1810" t="s">
        <v>94</v>
      </c>
      <c r="H1810" t="s">
        <v>3808</v>
      </c>
      <c r="I1810" t="s">
        <v>3809</v>
      </c>
      <c r="J1810" t="s">
        <v>3810</v>
      </c>
      <c r="K1810" t="s">
        <v>239</v>
      </c>
      <c r="L1810" s="13">
        <v>40497</v>
      </c>
      <c r="M1810">
        <v>13</v>
      </c>
      <c r="N1810" t="s">
        <v>88</v>
      </c>
      <c r="O1810" t="s">
        <v>3901</v>
      </c>
      <c r="P1810" t="s">
        <v>76</v>
      </c>
      <c r="Q1810" t="s">
        <v>76</v>
      </c>
      <c r="R1810" t="s">
        <v>76</v>
      </c>
      <c r="S1810" t="s">
        <v>76</v>
      </c>
      <c r="T1810" t="s">
        <v>76</v>
      </c>
      <c r="U1810">
        <v>1</v>
      </c>
      <c r="V1810" s="13">
        <v>45175</v>
      </c>
      <c r="W1810">
        <v>1</v>
      </c>
      <c r="X1810">
        <v>1</v>
      </c>
      <c r="Y1810" t="s">
        <v>3723</v>
      </c>
      <c r="AC1810">
        <v>5460</v>
      </c>
      <c r="AD1810" t="e" vm="1800">
        <v>#VALUE!</v>
      </c>
    </row>
    <row r="1811" spans="2:30" x14ac:dyDescent="0.25">
      <c r="B1811">
        <v>5461</v>
      </c>
      <c r="C1811" t="s">
        <v>3659</v>
      </c>
      <c r="D1811" t="s">
        <v>3722</v>
      </c>
      <c r="E1811" t="s">
        <v>3861</v>
      </c>
      <c r="F1811" t="s">
        <v>105</v>
      </c>
      <c r="G1811" t="s">
        <v>94</v>
      </c>
      <c r="H1811" t="s">
        <v>3808</v>
      </c>
      <c r="I1811" t="s">
        <v>3809</v>
      </c>
      <c r="J1811" t="s">
        <v>3810</v>
      </c>
      <c r="K1811" t="s">
        <v>239</v>
      </c>
      <c r="L1811" s="13">
        <v>40497</v>
      </c>
      <c r="M1811">
        <v>13</v>
      </c>
      <c r="N1811" t="s">
        <v>88</v>
      </c>
      <c r="O1811" t="s">
        <v>3901</v>
      </c>
      <c r="P1811" t="s">
        <v>76</v>
      </c>
      <c r="Q1811" t="s">
        <v>76</v>
      </c>
      <c r="R1811" t="s">
        <v>76</v>
      </c>
      <c r="S1811" t="s">
        <v>76</v>
      </c>
      <c r="T1811" t="s">
        <v>76</v>
      </c>
      <c r="U1811">
        <v>1</v>
      </c>
      <c r="V1811" s="13">
        <v>45175</v>
      </c>
      <c r="W1811">
        <v>1</v>
      </c>
      <c r="X1811">
        <v>1</v>
      </c>
      <c r="Y1811" t="s">
        <v>3723</v>
      </c>
      <c r="AC1811">
        <v>5461</v>
      </c>
      <c r="AD1811" t="e" vm="1801">
        <v>#VALUE!</v>
      </c>
    </row>
    <row r="1812" spans="2:30" x14ac:dyDescent="0.25">
      <c r="B1812">
        <v>5462</v>
      </c>
      <c r="C1812" t="s">
        <v>3659</v>
      </c>
      <c r="D1812" t="s">
        <v>3722</v>
      </c>
      <c r="E1812" t="s">
        <v>3861</v>
      </c>
      <c r="F1812" t="s">
        <v>105</v>
      </c>
      <c r="G1812" t="s">
        <v>94</v>
      </c>
      <c r="H1812" t="s">
        <v>3808</v>
      </c>
      <c r="I1812" t="s">
        <v>3809</v>
      </c>
      <c r="J1812" t="s">
        <v>3810</v>
      </c>
      <c r="K1812" t="s">
        <v>239</v>
      </c>
      <c r="L1812" s="13">
        <v>40500</v>
      </c>
      <c r="M1812">
        <v>13</v>
      </c>
      <c r="N1812" t="s">
        <v>88</v>
      </c>
      <c r="O1812" t="s">
        <v>3901</v>
      </c>
      <c r="P1812" t="s">
        <v>76</v>
      </c>
      <c r="Q1812" t="s">
        <v>76</v>
      </c>
      <c r="R1812" t="s">
        <v>76</v>
      </c>
      <c r="S1812" t="s">
        <v>76</v>
      </c>
      <c r="T1812" t="s">
        <v>76</v>
      </c>
      <c r="U1812">
        <v>1</v>
      </c>
      <c r="V1812" s="13">
        <v>45175</v>
      </c>
      <c r="W1812">
        <v>1</v>
      </c>
      <c r="X1812">
        <v>1</v>
      </c>
      <c r="Y1812" t="s">
        <v>3723</v>
      </c>
      <c r="AC1812">
        <v>5462</v>
      </c>
      <c r="AD1812" t="e" vm="1802">
        <v>#VALUE!</v>
      </c>
    </row>
    <row r="1813" spans="2:30" x14ac:dyDescent="0.25">
      <c r="B1813">
        <v>5463</v>
      </c>
      <c r="C1813" t="s">
        <v>3659</v>
      </c>
      <c r="D1813" t="s">
        <v>3722</v>
      </c>
      <c r="E1813" t="s">
        <v>3861</v>
      </c>
      <c r="F1813" t="s">
        <v>105</v>
      </c>
      <c r="G1813" t="s">
        <v>94</v>
      </c>
      <c r="H1813" t="s">
        <v>3808</v>
      </c>
      <c r="I1813" t="s">
        <v>3809</v>
      </c>
      <c r="J1813" t="s">
        <v>3810</v>
      </c>
      <c r="K1813" t="s">
        <v>239</v>
      </c>
      <c r="L1813" s="13">
        <v>40500</v>
      </c>
      <c r="M1813">
        <v>13</v>
      </c>
      <c r="N1813" t="s">
        <v>88</v>
      </c>
      <c r="O1813" t="s">
        <v>3901</v>
      </c>
      <c r="P1813" t="s">
        <v>76</v>
      </c>
      <c r="Q1813" t="s">
        <v>76</v>
      </c>
      <c r="R1813" t="s">
        <v>76</v>
      </c>
      <c r="S1813" t="s">
        <v>76</v>
      </c>
      <c r="T1813" t="s">
        <v>76</v>
      </c>
      <c r="U1813">
        <v>1</v>
      </c>
      <c r="V1813" s="13">
        <v>45175</v>
      </c>
      <c r="W1813">
        <v>1</v>
      </c>
      <c r="X1813">
        <v>1</v>
      </c>
      <c r="Y1813" t="s">
        <v>3723</v>
      </c>
      <c r="AC1813">
        <v>5463</v>
      </c>
      <c r="AD1813" t="e" vm="1803">
        <v>#VALUE!</v>
      </c>
    </row>
    <row r="1814" spans="2:30" x14ac:dyDescent="0.25">
      <c r="B1814">
        <v>5464</v>
      </c>
      <c r="C1814" t="s">
        <v>3646</v>
      </c>
      <c r="D1814" t="s">
        <v>3647</v>
      </c>
      <c r="E1814" t="s">
        <v>3807</v>
      </c>
      <c r="F1814" t="s">
        <v>105</v>
      </c>
      <c r="G1814" t="s">
        <v>108</v>
      </c>
      <c r="H1814" t="s">
        <v>3808</v>
      </c>
      <c r="I1814" t="s">
        <v>3809</v>
      </c>
      <c r="J1814" t="s">
        <v>3810</v>
      </c>
      <c r="K1814" t="s">
        <v>239</v>
      </c>
      <c r="L1814" s="13">
        <v>40528</v>
      </c>
      <c r="M1814">
        <v>13</v>
      </c>
      <c r="N1814" t="s">
        <v>90</v>
      </c>
      <c r="O1814" t="s">
        <v>3901</v>
      </c>
      <c r="P1814" t="s">
        <v>76</v>
      </c>
      <c r="Q1814" t="s">
        <v>76</v>
      </c>
      <c r="R1814" t="s">
        <v>76</v>
      </c>
      <c r="S1814" t="s">
        <v>76</v>
      </c>
      <c r="T1814" t="s">
        <v>76</v>
      </c>
      <c r="U1814">
        <v>1</v>
      </c>
      <c r="V1814" s="13">
        <v>45175</v>
      </c>
      <c r="W1814">
        <v>1</v>
      </c>
      <c r="X1814">
        <v>1</v>
      </c>
      <c r="Y1814" t="s">
        <v>3648</v>
      </c>
      <c r="AC1814">
        <v>5464</v>
      </c>
      <c r="AD1814" t="e" vm="1804">
        <v>#VALUE!</v>
      </c>
    </row>
    <row r="1815" spans="2:30" x14ac:dyDescent="0.25">
      <c r="B1815">
        <v>5465</v>
      </c>
      <c r="C1815" t="s">
        <v>3646</v>
      </c>
      <c r="D1815" t="s">
        <v>3647</v>
      </c>
      <c r="E1815" t="s">
        <v>3807</v>
      </c>
      <c r="F1815" t="s">
        <v>105</v>
      </c>
      <c r="G1815" t="s">
        <v>108</v>
      </c>
      <c r="H1815" t="s">
        <v>3808</v>
      </c>
      <c r="I1815" t="s">
        <v>3809</v>
      </c>
      <c r="J1815" t="s">
        <v>3810</v>
      </c>
      <c r="K1815" t="s">
        <v>239</v>
      </c>
      <c r="L1815" s="13">
        <v>40528</v>
      </c>
      <c r="M1815">
        <v>13</v>
      </c>
      <c r="N1815" t="s">
        <v>90</v>
      </c>
      <c r="O1815" t="s">
        <v>3901</v>
      </c>
      <c r="P1815" t="s">
        <v>76</v>
      </c>
      <c r="Q1815" t="s">
        <v>76</v>
      </c>
      <c r="R1815" t="s">
        <v>76</v>
      </c>
      <c r="S1815" t="s">
        <v>76</v>
      </c>
      <c r="T1815" t="s">
        <v>76</v>
      </c>
      <c r="U1815">
        <v>1</v>
      </c>
      <c r="V1815" s="13">
        <v>45175</v>
      </c>
      <c r="W1815">
        <v>1</v>
      </c>
      <c r="X1815">
        <v>1</v>
      </c>
      <c r="Y1815" t="s">
        <v>3648</v>
      </c>
      <c r="AC1815">
        <v>5465</v>
      </c>
      <c r="AD1815" t="e" vm="1805">
        <v>#VALUE!</v>
      </c>
    </row>
    <row r="1816" spans="2:30" x14ac:dyDescent="0.25">
      <c r="B1816">
        <v>5466</v>
      </c>
      <c r="C1816" t="s">
        <v>3668</v>
      </c>
      <c r="D1816" t="s">
        <v>3673</v>
      </c>
      <c r="E1816" t="s">
        <v>3819</v>
      </c>
      <c r="F1816" t="s">
        <v>87</v>
      </c>
      <c r="G1816" t="s">
        <v>84</v>
      </c>
      <c r="H1816" t="s">
        <v>3808</v>
      </c>
      <c r="I1816" t="s">
        <v>3809</v>
      </c>
      <c r="J1816" t="s">
        <v>3810</v>
      </c>
      <c r="K1816" t="s">
        <v>239</v>
      </c>
      <c r="L1816" s="13">
        <v>40528</v>
      </c>
      <c r="M1816">
        <v>13</v>
      </c>
      <c r="N1816" t="s">
        <v>82</v>
      </c>
      <c r="O1816" t="s">
        <v>3901</v>
      </c>
      <c r="P1816" t="s">
        <v>76</v>
      </c>
      <c r="Q1816" t="s">
        <v>76</v>
      </c>
      <c r="R1816" t="s">
        <v>76</v>
      </c>
      <c r="S1816" t="s">
        <v>76</v>
      </c>
      <c r="T1816" t="s">
        <v>76</v>
      </c>
      <c r="U1816">
        <v>1</v>
      </c>
      <c r="V1816" s="13">
        <v>45175</v>
      </c>
      <c r="W1816">
        <v>1</v>
      </c>
      <c r="X1816">
        <v>1</v>
      </c>
      <c r="Y1816" t="s">
        <v>3674</v>
      </c>
      <c r="AC1816">
        <v>5466</v>
      </c>
      <c r="AD1816" t="e" vm="1806">
        <v>#VALUE!</v>
      </c>
    </row>
    <row r="1817" spans="2:30" x14ac:dyDescent="0.25">
      <c r="B1817">
        <v>5467</v>
      </c>
      <c r="C1817" t="s">
        <v>3668</v>
      </c>
      <c r="D1817" t="s">
        <v>3673</v>
      </c>
      <c r="E1817" t="s">
        <v>3819</v>
      </c>
      <c r="F1817" t="s">
        <v>87</v>
      </c>
      <c r="G1817" t="s">
        <v>84</v>
      </c>
      <c r="H1817" t="s">
        <v>3808</v>
      </c>
      <c r="I1817" t="s">
        <v>3809</v>
      </c>
      <c r="J1817" t="s">
        <v>3810</v>
      </c>
      <c r="K1817" t="s">
        <v>239</v>
      </c>
      <c r="L1817" s="13">
        <v>40528</v>
      </c>
      <c r="M1817">
        <v>13</v>
      </c>
      <c r="N1817" t="s">
        <v>82</v>
      </c>
      <c r="O1817" t="s">
        <v>3901</v>
      </c>
      <c r="P1817" t="s">
        <v>76</v>
      </c>
      <c r="Q1817" t="s">
        <v>76</v>
      </c>
      <c r="R1817" t="s">
        <v>76</v>
      </c>
      <c r="S1817" t="s">
        <v>76</v>
      </c>
      <c r="T1817" t="s">
        <v>76</v>
      </c>
      <c r="U1817">
        <v>1</v>
      </c>
      <c r="V1817" s="13">
        <v>45175</v>
      </c>
      <c r="W1817">
        <v>1</v>
      </c>
      <c r="X1817">
        <v>1</v>
      </c>
      <c r="Y1817" t="s">
        <v>3674</v>
      </c>
      <c r="AC1817">
        <v>5467</v>
      </c>
      <c r="AD1817" t="e" vm="1807">
        <v>#VALUE!</v>
      </c>
    </row>
    <row r="1818" spans="2:30" x14ac:dyDescent="0.25">
      <c r="B1818">
        <v>5468</v>
      </c>
      <c r="C1818" t="s">
        <v>3668</v>
      </c>
      <c r="D1818" t="s">
        <v>3673</v>
      </c>
      <c r="E1818" t="s">
        <v>3819</v>
      </c>
      <c r="F1818" t="s">
        <v>87</v>
      </c>
      <c r="G1818" t="s">
        <v>84</v>
      </c>
      <c r="H1818" t="s">
        <v>3808</v>
      </c>
      <c r="I1818" t="s">
        <v>3809</v>
      </c>
      <c r="J1818" t="s">
        <v>3810</v>
      </c>
      <c r="K1818" t="s">
        <v>239</v>
      </c>
      <c r="L1818" s="13">
        <v>40528</v>
      </c>
      <c r="M1818">
        <v>13</v>
      </c>
      <c r="N1818" t="s">
        <v>82</v>
      </c>
      <c r="O1818" t="s">
        <v>3901</v>
      </c>
      <c r="P1818" t="s">
        <v>76</v>
      </c>
      <c r="Q1818" t="s">
        <v>76</v>
      </c>
      <c r="R1818" t="s">
        <v>76</v>
      </c>
      <c r="S1818" t="s">
        <v>76</v>
      </c>
      <c r="T1818" t="s">
        <v>76</v>
      </c>
      <c r="U1818">
        <v>1</v>
      </c>
      <c r="V1818" s="13">
        <v>45175</v>
      </c>
      <c r="W1818">
        <v>1</v>
      </c>
      <c r="X1818">
        <v>1</v>
      </c>
      <c r="Y1818" t="s">
        <v>3674</v>
      </c>
      <c r="AC1818">
        <v>5468</v>
      </c>
      <c r="AD1818" t="e" vm="1808">
        <v>#VALUE!</v>
      </c>
    </row>
    <row r="1819" spans="2:30" x14ac:dyDescent="0.25">
      <c r="B1819">
        <v>5469</v>
      </c>
      <c r="C1819" t="s">
        <v>3668</v>
      </c>
      <c r="D1819" t="s">
        <v>3673</v>
      </c>
      <c r="E1819" t="s">
        <v>3819</v>
      </c>
      <c r="F1819" t="s">
        <v>87</v>
      </c>
      <c r="G1819" t="s">
        <v>84</v>
      </c>
      <c r="H1819" t="s">
        <v>3808</v>
      </c>
      <c r="I1819" t="s">
        <v>3809</v>
      </c>
      <c r="J1819" t="s">
        <v>3810</v>
      </c>
      <c r="K1819" t="s">
        <v>239</v>
      </c>
      <c r="L1819" s="13">
        <v>40549</v>
      </c>
      <c r="M1819">
        <v>13</v>
      </c>
      <c r="N1819" t="s">
        <v>82</v>
      </c>
      <c r="O1819" t="s">
        <v>3901</v>
      </c>
      <c r="P1819" t="s">
        <v>76</v>
      </c>
      <c r="Q1819" t="s">
        <v>76</v>
      </c>
      <c r="R1819" t="s">
        <v>76</v>
      </c>
      <c r="S1819" t="s">
        <v>76</v>
      </c>
      <c r="T1819" t="s">
        <v>76</v>
      </c>
      <c r="U1819">
        <v>1</v>
      </c>
      <c r="V1819" s="13">
        <v>45175</v>
      </c>
      <c r="W1819">
        <v>1</v>
      </c>
      <c r="X1819">
        <v>1</v>
      </c>
      <c r="Y1819" t="s">
        <v>3674</v>
      </c>
      <c r="AC1819">
        <v>5469</v>
      </c>
      <c r="AD1819" t="e" vm="1809">
        <v>#VALUE!</v>
      </c>
    </row>
    <row r="1820" spans="2:30" x14ac:dyDescent="0.25">
      <c r="B1820">
        <v>5470</v>
      </c>
      <c r="C1820" t="s">
        <v>3668</v>
      </c>
      <c r="D1820" t="s">
        <v>3673</v>
      </c>
      <c r="E1820" t="s">
        <v>3819</v>
      </c>
      <c r="F1820" t="s">
        <v>87</v>
      </c>
      <c r="G1820" t="s">
        <v>84</v>
      </c>
      <c r="H1820" t="s">
        <v>3808</v>
      </c>
      <c r="I1820" t="s">
        <v>3809</v>
      </c>
      <c r="J1820" t="s">
        <v>3810</v>
      </c>
      <c r="K1820" t="s">
        <v>239</v>
      </c>
      <c r="L1820" s="13">
        <v>40549</v>
      </c>
      <c r="M1820">
        <v>13</v>
      </c>
      <c r="N1820" t="s">
        <v>82</v>
      </c>
      <c r="O1820" t="s">
        <v>3901</v>
      </c>
      <c r="P1820" t="s">
        <v>76</v>
      </c>
      <c r="Q1820" t="s">
        <v>76</v>
      </c>
      <c r="R1820" t="s">
        <v>76</v>
      </c>
      <c r="S1820" t="s">
        <v>76</v>
      </c>
      <c r="T1820" t="s">
        <v>76</v>
      </c>
      <c r="U1820">
        <v>1</v>
      </c>
      <c r="V1820" s="13">
        <v>45175</v>
      </c>
      <c r="W1820">
        <v>1</v>
      </c>
      <c r="X1820">
        <v>1</v>
      </c>
      <c r="Y1820" t="s">
        <v>3674</v>
      </c>
      <c r="AC1820">
        <v>5470</v>
      </c>
      <c r="AD1820" t="e" vm="1810">
        <v>#VALUE!</v>
      </c>
    </row>
    <row r="1821" spans="2:30" x14ac:dyDescent="0.25">
      <c r="B1821">
        <v>5471</v>
      </c>
      <c r="C1821" t="s">
        <v>3668</v>
      </c>
      <c r="D1821" t="s">
        <v>3673</v>
      </c>
      <c r="E1821" t="s">
        <v>3819</v>
      </c>
      <c r="F1821" t="s">
        <v>87</v>
      </c>
      <c r="G1821" t="s">
        <v>84</v>
      </c>
      <c r="H1821" t="s">
        <v>3808</v>
      </c>
      <c r="I1821" t="s">
        <v>3809</v>
      </c>
      <c r="J1821" t="s">
        <v>3810</v>
      </c>
      <c r="K1821" t="s">
        <v>239</v>
      </c>
      <c r="L1821" s="13">
        <v>40556</v>
      </c>
      <c r="M1821">
        <v>13</v>
      </c>
      <c r="N1821" t="s">
        <v>82</v>
      </c>
      <c r="O1821" t="s">
        <v>3901</v>
      </c>
      <c r="P1821" t="s">
        <v>76</v>
      </c>
      <c r="Q1821" t="s">
        <v>76</v>
      </c>
      <c r="R1821" t="s">
        <v>76</v>
      </c>
      <c r="S1821" t="s">
        <v>76</v>
      </c>
      <c r="T1821" t="s">
        <v>76</v>
      </c>
      <c r="U1821">
        <v>1</v>
      </c>
      <c r="V1821" s="13">
        <v>45175</v>
      </c>
      <c r="W1821">
        <v>1</v>
      </c>
      <c r="X1821">
        <v>1</v>
      </c>
      <c r="Y1821" t="s">
        <v>3674</v>
      </c>
      <c r="AC1821">
        <v>5471</v>
      </c>
      <c r="AD1821" t="e" vm="1811">
        <v>#VALUE!</v>
      </c>
    </row>
    <row r="1822" spans="2:30" x14ac:dyDescent="0.25">
      <c r="B1822">
        <v>5472</v>
      </c>
      <c r="C1822" t="s">
        <v>3668</v>
      </c>
      <c r="D1822" t="s">
        <v>3673</v>
      </c>
      <c r="E1822" t="s">
        <v>3819</v>
      </c>
      <c r="F1822" t="s">
        <v>87</v>
      </c>
      <c r="G1822" t="s">
        <v>84</v>
      </c>
      <c r="H1822" t="s">
        <v>3808</v>
      </c>
      <c r="I1822" t="s">
        <v>3809</v>
      </c>
      <c r="J1822" t="s">
        <v>3810</v>
      </c>
      <c r="K1822" t="s">
        <v>239</v>
      </c>
      <c r="L1822" s="13">
        <v>40597</v>
      </c>
      <c r="M1822">
        <v>13</v>
      </c>
      <c r="N1822" t="s">
        <v>82</v>
      </c>
      <c r="O1822" t="s">
        <v>3901</v>
      </c>
      <c r="P1822" t="s">
        <v>76</v>
      </c>
      <c r="Q1822" t="s">
        <v>76</v>
      </c>
      <c r="R1822" t="s">
        <v>76</v>
      </c>
      <c r="S1822" t="s">
        <v>76</v>
      </c>
      <c r="T1822" t="s">
        <v>76</v>
      </c>
      <c r="U1822">
        <v>1</v>
      </c>
      <c r="V1822" s="13">
        <v>45175</v>
      </c>
      <c r="W1822">
        <v>1</v>
      </c>
      <c r="X1822">
        <v>1</v>
      </c>
      <c r="Y1822" t="s">
        <v>3674</v>
      </c>
      <c r="AC1822">
        <v>5472</v>
      </c>
      <c r="AD1822" t="e" vm="1812">
        <v>#VALUE!</v>
      </c>
    </row>
    <row r="1823" spans="2:30" x14ac:dyDescent="0.25">
      <c r="B1823">
        <v>5473</v>
      </c>
      <c r="C1823" t="s">
        <v>3668</v>
      </c>
      <c r="D1823" t="s">
        <v>3673</v>
      </c>
      <c r="E1823" t="s">
        <v>3819</v>
      </c>
      <c r="F1823" t="s">
        <v>87</v>
      </c>
      <c r="G1823" t="s">
        <v>84</v>
      </c>
      <c r="H1823" t="s">
        <v>3808</v>
      </c>
      <c r="I1823" t="s">
        <v>3809</v>
      </c>
      <c r="J1823" t="s">
        <v>3810</v>
      </c>
      <c r="K1823" t="s">
        <v>239</v>
      </c>
      <c r="L1823" s="13">
        <v>40549</v>
      </c>
      <c r="M1823">
        <v>13</v>
      </c>
      <c r="N1823" t="s">
        <v>82</v>
      </c>
      <c r="O1823" t="s">
        <v>3901</v>
      </c>
      <c r="P1823" t="s">
        <v>76</v>
      </c>
      <c r="Q1823" t="s">
        <v>76</v>
      </c>
      <c r="R1823" t="s">
        <v>76</v>
      </c>
      <c r="S1823" t="s">
        <v>76</v>
      </c>
      <c r="T1823" t="s">
        <v>76</v>
      </c>
      <c r="U1823">
        <v>1</v>
      </c>
      <c r="V1823" s="13">
        <v>45175</v>
      </c>
      <c r="W1823">
        <v>1</v>
      </c>
      <c r="X1823">
        <v>1</v>
      </c>
      <c r="Y1823" t="s">
        <v>3674</v>
      </c>
      <c r="AC1823">
        <v>5473</v>
      </c>
      <c r="AD1823" t="e" vm="1813">
        <v>#VALUE!</v>
      </c>
    </row>
    <row r="1824" spans="2:30" x14ac:dyDescent="0.25">
      <c r="B1824">
        <v>5474</v>
      </c>
      <c r="C1824" t="s">
        <v>3659</v>
      </c>
      <c r="D1824" t="s">
        <v>3722</v>
      </c>
      <c r="E1824" t="s">
        <v>3861</v>
      </c>
      <c r="F1824" t="s">
        <v>105</v>
      </c>
      <c r="G1824" t="s">
        <v>94</v>
      </c>
      <c r="H1824" t="s">
        <v>3808</v>
      </c>
      <c r="I1824" t="s">
        <v>3809</v>
      </c>
      <c r="J1824" t="s">
        <v>3810</v>
      </c>
      <c r="K1824" t="s">
        <v>239</v>
      </c>
      <c r="L1824" s="13">
        <v>40563</v>
      </c>
      <c r="M1824">
        <v>13</v>
      </c>
      <c r="N1824" t="s">
        <v>88</v>
      </c>
      <c r="O1824" t="s">
        <v>3901</v>
      </c>
      <c r="P1824" t="s">
        <v>76</v>
      </c>
      <c r="Q1824" t="s">
        <v>76</v>
      </c>
      <c r="R1824" t="s">
        <v>76</v>
      </c>
      <c r="S1824" t="s">
        <v>76</v>
      </c>
      <c r="T1824" t="s">
        <v>76</v>
      </c>
      <c r="U1824">
        <v>1</v>
      </c>
      <c r="V1824" s="13">
        <v>45175</v>
      </c>
      <c r="W1824">
        <v>1</v>
      </c>
      <c r="X1824">
        <v>1</v>
      </c>
      <c r="Y1824" t="s">
        <v>3723</v>
      </c>
      <c r="AC1824">
        <v>5474</v>
      </c>
      <c r="AD1824" t="e" vm="1814">
        <v>#VALUE!</v>
      </c>
    </row>
    <row r="1825" spans="2:30" x14ac:dyDescent="0.25">
      <c r="B1825">
        <v>5475</v>
      </c>
      <c r="C1825" t="s">
        <v>3659</v>
      </c>
      <c r="D1825" t="s">
        <v>3722</v>
      </c>
      <c r="E1825" t="s">
        <v>3861</v>
      </c>
      <c r="F1825" t="s">
        <v>105</v>
      </c>
      <c r="G1825" t="s">
        <v>94</v>
      </c>
      <c r="H1825" t="s">
        <v>3808</v>
      </c>
      <c r="I1825" t="s">
        <v>3809</v>
      </c>
      <c r="J1825" t="s">
        <v>3810</v>
      </c>
      <c r="K1825" t="s">
        <v>239</v>
      </c>
      <c r="L1825" s="13">
        <v>40605</v>
      </c>
      <c r="M1825">
        <v>13</v>
      </c>
      <c r="N1825" t="s">
        <v>88</v>
      </c>
      <c r="O1825" t="s">
        <v>3901</v>
      </c>
      <c r="P1825" t="s">
        <v>76</v>
      </c>
      <c r="Q1825" t="s">
        <v>76</v>
      </c>
      <c r="R1825" t="s">
        <v>76</v>
      </c>
      <c r="S1825" t="s">
        <v>76</v>
      </c>
      <c r="T1825" t="s">
        <v>76</v>
      </c>
      <c r="U1825">
        <v>1</v>
      </c>
      <c r="V1825" s="13">
        <v>45175</v>
      </c>
      <c r="W1825">
        <v>1</v>
      </c>
      <c r="X1825">
        <v>1</v>
      </c>
      <c r="Y1825" t="s">
        <v>3723</v>
      </c>
      <c r="AC1825">
        <v>5475</v>
      </c>
      <c r="AD1825" t="e" vm="1815">
        <v>#VALUE!</v>
      </c>
    </row>
    <row r="1826" spans="2:30" x14ac:dyDescent="0.25">
      <c r="B1826">
        <v>5476</v>
      </c>
      <c r="C1826" t="s">
        <v>3659</v>
      </c>
      <c r="D1826" t="s">
        <v>3722</v>
      </c>
      <c r="E1826" t="s">
        <v>3861</v>
      </c>
      <c r="F1826" t="s">
        <v>105</v>
      </c>
      <c r="G1826" t="s">
        <v>94</v>
      </c>
      <c r="H1826" t="s">
        <v>3808</v>
      </c>
      <c r="I1826" t="s">
        <v>3809</v>
      </c>
      <c r="J1826" t="s">
        <v>3810</v>
      </c>
      <c r="K1826" t="s">
        <v>239</v>
      </c>
      <c r="L1826" s="13">
        <v>40618</v>
      </c>
      <c r="M1826">
        <v>13</v>
      </c>
      <c r="N1826" t="s">
        <v>88</v>
      </c>
      <c r="O1826" t="s">
        <v>3901</v>
      </c>
      <c r="P1826" t="s">
        <v>76</v>
      </c>
      <c r="Q1826" t="s">
        <v>76</v>
      </c>
      <c r="R1826" t="s">
        <v>76</v>
      </c>
      <c r="S1826" t="s">
        <v>76</v>
      </c>
      <c r="T1826" t="s">
        <v>76</v>
      </c>
      <c r="U1826">
        <v>1</v>
      </c>
      <c r="V1826" s="13">
        <v>45175</v>
      </c>
      <c r="W1826">
        <v>1</v>
      </c>
      <c r="X1826">
        <v>1</v>
      </c>
      <c r="Y1826" t="s">
        <v>3723</v>
      </c>
      <c r="AC1826">
        <v>5476</v>
      </c>
      <c r="AD1826" t="e" vm="1816">
        <v>#VALUE!</v>
      </c>
    </row>
    <row r="1827" spans="2:30" x14ac:dyDescent="0.25">
      <c r="B1827">
        <v>5477</v>
      </c>
      <c r="C1827" t="s">
        <v>3659</v>
      </c>
      <c r="D1827" t="s">
        <v>3722</v>
      </c>
      <c r="E1827" t="s">
        <v>3861</v>
      </c>
      <c r="F1827" t="s">
        <v>105</v>
      </c>
      <c r="G1827" t="s">
        <v>94</v>
      </c>
      <c r="H1827" t="s">
        <v>3808</v>
      </c>
      <c r="I1827" t="s">
        <v>3809</v>
      </c>
      <c r="J1827" t="s">
        <v>3810</v>
      </c>
      <c r="K1827" t="s">
        <v>239</v>
      </c>
      <c r="L1827" s="13">
        <v>40640</v>
      </c>
      <c r="M1827">
        <v>12</v>
      </c>
      <c r="N1827" t="s">
        <v>88</v>
      </c>
      <c r="O1827" t="s">
        <v>3901</v>
      </c>
      <c r="P1827" t="s">
        <v>76</v>
      </c>
      <c r="Q1827" t="s">
        <v>76</v>
      </c>
      <c r="R1827" t="s">
        <v>76</v>
      </c>
      <c r="S1827" t="s">
        <v>76</v>
      </c>
      <c r="T1827" t="s">
        <v>76</v>
      </c>
      <c r="U1827">
        <v>1</v>
      </c>
      <c r="V1827" s="13">
        <v>45175</v>
      </c>
      <c r="W1827">
        <v>1</v>
      </c>
      <c r="X1827">
        <v>1</v>
      </c>
      <c r="Y1827" t="s">
        <v>3723</v>
      </c>
      <c r="AC1827">
        <v>5477</v>
      </c>
      <c r="AD1827" t="e" vm="1817">
        <v>#VALUE!</v>
      </c>
    </row>
    <row r="1828" spans="2:30" x14ac:dyDescent="0.25">
      <c r="B1828">
        <v>5478</v>
      </c>
      <c r="C1828" t="s">
        <v>3659</v>
      </c>
      <c r="D1828" t="s">
        <v>3722</v>
      </c>
      <c r="E1828" t="s">
        <v>3861</v>
      </c>
      <c r="F1828" t="s">
        <v>105</v>
      </c>
      <c r="G1828" t="s">
        <v>94</v>
      </c>
      <c r="H1828" t="s">
        <v>3808</v>
      </c>
      <c r="I1828" t="s">
        <v>3809</v>
      </c>
      <c r="J1828" t="s">
        <v>3810</v>
      </c>
      <c r="K1828" t="s">
        <v>239</v>
      </c>
      <c r="L1828" s="13">
        <v>40660</v>
      </c>
      <c r="M1828">
        <v>12</v>
      </c>
      <c r="N1828" t="s">
        <v>88</v>
      </c>
      <c r="O1828" t="s">
        <v>3901</v>
      </c>
      <c r="P1828" t="s">
        <v>76</v>
      </c>
      <c r="Q1828" t="s">
        <v>76</v>
      </c>
      <c r="R1828" t="s">
        <v>76</v>
      </c>
      <c r="S1828" t="s">
        <v>76</v>
      </c>
      <c r="T1828" t="s">
        <v>76</v>
      </c>
      <c r="U1828">
        <v>1</v>
      </c>
      <c r="V1828" s="13">
        <v>45175</v>
      </c>
      <c r="W1828">
        <v>1</v>
      </c>
      <c r="X1828">
        <v>1</v>
      </c>
      <c r="Y1828" t="s">
        <v>3723</v>
      </c>
      <c r="AC1828">
        <v>5478</v>
      </c>
      <c r="AD1828" t="e" vm="1818">
        <v>#VALUE!</v>
      </c>
    </row>
    <row r="1829" spans="2:30" x14ac:dyDescent="0.25">
      <c r="B1829">
        <v>5479</v>
      </c>
      <c r="C1829" t="s">
        <v>3659</v>
      </c>
      <c r="D1829" t="s">
        <v>3722</v>
      </c>
      <c r="E1829" t="s">
        <v>3861</v>
      </c>
      <c r="F1829" t="s">
        <v>105</v>
      </c>
      <c r="G1829" t="s">
        <v>94</v>
      </c>
      <c r="H1829" t="s">
        <v>3808</v>
      </c>
      <c r="I1829" t="s">
        <v>3809</v>
      </c>
      <c r="J1829" t="s">
        <v>3810</v>
      </c>
      <c r="K1829" t="s">
        <v>239</v>
      </c>
      <c r="L1829" s="13">
        <v>40723</v>
      </c>
      <c r="M1829">
        <v>12</v>
      </c>
      <c r="N1829" t="s">
        <v>88</v>
      </c>
      <c r="O1829" t="s">
        <v>3901</v>
      </c>
      <c r="P1829" t="s">
        <v>76</v>
      </c>
      <c r="Q1829" t="s">
        <v>76</v>
      </c>
      <c r="R1829" t="s">
        <v>76</v>
      </c>
      <c r="S1829" t="s">
        <v>76</v>
      </c>
      <c r="T1829" t="s">
        <v>76</v>
      </c>
      <c r="U1829">
        <v>1</v>
      </c>
      <c r="V1829" s="13">
        <v>45175</v>
      </c>
      <c r="W1829">
        <v>1</v>
      </c>
      <c r="X1829">
        <v>1</v>
      </c>
      <c r="Y1829" t="s">
        <v>3723</v>
      </c>
      <c r="AC1829">
        <v>5479</v>
      </c>
      <c r="AD1829" t="e" vm="1819">
        <v>#VALUE!</v>
      </c>
    </row>
    <row r="1830" spans="2:30" x14ac:dyDescent="0.25">
      <c r="B1830">
        <v>5480</v>
      </c>
      <c r="C1830" t="s">
        <v>3659</v>
      </c>
      <c r="D1830" t="s">
        <v>3722</v>
      </c>
      <c r="E1830" t="s">
        <v>3861</v>
      </c>
      <c r="F1830" t="s">
        <v>105</v>
      </c>
      <c r="G1830" t="s">
        <v>94</v>
      </c>
      <c r="H1830" t="s">
        <v>3808</v>
      </c>
      <c r="I1830" t="s">
        <v>3809</v>
      </c>
      <c r="J1830" t="s">
        <v>3810</v>
      </c>
      <c r="K1830" t="s">
        <v>239</v>
      </c>
      <c r="L1830" s="13">
        <v>40794</v>
      </c>
      <c r="M1830">
        <v>12</v>
      </c>
      <c r="N1830" t="s">
        <v>88</v>
      </c>
      <c r="O1830" t="s">
        <v>3901</v>
      </c>
      <c r="P1830" t="s">
        <v>76</v>
      </c>
      <c r="Q1830" t="s">
        <v>76</v>
      </c>
      <c r="R1830" t="s">
        <v>76</v>
      </c>
      <c r="S1830" t="s">
        <v>76</v>
      </c>
      <c r="T1830" t="s">
        <v>76</v>
      </c>
      <c r="U1830">
        <v>1</v>
      </c>
      <c r="V1830" s="13">
        <v>45175</v>
      </c>
      <c r="W1830">
        <v>1</v>
      </c>
      <c r="X1830">
        <v>1</v>
      </c>
      <c r="Y1830" t="s">
        <v>3723</v>
      </c>
      <c r="AC1830">
        <v>5480</v>
      </c>
      <c r="AD1830" t="e" vm="1820">
        <v>#VALUE!</v>
      </c>
    </row>
    <row r="1831" spans="2:30" x14ac:dyDescent="0.25">
      <c r="B1831">
        <v>5481</v>
      </c>
      <c r="C1831" t="s">
        <v>3659</v>
      </c>
      <c r="D1831" t="s">
        <v>3722</v>
      </c>
      <c r="E1831" t="s">
        <v>3861</v>
      </c>
      <c r="F1831" t="s">
        <v>105</v>
      </c>
      <c r="G1831" t="s">
        <v>94</v>
      </c>
      <c r="H1831" t="s">
        <v>3808</v>
      </c>
      <c r="I1831" t="s">
        <v>3809</v>
      </c>
      <c r="J1831" t="s">
        <v>3810</v>
      </c>
      <c r="K1831" t="s">
        <v>239</v>
      </c>
      <c r="L1831" s="13">
        <v>40794</v>
      </c>
      <c r="M1831">
        <v>12</v>
      </c>
      <c r="N1831" t="s">
        <v>88</v>
      </c>
      <c r="O1831" t="s">
        <v>3901</v>
      </c>
      <c r="P1831" t="s">
        <v>76</v>
      </c>
      <c r="Q1831" t="s">
        <v>76</v>
      </c>
      <c r="R1831" t="s">
        <v>76</v>
      </c>
      <c r="S1831" t="s">
        <v>76</v>
      </c>
      <c r="T1831" t="s">
        <v>76</v>
      </c>
      <c r="U1831">
        <v>1</v>
      </c>
      <c r="V1831" s="13">
        <v>45175</v>
      </c>
      <c r="W1831">
        <v>1</v>
      </c>
      <c r="X1831">
        <v>1</v>
      </c>
      <c r="Y1831" t="s">
        <v>3723</v>
      </c>
      <c r="AC1831">
        <v>5481</v>
      </c>
      <c r="AD1831" t="e" vm="1821">
        <v>#VALUE!</v>
      </c>
    </row>
    <row r="1832" spans="2:30" x14ac:dyDescent="0.25">
      <c r="B1832">
        <v>5482</v>
      </c>
      <c r="C1832" t="s">
        <v>3659</v>
      </c>
      <c r="D1832" t="s">
        <v>3722</v>
      </c>
      <c r="E1832" t="s">
        <v>3861</v>
      </c>
      <c r="F1832" t="s">
        <v>105</v>
      </c>
      <c r="G1832" t="s">
        <v>94</v>
      </c>
      <c r="H1832" t="s">
        <v>3808</v>
      </c>
      <c r="I1832" t="s">
        <v>3809</v>
      </c>
      <c r="J1832" t="s">
        <v>3810</v>
      </c>
      <c r="K1832" t="s">
        <v>239</v>
      </c>
      <c r="L1832" s="13">
        <v>40800</v>
      </c>
      <c r="M1832">
        <v>12</v>
      </c>
      <c r="N1832" t="s">
        <v>88</v>
      </c>
      <c r="O1832" t="s">
        <v>3901</v>
      </c>
      <c r="P1832" t="s">
        <v>76</v>
      </c>
      <c r="Q1832" t="s">
        <v>76</v>
      </c>
      <c r="R1832" t="s">
        <v>76</v>
      </c>
      <c r="S1832" t="s">
        <v>76</v>
      </c>
      <c r="T1832" t="s">
        <v>76</v>
      </c>
      <c r="U1832">
        <v>1</v>
      </c>
      <c r="V1832" s="13">
        <v>45175</v>
      </c>
      <c r="W1832">
        <v>1</v>
      </c>
      <c r="X1832">
        <v>1</v>
      </c>
      <c r="Y1832" t="s">
        <v>3723</v>
      </c>
      <c r="AC1832">
        <v>5482</v>
      </c>
      <c r="AD1832" t="e" vm="1822">
        <v>#VALUE!</v>
      </c>
    </row>
    <row r="1833" spans="2:30" x14ac:dyDescent="0.25">
      <c r="B1833">
        <v>5483</v>
      </c>
      <c r="C1833" t="s">
        <v>3659</v>
      </c>
      <c r="D1833" t="s">
        <v>3722</v>
      </c>
      <c r="E1833" t="s">
        <v>3861</v>
      </c>
      <c r="F1833" t="s">
        <v>105</v>
      </c>
      <c r="G1833" t="s">
        <v>94</v>
      </c>
      <c r="H1833" t="s">
        <v>3808</v>
      </c>
      <c r="I1833" t="s">
        <v>3809</v>
      </c>
      <c r="J1833" t="s">
        <v>3810</v>
      </c>
      <c r="K1833" t="s">
        <v>239</v>
      </c>
      <c r="L1833" s="13">
        <v>40800</v>
      </c>
      <c r="M1833">
        <v>12</v>
      </c>
      <c r="N1833" t="s">
        <v>88</v>
      </c>
      <c r="O1833" t="s">
        <v>3901</v>
      </c>
      <c r="P1833" t="s">
        <v>76</v>
      </c>
      <c r="Q1833" t="s">
        <v>76</v>
      </c>
      <c r="R1833" t="s">
        <v>76</v>
      </c>
      <c r="S1833" t="s">
        <v>76</v>
      </c>
      <c r="T1833" t="s">
        <v>76</v>
      </c>
      <c r="U1833">
        <v>1</v>
      </c>
      <c r="V1833" s="13">
        <v>45175</v>
      </c>
      <c r="W1833">
        <v>1</v>
      </c>
      <c r="X1833">
        <v>1</v>
      </c>
      <c r="Y1833" t="s">
        <v>3723</v>
      </c>
      <c r="AC1833">
        <v>5483</v>
      </c>
      <c r="AD1833" t="e" vm="1823">
        <v>#VALUE!</v>
      </c>
    </row>
    <row r="1834" spans="2:30" x14ac:dyDescent="0.25">
      <c r="B1834">
        <v>5484</v>
      </c>
      <c r="C1834" t="s">
        <v>3684</v>
      </c>
      <c r="D1834" t="s">
        <v>3703</v>
      </c>
      <c r="E1834" t="s">
        <v>3846</v>
      </c>
      <c r="F1834" t="s">
        <v>111</v>
      </c>
      <c r="G1834" t="s">
        <v>109</v>
      </c>
      <c r="H1834" t="s">
        <v>3808</v>
      </c>
      <c r="I1834" t="s">
        <v>3809</v>
      </c>
      <c r="J1834" t="s">
        <v>3810</v>
      </c>
      <c r="K1834" t="s">
        <v>239</v>
      </c>
      <c r="L1834" s="13">
        <v>40800</v>
      </c>
      <c r="M1834">
        <v>12</v>
      </c>
      <c r="N1834" t="s">
        <v>101</v>
      </c>
      <c r="O1834" t="s">
        <v>3901</v>
      </c>
      <c r="P1834" t="s">
        <v>76</v>
      </c>
      <c r="Q1834" t="s">
        <v>76</v>
      </c>
      <c r="R1834" t="s">
        <v>76</v>
      </c>
      <c r="S1834" t="s">
        <v>76</v>
      </c>
      <c r="T1834" t="s">
        <v>76</v>
      </c>
      <c r="U1834">
        <v>1</v>
      </c>
      <c r="V1834" s="13">
        <v>45175</v>
      </c>
      <c r="W1834">
        <v>1</v>
      </c>
      <c r="X1834">
        <v>1</v>
      </c>
      <c r="Y1834" t="s">
        <v>3704</v>
      </c>
      <c r="AC1834">
        <v>5484</v>
      </c>
      <c r="AD1834" t="e" vm="1824">
        <v>#VALUE!</v>
      </c>
    </row>
    <row r="1835" spans="2:30" x14ac:dyDescent="0.25">
      <c r="B1835">
        <v>5485</v>
      </c>
      <c r="C1835" t="s">
        <v>3684</v>
      </c>
      <c r="D1835" t="s">
        <v>3703</v>
      </c>
      <c r="E1835" t="s">
        <v>3846</v>
      </c>
      <c r="F1835" t="s">
        <v>111</v>
      </c>
      <c r="G1835" t="s">
        <v>109</v>
      </c>
      <c r="H1835" t="s">
        <v>3808</v>
      </c>
      <c r="I1835" t="s">
        <v>3809</v>
      </c>
      <c r="J1835" t="s">
        <v>3810</v>
      </c>
      <c r="K1835" t="s">
        <v>239</v>
      </c>
      <c r="L1835" s="13">
        <v>40806</v>
      </c>
      <c r="M1835">
        <v>12</v>
      </c>
      <c r="N1835" t="s">
        <v>101</v>
      </c>
      <c r="O1835" t="s">
        <v>3901</v>
      </c>
      <c r="P1835" t="s">
        <v>76</v>
      </c>
      <c r="Q1835" t="s">
        <v>76</v>
      </c>
      <c r="R1835" t="s">
        <v>76</v>
      </c>
      <c r="S1835" t="s">
        <v>76</v>
      </c>
      <c r="T1835" t="s">
        <v>76</v>
      </c>
      <c r="U1835">
        <v>1</v>
      </c>
      <c r="V1835" s="13">
        <v>45175</v>
      </c>
      <c r="W1835">
        <v>1</v>
      </c>
      <c r="X1835">
        <v>1</v>
      </c>
      <c r="Y1835" t="s">
        <v>3704</v>
      </c>
      <c r="AC1835">
        <v>5485</v>
      </c>
      <c r="AD1835" t="e" vm="1825">
        <v>#VALUE!</v>
      </c>
    </row>
    <row r="1836" spans="2:30" x14ac:dyDescent="0.25">
      <c r="B1836">
        <v>5486</v>
      </c>
      <c r="C1836" t="s">
        <v>3684</v>
      </c>
      <c r="D1836" t="s">
        <v>3703</v>
      </c>
      <c r="E1836" t="s">
        <v>3846</v>
      </c>
      <c r="F1836" t="s">
        <v>111</v>
      </c>
      <c r="G1836" t="s">
        <v>109</v>
      </c>
      <c r="H1836" t="s">
        <v>3808</v>
      </c>
      <c r="I1836" t="s">
        <v>3809</v>
      </c>
      <c r="J1836" t="s">
        <v>3810</v>
      </c>
      <c r="K1836" t="s">
        <v>239</v>
      </c>
      <c r="L1836" s="13">
        <v>40806</v>
      </c>
      <c r="M1836">
        <v>12</v>
      </c>
      <c r="N1836" t="s">
        <v>101</v>
      </c>
      <c r="O1836" t="s">
        <v>3901</v>
      </c>
      <c r="P1836" t="s">
        <v>76</v>
      </c>
      <c r="Q1836" t="s">
        <v>76</v>
      </c>
      <c r="R1836" t="s">
        <v>76</v>
      </c>
      <c r="S1836" t="s">
        <v>76</v>
      </c>
      <c r="T1836" t="s">
        <v>76</v>
      </c>
      <c r="U1836">
        <v>1</v>
      </c>
      <c r="V1836" s="13">
        <v>45175</v>
      </c>
      <c r="W1836">
        <v>1</v>
      </c>
      <c r="X1836">
        <v>1</v>
      </c>
      <c r="Y1836" t="s">
        <v>3704</v>
      </c>
      <c r="AC1836">
        <v>5486</v>
      </c>
      <c r="AD1836" t="e" vm="1826">
        <v>#VALUE!</v>
      </c>
    </row>
    <row r="1837" spans="2:30" x14ac:dyDescent="0.25">
      <c r="B1837">
        <v>5487</v>
      </c>
      <c r="C1837" t="s">
        <v>3684</v>
      </c>
      <c r="D1837" t="s">
        <v>3703</v>
      </c>
      <c r="E1837" t="s">
        <v>3846</v>
      </c>
      <c r="F1837" t="s">
        <v>111</v>
      </c>
      <c r="G1837" t="s">
        <v>109</v>
      </c>
      <c r="H1837" t="s">
        <v>3808</v>
      </c>
      <c r="I1837" t="s">
        <v>3809</v>
      </c>
      <c r="J1837" t="s">
        <v>3810</v>
      </c>
      <c r="K1837" t="s">
        <v>239</v>
      </c>
      <c r="L1837" s="13">
        <v>40812</v>
      </c>
      <c r="M1837">
        <v>12</v>
      </c>
      <c r="N1837" t="s">
        <v>101</v>
      </c>
      <c r="O1837" t="s">
        <v>3901</v>
      </c>
      <c r="P1837" t="s">
        <v>76</v>
      </c>
      <c r="Q1837" t="s">
        <v>76</v>
      </c>
      <c r="R1837" t="s">
        <v>76</v>
      </c>
      <c r="S1837" t="s">
        <v>76</v>
      </c>
      <c r="T1837" t="s">
        <v>76</v>
      </c>
      <c r="U1837">
        <v>1</v>
      </c>
      <c r="V1837" s="13">
        <v>45175</v>
      </c>
      <c r="W1837">
        <v>1</v>
      </c>
      <c r="X1837">
        <v>1</v>
      </c>
      <c r="Y1837" t="s">
        <v>3704</v>
      </c>
      <c r="AC1837">
        <v>5487</v>
      </c>
      <c r="AD1837" t="e" vm="1827">
        <v>#VALUE!</v>
      </c>
    </row>
    <row r="1838" spans="2:30" x14ac:dyDescent="0.25">
      <c r="B1838">
        <v>5488</v>
      </c>
      <c r="C1838" t="s">
        <v>3684</v>
      </c>
      <c r="D1838" t="s">
        <v>3703</v>
      </c>
      <c r="E1838" t="s">
        <v>3846</v>
      </c>
      <c r="F1838" t="s">
        <v>111</v>
      </c>
      <c r="G1838" t="s">
        <v>109</v>
      </c>
      <c r="H1838" t="s">
        <v>3808</v>
      </c>
      <c r="I1838" t="s">
        <v>3809</v>
      </c>
      <c r="J1838" t="s">
        <v>3810</v>
      </c>
      <c r="K1838" t="s">
        <v>239</v>
      </c>
      <c r="L1838" s="13">
        <v>40812</v>
      </c>
      <c r="M1838">
        <v>12</v>
      </c>
      <c r="N1838" t="s">
        <v>101</v>
      </c>
      <c r="O1838" t="s">
        <v>3901</v>
      </c>
      <c r="P1838" t="s">
        <v>76</v>
      </c>
      <c r="Q1838" t="s">
        <v>76</v>
      </c>
      <c r="R1838" t="s">
        <v>76</v>
      </c>
      <c r="S1838" t="s">
        <v>76</v>
      </c>
      <c r="T1838" t="s">
        <v>76</v>
      </c>
      <c r="U1838">
        <v>1</v>
      </c>
      <c r="V1838" s="13">
        <v>45175</v>
      </c>
      <c r="W1838">
        <v>1</v>
      </c>
      <c r="X1838">
        <v>1</v>
      </c>
      <c r="Y1838" t="s">
        <v>3704</v>
      </c>
      <c r="AC1838">
        <v>5488</v>
      </c>
      <c r="AD1838" t="e" vm="1828">
        <v>#VALUE!</v>
      </c>
    </row>
    <row r="1839" spans="2:30" x14ac:dyDescent="0.25">
      <c r="B1839">
        <v>5489</v>
      </c>
      <c r="C1839" t="s">
        <v>3684</v>
      </c>
      <c r="D1839" t="s">
        <v>3703</v>
      </c>
      <c r="E1839" t="s">
        <v>3846</v>
      </c>
      <c r="F1839" t="s">
        <v>111</v>
      </c>
      <c r="G1839" t="s">
        <v>109</v>
      </c>
      <c r="H1839" t="s">
        <v>3808</v>
      </c>
      <c r="I1839" t="s">
        <v>3809</v>
      </c>
      <c r="J1839" t="s">
        <v>3810</v>
      </c>
      <c r="K1839" t="s">
        <v>239</v>
      </c>
      <c r="L1839" s="13">
        <v>40812</v>
      </c>
      <c r="M1839">
        <v>12</v>
      </c>
      <c r="N1839" t="s">
        <v>101</v>
      </c>
      <c r="O1839" t="s">
        <v>3901</v>
      </c>
      <c r="P1839" t="s">
        <v>76</v>
      </c>
      <c r="Q1839" t="s">
        <v>76</v>
      </c>
      <c r="R1839" t="s">
        <v>76</v>
      </c>
      <c r="S1839" t="s">
        <v>76</v>
      </c>
      <c r="T1839" t="s">
        <v>76</v>
      </c>
      <c r="U1839">
        <v>1</v>
      </c>
      <c r="V1839" s="13">
        <v>45175</v>
      </c>
      <c r="W1839">
        <v>1</v>
      </c>
      <c r="X1839">
        <v>1</v>
      </c>
      <c r="Y1839" t="s">
        <v>3704</v>
      </c>
      <c r="AC1839">
        <v>5489</v>
      </c>
      <c r="AD1839" t="e" vm="1829">
        <v>#VALUE!</v>
      </c>
    </row>
    <row r="1840" spans="2:30" x14ac:dyDescent="0.25">
      <c r="B1840">
        <v>5490</v>
      </c>
      <c r="C1840" t="s">
        <v>3662</v>
      </c>
      <c r="D1840" t="s">
        <v>3679</v>
      </c>
      <c r="E1840" t="s">
        <v>3824</v>
      </c>
      <c r="F1840" t="s">
        <v>110</v>
      </c>
      <c r="G1840" t="s">
        <v>109</v>
      </c>
      <c r="H1840" t="s">
        <v>3808</v>
      </c>
      <c r="I1840" t="s">
        <v>3809</v>
      </c>
      <c r="J1840" t="s">
        <v>3810</v>
      </c>
      <c r="K1840" t="s">
        <v>239</v>
      </c>
      <c r="L1840" s="13">
        <v>40814</v>
      </c>
      <c r="M1840">
        <v>12</v>
      </c>
      <c r="N1840" t="s">
        <v>79</v>
      </c>
      <c r="O1840" t="s">
        <v>3901</v>
      </c>
      <c r="P1840" t="s">
        <v>76</v>
      </c>
      <c r="Q1840" t="s">
        <v>76</v>
      </c>
      <c r="R1840" t="s">
        <v>76</v>
      </c>
      <c r="S1840" t="s">
        <v>76</v>
      </c>
      <c r="T1840" t="s">
        <v>76</v>
      </c>
      <c r="U1840">
        <v>1</v>
      </c>
      <c r="V1840" s="13">
        <v>45175</v>
      </c>
      <c r="W1840">
        <v>1</v>
      </c>
      <c r="X1840">
        <v>1</v>
      </c>
      <c r="Y1840" t="s">
        <v>3680</v>
      </c>
      <c r="AC1840">
        <v>5490</v>
      </c>
      <c r="AD1840" t="e" vm="1830">
        <v>#VALUE!</v>
      </c>
    </row>
    <row r="1841" spans="2:30" x14ac:dyDescent="0.25">
      <c r="B1841">
        <v>5491</v>
      </c>
      <c r="C1841" t="s">
        <v>3662</v>
      </c>
      <c r="D1841" t="s">
        <v>3679</v>
      </c>
      <c r="E1841" t="s">
        <v>3824</v>
      </c>
      <c r="F1841" t="s">
        <v>110</v>
      </c>
      <c r="G1841" t="s">
        <v>109</v>
      </c>
      <c r="H1841" t="s">
        <v>3808</v>
      </c>
      <c r="I1841" t="s">
        <v>3809</v>
      </c>
      <c r="J1841" t="s">
        <v>3810</v>
      </c>
      <c r="K1841" t="s">
        <v>239</v>
      </c>
      <c r="L1841" s="13">
        <v>40815</v>
      </c>
      <c r="M1841">
        <v>12</v>
      </c>
      <c r="N1841" t="s">
        <v>79</v>
      </c>
      <c r="O1841" t="s">
        <v>3901</v>
      </c>
      <c r="P1841" t="s">
        <v>76</v>
      </c>
      <c r="Q1841" t="s">
        <v>76</v>
      </c>
      <c r="R1841" t="s">
        <v>76</v>
      </c>
      <c r="S1841" t="s">
        <v>76</v>
      </c>
      <c r="T1841" t="s">
        <v>76</v>
      </c>
      <c r="U1841">
        <v>1</v>
      </c>
      <c r="V1841" s="13">
        <v>45175</v>
      </c>
      <c r="W1841">
        <v>1</v>
      </c>
      <c r="X1841">
        <v>1</v>
      </c>
      <c r="Y1841" t="s">
        <v>3680</v>
      </c>
      <c r="AC1841">
        <v>5491</v>
      </c>
      <c r="AD1841" t="e" vm="1831">
        <v>#VALUE!</v>
      </c>
    </row>
    <row r="1842" spans="2:30" x14ac:dyDescent="0.25">
      <c r="B1842">
        <v>5492</v>
      </c>
      <c r="C1842" t="s">
        <v>3662</v>
      </c>
      <c r="D1842" t="s">
        <v>3679</v>
      </c>
      <c r="E1842" t="s">
        <v>3824</v>
      </c>
      <c r="F1842" t="s">
        <v>110</v>
      </c>
      <c r="G1842" t="s">
        <v>109</v>
      </c>
      <c r="H1842" t="s">
        <v>3808</v>
      </c>
      <c r="I1842" t="s">
        <v>3809</v>
      </c>
      <c r="J1842" t="s">
        <v>3810</v>
      </c>
      <c r="K1842" t="s">
        <v>239</v>
      </c>
      <c r="L1842" s="13">
        <v>40815</v>
      </c>
      <c r="M1842">
        <v>12</v>
      </c>
      <c r="N1842" t="s">
        <v>79</v>
      </c>
      <c r="O1842" t="s">
        <v>3901</v>
      </c>
      <c r="P1842" t="s">
        <v>76</v>
      </c>
      <c r="Q1842" t="s">
        <v>76</v>
      </c>
      <c r="R1842" t="s">
        <v>76</v>
      </c>
      <c r="S1842" t="s">
        <v>76</v>
      </c>
      <c r="T1842" t="s">
        <v>76</v>
      </c>
      <c r="U1842">
        <v>1</v>
      </c>
      <c r="V1842" s="13">
        <v>45175</v>
      </c>
      <c r="W1842">
        <v>1</v>
      </c>
      <c r="X1842">
        <v>1</v>
      </c>
      <c r="Y1842" t="s">
        <v>3680</v>
      </c>
      <c r="AC1842">
        <v>5492</v>
      </c>
      <c r="AD1842" t="e" vm="1832">
        <v>#VALUE!</v>
      </c>
    </row>
    <row r="1843" spans="2:30" x14ac:dyDescent="0.25">
      <c r="B1843">
        <v>5493</v>
      </c>
      <c r="C1843" t="s">
        <v>3662</v>
      </c>
      <c r="D1843" t="s">
        <v>3716</v>
      </c>
      <c r="E1843" t="s">
        <v>3853</v>
      </c>
      <c r="F1843" t="s">
        <v>78</v>
      </c>
      <c r="G1843" t="s">
        <v>77</v>
      </c>
      <c r="H1843" t="s">
        <v>3808</v>
      </c>
      <c r="I1843" t="s">
        <v>3809</v>
      </c>
      <c r="J1843" t="s">
        <v>3810</v>
      </c>
      <c r="K1843" t="s">
        <v>239</v>
      </c>
      <c r="L1843" s="13">
        <v>40843</v>
      </c>
      <c r="M1843">
        <v>12</v>
      </c>
      <c r="N1843" t="s">
        <v>79</v>
      </c>
      <c r="O1843" t="s">
        <v>3901</v>
      </c>
      <c r="P1843" t="s">
        <v>76</v>
      </c>
      <c r="Q1843" t="s">
        <v>76</v>
      </c>
      <c r="R1843" t="s">
        <v>76</v>
      </c>
      <c r="S1843" t="s">
        <v>76</v>
      </c>
      <c r="T1843" t="s">
        <v>76</v>
      </c>
      <c r="U1843">
        <v>1</v>
      </c>
      <c r="V1843" s="13">
        <v>45175</v>
      </c>
      <c r="W1843">
        <v>1</v>
      </c>
      <c r="X1843">
        <v>1</v>
      </c>
      <c r="Y1843" t="s">
        <v>3717</v>
      </c>
      <c r="AC1843">
        <v>5493</v>
      </c>
      <c r="AD1843" t="e" vm="1833">
        <v>#VALUE!</v>
      </c>
    </row>
    <row r="1844" spans="2:30" x14ac:dyDescent="0.25">
      <c r="B1844">
        <v>5494</v>
      </c>
      <c r="C1844" t="s">
        <v>3662</v>
      </c>
      <c r="D1844" t="s">
        <v>3716</v>
      </c>
      <c r="E1844" t="s">
        <v>3853</v>
      </c>
      <c r="F1844" t="s">
        <v>78</v>
      </c>
      <c r="G1844" t="s">
        <v>77</v>
      </c>
      <c r="H1844" t="s">
        <v>3808</v>
      </c>
      <c r="I1844" t="s">
        <v>3809</v>
      </c>
      <c r="J1844" t="s">
        <v>3810</v>
      </c>
      <c r="K1844" t="s">
        <v>239</v>
      </c>
      <c r="L1844" s="13">
        <v>40836</v>
      </c>
      <c r="M1844">
        <v>12</v>
      </c>
      <c r="N1844" t="s">
        <v>79</v>
      </c>
      <c r="O1844" t="s">
        <v>3901</v>
      </c>
      <c r="P1844" t="s">
        <v>76</v>
      </c>
      <c r="Q1844" t="s">
        <v>76</v>
      </c>
      <c r="R1844" t="s">
        <v>76</v>
      </c>
      <c r="S1844" t="s">
        <v>76</v>
      </c>
      <c r="T1844" t="s">
        <v>76</v>
      </c>
      <c r="U1844">
        <v>1</v>
      </c>
      <c r="V1844" s="13">
        <v>45175</v>
      </c>
      <c r="W1844">
        <v>1</v>
      </c>
      <c r="X1844">
        <v>1</v>
      </c>
      <c r="Y1844" t="s">
        <v>3717</v>
      </c>
      <c r="AC1844">
        <v>5494</v>
      </c>
      <c r="AD1844" t="e" vm="1834">
        <v>#VALUE!</v>
      </c>
    </row>
    <row r="1845" spans="2:30" x14ac:dyDescent="0.25">
      <c r="B1845">
        <v>5495</v>
      </c>
      <c r="C1845" t="s">
        <v>3662</v>
      </c>
      <c r="D1845" t="s">
        <v>3716</v>
      </c>
      <c r="E1845" t="s">
        <v>3853</v>
      </c>
      <c r="F1845" t="s">
        <v>78</v>
      </c>
      <c r="G1845" t="s">
        <v>77</v>
      </c>
      <c r="H1845" t="s">
        <v>3808</v>
      </c>
      <c r="I1845" t="s">
        <v>3809</v>
      </c>
      <c r="J1845" t="s">
        <v>3810</v>
      </c>
      <c r="K1845" t="s">
        <v>239</v>
      </c>
      <c r="L1845" s="13">
        <v>40847</v>
      </c>
      <c r="M1845">
        <v>12</v>
      </c>
      <c r="N1845" t="s">
        <v>79</v>
      </c>
      <c r="O1845" t="s">
        <v>3901</v>
      </c>
      <c r="P1845" t="s">
        <v>76</v>
      </c>
      <c r="Q1845" t="s">
        <v>76</v>
      </c>
      <c r="R1845" t="s">
        <v>76</v>
      </c>
      <c r="S1845" t="s">
        <v>76</v>
      </c>
      <c r="T1845" t="s">
        <v>76</v>
      </c>
      <c r="U1845">
        <v>1</v>
      </c>
      <c r="V1845" s="13">
        <v>45175</v>
      </c>
      <c r="W1845">
        <v>1</v>
      </c>
      <c r="X1845">
        <v>1</v>
      </c>
      <c r="Y1845" t="s">
        <v>3717</v>
      </c>
      <c r="AC1845">
        <v>5495</v>
      </c>
      <c r="AD1845" t="e" vm="1835">
        <v>#VALUE!</v>
      </c>
    </row>
    <row r="1846" spans="2:30" x14ac:dyDescent="0.25">
      <c r="B1846">
        <v>5496</v>
      </c>
      <c r="C1846" t="s">
        <v>3662</v>
      </c>
      <c r="D1846" t="s">
        <v>3716</v>
      </c>
      <c r="E1846" t="s">
        <v>3853</v>
      </c>
      <c r="F1846" t="s">
        <v>78</v>
      </c>
      <c r="G1846" t="s">
        <v>77</v>
      </c>
      <c r="H1846" t="s">
        <v>3808</v>
      </c>
      <c r="I1846" t="s">
        <v>3809</v>
      </c>
      <c r="J1846" t="s">
        <v>3810</v>
      </c>
      <c r="K1846" t="s">
        <v>239</v>
      </c>
      <c r="L1846" s="13">
        <v>40847</v>
      </c>
      <c r="M1846">
        <v>12</v>
      </c>
      <c r="N1846" t="s">
        <v>79</v>
      </c>
      <c r="O1846" t="s">
        <v>3901</v>
      </c>
      <c r="P1846" t="s">
        <v>76</v>
      </c>
      <c r="Q1846" t="s">
        <v>76</v>
      </c>
      <c r="R1846" t="s">
        <v>76</v>
      </c>
      <c r="S1846" t="s">
        <v>76</v>
      </c>
      <c r="T1846" t="s">
        <v>76</v>
      </c>
      <c r="U1846">
        <v>1</v>
      </c>
      <c r="V1846" s="13">
        <v>45175</v>
      </c>
      <c r="W1846">
        <v>1</v>
      </c>
      <c r="X1846">
        <v>1</v>
      </c>
      <c r="Y1846" t="s">
        <v>3717</v>
      </c>
      <c r="AC1846">
        <v>5496</v>
      </c>
      <c r="AD1846" t="e" vm="1836">
        <v>#VALUE!</v>
      </c>
    </row>
    <row r="1847" spans="2:30" x14ac:dyDescent="0.25">
      <c r="B1847">
        <v>5497</v>
      </c>
      <c r="C1847" t="s">
        <v>3662</v>
      </c>
      <c r="D1847" t="s">
        <v>3716</v>
      </c>
      <c r="E1847" t="s">
        <v>3853</v>
      </c>
      <c r="F1847" t="s">
        <v>78</v>
      </c>
      <c r="G1847" t="s">
        <v>77</v>
      </c>
      <c r="H1847" t="s">
        <v>3808</v>
      </c>
      <c r="I1847" t="s">
        <v>3809</v>
      </c>
      <c r="J1847" t="s">
        <v>3810</v>
      </c>
      <c r="K1847" t="s">
        <v>239</v>
      </c>
      <c r="L1847" s="13">
        <v>40854</v>
      </c>
      <c r="M1847">
        <v>12</v>
      </c>
      <c r="N1847" t="s">
        <v>79</v>
      </c>
      <c r="O1847" t="s">
        <v>3901</v>
      </c>
      <c r="P1847" t="s">
        <v>76</v>
      </c>
      <c r="Q1847" t="s">
        <v>76</v>
      </c>
      <c r="R1847" t="s">
        <v>76</v>
      </c>
      <c r="S1847" t="s">
        <v>76</v>
      </c>
      <c r="T1847" t="s">
        <v>76</v>
      </c>
      <c r="U1847">
        <v>1</v>
      </c>
      <c r="V1847" s="13">
        <v>45175</v>
      </c>
      <c r="W1847">
        <v>1</v>
      </c>
      <c r="X1847">
        <v>1</v>
      </c>
      <c r="Y1847" t="s">
        <v>3717</v>
      </c>
      <c r="AC1847">
        <v>5497</v>
      </c>
      <c r="AD1847" t="e" vm="1837">
        <v>#VALUE!</v>
      </c>
    </row>
    <row r="1848" spans="2:30" x14ac:dyDescent="0.25">
      <c r="B1848">
        <v>5498</v>
      </c>
      <c r="C1848" t="s">
        <v>3662</v>
      </c>
      <c r="D1848" t="s">
        <v>3716</v>
      </c>
      <c r="E1848" t="s">
        <v>3853</v>
      </c>
      <c r="F1848" t="s">
        <v>78</v>
      </c>
      <c r="G1848" t="s">
        <v>77</v>
      </c>
      <c r="H1848" t="s">
        <v>3808</v>
      </c>
      <c r="I1848" t="s">
        <v>3809</v>
      </c>
      <c r="J1848" t="s">
        <v>3810</v>
      </c>
      <c r="K1848" t="s">
        <v>239</v>
      </c>
      <c r="L1848" s="13">
        <v>40854</v>
      </c>
      <c r="M1848">
        <v>12</v>
      </c>
      <c r="N1848" t="s">
        <v>79</v>
      </c>
      <c r="O1848" t="s">
        <v>3901</v>
      </c>
      <c r="P1848" t="s">
        <v>76</v>
      </c>
      <c r="Q1848" t="s">
        <v>76</v>
      </c>
      <c r="R1848" t="s">
        <v>76</v>
      </c>
      <c r="S1848" t="s">
        <v>76</v>
      </c>
      <c r="T1848" t="s">
        <v>76</v>
      </c>
      <c r="U1848">
        <v>1</v>
      </c>
      <c r="V1848" s="13">
        <v>45175</v>
      </c>
      <c r="W1848">
        <v>1</v>
      </c>
      <c r="X1848">
        <v>1</v>
      </c>
      <c r="Y1848" t="s">
        <v>3717</v>
      </c>
      <c r="AC1848">
        <v>5498</v>
      </c>
      <c r="AD1848" t="e" vm="1838">
        <v>#VALUE!</v>
      </c>
    </row>
    <row r="1849" spans="2:30" x14ac:dyDescent="0.25">
      <c r="B1849">
        <v>5499</v>
      </c>
      <c r="C1849" t="s">
        <v>3662</v>
      </c>
      <c r="D1849" t="s">
        <v>3716</v>
      </c>
      <c r="E1849" t="s">
        <v>3853</v>
      </c>
      <c r="F1849" t="s">
        <v>78</v>
      </c>
      <c r="G1849" t="s">
        <v>77</v>
      </c>
      <c r="H1849" t="s">
        <v>3808</v>
      </c>
      <c r="I1849" t="s">
        <v>3809</v>
      </c>
      <c r="J1849" t="s">
        <v>3810</v>
      </c>
      <c r="K1849" t="s">
        <v>239</v>
      </c>
      <c r="L1849" s="13">
        <v>40857</v>
      </c>
      <c r="M1849">
        <v>12</v>
      </c>
      <c r="N1849" t="s">
        <v>79</v>
      </c>
      <c r="O1849" t="s">
        <v>3901</v>
      </c>
      <c r="P1849" t="s">
        <v>76</v>
      </c>
      <c r="Q1849" t="s">
        <v>76</v>
      </c>
      <c r="R1849" t="s">
        <v>76</v>
      </c>
      <c r="S1849" t="s">
        <v>76</v>
      </c>
      <c r="T1849" t="s">
        <v>76</v>
      </c>
      <c r="U1849">
        <v>1</v>
      </c>
      <c r="V1849" s="13">
        <v>45175</v>
      </c>
      <c r="W1849">
        <v>1</v>
      </c>
      <c r="X1849">
        <v>1</v>
      </c>
      <c r="Y1849" t="s">
        <v>3717</v>
      </c>
      <c r="AC1849">
        <v>5499</v>
      </c>
      <c r="AD1849" t="e" vm="1839">
        <v>#VALUE!</v>
      </c>
    </row>
    <row r="1850" spans="2:30" x14ac:dyDescent="0.25">
      <c r="B1850">
        <v>5500</v>
      </c>
      <c r="C1850" t="s">
        <v>3662</v>
      </c>
      <c r="D1850" t="s">
        <v>3716</v>
      </c>
      <c r="E1850" t="s">
        <v>3853</v>
      </c>
      <c r="F1850" t="s">
        <v>78</v>
      </c>
      <c r="G1850" t="s">
        <v>77</v>
      </c>
      <c r="H1850" t="s">
        <v>3808</v>
      </c>
      <c r="I1850" t="s">
        <v>3809</v>
      </c>
      <c r="J1850" t="s">
        <v>3810</v>
      </c>
      <c r="K1850" t="s">
        <v>239</v>
      </c>
      <c r="L1850" s="13">
        <v>40868</v>
      </c>
      <c r="M1850">
        <v>12</v>
      </c>
      <c r="N1850" t="s">
        <v>79</v>
      </c>
      <c r="O1850" t="s">
        <v>3901</v>
      </c>
      <c r="P1850" t="s">
        <v>76</v>
      </c>
      <c r="Q1850" t="s">
        <v>76</v>
      </c>
      <c r="R1850" t="s">
        <v>76</v>
      </c>
      <c r="S1850" t="s">
        <v>76</v>
      </c>
      <c r="T1850" t="s">
        <v>76</v>
      </c>
      <c r="U1850">
        <v>1</v>
      </c>
      <c r="V1850" s="13">
        <v>45175</v>
      </c>
      <c r="W1850">
        <v>1</v>
      </c>
      <c r="X1850">
        <v>1</v>
      </c>
      <c r="Y1850" t="s">
        <v>3717</v>
      </c>
      <c r="AC1850">
        <v>5500</v>
      </c>
      <c r="AD1850" t="e" vm="1840">
        <v>#VALUE!</v>
      </c>
    </row>
    <row r="1851" spans="2:30" x14ac:dyDescent="0.25">
      <c r="B1851">
        <v>5501</v>
      </c>
      <c r="C1851" t="s">
        <v>3662</v>
      </c>
      <c r="D1851" t="s">
        <v>3716</v>
      </c>
      <c r="E1851" t="s">
        <v>3853</v>
      </c>
      <c r="F1851" t="s">
        <v>78</v>
      </c>
      <c r="G1851" t="s">
        <v>77</v>
      </c>
      <c r="H1851" t="s">
        <v>3808</v>
      </c>
      <c r="I1851" t="s">
        <v>3809</v>
      </c>
      <c r="J1851" t="s">
        <v>3810</v>
      </c>
      <c r="K1851" t="s">
        <v>239</v>
      </c>
      <c r="L1851" s="13">
        <v>40876</v>
      </c>
      <c r="M1851">
        <v>12</v>
      </c>
      <c r="N1851" t="s">
        <v>79</v>
      </c>
      <c r="O1851" t="s">
        <v>3901</v>
      </c>
      <c r="P1851" t="s">
        <v>76</v>
      </c>
      <c r="Q1851" t="s">
        <v>76</v>
      </c>
      <c r="R1851" t="s">
        <v>76</v>
      </c>
      <c r="S1851" t="s">
        <v>76</v>
      </c>
      <c r="T1851" t="s">
        <v>76</v>
      </c>
      <c r="U1851">
        <v>1</v>
      </c>
      <c r="V1851" s="13">
        <v>45175</v>
      </c>
      <c r="W1851">
        <v>1</v>
      </c>
      <c r="X1851">
        <v>1</v>
      </c>
      <c r="Y1851" t="s">
        <v>3717</v>
      </c>
      <c r="AC1851">
        <v>5501</v>
      </c>
      <c r="AD1851" t="e" vm="1841">
        <v>#VALUE!</v>
      </c>
    </row>
    <row r="1852" spans="2:30" x14ac:dyDescent="0.25">
      <c r="B1852">
        <v>5502</v>
      </c>
      <c r="C1852" t="s">
        <v>3662</v>
      </c>
      <c r="D1852" t="s">
        <v>3716</v>
      </c>
      <c r="E1852" t="s">
        <v>3853</v>
      </c>
      <c r="F1852" t="s">
        <v>78</v>
      </c>
      <c r="G1852" t="s">
        <v>77</v>
      </c>
      <c r="H1852" t="s">
        <v>3808</v>
      </c>
      <c r="I1852" t="s">
        <v>3809</v>
      </c>
      <c r="J1852" t="s">
        <v>3810</v>
      </c>
      <c r="K1852" t="s">
        <v>239</v>
      </c>
      <c r="L1852" s="13">
        <v>40875</v>
      </c>
      <c r="M1852">
        <v>12</v>
      </c>
      <c r="N1852" t="s">
        <v>79</v>
      </c>
      <c r="O1852" t="s">
        <v>3901</v>
      </c>
      <c r="P1852" t="s">
        <v>76</v>
      </c>
      <c r="Q1852" t="s">
        <v>76</v>
      </c>
      <c r="R1852" t="s">
        <v>76</v>
      </c>
      <c r="S1852" t="s">
        <v>76</v>
      </c>
      <c r="T1852" t="s">
        <v>76</v>
      </c>
      <c r="U1852">
        <v>1</v>
      </c>
      <c r="V1852" s="13">
        <v>45175</v>
      </c>
      <c r="W1852">
        <v>1</v>
      </c>
      <c r="X1852">
        <v>1</v>
      </c>
      <c r="Y1852" t="s">
        <v>3717</v>
      </c>
      <c r="AC1852">
        <v>5502</v>
      </c>
      <c r="AD1852" t="e" vm="1842">
        <v>#VALUE!</v>
      </c>
    </row>
    <row r="1853" spans="2:30" x14ac:dyDescent="0.25">
      <c r="B1853">
        <v>5503</v>
      </c>
      <c r="C1853" t="s">
        <v>3662</v>
      </c>
      <c r="D1853" t="s">
        <v>3716</v>
      </c>
      <c r="E1853" t="s">
        <v>3853</v>
      </c>
      <c r="F1853" t="s">
        <v>78</v>
      </c>
      <c r="G1853" t="s">
        <v>77</v>
      </c>
      <c r="H1853" t="s">
        <v>3808</v>
      </c>
      <c r="I1853" t="s">
        <v>3809</v>
      </c>
      <c r="J1853" t="s">
        <v>3810</v>
      </c>
      <c r="K1853" t="s">
        <v>239</v>
      </c>
      <c r="L1853" s="13">
        <v>40876</v>
      </c>
      <c r="M1853">
        <v>12</v>
      </c>
      <c r="N1853" t="s">
        <v>79</v>
      </c>
      <c r="O1853" t="s">
        <v>3901</v>
      </c>
      <c r="P1853" t="s">
        <v>76</v>
      </c>
      <c r="Q1853" t="s">
        <v>76</v>
      </c>
      <c r="R1853" t="s">
        <v>76</v>
      </c>
      <c r="S1853" t="s">
        <v>76</v>
      </c>
      <c r="T1853" t="s">
        <v>76</v>
      </c>
      <c r="U1853">
        <v>1</v>
      </c>
      <c r="V1853" s="13">
        <v>45175</v>
      </c>
      <c r="W1853">
        <v>1</v>
      </c>
      <c r="X1853">
        <v>1</v>
      </c>
      <c r="Y1853" t="s">
        <v>3717</v>
      </c>
      <c r="AC1853">
        <v>5503</v>
      </c>
      <c r="AD1853" t="e" vm="1843">
        <v>#VALUE!</v>
      </c>
    </row>
    <row r="1854" spans="2:30" x14ac:dyDescent="0.25">
      <c r="B1854">
        <v>5504</v>
      </c>
      <c r="C1854" t="s">
        <v>3668</v>
      </c>
      <c r="D1854" t="s">
        <v>3739</v>
      </c>
      <c r="E1854" t="s">
        <v>3818</v>
      </c>
      <c r="F1854" t="s">
        <v>83</v>
      </c>
      <c r="G1854" t="s">
        <v>113</v>
      </c>
      <c r="H1854" t="s">
        <v>3808</v>
      </c>
      <c r="I1854" t="s">
        <v>3809</v>
      </c>
      <c r="J1854" t="s">
        <v>3810</v>
      </c>
      <c r="K1854" t="s">
        <v>239</v>
      </c>
      <c r="L1854" s="13">
        <v>40882</v>
      </c>
      <c r="M1854">
        <v>12</v>
      </c>
      <c r="N1854" t="s">
        <v>82</v>
      </c>
      <c r="O1854" t="s">
        <v>3901</v>
      </c>
      <c r="P1854" t="s">
        <v>76</v>
      </c>
      <c r="Q1854" t="s">
        <v>76</v>
      </c>
      <c r="R1854" t="s">
        <v>76</v>
      </c>
      <c r="S1854" t="s">
        <v>76</v>
      </c>
      <c r="T1854" t="s">
        <v>76</v>
      </c>
      <c r="U1854">
        <v>1</v>
      </c>
      <c r="V1854" s="13">
        <v>45175</v>
      </c>
      <c r="W1854">
        <v>1</v>
      </c>
      <c r="X1854">
        <v>1</v>
      </c>
      <c r="Y1854" t="s">
        <v>3740</v>
      </c>
      <c r="AC1854">
        <v>5504</v>
      </c>
      <c r="AD1854" t="e" vm="1844">
        <v>#VALUE!</v>
      </c>
    </row>
    <row r="1855" spans="2:30" x14ac:dyDescent="0.25">
      <c r="B1855">
        <v>5505</v>
      </c>
      <c r="C1855" t="s">
        <v>3668</v>
      </c>
      <c r="D1855" t="s">
        <v>3739</v>
      </c>
      <c r="E1855" t="s">
        <v>3818</v>
      </c>
      <c r="F1855" t="s">
        <v>83</v>
      </c>
      <c r="G1855" t="s">
        <v>113</v>
      </c>
      <c r="H1855" t="s">
        <v>3808</v>
      </c>
      <c r="I1855" t="s">
        <v>3809</v>
      </c>
      <c r="J1855" t="s">
        <v>3810</v>
      </c>
      <c r="K1855" t="s">
        <v>239</v>
      </c>
      <c r="L1855" s="13">
        <v>40884</v>
      </c>
      <c r="M1855">
        <v>12</v>
      </c>
      <c r="N1855" t="s">
        <v>82</v>
      </c>
      <c r="O1855" t="s">
        <v>3901</v>
      </c>
      <c r="P1855" t="s">
        <v>76</v>
      </c>
      <c r="Q1855" t="s">
        <v>76</v>
      </c>
      <c r="R1855" t="s">
        <v>76</v>
      </c>
      <c r="S1855" t="s">
        <v>76</v>
      </c>
      <c r="T1855" t="s">
        <v>76</v>
      </c>
      <c r="U1855">
        <v>1</v>
      </c>
      <c r="V1855" s="13">
        <v>45175</v>
      </c>
      <c r="W1855">
        <v>1</v>
      </c>
      <c r="X1855">
        <v>1</v>
      </c>
      <c r="Y1855" t="s">
        <v>3740</v>
      </c>
      <c r="AC1855">
        <v>5505</v>
      </c>
      <c r="AD1855" t="e" vm="1845">
        <v>#VALUE!</v>
      </c>
    </row>
    <row r="1856" spans="2:30" x14ac:dyDescent="0.25">
      <c r="B1856">
        <v>5506</v>
      </c>
      <c r="C1856" t="s">
        <v>3668</v>
      </c>
      <c r="D1856" t="s">
        <v>3671</v>
      </c>
      <c r="E1856" t="s">
        <v>3818</v>
      </c>
      <c r="F1856" t="s">
        <v>83</v>
      </c>
      <c r="G1856" t="s">
        <v>77</v>
      </c>
      <c r="H1856" t="s">
        <v>3808</v>
      </c>
      <c r="I1856" t="s">
        <v>3809</v>
      </c>
      <c r="J1856" t="s">
        <v>3810</v>
      </c>
      <c r="K1856" t="s">
        <v>239</v>
      </c>
      <c r="L1856" s="13">
        <v>40897</v>
      </c>
      <c r="M1856">
        <v>12</v>
      </c>
      <c r="N1856" t="s">
        <v>82</v>
      </c>
      <c r="O1856" t="s">
        <v>3901</v>
      </c>
      <c r="P1856" t="s">
        <v>76</v>
      </c>
      <c r="Q1856" t="s">
        <v>76</v>
      </c>
      <c r="R1856" t="s">
        <v>76</v>
      </c>
      <c r="S1856" t="s">
        <v>76</v>
      </c>
      <c r="T1856" t="s">
        <v>76</v>
      </c>
      <c r="U1856">
        <v>1</v>
      </c>
      <c r="V1856" s="13">
        <v>45175</v>
      </c>
      <c r="W1856">
        <v>1</v>
      </c>
      <c r="X1856">
        <v>1</v>
      </c>
      <c r="Y1856" t="s">
        <v>3672</v>
      </c>
      <c r="AC1856">
        <v>5506</v>
      </c>
      <c r="AD1856" t="e" vm="1846">
        <v>#VALUE!</v>
      </c>
    </row>
    <row r="1857" spans="2:30" x14ac:dyDescent="0.25">
      <c r="B1857">
        <v>5507</v>
      </c>
      <c r="C1857" t="s">
        <v>3668</v>
      </c>
      <c r="D1857" t="s">
        <v>3671</v>
      </c>
      <c r="E1857" t="s">
        <v>3818</v>
      </c>
      <c r="F1857" t="s">
        <v>83</v>
      </c>
      <c r="G1857" t="s">
        <v>77</v>
      </c>
      <c r="H1857" t="s">
        <v>3808</v>
      </c>
      <c r="I1857" t="s">
        <v>3809</v>
      </c>
      <c r="J1857" t="s">
        <v>3810</v>
      </c>
      <c r="K1857" t="s">
        <v>239</v>
      </c>
      <c r="L1857" s="13">
        <v>40900</v>
      </c>
      <c r="M1857">
        <v>12</v>
      </c>
      <c r="N1857" t="s">
        <v>82</v>
      </c>
      <c r="O1857" t="s">
        <v>3901</v>
      </c>
      <c r="P1857" t="s">
        <v>76</v>
      </c>
      <c r="Q1857" t="s">
        <v>76</v>
      </c>
      <c r="R1857" t="s">
        <v>76</v>
      </c>
      <c r="S1857" t="s">
        <v>76</v>
      </c>
      <c r="T1857" t="s">
        <v>76</v>
      </c>
      <c r="U1857">
        <v>1</v>
      </c>
      <c r="V1857" s="13">
        <v>45175</v>
      </c>
      <c r="W1857">
        <v>1</v>
      </c>
      <c r="X1857">
        <v>1</v>
      </c>
      <c r="Y1857" t="s">
        <v>3672</v>
      </c>
      <c r="AC1857">
        <v>5507</v>
      </c>
      <c r="AD1857" t="e" vm="1847">
        <v>#VALUE!</v>
      </c>
    </row>
    <row r="1858" spans="2:30" x14ac:dyDescent="0.25">
      <c r="B1858">
        <v>5508</v>
      </c>
      <c r="C1858" t="s">
        <v>3668</v>
      </c>
      <c r="D1858" t="s">
        <v>3671</v>
      </c>
      <c r="E1858" t="s">
        <v>3818</v>
      </c>
      <c r="F1858" t="s">
        <v>83</v>
      </c>
      <c r="G1858" t="s">
        <v>77</v>
      </c>
      <c r="H1858" t="s">
        <v>3808</v>
      </c>
      <c r="I1858" t="s">
        <v>3809</v>
      </c>
      <c r="J1858" t="s">
        <v>3810</v>
      </c>
      <c r="K1858" t="s">
        <v>239</v>
      </c>
      <c r="L1858" s="13">
        <v>40911</v>
      </c>
      <c r="M1858">
        <v>12</v>
      </c>
      <c r="N1858" t="s">
        <v>82</v>
      </c>
      <c r="O1858" t="s">
        <v>3901</v>
      </c>
      <c r="P1858" t="s">
        <v>76</v>
      </c>
      <c r="Q1858" t="s">
        <v>76</v>
      </c>
      <c r="R1858" t="s">
        <v>76</v>
      </c>
      <c r="S1858" t="s">
        <v>76</v>
      </c>
      <c r="T1858" t="s">
        <v>76</v>
      </c>
      <c r="U1858">
        <v>1</v>
      </c>
      <c r="V1858" s="13">
        <v>45175</v>
      </c>
      <c r="W1858">
        <v>1</v>
      </c>
      <c r="X1858">
        <v>1</v>
      </c>
      <c r="Y1858" t="s">
        <v>3672</v>
      </c>
      <c r="AC1858">
        <v>5508</v>
      </c>
      <c r="AD1858" t="e" vm="1848">
        <v>#VALUE!</v>
      </c>
    </row>
    <row r="1859" spans="2:30" x14ac:dyDescent="0.25">
      <c r="B1859">
        <v>5509</v>
      </c>
      <c r="C1859" t="s">
        <v>3668</v>
      </c>
      <c r="D1859" t="s">
        <v>3671</v>
      </c>
      <c r="E1859" t="s">
        <v>3818</v>
      </c>
      <c r="F1859" t="s">
        <v>83</v>
      </c>
      <c r="G1859" t="s">
        <v>77</v>
      </c>
      <c r="H1859" t="s">
        <v>3808</v>
      </c>
      <c r="I1859" t="s">
        <v>3809</v>
      </c>
      <c r="J1859" t="s">
        <v>3810</v>
      </c>
      <c r="K1859" t="s">
        <v>239</v>
      </c>
      <c r="L1859" s="13">
        <v>40911</v>
      </c>
      <c r="M1859">
        <v>12</v>
      </c>
      <c r="N1859" t="s">
        <v>82</v>
      </c>
      <c r="O1859" t="s">
        <v>3901</v>
      </c>
      <c r="P1859" t="s">
        <v>76</v>
      </c>
      <c r="Q1859" t="s">
        <v>76</v>
      </c>
      <c r="R1859" t="s">
        <v>76</v>
      </c>
      <c r="S1859" t="s">
        <v>76</v>
      </c>
      <c r="T1859" t="s">
        <v>76</v>
      </c>
      <c r="U1859">
        <v>1</v>
      </c>
      <c r="V1859" s="13">
        <v>45175</v>
      </c>
      <c r="W1859">
        <v>1</v>
      </c>
      <c r="X1859">
        <v>1</v>
      </c>
      <c r="Y1859" t="s">
        <v>3672</v>
      </c>
      <c r="AC1859">
        <v>5509</v>
      </c>
      <c r="AD1859" t="e" vm="1849">
        <v>#VALUE!</v>
      </c>
    </row>
    <row r="1860" spans="2:30" x14ac:dyDescent="0.25">
      <c r="B1860">
        <v>5510</v>
      </c>
      <c r="C1860" t="s">
        <v>3668</v>
      </c>
      <c r="D1860" t="s">
        <v>3671</v>
      </c>
      <c r="E1860" t="s">
        <v>3818</v>
      </c>
      <c r="F1860" t="s">
        <v>83</v>
      </c>
      <c r="G1860" t="s">
        <v>77</v>
      </c>
      <c r="H1860" t="s">
        <v>3808</v>
      </c>
      <c r="I1860" t="s">
        <v>3809</v>
      </c>
      <c r="J1860" t="s">
        <v>3810</v>
      </c>
      <c r="K1860" t="s">
        <v>239</v>
      </c>
      <c r="L1860" s="13">
        <v>40918</v>
      </c>
      <c r="M1860">
        <v>12</v>
      </c>
      <c r="N1860" t="s">
        <v>82</v>
      </c>
      <c r="O1860" t="s">
        <v>3901</v>
      </c>
      <c r="P1860" t="s">
        <v>76</v>
      </c>
      <c r="Q1860" t="s">
        <v>76</v>
      </c>
      <c r="R1860" t="s">
        <v>76</v>
      </c>
      <c r="S1860" t="s">
        <v>76</v>
      </c>
      <c r="T1860" t="s">
        <v>76</v>
      </c>
      <c r="U1860">
        <v>1</v>
      </c>
      <c r="V1860" s="13">
        <v>45175</v>
      </c>
      <c r="W1860">
        <v>1</v>
      </c>
      <c r="X1860">
        <v>1</v>
      </c>
      <c r="Y1860" t="s">
        <v>3672</v>
      </c>
      <c r="AC1860">
        <v>5510</v>
      </c>
      <c r="AD1860" t="e" vm="1850">
        <v>#VALUE!</v>
      </c>
    </row>
    <row r="1861" spans="2:30" x14ac:dyDescent="0.25">
      <c r="B1861">
        <v>5511</v>
      </c>
      <c r="C1861" t="s">
        <v>3668</v>
      </c>
      <c r="D1861" t="s">
        <v>3671</v>
      </c>
      <c r="E1861" t="s">
        <v>3818</v>
      </c>
      <c r="F1861" t="s">
        <v>83</v>
      </c>
      <c r="G1861" t="s">
        <v>77</v>
      </c>
      <c r="H1861" t="s">
        <v>3808</v>
      </c>
      <c r="I1861" t="s">
        <v>3809</v>
      </c>
      <c r="J1861" t="s">
        <v>3810</v>
      </c>
      <c r="K1861" t="s">
        <v>239</v>
      </c>
      <c r="L1861" s="13">
        <v>40918</v>
      </c>
      <c r="M1861">
        <v>12</v>
      </c>
      <c r="N1861" t="s">
        <v>82</v>
      </c>
      <c r="O1861" t="s">
        <v>3901</v>
      </c>
      <c r="P1861" t="s">
        <v>76</v>
      </c>
      <c r="Q1861" t="s">
        <v>76</v>
      </c>
      <c r="R1861" t="s">
        <v>76</v>
      </c>
      <c r="S1861" t="s">
        <v>76</v>
      </c>
      <c r="T1861" t="s">
        <v>76</v>
      </c>
      <c r="U1861">
        <v>1</v>
      </c>
      <c r="V1861" s="13">
        <v>45175</v>
      </c>
      <c r="W1861">
        <v>1</v>
      </c>
      <c r="X1861">
        <v>1</v>
      </c>
      <c r="Y1861" t="s">
        <v>3672</v>
      </c>
      <c r="AC1861">
        <v>5511</v>
      </c>
      <c r="AD1861" t="e" vm="1851">
        <v>#VALUE!</v>
      </c>
    </row>
    <row r="1862" spans="2:30" x14ac:dyDescent="0.25">
      <c r="B1862">
        <v>5512</v>
      </c>
      <c r="C1862" t="s">
        <v>3668</v>
      </c>
      <c r="D1862" t="s">
        <v>3671</v>
      </c>
      <c r="E1862" t="s">
        <v>3818</v>
      </c>
      <c r="F1862" t="s">
        <v>83</v>
      </c>
      <c r="G1862" t="s">
        <v>77</v>
      </c>
      <c r="H1862" t="s">
        <v>3808</v>
      </c>
      <c r="I1862" t="s">
        <v>3809</v>
      </c>
      <c r="J1862" t="s">
        <v>3810</v>
      </c>
      <c r="K1862" t="s">
        <v>239</v>
      </c>
      <c r="L1862" s="13">
        <v>40918</v>
      </c>
      <c r="M1862">
        <v>12</v>
      </c>
      <c r="N1862" t="s">
        <v>82</v>
      </c>
      <c r="O1862" t="s">
        <v>3901</v>
      </c>
      <c r="P1862" t="s">
        <v>76</v>
      </c>
      <c r="Q1862" t="s">
        <v>76</v>
      </c>
      <c r="R1862" t="s">
        <v>76</v>
      </c>
      <c r="S1862" t="s">
        <v>76</v>
      </c>
      <c r="T1862" t="s">
        <v>76</v>
      </c>
      <c r="U1862">
        <v>1</v>
      </c>
      <c r="V1862" s="13">
        <v>45175</v>
      </c>
      <c r="W1862">
        <v>1</v>
      </c>
      <c r="X1862">
        <v>1</v>
      </c>
      <c r="Y1862" t="s">
        <v>3672</v>
      </c>
      <c r="AC1862">
        <v>5512</v>
      </c>
      <c r="AD1862" t="e" vm="1852">
        <v>#VALUE!</v>
      </c>
    </row>
    <row r="1863" spans="2:30" x14ac:dyDescent="0.25">
      <c r="B1863">
        <v>5513</v>
      </c>
      <c r="C1863" t="s">
        <v>3668</v>
      </c>
      <c r="D1863" t="s">
        <v>3671</v>
      </c>
      <c r="E1863" t="s">
        <v>3818</v>
      </c>
      <c r="F1863" t="s">
        <v>83</v>
      </c>
      <c r="G1863" t="s">
        <v>77</v>
      </c>
      <c r="H1863" t="s">
        <v>3808</v>
      </c>
      <c r="I1863" t="s">
        <v>3809</v>
      </c>
      <c r="J1863" t="s">
        <v>3810</v>
      </c>
      <c r="K1863" t="s">
        <v>239</v>
      </c>
      <c r="L1863" s="13">
        <v>40918</v>
      </c>
      <c r="M1863">
        <v>12</v>
      </c>
      <c r="N1863" t="s">
        <v>82</v>
      </c>
      <c r="O1863" t="s">
        <v>3901</v>
      </c>
      <c r="P1863" t="s">
        <v>76</v>
      </c>
      <c r="Q1863" t="s">
        <v>76</v>
      </c>
      <c r="R1863" t="s">
        <v>76</v>
      </c>
      <c r="S1863" t="s">
        <v>76</v>
      </c>
      <c r="T1863" t="s">
        <v>76</v>
      </c>
      <c r="U1863">
        <v>1</v>
      </c>
      <c r="V1863" s="13">
        <v>45175</v>
      </c>
      <c r="W1863">
        <v>1</v>
      </c>
      <c r="X1863">
        <v>1</v>
      </c>
      <c r="Y1863" t="s">
        <v>3672</v>
      </c>
      <c r="AC1863">
        <v>5513</v>
      </c>
      <c r="AD1863" t="e" vm="1853">
        <v>#VALUE!</v>
      </c>
    </row>
    <row r="1864" spans="2:30" x14ac:dyDescent="0.25">
      <c r="B1864">
        <v>5514</v>
      </c>
      <c r="C1864" t="s">
        <v>3668</v>
      </c>
      <c r="D1864" t="s">
        <v>3671</v>
      </c>
      <c r="E1864" t="s">
        <v>3818</v>
      </c>
      <c r="F1864" t="s">
        <v>83</v>
      </c>
      <c r="G1864" t="s">
        <v>77</v>
      </c>
      <c r="H1864" t="s">
        <v>3808</v>
      </c>
      <c r="I1864" t="s">
        <v>3809</v>
      </c>
      <c r="J1864" t="s">
        <v>3810</v>
      </c>
      <c r="K1864" t="s">
        <v>239</v>
      </c>
      <c r="L1864" s="13">
        <v>40918</v>
      </c>
      <c r="M1864">
        <v>12</v>
      </c>
      <c r="N1864" t="s">
        <v>82</v>
      </c>
      <c r="O1864" t="s">
        <v>3901</v>
      </c>
      <c r="P1864" t="s">
        <v>76</v>
      </c>
      <c r="Q1864" t="s">
        <v>76</v>
      </c>
      <c r="R1864" t="s">
        <v>76</v>
      </c>
      <c r="S1864" t="s">
        <v>76</v>
      </c>
      <c r="T1864" t="s">
        <v>76</v>
      </c>
      <c r="U1864">
        <v>1</v>
      </c>
      <c r="V1864" s="13">
        <v>45175</v>
      </c>
      <c r="W1864">
        <v>1</v>
      </c>
      <c r="X1864">
        <v>1</v>
      </c>
      <c r="Y1864" t="s">
        <v>3672</v>
      </c>
      <c r="AC1864">
        <v>5514</v>
      </c>
      <c r="AD1864" t="e" vm="1854">
        <v>#VALUE!</v>
      </c>
    </row>
    <row r="1865" spans="2:30" x14ac:dyDescent="0.25">
      <c r="B1865">
        <v>5515</v>
      </c>
      <c r="C1865" t="s">
        <v>3668</v>
      </c>
      <c r="D1865" t="s">
        <v>3671</v>
      </c>
      <c r="E1865" t="s">
        <v>3818</v>
      </c>
      <c r="F1865" t="s">
        <v>83</v>
      </c>
      <c r="G1865" t="s">
        <v>77</v>
      </c>
      <c r="H1865" t="s">
        <v>3808</v>
      </c>
      <c r="I1865" t="s">
        <v>3809</v>
      </c>
      <c r="J1865" t="s">
        <v>3810</v>
      </c>
      <c r="K1865" t="s">
        <v>239</v>
      </c>
      <c r="L1865" s="13">
        <v>40918</v>
      </c>
      <c r="M1865">
        <v>12</v>
      </c>
      <c r="N1865" t="s">
        <v>82</v>
      </c>
      <c r="O1865" t="s">
        <v>3901</v>
      </c>
      <c r="P1865" t="s">
        <v>76</v>
      </c>
      <c r="Q1865" t="s">
        <v>76</v>
      </c>
      <c r="R1865" t="s">
        <v>76</v>
      </c>
      <c r="S1865" t="s">
        <v>76</v>
      </c>
      <c r="T1865" t="s">
        <v>76</v>
      </c>
      <c r="U1865">
        <v>1</v>
      </c>
      <c r="V1865" s="13">
        <v>45175</v>
      </c>
      <c r="W1865">
        <v>1</v>
      </c>
      <c r="X1865">
        <v>1</v>
      </c>
      <c r="Y1865" t="s">
        <v>3672</v>
      </c>
      <c r="AC1865">
        <v>5515</v>
      </c>
      <c r="AD1865" t="e" vm="1855">
        <v>#VALUE!</v>
      </c>
    </row>
    <row r="1866" spans="2:30" x14ac:dyDescent="0.25">
      <c r="B1866">
        <v>5516</v>
      </c>
      <c r="C1866" t="s">
        <v>3668</v>
      </c>
      <c r="D1866" t="s">
        <v>3671</v>
      </c>
      <c r="E1866" t="s">
        <v>3818</v>
      </c>
      <c r="F1866" t="s">
        <v>83</v>
      </c>
      <c r="G1866" t="s">
        <v>77</v>
      </c>
      <c r="H1866" t="s">
        <v>3808</v>
      </c>
      <c r="I1866" t="s">
        <v>3809</v>
      </c>
      <c r="J1866" t="s">
        <v>3810</v>
      </c>
      <c r="K1866" t="s">
        <v>239</v>
      </c>
      <c r="L1866" s="13">
        <v>40934</v>
      </c>
      <c r="M1866">
        <v>12</v>
      </c>
      <c r="N1866" t="s">
        <v>82</v>
      </c>
      <c r="O1866" t="s">
        <v>3901</v>
      </c>
      <c r="P1866" t="s">
        <v>76</v>
      </c>
      <c r="Q1866" t="s">
        <v>76</v>
      </c>
      <c r="R1866" t="s">
        <v>76</v>
      </c>
      <c r="S1866" t="s">
        <v>76</v>
      </c>
      <c r="T1866" t="s">
        <v>76</v>
      </c>
      <c r="U1866">
        <v>1</v>
      </c>
      <c r="V1866" s="13">
        <v>45175</v>
      </c>
      <c r="W1866">
        <v>1</v>
      </c>
      <c r="X1866">
        <v>1</v>
      </c>
      <c r="Y1866" t="s">
        <v>3672</v>
      </c>
      <c r="AC1866">
        <v>5516</v>
      </c>
      <c r="AD1866" t="e" vm="1856">
        <v>#VALUE!</v>
      </c>
    </row>
    <row r="1867" spans="2:30" x14ac:dyDescent="0.25">
      <c r="B1867">
        <v>5517</v>
      </c>
      <c r="C1867" t="s">
        <v>3668</v>
      </c>
      <c r="D1867" t="s">
        <v>3671</v>
      </c>
      <c r="E1867" t="s">
        <v>3818</v>
      </c>
      <c r="F1867" t="s">
        <v>83</v>
      </c>
      <c r="G1867" t="s">
        <v>77</v>
      </c>
      <c r="H1867" t="s">
        <v>3808</v>
      </c>
      <c r="I1867" t="s">
        <v>3809</v>
      </c>
      <c r="J1867" t="s">
        <v>3810</v>
      </c>
      <c r="K1867" t="s">
        <v>239</v>
      </c>
      <c r="L1867" s="13">
        <v>40934</v>
      </c>
      <c r="M1867">
        <v>12</v>
      </c>
      <c r="N1867" t="s">
        <v>82</v>
      </c>
      <c r="O1867" t="s">
        <v>3901</v>
      </c>
      <c r="P1867" t="s">
        <v>76</v>
      </c>
      <c r="Q1867" t="s">
        <v>76</v>
      </c>
      <c r="R1867" t="s">
        <v>76</v>
      </c>
      <c r="S1867" t="s">
        <v>76</v>
      </c>
      <c r="T1867" t="s">
        <v>76</v>
      </c>
      <c r="U1867">
        <v>1</v>
      </c>
      <c r="V1867" s="13">
        <v>45175</v>
      </c>
      <c r="W1867">
        <v>1</v>
      </c>
      <c r="X1867">
        <v>1</v>
      </c>
      <c r="Y1867" t="s">
        <v>3672</v>
      </c>
      <c r="AC1867">
        <v>5517</v>
      </c>
      <c r="AD1867" t="e" vm="1857">
        <v>#VALUE!</v>
      </c>
    </row>
    <row r="1868" spans="2:30" x14ac:dyDescent="0.25">
      <c r="B1868">
        <v>5518</v>
      </c>
      <c r="C1868" t="s">
        <v>3668</v>
      </c>
      <c r="D1868" t="s">
        <v>3671</v>
      </c>
      <c r="E1868" t="s">
        <v>3818</v>
      </c>
      <c r="F1868" t="s">
        <v>83</v>
      </c>
      <c r="G1868" t="s">
        <v>77</v>
      </c>
      <c r="H1868" t="s">
        <v>3808</v>
      </c>
      <c r="I1868" t="s">
        <v>3809</v>
      </c>
      <c r="J1868" t="s">
        <v>3810</v>
      </c>
      <c r="K1868" t="s">
        <v>239</v>
      </c>
      <c r="L1868" s="13">
        <v>40934</v>
      </c>
      <c r="M1868">
        <v>12</v>
      </c>
      <c r="N1868" t="s">
        <v>82</v>
      </c>
      <c r="O1868" t="s">
        <v>3901</v>
      </c>
      <c r="P1868" t="s">
        <v>76</v>
      </c>
      <c r="Q1868" t="s">
        <v>76</v>
      </c>
      <c r="R1868" t="s">
        <v>76</v>
      </c>
      <c r="S1868" t="s">
        <v>76</v>
      </c>
      <c r="T1868" t="s">
        <v>76</v>
      </c>
      <c r="U1868">
        <v>1</v>
      </c>
      <c r="V1868" s="13">
        <v>45175</v>
      </c>
      <c r="W1868">
        <v>1</v>
      </c>
      <c r="X1868">
        <v>1</v>
      </c>
      <c r="Y1868" t="s">
        <v>3672</v>
      </c>
      <c r="AC1868">
        <v>5518</v>
      </c>
      <c r="AD1868" t="e" vm="1858">
        <v>#VALUE!</v>
      </c>
    </row>
    <row r="1869" spans="2:30" x14ac:dyDescent="0.25">
      <c r="B1869">
        <v>5519</v>
      </c>
      <c r="C1869" t="s">
        <v>3668</v>
      </c>
      <c r="D1869" t="s">
        <v>3671</v>
      </c>
      <c r="E1869" t="s">
        <v>3818</v>
      </c>
      <c r="F1869" t="s">
        <v>83</v>
      </c>
      <c r="G1869" t="s">
        <v>77</v>
      </c>
      <c r="H1869" t="s">
        <v>3808</v>
      </c>
      <c r="I1869" t="s">
        <v>3809</v>
      </c>
      <c r="J1869" t="s">
        <v>3810</v>
      </c>
      <c r="K1869" t="s">
        <v>239</v>
      </c>
      <c r="L1869" s="13">
        <v>40945</v>
      </c>
      <c r="M1869">
        <v>12</v>
      </c>
      <c r="N1869" t="s">
        <v>82</v>
      </c>
      <c r="O1869" t="s">
        <v>3901</v>
      </c>
      <c r="P1869" t="s">
        <v>76</v>
      </c>
      <c r="Q1869" t="s">
        <v>76</v>
      </c>
      <c r="R1869" t="s">
        <v>76</v>
      </c>
      <c r="S1869" t="s">
        <v>76</v>
      </c>
      <c r="T1869" t="s">
        <v>76</v>
      </c>
      <c r="U1869">
        <v>1</v>
      </c>
      <c r="V1869" s="13">
        <v>45175</v>
      </c>
      <c r="W1869">
        <v>1</v>
      </c>
      <c r="X1869">
        <v>1</v>
      </c>
      <c r="Y1869" t="s">
        <v>3672</v>
      </c>
      <c r="AC1869">
        <v>5519</v>
      </c>
      <c r="AD1869" t="e" vm="1859">
        <v>#VALUE!</v>
      </c>
    </row>
    <row r="1870" spans="2:30" x14ac:dyDescent="0.25">
      <c r="B1870">
        <v>5520</v>
      </c>
      <c r="C1870" t="s">
        <v>3646</v>
      </c>
      <c r="D1870" t="s">
        <v>3647</v>
      </c>
      <c r="E1870" t="s">
        <v>3807</v>
      </c>
      <c r="F1870" t="s">
        <v>105</v>
      </c>
      <c r="G1870" t="s">
        <v>108</v>
      </c>
      <c r="H1870" t="s">
        <v>3808</v>
      </c>
      <c r="I1870" t="s">
        <v>3821</v>
      </c>
      <c r="J1870" t="s">
        <v>3810</v>
      </c>
      <c r="K1870" t="s">
        <v>239</v>
      </c>
      <c r="L1870" s="13">
        <v>40435</v>
      </c>
      <c r="M1870">
        <v>13</v>
      </c>
      <c r="N1870" t="s">
        <v>90</v>
      </c>
      <c r="O1870" t="s">
        <v>3902</v>
      </c>
      <c r="P1870" t="s">
        <v>76</v>
      </c>
      <c r="Q1870" t="s">
        <v>76</v>
      </c>
      <c r="R1870" t="s">
        <v>76</v>
      </c>
      <c r="S1870" t="s">
        <v>76</v>
      </c>
      <c r="T1870" t="s">
        <v>76</v>
      </c>
      <c r="U1870">
        <v>1</v>
      </c>
      <c r="V1870" s="13">
        <v>45175</v>
      </c>
      <c r="W1870">
        <v>1</v>
      </c>
      <c r="X1870">
        <v>1</v>
      </c>
      <c r="Y1870" t="s">
        <v>3648</v>
      </c>
      <c r="AC1870">
        <v>5520</v>
      </c>
      <c r="AD1870" t="e" vm="1860">
        <v>#VALUE!</v>
      </c>
    </row>
    <row r="1871" spans="2:30" x14ac:dyDescent="0.25">
      <c r="B1871">
        <v>5521</v>
      </c>
      <c r="C1871" t="s">
        <v>3646</v>
      </c>
      <c r="D1871" t="s">
        <v>3647</v>
      </c>
      <c r="E1871" t="s">
        <v>3807</v>
      </c>
      <c r="F1871" t="s">
        <v>105</v>
      </c>
      <c r="G1871" t="s">
        <v>108</v>
      </c>
      <c r="H1871" t="s">
        <v>3808</v>
      </c>
      <c r="I1871" t="s">
        <v>3821</v>
      </c>
      <c r="J1871" t="s">
        <v>3810</v>
      </c>
      <c r="K1871" t="s">
        <v>239</v>
      </c>
      <c r="L1871" s="13">
        <v>40382</v>
      </c>
      <c r="M1871">
        <v>13</v>
      </c>
      <c r="N1871" t="s">
        <v>90</v>
      </c>
      <c r="O1871" t="s">
        <v>3902</v>
      </c>
      <c r="P1871" t="s">
        <v>76</v>
      </c>
      <c r="Q1871" t="s">
        <v>76</v>
      </c>
      <c r="R1871" t="s">
        <v>76</v>
      </c>
      <c r="S1871" t="s">
        <v>76</v>
      </c>
      <c r="T1871" t="s">
        <v>76</v>
      </c>
      <c r="U1871">
        <v>1</v>
      </c>
      <c r="V1871" s="13">
        <v>45175</v>
      </c>
      <c r="W1871">
        <v>1</v>
      </c>
      <c r="X1871">
        <v>1</v>
      </c>
      <c r="Y1871" t="s">
        <v>3648</v>
      </c>
      <c r="AC1871">
        <v>5521</v>
      </c>
      <c r="AD1871" t="e" vm="1861">
        <v>#VALUE!</v>
      </c>
    </row>
    <row r="1872" spans="2:30" x14ac:dyDescent="0.25">
      <c r="B1872">
        <v>5522</v>
      </c>
      <c r="C1872" t="s">
        <v>3646</v>
      </c>
      <c r="D1872" t="s">
        <v>3647</v>
      </c>
      <c r="E1872" t="s">
        <v>3807</v>
      </c>
      <c r="F1872" t="s">
        <v>105</v>
      </c>
      <c r="G1872" t="s">
        <v>108</v>
      </c>
      <c r="H1872" t="s">
        <v>3808</v>
      </c>
      <c r="I1872" t="s">
        <v>3821</v>
      </c>
      <c r="J1872" t="s">
        <v>3810</v>
      </c>
      <c r="K1872" t="s">
        <v>239</v>
      </c>
      <c r="L1872" s="13">
        <v>40386</v>
      </c>
      <c r="M1872">
        <v>13</v>
      </c>
      <c r="N1872" t="s">
        <v>90</v>
      </c>
      <c r="O1872" t="s">
        <v>3902</v>
      </c>
      <c r="P1872" t="s">
        <v>76</v>
      </c>
      <c r="Q1872" t="s">
        <v>76</v>
      </c>
      <c r="R1872" t="s">
        <v>76</v>
      </c>
      <c r="S1872" t="s">
        <v>76</v>
      </c>
      <c r="T1872" t="s">
        <v>76</v>
      </c>
      <c r="U1872">
        <v>1</v>
      </c>
      <c r="V1872" s="13">
        <v>45175</v>
      </c>
      <c r="W1872">
        <v>1</v>
      </c>
      <c r="X1872">
        <v>1</v>
      </c>
      <c r="Y1872" t="s">
        <v>3648</v>
      </c>
      <c r="AC1872">
        <v>5522</v>
      </c>
      <c r="AD1872" t="e" vm="1862">
        <v>#VALUE!</v>
      </c>
    </row>
    <row r="1873" spans="2:30" x14ac:dyDescent="0.25">
      <c r="B1873">
        <v>5523</v>
      </c>
      <c r="C1873" t="s">
        <v>3646</v>
      </c>
      <c r="D1873" t="s">
        <v>3647</v>
      </c>
      <c r="E1873" t="s">
        <v>3807</v>
      </c>
      <c r="F1873" t="s">
        <v>105</v>
      </c>
      <c r="G1873" t="s">
        <v>108</v>
      </c>
      <c r="H1873" t="s">
        <v>3808</v>
      </c>
      <c r="I1873" t="s">
        <v>3821</v>
      </c>
      <c r="J1873" t="s">
        <v>3810</v>
      </c>
      <c r="K1873" t="s">
        <v>239</v>
      </c>
      <c r="L1873" s="13">
        <v>40416</v>
      </c>
      <c r="M1873">
        <v>13</v>
      </c>
      <c r="N1873" t="s">
        <v>90</v>
      </c>
      <c r="O1873" t="s">
        <v>3902</v>
      </c>
      <c r="P1873" t="s">
        <v>76</v>
      </c>
      <c r="Q1873" t="s">
        <v>76</v>
      </c>
      <c r="R1873" t="s">
        <v>76</v>
      </c>
      <c r="S1873" t="s">
        <v>76</v>
      </c>
      <c r="T1873" t="s">
        <v>76</v>
      </c>
      <c r="U1873">
        <v>1</v>
      </c>
      <c r="V1873" s="13">
        <v>45175</v>
      </c>
      <c r="W1873">
        <v>1</v>
      </c>
      <c r="X1873">
        <v>1</v>
      </c>
      <c r="Y1873" t="s">
        <v>3648</v>
      </c>
      <c r="AC1873">
        <v>5523</v>
      </c>
      <c r="AD1873" t="e" vm="1863">
        <v>#VALUE!</v>
      </c>
    </row>
    <row r="1874" spans="2:30" x14ac:dyDescent="0.25">
      <c r="B1874">
        <v>5524</v>
      </c>
      <c r="C1874" t="s">
        <v>3646</v>
      </c>
      <c r="D1874" t="s">
        <v>3647</v>
      </c>
      <c r="E1874" t="s">
        <v>3807</v>
      </c>
      <c r="F1874" t="s">
        <v>105</v>
      </c>
      <c r="G1874" t="s">
        <v>108</v>
      </c>
      <c r="H1874" t="s">
        <v>3808</v>
      </c>
      <c r="I1874" t="s">
        <v>3821</v>
      </c>
      <c r="J1874" t="s">
        <v>3810</v>
      </c>
      <c r="K1874" t="s">
        <v>239</v>
      </c>
      <c r="L1874" s="13">
        <v>40416</v>
      </c>
      <c r="M1874">
        <v>13</v>
      </c>
      <c r="N1874" t="s">
        <v>90</v>
      </c>
      <c r="O1874" t="s">
        <v>3902</v>
      </c>
      <c r="P1874" t="s">
        <v>76</v>
      </c>
      <c r="Q1874" t="s">
        <v>76</v>
      </c>
      <c r="R1874" t="s">
        <v>76</v>
      </c>
      <c r="S1874" t="s">
        <v>76</v>
      </c>
      <c r="T1874" t="s">
        <v>76</v>
      </c>
      <c r="U1874">
        <v>1</v>
      </c>
      <c r="V1874" s="13">
        <v>45175</v>
      </c>
      <c r="W1874">
        <v>1</v>
      </c>
      <c r="X1874">
        <v>1</v>
      </c>
      <c r="Y1874" t="s">
        <v>3648</v>
      </c>
      <c r="AC1874">
        <v>5524</v>
      </c>
      <c r="AD1874" t="e" vm="1864">
        <v>#VALUE!</v>
      </c>
    </row>
    <row r="1875" spans="2:30" x14ac:dyDescent="0.25">
      <c r="B1875">
        <v>5525</v>
      </c>
      <c r="C1875" t="s">
        <v>3646</v>
      </c>
      <c r="D1875" t="s">
        <v>3647</v>
      </c>
      <c r="E1875" t="s">
        <v>3807</v>
      </c>
      <c r="F1875" t="s">
        <v>105</v>
      </c>
      <c r="G1875" t="s">
        <v>108</v>
      </c>
      <c r="H1875" t="s">
        <v>3808</v>
      </c>
      <c r="I1875" t="s">
        <v>3821</v>
      </c>
      <c r="J1875" t="s">
        <v>3810</v>
      </c>
      <c r="K1875" t="s">
        <v>239</v>
      </c>
      <c r="L1875" s="13">
        <v>40416</v>
      </c>
      <c r="M1875">
        <v>13</v>
      </c>
      <c r="N1875" t="s">
        <v>90</v>
      </c>
      <c r="O1875" t="s">
        <v>3902</v>
      </c>
      <c r="P1875" t="s">
        <v>76</v>
      </c>
      <c r="Q1875" t="s">
        <v>76</v>
      </c>
      <c r="R1875" t="s">
        <v>76</v>
      </c>
      <c r="S1875" t="s">
        <v>76</v>
      </c>
      <c r="T1875" t="s">
        <v>76</v>
      </c>
      <c r="U1875">
        <v>1</v>
      </c>
      <c r="V1875" s="13">
        <v>45175</v>
      </c>
      <c r="W1875">
        <v>1</v>
      </c>
      <c r="X1875">
        <v>1</v>
      </c>
      <c r="Y1875" t="s">
        <v>3648</v>
      </c>
      <c r="AC1875">
        <v>5525</v>
      </c>
      <c r="AD1875" t="e" vm="1865">
        <v>#VALUE!</v>
      </c>
    </row>
    <row r="1876" spans="2:30" x14ac:dyDescent="0.25">
      <c r="B1876">
        <v>5526</v>
      </c>
      <c r="C1876" t="s">
        <v>3646</v>
      </c>
      <c r="D1876" t="s">
        <v>3647</v>
      </c>
      <c r="E1876" t="s">
        <v>3807</v>
      </c>
      <c r="F1876" t="s">
        <v>105</v>
      </c>
      <c r="G1876" t="s">
        <v>108</v>
      </c>
      <c r="H1876" t="s">
        <v>3808</v>
      </c>
      <c r="I1876" t="s">
        <v>3821</v>
      </c>
      <c r="J1876" t="s">
        <v>3810</v>
      </c>
      <c r="K1876" t="s">
        <v>239</v>
      </c>
      <c r="L1876" s="13">
        <v>40416</v>
      </c>
      <c r="M1876">
        <v>13</v>
      </c>
      <c r="N1876" t="s">
        <v>90</v>
      </c>
      <c r="O1876" t="s">
        <v>3902</v>
      </c>
      <c r="P1876" t="s">
        <v>76</v>
      </c>
      <c r="Q1876" t="s">
        <v>76</v>
      </c>
      <c r="R1876" t="s">
        <v>76</v>
      </c>
      <c r="S1876" t="s">
        <v>76</v>
      </c>
      <c r="T1876" t="s">
        <v>76</v>
      </c>
      <c r="U1876">
        <v>1</v>
      </c>
      <c r="V1876" s="13">
        <v>45175</v>
      </c>
      <c r="W1876">
        <v>1</v>
      </c>
      <c r="X1876">
        <v>1</v>
      </c>
      <c r="Y1876" t="s">
        <v>3648</v>
      </c>
      <c r="AC1876">
        <v>5526</v>
      </c>
      <c r="AD1876" t="e" vm="1866">
        <v>#VALUE!</v>
      </c>
    </row>
    <row r="1877" spans="2:30" x14ac:dyDescent="0.25">
      <c r="B1877">
        <v>5527</v>
      </c>
      <c r="C1877" t="s">
        <v>3646</v>
      </c>
      <c r="D1877" t="s">
        <v>3647</v>
      </c>
      <c r="E1877" t="s">
        <v>3807</v>
      </c>
      <c r="F1877" t="s">
        <v>105</v>
      </c>
      <c r="G1877" t="s">
        <v>108</v>
      </c>
      <c r="H1877" t="s">
        <v>3808</v>
      </c>
      <c r="I1877" t="s">
        <v>3821</v>
      </c>
      <c r="J1877" t="s">
        <v>3810</v>
      </c>
      <c r="K1877" t="s">
        <v>239</v>
      </c>
      <c r="L1877" s="13">
        <v>40422</v>
      </c>
      <c r="M1877">
        <v>13</v>
      </c>
      <c r="N1877" t="s">
        <v>90</v>
      </c>
      <c r="O1877" t="s">
        <v>3902</v>
      </c>
      <c r="P1877" t="s">
        <v>76</v>
      </c>
      <c r="Q1877" t="s">
        <v>76</v>
      </c>
      <c r="R1877" t="s">
        <v>76</v>
      </c>
      <c r="S1877" t="s">
        <v>76</v>
      </c>
      <c r="T1877" t="s">
        <v>76</v>
      </c>
      <c r="U1877">
        <v>1</v>
      </c>
      <c r="V1877" s="13">
        <v>45175</v>
      </c>
      <c r="W1877">
        <v>1</v>
      </c>
      <c r="X1877">
        <v>1</v>
      </c>
      <c r="Y1877" t="s">
        <v>3648</v>
      </c>
      <c r="AC1877">
        <v>5527</v>
      </c>
      <c r="AD1877" t="e" vm="1867">
        <v>#VALUE!</v>
      </c>
    </row>
    <row r="1878" spans="2:30" x14ac:dyDescent="0.25">
      <c r="B1878">
        <v>5528</v>
      </c>
      <c r="C1878" t="s">
        <v>3646</v>
      </c>
      <c r="D1878" t="s">
        <v>3653</v>
      </c>
      <c r="E1878" t="s">
        <v>3812</v>
      </c>
      <c r="F1878" t="s">
        <v>85</v>
      </c>
      <c r="G1878" t="s">
        <v>114</v>
      </c>
      <c r="H1878" t="s">
        <v>3808</v>
      </c>
      <c r="I1878" t="s">
        <v>3821</v>
      </c>
      <c r="J1878" t="s">
        <v>3810</v>
      </c>
      <c r="K1878" t="s">
        <v>239</v>
      </c>
      <c r="L1878" s="13">
        <v>40422</v>
      </c>
      <c r="M1878">
        <v>13</v>
      </c>
      <c r="N1878" t="s">
        <v>90</v>
      </c>
      <c r="O1878" t="s">
        <v>3902</v>
      </c>
      <c r="P1878" t="s">
        <v>76</v>
      </c>
      <c r="Q1878" t="s">
        <v>76</v>
      </c>
      <c r="R1878" t="s">
        <v>76</v>
      </c>
      <c r="S1878" t="s">
        <v>76</v>
      </c>
      <c r="T1878" t="s">
        <v>76</v>
      </c>
      <c r="U1878">
        <v>1</v>
      </c>
      <c r="V1878" s="13">
        <v>45175</v>
      </c>
      <c r="W1878">
        <v>1</v>
      </c>
      <c r="X1878">
        <v>1</v>
      </c>
      <c r="Y1878" t="s">
        <v>3654</v>
      </c>
      <c r="AC1878">
        <v>5528</v>
      </c>
      <c r="AD1878" t="e" vm="1868">
        <v>#VALUE!</v>
      </c>
    </row>
    <row r="1879" spans="2:30" x14ac:dyDescent="0.25">
      <c r="B1879">
        <v>5529</v>
      </c>
      <c r="C1879" t="s">
        <v>3646</v>
      </c>
      <c r="D1879" t="s">
        <v>3653</v>
      </c>
      <c r="E1879" t="s">
        <v>3812</v>
      </c>
      <c r="F1879" t="s">
        <v>85</v>
      </c>
      <c r="G1879" t="s">
        <v>114</v>
      </c>
      <c r="H1879" t="s">
        <v>3808</v>
      </c>
      <c r="I1879" t="s">
        <v>3821</v>
      </c>
      <c r="J1879" t="s">
        <v>3810</v>
      </c>
      <c r="K1879" t="s">
        <v>239</v>
      </c>
      <c r="L1879" s="13">
        <v>40423</v>
      </c>
      <c r="M1879">
        <v>13</v>
      </c>
      <c r="N1879" t="s">
        <v>90</v>
      </c>
      <c r="O1879" t="s">
        <v>3902</v>
      </c>
      <c r="P1879" t="s">
        <v>76</v>
      </c>
      <c r="Q1879" t="s">
        <v>76</v>
      </c>
      <c r="R1879" t="s">
        <v>76</v>
      </c>
      <c r="S1879" t="s">
        <v>76</v>
      </c>
      <c r="T1879" t="s">
        <v>76</v>
      </c>
      <c r="U1879">
        <v>1</v>
      </c>
      <c r="V1879" s="13">
        <v>45175</v>
      </c>
      <c r="W1879">
        <v>1</v>
      </c>
      <c r="X1879">
        <v>1</v>
      </c>
      <c r="Y1879" t="s">
        <v>3654</v>
      </c>
      <c r="AC1879">
        <v>5529</v>
      </c>
      <c r="AD1879" t="e" vm="1869">
        <v>#VALUE!</v>
      </c>
    </row>
    <row r="1880" spans="2:30" x14ac:dyDescent="0.25">
      <c r="B1880">
        <v>5530</v>
      </c>
      <c r="C1880" t="s">
        <v>3646</v>
      </c>
      <c r="D1880" t="s">
        <v>3653</v>
      </c>
      <c r="E1880" t="s">
        <v>3812</v>
      </c>
      <c r="F1880" t="s">
        <v>85</v>
      </c>
      <c r="G1880" t="s">
        <v>114</v>
      </c>
      <c r="H1880" t="s">
        <v>3808</v>
      </c>
      <c r="I1880" t="s">
        <v>3821</v>
      </c>
      <c r="J1880" t="s">
        <v>3810</v>
      </c>
      <c r="K1880" t="s">
        <v>239</v>
      </c>
      <c r="L1880" s="13">
        <v>40423</v>
      </c>
      <c r="M1880">
        <v>13</v>
      </c>
      <c r="N1880" t="s">
        <v>90</v>
      </c>
      <c r="O1880" t="s">
        <v>3902</v>
      </c>
      <c r="P1880" t="s">
        <v>76</v>
      </c>
      <c r="Q1880" t="s">
        <v>76</v>
      </c>
      <c r="R1880" t="s">
        <v>76</v>
      </c>
      <c r="S1880" t="s">
        <v>76</v>
      </c>
      <c r="T1880" t="s">
        <v>76</v>
      </c>
      <c r="U1880">
        <v>1</v>
      </c>
      <c r="V1880" s="13">
        <v>45175</v>
      </c>
      <c r="W1880">
        <v>1</v>
      </c>
      <c r="X1880">
        <v>1</v>
      </c>
      <c r="Y1880" t="s">
        <v>3654</v>
      </c>
      <c r="AC1880">
        <v>5530</v>
      </c>
      <c r="AD1880" t="e" vm="1870">
        <v>#VALUE!</v>
      </c>
    </row>
    <row r="1881" spans="2:30" x14ac:dyDescent="0.25">
      <c r="B1881">
        <v>5531</v>
      </c>
      <c r="C1881" t="s">
        <v>3646</v>
      </c>
      <c r="D1881" t="s">
        <v>3711</v>
      </c>
      <c r="E1881" t="s">
        <v>3849</v>
      </c>
      <c r="F1881" t="s">
        <v>83</v>
      </c>
      <c r="G1881" t="s">
        <v>103</v>
      </c>
      <c r="H1881" t="s">
        <v>3808</v>
      </c>
      <c r="I1881" t="s">
        <v>3821</v>
      </c>
      <c r="J1881" t="s">
        <v>3810</v>
      </c>
      <c r="K1881" t="s">
        <v>239</v>
      </c>
      <c r="L1881" s="13">
        <v>40429</v>
      </c>
      <c r="M1881">
        <v>13</v>
      </c>
      <c r="N1881" t="s">
        <v>90</v>
      </c>
      <c r="O1881" t="s">
        <v>3902</v>
      </c>
      <c r="P1881" t="s">
        <v>76</v>
      </c>
      <c r="Q1881" t="s">
        <v>76</v>
      </c>
      <c r="R1881" t="s">
        <v>76</v>
      </c>
      <c r="S1881" t="s">
        <v>76</v>
      </c>
      <c r="T1881" t="s">
        <v>76</v>
      </c>
      <c r="U1881">
        <v>1</v>
      </c>
      <c r="V1881" s="13">
        <v>45175</v>
      </c>
      <c r="W1881">
        <v>1</v>
      </c>
      <c r="X1881">
        <v>1</v>
      </c>
      <c r="Y1881" t="s">
        <v>3712</v>
      </c>
      <c r="AC1881">
        <v>5531</v>
      </c>
      <c r="AD1881" t="e" vm="1871">
        <v>#VALUE!</v>
      </c>
    </row>
    <row r="1882" spans="2:30" x14ac:dyDescent="0.25">
      <c r="B1882">
        <v>5532</v>
      </c>
      <c r="C1882" t="s">
        <v>3646</v>
      </c>
      <c r="D1882" t="s">
        <v>3711</v>
      </c>
      <c r="E1882" t="s">
        <v>3849</v>
      </c>
      <c r="F1882" t="s">
        <v>83</v>
      </c>
      <c r="G1882" t="s">
        <v>103</v>
      </c>
      <c r="H1882" t="s">
        <v>3808</v>
      </c>
      <c r="I1882" t="s">
        <v>3821</v>
      </c>
      <c r="J1882" t="s">
        <v>3810</v>
      </c>
      <c r="K1882" t="s">
        <v>239</v>
      </c>
      <c r="L1882" s="13">
        <v>40429</v>
      </c>
      <c r="M1882">
        <v>13</v>
      </c>
      <c r="N1882" t="s">
        <v>90</v>
      </c>
      <c r="O1882" t="s">
        <v>3902</v>
      </c>
      <c r="P1882" t="s">
        <v>76</v>
      </c>
      <c r="Q1882" t="s">
        <v>76</v>
      </c>
      <c r="R1882" t="s">
        <v>76</v>
      </c>
      <c r="S1882" t="s">
        <v>76</v>
      </c>
      <c r="T1882" t="s">
        <v>76</v>
      </c>
      <c r="U1882">
        <v>1</v>
      </c>
      <c r="V1882" s="13">
        <v>45175</v>
      </c>
      <c r="W1882">
        <v>1</v>
      </c>
      <c r="X1882">
        <v>1</v>
      </c>
      <c r="Y1882" t="s">
        <v>3712</v>
      </c>
      <c r="AC1882">
        <v>5532</v>
      </c>
      <c r="AD1882" t="e" vm="1872">
        <v>#VALUE!</v>
      </c>
    </row>
    <row r="1883" spans="2:30" x14ac:dyDescent="0.25">
      <c r="B1883">
        <v>5533</v>
      </c>
      <c r="C1883" t="s">
        <v>3646</v>
      </c>
      <c r="D1883" t="s">
        <v>3711</v>
      </c>
      <c r="E1883" t="s">
        <v>3849</v>
      </c>
      <c r="F1883" t="s">
        <v>83</v>
      </c>
      <c r="G1883" t="s">
        <v>103</v>
      </c>
      <c r="H1883" t="s">
        <v>3808</v>
      </c>
      <c r="I1883" t="s">
        <v>3821</v>
      </c>
      <c r="J1883" t="s">
        <v>3810</v>
      </c>
      <c r="K1883" t="s">
        <v>239</v>
      </c>
      <c r="L1883" s="13">
        <v>40429</v>
      </c>
      <c r="M1883">
        <v>13</v>
      </c>
      <c r="N1883" t="s">
        <v>90</v>
      </c>
      <c r="O1883" t="s">
        <v>3902</v>
      </c>
      <c r="P1883" t="s">
        <v>76</v>
      </c>
      <c r="Q1883" t="s">
        <v>76</v>
      </c>
      <c r="R1883" t="s">
        <v>76</v>
      </c>
      <c r="S1883" t="s">
        <v>76</v>
      </c>
      <c r="T1883" t="s">
        <v>76</v>
      </c>
      <c r="U1883">
        <v>1</v>
      </c>
      <c r="V1883" s="13">
        <v>45175</v>
      </c>
      <c r="W1883">
        <v>1</v>
      </c>
      <c r="X1883">
        <v>1</v>
      </c>
      <c r="Y1883" t="s">
        <v>3712</v>
      </c>
      <c r="AC1883">
        <v>5533</v>
      </c>
      <c r="AD1883" t="e" vm="1873">
        <v>#VALUE!</v>
      </c>
    </row>
    <row r="1884" spans="2:30" x14ac:dyDescent="0.25">
      <c r="B1884">
        <v>5534</v>
      </c>
      <c r="C1884" t="s">
        <v>3646</v>
      </c>
      <c r="D1884" t="s">
        <v>3711</v>
      </c>
      <c r="E1884" t="s">
        <v>3849</v>
      </c>
      <c r="F1884" t="s">
        <v>83</v>
      </c>
      <c r="G1884" t="s">
        <v>103</v>
      </c>
      <c r="H1884" t="s">
        <v>3808</v>
      </c>
      <c r="I1884" t="s">
        <v>3821</v>
      </c>
      <c r="J1884" t="s">
        <v>3810</v>
      </c>
      <c r="K1884" t="s">
        <v>239</v>
      </c>
      <c r="L1884" s="13">
        <v>40435</v>
      </c>
      <c r="M1884">
        <v>13</v>
      </c>
      <c r="N1884" t="s">
        <v>90</v>
      </c>
      <c r="O1884" t="s">
        <v>3902</v>
      </c>
      <c r="P1884" t="s">
        <v>76</v>
      </c>
      <c r="Q1884" t="s">
        <v>76</v>
      </c>
      <c r="R1884" t="s">
        <v>76</v>
      </c>
      <c r="S1884" t="s">
        <v>76</v>
      </c>
      <c r="T1884" t="s">
        <v>76</v>
      </c>
      <c r="U1884">
        <v>1</v>
      </c>
      <c r="V1884" s="13">
        <v>45175</v>
      </c>
      <c r="W1884">
        <v>1</v>
      </c>
      <c r="X1884">
        <v>1</v>
      </c>
      <c r="Y1884" t="s">
        <v>3712</v>
      </c>
      <c r="AC1884">
        <v>5534</v>
      </c>
      <c r="AD1884" t="e" vm="1874">
        <v>#VALUE!</v>
      </c>
    </row>
    <row r="1885" spans="2:30" x14ac:dyDescent="0.25">
      <c r="B1885">
        <v>5535</v>
      </c>
      <c r="C1885" t="s">
        <v>3646</v>
      </c>
      <c r="D1885" t="s">
        <v>3711</v>
      </c>
      <c r="E1885" t="s">
        <v>3849</v>
      </c>
      <c r="F1885" t="s">
        <v>83</v>
      </c>
      <c r="G1885" t="s">
        <v>103</v>
      </c>
      <c r="H1885" t="s">
        <v>3808</v>
      </c>
      <c r="I1885" t="s">
        <v>3821</v>
      </c>
      <c r="J1885" t="s">
        <v>3810</v>
      </c>
      <c r="K1885" t="s">
        <v>239</v>
      </c>
      <c r="L1885" s="13">
        <v>40435</v>
      </c>
      <c r="M1885">
        <v>13</v>
      </c>
      <c r="N1885" t="s">
        <v>90</v>
      </c>
      <c r="O1885" t="s">
        <v>3902</v>
      </c>
      <c r="P1885" t="s">
        <v>76</v>
      </c>
      <c r="Q1885" t="s">
        <v>76</v>
      </c>
      <c r="R1885" t="s">
        <v>76</v>
      </c>
      <c r="S1885" t="s">
        <v>76</v>
      </c>
      <c r="T1885" t="s">
        <v>76</v>
      </c>
      <c r="U1885">
        <v>1</v>
      </c>
      <c r="V1885" s="13">
        <v>45175</v>
      </c>
      <c r="W1885">
        <v>1</v>
      </c>
      <c r="X1885">
        <v>1</v>
      </c>
      <c r="Y1885" t="s">
        <v>3712</v>
      </c>
      <c r="AC1885">
        <v>5535</v>
      </c>
      <c r="AD1885" t="e" vm="1875">
        <v>#VALUE!</v>
      </c>
    </row>
    <row r="1886" spans="2:30" x14ac:dyDescent="0.25">
      <c r="B1886">
        <v>5536</v>
      </c>
      <c r="C1886" t="s">
        <v>3646</v>
      </c>
      <c r="D1886" t="s">
        <v>3711</v>
      </c>
      <c r="E1886" t="s">
        <v>3849</v>
      </c>
      <c r="F1886" t="s">
        <v>83</v>
      </c>
      <c r="G1886" t="s">
        <v>103</v>
      </c>
      <c r="H1886" t="s">
        <v>3808</v>
      </c>
      <c r="I1886" t="s">
        <v>3821</v>
      </c>
      <c r="J1886" t="s">
        <v>3810</v>
      </c>
      <c r="K1886" t="s">
        <v>239</v>
      </c>
      <c r="L1886" s="13">
        <v>40438</v>
      </c>
      <c r="M1886">
        <v>13</v>
      </c>
      <c r="N1886" t="s">
        <v>90</v>
      </c>
      <c r="O1886" t="s">
        <v>3902</v>
      </c>
      <c r="P1886" t="s">
        <v>76</v>
      </c>
      <c r="Q1886" t="s">
        <v>76</v>
      </c>
      <c r="R1886" t="s">
        <v>76</v>
      </c>
      <c r="S1886" t="s">
        <v>76</v>
      </c>
      <c r="T1886" t="s">
        <v>76</v>
      </c>
      <c r="U1886">
        <v>1</v>
      </c>
      <c r="V1886" s="13">
        <v>45175</v>
      </c>
      <c r="W1886">
        <v>1</v>
      </c>
      <c r="X1886">
        <v>1</v>
      </c>
      <c r="Y1886" t="s">
        <v>3712</v>
      </c>
      <c r="AC1886">
        <v>5536</v>
      </c>
      <c r="AD1886" t="e" vm="1876">
        <v>#VALUE!</v>
      </c>
    </row>
    <row r="1887" spans="2:30" x14ac:dyDescent="0.25">
      <c r="B1887">
        <v>5537</v>
      </c>
      <c r="C1887" t="s">
        <v>3646</v>
      </c>
      <c r="D1887" t="s">
        <v>3711</v>
      </c>
      <c r="E1887" t="s">
        <v>3849</v>
      </c>
      <c r="F1887" t="s">
        <v>83</v>
      </c>
      <c r="G1887" t="s">
        <v>103</v>
      </c>
      <c r="H1887" t="s">
        <v>3808</v>
      </c>
      <c r="I1887" t="s">
        <v>3821</v>
      </c>
      <c r="J1887" t="s">
        <v>3810</v>
      </c>
      <c r="K1887" t="s">
        <v>239</v>
      </c>
      <c r="L1887" s="13">
        <v>40438</v>
      </c>
      <c r="M1887">
        <v>13</v>
      </c>
      <c r="N1887" t="s">
        <v>90</v>
      </c>
      <c r="O1887" t="s">
        <v>3902</v>
      </c>
      <c r="P1887" t="s">
        <v>76</v>
      </c>
      <c r="Q1887" t="s">
        <v>76</v>
      </c>
      <c r="R1887" t="s">
        <v>76</v>
      </c>
      <c r="S1887" t="s">
        <v>76</v>
      </c>
      <c r="T1887" t="s">
        <v>76</v>
      </c>
      <c r="U1887">
        <v>1</v>
      </c>
      <c r="V1887" s="13">
        <v>45175</v>
      </c>
      <c r="W1887">
        <v>1</v>
      </c>
      <c r="X1887">
        <v>1</v>
      </c>
      <c r="Y1887" t="s">
        <v>3712</v>
      </c>
      <c r="AC1887">
        <v>5537</v>
      </c>
      <c r="AD1887" t="e" vm="1877">
        <v>#VALUE!</v>
      </c>
    </row>
    <row r="1888" spans="2:30" x14ac:dyDescent="0.25">
      <c r="B1888">
        <v>5538</v>
      </c>
      <c r="C1888" t="s">
        <v>3646</v>
      </c>
      <c r="D1888" t="s">
        <v>3711</v>
      </c>
      <c r="E1888" t="s">
        <v>3849</v>
      </c>
      <c r="F1888" t="s">
        <v>83</v>
      </c>
      <c r="G1888" t="s">
        <v>103</v>
      </c>
      <c r="H1888" t="s">
        <v>3808</v>
      </c>
      <c r="I1888" t="s">
        <v>3821</v>
      </c>
      <c r="J1888" t="s">
        <v>3810</v>
      </c>
      <c r="K1888" t="s">
        <v>239</v>
      </c>
      <c r="L1888" s="13">
        <v>40442</v>
      </c>
      <c r="M1888">
        <v>13</v>
      </c>
      <c r="N1888" t="s">
        <v>90</v>
      </c>
      <c r="O1888" t="s">
        <v>3902</v>
      </c>
      <c r="P1888" t="s">
        <v>76</v>
      </c>
      <c r="Q1888" t="s">
        <v>76</v>
      </c>
      <c r="R1888" t="s">
        <v>76</v>
      </c>
      <c r="S1888" t="s">
        <v>76</v>
      </c>
      <c r="T1888" t="s">
        <v>76</v>
      </c>
      <c r="U1888">
        <v>1</v>
      </c>
      <c r="V1888" s="13">
        <v>45175</v>
      </c>
      <c r="W1888">
        <v>1</v>
      </c>
      <c r="X1888">
        <v>1</v>
      </c>
      <c r="Y1888" t="s">
        <v>3712</v>
      </c>
      <c r="AC1888">
        <v>5538</v>
      </c>
      <c r="AD1888" t="e" vm="1878">
        <v>#VALUE!</v>
      </c>
    </row>
    <row r="1889" spans="2:30" x14ac:dyDescent="0.25">
      <c r="B1889">
        <v>5539</v>
      </c>
      <c r="C1889" t="s">
        <v>3646</v>
      </c>
      <c r="D1889" t="s">
        <v>3649</v>
      </c>
      <c r="E1889" t="s">
        <v>3812</v>
      </c>
      <c r="F1889" t="s">
        <v>85</v>
      </c>
      <c r="G1889" t="s">
        <v>112</v>
      </c>
      <c r="H1889" t="s">
        <v>3808</v>
      </c>
      <c r="I1889" t="s">
        <v>3821</v>
      </c>
      <c r="J1889" t="s">
        <v>3810</v>
      </c>
      <c r="K1889" t="s">
        <v>239</v>
      </c>
      <c r="L1889" s="13">
        <v>40442</v>
      </c>
      <c r="M1889">
        <v>13</v>
      </c>
      <c r="N1889" t="s">
        <v>90</v>
      </c>
      <c r="O1889" t="s">
        <v>3902</v>
      </c>
      <c r="P1889" t="s">
        <v>76</v>
      </c>
      <c r="Q1889" t="s">
        <v>76</v>
      </c>
      <c r="R1889" t="s">
        <v>76</v>
      </c>
      <c r="S1889" t="s">
        <v>76</v>
      </c>
      <c r="T1889" t="s">
        <v>76</v>
      </c>
      <c r="U1889">
        <v>1</v>
      </c>
      <c r="V1889" s="13">
        <v>45175</v>
      </c>
      <c r="W1889">
        <v>1</v>
      </c>
      <c r="X1889">
        <v>1</v>
      </c>
      <c r="Y1889" t="s">
        <v>3650</v>
      </c>
      <c r="AC1889">
        <v>5539</v>
      </c>
      <c r="AD1889" t="e" vm="1879">
        <v>#VALUE!</v>
      </c>
    </row>
    <row r="1890" spans="2:30" x14ac:dyDescent="0.25">
      <c r="B1890">
        <v>5540</v>
      </c>
      <c r="C1890" t="s">
        <v>3646</v>
      </c>
      <c r="D1890" t="s">
        <v>3649</v>
      </c>
      <c r="E1890" t="s">
        <v>3812</v>
      </c>
      <c r="F1890" t="s">
        <v>85</v>
      </c>
      <c r="G1890" t="s">
        <v>112</v>
      </c>
      <c r="H1890" t="s">
        <v>3808</v>
      </c>
      <c r="I1890" t="s">
        <v>3821</v>
      </c>
      <c r="J1890" t="s">
        <v>3810</v>
      </c>
      <c r="K1890" t="s">
        <v>239</v>
      </c>
      <c r="L1890" s="13">
        <v>40445</v>
      </c>
      <c r="M1890">
        <v>13</v>
      </c>
      <c r="N1890" t="s">
        <v>90</v>
      </c>
      <c r="O1890" t="s">
        <v>3902</v>
      </c>
      <c r="P1890" t="s">
        <v>76</v>
      </c>
      <c r="Q1890" t="s">
        <v>76</v>
      </c>
      <c r="R1890" t="s">
        <v>76</v>
      </c>
      <c r="S1890" t="s">
        <v>76</v>
      </c>
      <c r="T1890" t="s">
        <v>76</v>
      </c>
      <c r="U1890">
        <v>1</v>
      </c>
      <c r="V1890" s="13">
        <v>45175</v>
      </c>
      <c r="W1890">
        <v>1</v>
      </c>
      <c r="X1890">
        <v>1</v>
      </c>
      <c r="Y1890" t="s">
        <v>3650</v>
      </c>
      <c r="AC1890">
        <v>5540</v>
      </c>
      <c r="AD1890" t="e" vm="1880">
        <v>#VALUE!</v>
      </c>
    </row>
    <row r="1891" spans="2:30" x14ac:dyDescent="0.25">
      <c r="B1891">
        <v>5541</v>
      </c>
      <c r="C1891" t="s">
        <v>3646</v>
      </c>
      <c r="D1891" t="s">
        <v>3711</v>
      </c>
      <c r="E1891" t="s">
        <v>3849</v>
      </c>
      <c r="F1891" t="s">
        <v>83</v>
      </c>
      <c r="G1891" t="s">
        <v>103</v>
      </c>
      <c r="H1891" t="s">
        <v>3808</v>
      </c>
      <c r="I1891" t="s">
        <v>3821</v>
      </c>
      <c r="J1891" t="s">
        <v>3810</v>
      </c>
      <c r="K1891" t="s">
        <v>239</v>
      </c>
      <c r="L1891" s="13">
        <v>40445</v>
      </c>
      <c r="M1891">
        <v>13</v>
      </c>
      <c r="N1891" t="s">
        <v>90</v>
      </c>
      <c r="O1891" t="s">
        <v>3902</v>
      </c>
      <c r="P1891" t="s">
        <v>76</v>
      </c>
      <c r="Q1891" t="s">
        <v>76</v>
      </c>
      <c r="R1891" t="s">
        <v>76</v>
      </c>
      <c r="S1891" t="s">
        <v>76</v>
      </c>
      <c r="T1891" t="s">
        <v>76</v>
      </c>
      <c r="U1891">
        <v>1</v>
      </c>
      <c r="V1891" s="13">
        <v>45175</v>
      </c>
      <c r="W1891">
        <v>1</v>
      </c>
      <c r="X1891">
        <v>1</v>
      </c>
      <c r="Y1891" t="s">
        <v>3712</v>
      </c>
      <c r="AC1891">
        <v>5541</v>
      </c>
      <c r="AD1891" t="e" vm="1881">
        <v>#VALUE!</v>
      </c>
    </row>
    <row r="1892" spans="2:30" x14ac:dyDescent="0.25">
      <c r="B1892">
        <v>5542</v>
      </c>
      <c r="C1892" t="s">
        <v>3646</v>
      </c>
      <c r="D1892" t="s">
        <v>3711</v>
      </c>
      <c r="E1892" t="s">
        <v>3849</v>
      </c>
      <c r="F1892" t="s">
        <v>83</v>
      </c>
      <c r="G1892" t="s">
        <v>103</v>
      </c>
      <c r="H1892" t="s">
        <v>3808</v>
      </c>
      <c r="I1892" t="s">
        <v>3821</v>
      </c>
      <c r="J1892" t="s">
        <v>3810</v>
      </c>
      <c r="K1892" t="s">
        <v>239</v>
      </c>
      <c r="L1892" s="13">
        <v>40445</v>
      </c>
      <c r="M1892">
        <v>13</v>
      </c>
      <c r="N1892" t="s">
        <v>90</v>
      </c>
      <c r="O1892" t="s">
        <v>3902</v>
      </c>
      <c r="P1892" t="s">
        <v>76</v>
      </c>
      <c r="Q1892" t="s">
        <v>76</v>
      </c>
      <c r="R1892" t="s">
        <v>76</v>
      </c>
      <c r="S1892" t="s">
        <v>76</v>
      </c>
      <c r="T1892" t="s">
        <v>76</v>
      </c>
      <c r="U1892">
        <v>1</v>
      </c>
      <c r="V1892" s="13">
        <v>45175</v>
      </c>
      <c r="W1892">
        <v>1</v>
      </c>
      <c r="X1892">
        <v>1</v>
      </c>
      <c r="Y1892" t="s">
        <v>3712</v>
      </c>
      <c r="AC1892">
        <v>5542</v>
      </c>
      <c r="AD1892" t="e" vm="1882">
        <v>#VALUE!</v>
      </c>
    </row>
    <row r="1893" spans="2:30" x14ac:dyDescent="0.25">
      <c r="B1893">
        <v>5543</v>
      </c>
      <c r="C1893" t="s">
        <v>3646</v>
      </c>
      <c r="D1893" t="s">
        <v>3711</v>
      </c>
      <c r="E1893" t="s">
        <v>3849</v>
      </c>
      <c r="F1893" t="s">
        <v>83</v>
      </c>
      <c r="G1893" t="s">
        <v>103</v>
      </c>
      <c r="H1893" t="s">
        <v>3808</v>
      </c>
      <c r="I1893" t="s">
        <v>3821</v>
      </c>
      <c r="J1893" t="s">
        <v>3810</v>
      </c>
      <c r="K1893" t="s">
        <v>239</v>
      </c>
      <c r="L1893" s="13">
        <v>40445</v>
      </c>
      <c r="M1893">
        <v>13</v>
      </c>
      <c r="N1893" t="s">
        <v>90</v>
      </c>
      <c r="O1893" t="s">
        <v>3902</v>
      </c>
      <c r="P1893" t="s">
        <v>76</v>
      </c>
      <c r="Q1893" t="s">
        <v>76</v>
      </c>
      <c r="R1893" t="s">
        <v>76</v>
      </c>
      <c r="S1893" t="s">
        <v>76</v>
      </c>
      <c r="T1893" t="s">
        <v>76</v>
      </c>
      <c r="U1893">
        <v>1</v>
      </c>
      <c r="V1893" s="13">
        <v>45175</v>
      </c>
      <c r="W1893">
        <v>1</v>
      </c>
      <c r="X1893">
        <v>1</v>
      </c>
      <c r="Y1893" t="s">
        <v>3712</v>
      </c>
      <c r="AC1893">
        <v>5543</v>
      </c>
      <c r="AD1893" t="e" vm="1883">
        <v>#VALUE!</v>
      </c>
    </row>
    <row r="1894" spans="2:30" x14ac:dyDescent="0.25">
      <c r="B1894">
        <v>5544</v>
      </c>
      <c r="C1894" t="s">
        <v>3646</v>
      </c>
      <c r="D1894" t="s">
        <v>3711</v>
      </c>
      <c r="E1894" t="s">
        <v>3849</v>
      </c>
      <c r="F1894" t="s">
        <v>83</v>
      </c>
      <c r="G1894" t="s">
        <v>103</v>
      </c>
      <c r="H1894" t="s">
        <v>3808</v>
      </c>
      <c r="I1894" t="s">
        <v>3821</v>
      </c>
      <c r="J1894" t="s">
        <v>3810</v>
      </c>
      <c r="K1894" t="s">
        <v>239</v>
      </c>
      <c r="L1894" s="13">
        <v>40450</v>
      </c>
      <c r="M1894">
        <v>13</v>
      </c>
      <c r="N1894" t="s">
        <v>90</v>
      </c>
      <c r="O1894" t="s">
        <v>3902</v>
      </c>
      <c r="P1894" t="s">
        <v>76</v>
      </c>
      <c r="Q1894" t="s">
        <v>76</v>
      </c>
      <c r="R1894" t="s">
        <v>76</v>
      </c>
      <c r="S1894" t="s">
        <v>76</v>
      </c>
      <c r="T1894" t="s">
        <v>76</v>
      </c>
      <c r="U1894">
        <v>1</v>
      </c>
      <c r="V1894" s="13">
        <v>45175</v>
      </c>
      <c r="W1894">
        <v>1</v>
      </c>
      <c r="X1894">
        <v>1</v>
      </c>
      <c r="Y1894" t="s">
        <v>3712</v>
      </c>
      <c r="AC1894">
        <v>5544</v>
      </c>
      <c r="AD1894" t="e" vm="1884">
        <v>#VALUE!</v>
      </c>
    </row>
    <row r="1895" spans="2:30" x14ac:dyDescent="0.25">
      <c r="B1895">
        <v>5545</v>
      </c>
      <c r="C1895" t="s">
        <v>3646</v>
      </c>
      <c r="D1895" t="s">
        <v>3711</v>
      </c>
      <c r="E1895" t="s">
        <v>3849</v>
      </c>
      <c r="F1895" t="s">
        <v>83</v>
      </c>
      <c r="G1895" t="s">
        <v>103</v>
      </c>
      <c r="H1895" t="s">
        <v>3808</v>
      </c>
      <c r="I1895" t="s">
        <v>3821</v>
      </c>
      <c r="J1895" t="s">
        <v>3810</v>
      </c>
      <c r="K1895" t="s">
        <v>239</v>
      </c>
      <c r="L1895" s="13">
        <v>40450</v>
      </c>
      <c r="M1895">
        <v>13</v>
      </c>
      <c r="N1895" t="s">
        <v>90</v>
      </c>
      <c r="O1895" t="s">
        <v>3902</v>
      </c>
      <c r="P1895" t="s">
        <v>76</v>
      </c>
      <c r="Q1895" t="s">
        <v>76</v>
      </c>
      <c r="R1895" t="s">
        <v>76</v>
      </c>
      <c r="S1895" t="s">
        <v>76</v>
      </c>
      <c r="T1895" t="s">
        <v>76</v>
      </c>
      <c r="U1895">
        <v>1</v>
      </c>
      <c r="V1895" s="13">
        <v>45175</v>
      </c>
      <c r="W1895">
        <v>1</v>
      </c>
      <c r="X1895">
        <v>1</v>
      </c>
      <c r="Y1895" t="s">
        <v>3712</v>
      </c>
      <c r="AC1895">
        <v>5545</v>
      </c>
      <c r="AD1895" t="e" vm="1885">
        <v>#VALUE!</v>
      </c>
    </row>
    <row r="1896" spans="2:30" x14ac:dyDescent="0.25">
      <c r="B1896">
        <v>5546</v>
      </c>
      <c r="C1896" t="s">
        <v>3646</v>
      </c>
      <c r="D1896" t="s">
        <v>3711</v>
      </c>
      <c r="E1896" t="s">
        <v>3849</v>
      </c>
      <c r="F1896" t="s">
        <v>83</v>
      </c>
      <c r="G1896" t="s">
        <v>103</v>
      </c>
      <c r="H1896" t="s">
        <v>3808</v>
      </c>
      <c r="I1896" t="s">
        <v>3821</v>
      </c>
      <c r="J1896" t="s">
        <v>3810</v>
      </c>
      <c r="K1896" t="s">
        <v>239</v>
      </c>
      <c r="L1896" s="13">
        <v>40450</v>
      </c>
      <c r="M1896">
        <v>13</v>
      </c>
      <c r="N1896" t="s">
        <v>90</v>
      </c>
      <c r="O1896" t="s">
        <v>3902</v>
      </c>
      <c r="P1896" t="s">
        <v>76</v>
      </c>
      <c r="Q1896" t="s">
        <v>76</v>
      </c>
      <c r="R1896" t="s">
        <v>76</v>
      </c>
      <c r="S1896" t="s">
        <v>76</v>
      </c>
      <c r="T1896" t="s">
        <v>76</v>
      </c>
      <c r="U1896">
        <v>1</v>
      </c>
      <c r="V1896" s="13">
        <v>45175</v>
      </c>
      <c r="W1896">
        <v>1</v>
      </c>
      <c r="X1896">
        <v>1</v>
      </c>
      <c r="Y1896" t="s">
        <v>3712</v>
      </c>
      <c r="AC1896">
        <v>5546</v>
      </c>
      <c r="AD1896" t="e" vm="1886">
        <v>#VALUE!</v>
      </c>
    </row>
    <row r="1897" spans="2:30" x14ac:dyDescent="0.25">
      <c r="B1897">
        <v>5547</v>
      </c>
      <c r="C1897" t="s">
        <v>3646</v>
      </c>
      <c r="D1897" t="s">
        <v>3657</v>
      </c>
      <c r="E1897" t="s">
        <v>3812</v>
      </c>
      <c r="F1897" t="s">
        <v>85</v>
      </c>
      <c r="G1897" t="s">
        <v>77</v>
      </c>
      <c r="H1897" t="s">
        <v>3808</v>
      </c>
      <c r="I1897" t="s">
        <v>3821</v>
      </c>
      <c r="J1897" t="s">
        <v>3810</v>
      </c>
      <c r="K1897" t="s">
        <v>239</v>
      </c>
      <c r="L1897" s="13">
        <v>40456</v>
      </c>
      <c r="M1897">
        <v>13</v>
      </c>
      <c r="N1897" t="s">
        <v>90</v>
      </c>
      <c r="O1897" t="s">
        <v>3902</v>
      </c>
      <c r="P1897" t="s">
        <v>76</v>
      </c>
      <c r="Q1897" t="s">
        <v>76</v>
      </c>
      <c r="R1897" t="s">
        <v>76</v>
      </c>
      <c r="S1897" t="s">
        <v>76</v>
      </c>
      <c r="T1897" t="s">
        <v>76</v>
      </c>
      <c r="U1897">
        <v>1</v>
      </c>
      <c r="V1897" s="13">
        <v>45175</v>
      </c>
      <c r="W1897">
        <v>1</v>
      </c>
      <c r="X1897">
        <v>1</v>
      </c>
      <c r="Y1897" t="s">
        <v>3658</v>
      </c>
      <c r="AC1897">
        <v>5547</v>
      </c>
      <c r="AD1897" t="e" vm="1887">
        <v>#VALUE!</v>
      </c>
    </row>
    <row r="1898" spans="2:30" x14ac:dyDescent="0.25">
      <c r="B1898">
        <v>5548</v>
      </c>
      <c r="C1898" t="s">
        <v>3646</v>
      </c>
      <c r="D1898" t="s">
        <v>3657</v>
      </c>
      <c r="E1898" t="s">
        <v>3812</v>
      </c>
      <c r="F1898" t="s">
        <v>85</v>
      </c>
      <c r="G1898" t="s">
        <v>77</v>
      </c>
      <c r="H1898" t="s">
        <v>3808</v>
      </c>
      <c r="I1898" t="s">
        <v>3821</v>
      </c>
      <c r="J1898" t="s">
        <v>3810</v>
      </c>
      <c r="K1898" t="s">
        <v>239</v>
      </c>
      <c r="L1898" s="13">
        <v>40456</v>
      </c>
      <c r="M1898">
        <v>13</v>
      </c>
      <c r="N1898" t="s">
        <v>90</v>
      </c>
      <c r="O1898" t="s">
        <v>3902</v>
      </c>
      <c r="P1898" t="s">
        <v>76</v>
      </c>
      <c r="Q1898" t="s">
        <v>76</v>
      </c>
      <c r="R1898" t="s">
        <v>76</v>
      </c>
      <c r="S1898" t="s">
        <v>76</v>
      </c>
      <c r="T1898" t="s">
        <v>76</v>
      </c>
      <c r="U1898">
        <v>1</v>
      </c>
      <c r="V1898" s="13">
        <v>45175</v>
      </c>
      <c r="W1898">
        <v>1</v>
      </c>
      <c r="X1898">
        <v>1</v>
      </c>
      <c r="Y1898" t="s">
        <v>3658</v>
      </c>
      <c r="AC1898">
        <v>5548</v>
      </c>
      <c r="AD1898" t="e" vm="1888">
        <v>#VALUE!</v>
      </c>
    </row>
    <row r="1899" spans="2:30" x14ac:dyDescent="0.25">
      <c r="B1899">
        <v>5549</v>
      </c>
      <c r="C1899" t="s">
        <v>3646</v>
      </c>
      <c r="D1899" t="s">
        <v>3657</v>
      </c>
      <c r="E1899" t="s">
        <v>3812</v>
      </c>
      <c r="F1899" t="s">
        <v>85</v>
      </c>
      <c r="G1899" t="s">
        <v>77</v>
      </c>
      <c r="H1899" t="s">
        <v>3808</v>
      </c>
      <c r="I1899" t="s">
        <v>3821</v>
      </c>
      <c r="J1899" t="s">
        <v>3810</v>
      </c>
      <c r="K1899" t="s">
        <v>239</v>
      </c>
      <c r="L1899" s="13">
        <v>40462</v>
      </c>
      <c r="M1899">
        <v>13</v>
      </c>
      <c r="N1899" t="s">
        <v>90</v>
      </c>
      <c r="O1899" t="s">
        <v>3902</v>
      </c>
      <c r="P1899" t="s">
        <v>76</v>
      </c>
      <c r="Q1899" t="s">
        <v>76</v>
      </c>
      <c r="R1899" t="s">
        <v>76</v>
      </c>
      <c r="S1899" t="s">
        <v>76</v>
      </c>
      <c r="T1899" t="s">
        <v>76</v>
      </c>
      <c r="U1899">
        <v>1</v>
      </c>
      <c r="V1899" s="13">
        <v>45175</v>
      </c>
      <c r="W1899">
        <v>1</v>
      </c>
      <c r="X1899">
        <v>1</v>
      </c>
      <c r="Y1899" t="s">
        <v>3658</v>
      </c>
      <c r="AC1899">
        <v>5549</v>
      </c>
      <c r="AD1899" t="e" vm="1889">
        <v>#VALUE!</v>
      </c>
    </row>
    <row r="1900" spans="2:30" x14ac:dyDescent="0.25">
      <c r="B1900">
        <v>5550</v>
      </c>
      <c r="C1900" t="s">
        <v>3646</v>
      </c>
      <c r="D1900" t="s">
        <v>3657</v>
      </c>
      <c r="E1900" t="s">
        <v>3812</v>
      </c>
      <c r="F1900" t="s">
        <v>85</v>
      </c>
      <c r="G1900" t="s">
        <v>77</v>
      </c>
      <c r="H1900" t="s">
        <v>3808</v>
      </c>
      <c r="I1900" t="s">
        <v>3821</v>
      </c>
      <c r="J1900" t="s">
        <v>3810</v>
      </c>
      <c r="K1900" t="s">
        <v>239</v>
      </c>
      <c r="L1900" s="13">
        <v>40462</v>
      </c>
      <c r="M1900">
        <v>13</v>
      </c>
      <c r="N1900" t="s">
        <v>90</v>
      </c>
      <c r="O1900" t="s">
        <v>3902</v>
      </c>
      <c r="P1900" t="s">
        <v>76</v>
      </c>
      <c r="Q1900" t="s">
        <v>76</v>
      </c>
      <c r="R1900" t="s">
        <v>76</v>
      </c>
      <c r="S1900" t="s">
        <v>76</v>
      </c>
      <c r="T1900" t="s">
        <v>76</v>
      </c>
      <c r="U1900">
        <v>1</v>
      </c>
      <c r="V1900" s="13">
        <v>45175</v>
      </c>
      <c r="W1900">
        <v>1</v>
      </c>
      <c r="X1900">
        <v>1</v>
      </c>
      <c r="Y1900" t="s">
        <v>3658</v>
      </c>
      <c r="AC1900">
        <v>5550</v>
      </c>
      <c r="AD1900" t="e" vm="1890">
        <v>#VALUE!</v>
      </c>
    </row>
    <row r="1901" spans="2:30" x14ac:dyDescent="0.25">
      <c r="B1901">
        <v>5551</v>
      </c>
      <c r="C1901" t="s">
        <v>3646</v>
      </c>
      <c r="D1901" t="s">
        <v>3657</v>
      </c>
      <c r="E1901" t="s">
        <v>3812</v>
      </c>
      <c r="F1901" t="s">
        <v>85</v>
      </c>
      <c r="G1901" t="s">
        <v>77</v>
      </c>
      <c r="H1901" t="s">
        <v>3808</v>
      </c>
      <c r="I1901" t="s">
        <v>3821</v>
      </c>
      <c r="J1901" t="s">
        <v>3810</v>
      </c>
      <c r="K1901" t="s">
        <v>239</v>
      </c>
      <c r="L1901" s="13">
        <v>40462</v>
      </c>
      <c r="M1901">
        <v>13</v>
      </c>
      <c r="N1901" t="s">
        <v>90</v>
      </c>
      <c r="O1901" t="s">
        <v>3902</v>
      </c>
      <c r="P1901" t="s">
        <v>76</v>
      </c>
      <c r="Q1901" t="s">
        <v>76</v>
      </c>
      <c r="R1901" t="s">
        <v>76</v>
      </c>
      <c r="S1901" t="s">
        <v>76</v>
      </c>
      <c r="T1901" t="s">
        <v>76</v>
      </c>
      <c r="U1901">
        <v>1</v>
      </c>
      <c r="V1901" s="13">
        <v>45175</v>
      </c>
      <c r="W1901">
        <v>1</v>
      </c>
      <c r="X1901">
        <v>1</v>
      </c>
      <c r="Y1901" t="s">
        <v>3658</v>
      </c>
      <c r="AC1901">
        <v>5551</v>
      </c>
      <c r="AD1901" t="e" vm="1891">
        <v>#VALUE!</v>
      </c>
    </row>
    <row r="1902" spans="2:30" x14ac:dyDescent="0.25">
      <c r="B1902">
        <v>5552</v>
      </c>
      <c r="C1902" t="s">
        <v>3646</v>
      </c>
      <c r="D1902" t="s">
        <v>3657</v>
      </c>
      <c r="E1902" t="s">
        <v>3812</v>
      </c>
      <c r="F1902" t="s">
        <v>85</v>
      </c>
      <c r="G1902" t="s">
        <v>77</v>
      </c>
      <c r="H1902" t="s">
        <v>3808</v>
      </c>
      <c r="I1902" t="s">
        <v>3821</v>
      </c>
      <c r="J1902" t="s">
        <v>3810</v>
      </c>
      <c r="K1902" t="s">
        <v>239</v>
      </c>
      <c r="L1902" s="13">
        <v>40469</v>
      </c>
      <c r="M1902">
        <v>13</v>
      </c>
      <c r="N1902" t="s">
        <v>90</v>
      </c>
      <c r="O1902" t="s">
        <v>3902</v>
      </c>
      <c r="P1902" t="s">
        <v>76</v>
      </c>
      <c r="Q1902" t="s">
        <v>76</v>
      </c>
      <c r="R1902" t="s">
        <v>76</v>
      </c>
      <c r="S1902" t="s">
        <v>76</v>
      </c>
      <c r="T1902" t="s">
        <v>76</v>
      </c>
      <c r="U1902">
        <v>1</v>
      </c>
      <c r="V1902" s="13">
        <v>45175</v>
      </c>
      <c r="W1902">
        <v>1</v>
      </c>
      <c r="X1902">
        <v>1</v>
      </c>
      <c r="Y1902" t="s">
        <v>3658</v>
      </c>
      <c r="AC1902">
        <v>5552</v>
      </c>
      <c r="AD1902" t="e" vm="1892">
        <v>#VALUE!</v>
      </c>
    </row>
    <row r="1903" spans="2:30" x14ac:dyDescent="0.25">
      <c r="B1903">
        <v>5553</v>
      </c>
      <c r="C1903" t="s">
        <v>3646</v>
      </c>
      <c r="D1903" t="s">
        <v>3657</v>
      </c>
      <c r="E1903" t="s">
        <v>3812</v>
      </c>
      <c r="F1903" t="s">
        <v>85</v>
      </c>
      <c r="G1903" t="s">
        <v>77</v>
      </c>
      <c r="H1903" t="s">
        <v>3808</v>
      </c>
      <c r="I1903" t="s">
        <v>3821</v>
      </c>
      <c r="J1903" t="s">
        <v>3810</v>
      </c>
      <c r="K1903" t="s">
        <v>239</v>
      </c>
      <c r="L1903" s="13">
        <v>40469</v>
      </c>
      <c r="M1903">
        <v>13</v>
      </c>
      <c r="N1903" t="s">
        <v>90</v>
      </c>
      <c r="O1903" t="s">
        <v>3902</v>
      </c>
      <c r="P1903" t="s">
        <v>76</v>
      </c>
      <c r="Q1903" t="s">
        <v>76</v>
      </c>
      <c r="R1903" t="s">
        <v>76</v>
      </c>
      <c r="S1903" t="s">
        <v>76</v>
      </c>
      <c r="T1903" t="s">
        <v>76</v>
      </c>
      <c r="U1903">
        <v>1</v>
      </c>
      <c r="V1903" s="13">
        <v>45175</v>
      </c>
      <c r="W1903">
        <v>1</v>
      </c>
      <c r="X1903">
        <v>1</v>
      </c>
      <c r="Y1903" t="s">
        <v>3658</v>
      </c>
      <c r="AC1903">
        <v>5553</v>
      </c>
      <c r="AD1903" t="e" vm="1893">
        <v>#VALUE!</v>
      </c>
    </row>
    <row r="1904" spans="2:30" x14ac:dyDescent="0.25">
      <c r="B1904">
        <v>5554</v>
      </c>
      <c r="C1904" t="s">
        <v>3646</v>
      </c>
      <c r="D1904" t="s">
        <v>3657</v>
      </c>
      <c r="E1904" t="s">
        <v>3812</v>
      </c>
      <c r="F1904" t="s">
        <v>85</v>
      </c>
      <c r="G1904" t="s">
        <v>77</v>
      </c>
      <c r="H1904" t="s">
        <v>3808</v>
      </c>
      <c r="I1904" t="s">
        <v>3821</v>
      </c>
      <c r="J1904" t="s">
        <v>3810</v>
      </c>
      <c r="K1904" t="s">
        <v>239</v>
      </c>
      <c r="L1904" s="13">
        <v>40469</v>
      </c>
      <c r="M1904">
        <v>13</v>
      </c>
      <c r="N1904" t="s">
        <v>90</v>
      </c>
      <c r="O1904" t="s">
        <v>3902</v>
      </c>
      <c r="P1904" t="s">
        <v>76</v>
      </c>
      <c r="Q1904" t="s">
        <v>76</v>
      </c>
      <c r="R1904" t="s">
        <v>76</v>
      </c>
      <c r="S1904" t="s">
        <v>76</v>
      </c>
      <c r="T1904" t="s">
        <v>76</v>
      </c>
      <c r="U1904">
        <v>1</v>
      </c>
      <c r="V1904" s="13">
        <v>45175</v>
      </c>
      <c r="W1904">
        <v>1</v>
      </c>
      <c r="X1904">
        <v>1</v>
      </c>
      <c r="Y1904" t="s">
        <v>3658</v>
      </c>
      <c r="AC1904">
        <v>5554</v>
      </c>
      <c r="AD1904" t="e" vm="1894">
        <v>#VALUE!</v>
      </c>
    </row>
    <row r="1905" spans="2:30" x14ac:dyDescent="0.25">
      <c r="B1905">
        <v>5555</v>
      </c>
      <c r="C1905" t="s">
        <v>3662</v>
      </c>
      <c r="D1905" t="s">
        <v>3751</v>
      </c>
      <c r="E1905" t="s">
        <v>3903</v>
      </c>
      <c r="F1905" t="s">
        <v>115</v>
      </c>
      <c r="G1905" t="s">
        <v>108</v>
      </c>
      <c r="H1905" t="s">
        <v>3808</v>
      </c>
      <c r="I1905" t="s">
        <v>3821</v>
      </c>
      <c r="J1905" t="s">
        <v>3810</v>
      </c>
      <c r="K1905" t="s">
        <v>239</v>
      </c>
      <c r="L1905" s="13">
        <v>40476</v>
      </c>
      <c r="M1905">
        <v>13</v>
      </c>
      <c r="N1905" t="s">
        <v>79</v>
      </c>
      <c r="O1905" t="s">
        <v>3902</v>
      </c>
      <c r="P1905" t="s">
        <v>76</v>
      </c>
      <c r="Q1905" t="s">
        <v>76</v>
      </c>
      <c r="R1905" t="s">
        <v>76</v>
      </c>
      <c r="S1905" t="s">
        <v>76</v>
      </c>
      <c r="T1905" t="s">
        <v>76</v>
      </c>
      <c r="U1905">
        <v>1</v>
      </c>
      <c r="V1905" s="13">
        <v>45175</v>
      </c>
      <c r="W1905">
        <v>1</v>
      </c>
      <c r="X1905">
        <v>1</v>
      </c>
      <c r="Y1905" t="s">
        <v>3752</v>
      </c>
      <c r="AC1905">
        <v>5555</v>
      </c>
      <c r="AD1905" t="e" vm="1895">
        <v>#VALUE!</v>
      </c>
    </row>
    <row r="1906" spans="2:30" x14ac:dyDescent="0.25">
      <c r="B1906">
        <v>5556</v>
      </c>
      <c r="C1906" t="s">
        <v>3662</v>
      </c>
      <c r="D1906" t="s">
        <v>3751</v>
      </c>
      <c r="E1906" t="s">
        <v>3903</v>
      </c>
      <c r="F1906" t="s">
        <v>115</v>
      </c>
      <c r="G1906" t="s">
        <v>108</v>
      </c>
      <c r="H1906" t="s">
        <v>3808</v>
      </c>
      <c r="I1906" t="s">
        <v>3821</v>
      </c>
      <c r="J1906" t="s">
        <v>3810</v>
      </c>
      <c r="K1906" t="s">
        <v>239</v>
      </c>
      <c r="L1906" s="13">
        <v>40476</v>
      </c>
      <c r="M1906">
        <v>13</v>
      </c>
      <c r="N1906" t="s">
        <v>79</v>
      </c>
      <c r="O1906" t="s">
        <v>3902</v>
      </c>
      <c r="P1906" t="s">
        <v>76</v>
      </c>
      <c r="Q1906" t="s">
        <v>76</v>
      </c>
      <c r="R1906" t="s">
        <v>76</v>
      </c>
      <c r="S1906" t="s">
        <v>76</v>
      </c>
      <c r="T1906" t="s">
        <v>76</v>
      </c>
      <c r="U1906">
        <v>1</v>
      </c>
      <c r="V1906" s="13">
        <v>45175</v>
      </c>
      <c r="W1906">
        <v>1</v>
      </c>
      <c r="X1906">
        <v>1</v>
      </c>
      <c r="Y1906" t="s">
        <v>3752</v>
      </c>
      <c r="AC1906">
        <v>5556</v>
      </c>
      <c r="AD1906" t="e" vm="1896">
        <v>#VALUE!</v>
      </c>
    </row>
    <row r="1907" spans="2:30" x14ac:dyDescent="0.25">
      <c r="B1907">
        <v>5557</v>
      </c>
      <c r="C1907" t="s">
        <v>3662</v>
      </c>
      <c r="D1907" t="s">
        <v>3751</v>
      </c>
      <c r="E1907" t="s">
        <v>3903</v>
      </c>
      <c r="F1907" t="s">
        <v>115</v>
      </c>
      <c r="G1907" t="s">
        <v>108</v>
      </c>
      <c r="H1907" t="s">
        <v>3808</v>
      </c>
      <c r="I1907" t="s">
        <v>3821</v>
      </c>
      <c r="J1907" t="s">
        <v>3810</v>
      </c>
      <c r="K1907" t="s">
        <v>239</v>
      </c>
      <c r="L1907" s="13">
        <v>40476</v>
      </c>
      <c r="M1907">
        <v>13</v>
      </c>
      <c r="N1907" t="s">
        <v>79</v>
      </c>
      <c r="O1907" t="s">
        <v>3902</v>
      </c>
      <c r="P1907" t="s">
        <v>76</v>
      </c>
      <c r="Q1907" t="s">
        <v>76</v>
      </c>
      <c r="R1907" t="s">
        <v>76</v>
      </c>
      <c r="S1907" t="s">
        <v>76</v>
      </c>
      <c r="T1907" t="s">
        <v>76</v>
      </c>
      <c r="U1907">
        <v>1</v>
      </c>
      <c r="V1907" s="13">
        <v>45175</v>
      </c>
      <c r="W1907">
        <v>1</v>
      </c>
      <c r="X1907">
        <v>1</v>
      </c>
      <c r="Y1907" t="s">
        <v>3752</v>
      </c>
      <c r="AC1907">
        <v>5557</v>
      </c>
      <c r="AD1907" t="e" vm="1897">
        <v>#VALUE!</v>
      </c>
    </row>
    <row r="1908" spans="2:30" x14ac:dyDescent="0.25">
      <c r="B1908">
        <v>5558</v>
      </c>
      <c r="C1908" t="s">
        <v>3662</v>
      </c>
      <c r="D1908" t="s">
        <v>3751</v>
      </c>
      <c r="E1908" t="s">
        <v>3903</v>
      </c>
      <c r="F1908" t="s">
        <v>115</v>
      </c>
      <c r="G1908" t="s">
        <v>108</v>
      </c>
      <c r="H1908" t="s">
        <v>3808</v>
      </c>
      <c r="I1908" t="s">
        <v>3821</v>
      </c>
      <c r="J1908" t="s">
        <v>3810</v>
      </c>
      <c r="K1908" t="s">
        <v>239</v>
      </c>
      <c r="L1908" s="13">
        <v>40479</v>
      </c>
      <c r="M1908">
        <v>13</v>
      </c>
      <c r="N1908" t="s">
        <v>79</v>
      </c>
      <c r="O1908" t="s">
        <v>3902</v>
      </c>
      <c r="P1908" t="s">
        <v>76</v>
      </c>
      <c r="Q1908" t="s">
        <v>76</v>
      </c>
      <c r="R1908" t="s">
        <v>76</v>
      </c>
      <c r="S1908" t="s">
        <v>76</v>
      </c>
      <c r="T1908" t="s">
        <v>76</v>
      </c>
      <c r="U1908">
        <v>1</v>
      </c>
      <c r="V1908" s="13">
        <v>45175</v>
      </c>
      <c r="W1908">
        <v>1</v>
      </c>
      <c r="X1908">
        <v>1</v>
      </c>
      <c r="Y1908" t="s">
        <v>3752</v>
      </c>
      <c r="AC1908">
        <v>5558</v>
      </c>
      <c r="AD1908" t="e" vm="1898">
        <v>#VALUE!</v>
      </c>
    </row>
    <row r="1909" spans="2:30" x14ac:dyDescent="0.25">
      <c r="B1909">
        <v>5559</v>
      </c>
      <c r="C1909" t="s">
        <v>3662</v>
      </c>
      <c r="D1909" t="s">
        <v>3665</v>
      </c>
      <c r="E1909" t="s">
        <v>3815</v>
      </c>
      <c r="F1909" t="s">
        <v>92</v>
      </c>
      <c r="G1909" t="s">
        <v>96</v>
      </c>
      <c r="H1909" t="s">
        <v>3808</v>
      </c>
      <c r="I1909" t="s">
        <v>3821</v>
      </c>
      <c r="J1909" t="s">
        <v>3810</v>
      </c>
      <c r="K1909" t="s">
        <v>239</v>
      </c>
      <c r="L1909" s="13">
        <v>40479</v>
      </c>
      <c r="M1909">
        <v>13</v>
      </c>
      <c r="N1909" t="s">
        <v>79</v>
      </c>
      <c r="O1909" t="s">
        <v>3902</v>
      </c>
      <c r="P1909" t="s">
        <v>76</v>
      </c>
      <c r="Q1909" t="s">
        <v>76</v>
      </c>
      <c r="R1909" t="s">
        <v>76</v>
      </c>
      <c r="S1909" t="s">
        <v>76</v>
      </c>
      <c r="T1909" t="s">
        <v>76</v>
      </c>
      <c r="U1909">
        <v>1</v>
      </c>
      <c r="V1909" s="13">
        <v>45175</v>
      </c>
      <c r="W1909">
        <v>1</v>
      </c>
      <c r="X1909">
        <v>1</v>
      </c>
      <c r="Y1909" t="s">
        <v>3666</v>
      </c>
      <c r="AC1909">
        <v>5559</v>
      </c>
      <c r="AD1909" t="e" vm="1899">
        <v>#VALUE!</v>
      </c>
    </row>
    <row r="1910" spans="2:30" x14ac:dyDescent="0.25">
      <c r="B1910">
        <v>5560</v>
      </c>
      <c r="C1910" t="s">
        <v>3646</v>
      </c>
      <c r="D1910" t="s">
        <v>3647</v>
      </c>
      <c r="E1910" t="s">
        <v>3807</v>
      </c>
      <c r="F1910" t="s">
        <v>105</v>
      </c>
      <c r="G1910" t="s">
        <v>108</v>
      </c>
      <c r="H1910" t="s">
        <v>3808</v>
      </c>
      <c r="I1910" t="s">
        <v>3821</v>
      </c>
      <c r="J1910" t="s">
        <v>3810</v>
      </c>
      <c r="K1910" t="s">
        <v>239</v>
      </c>
      <c r="L1910" s="13">
        <v>40490</v>
      </c>
      <c r="M1910">
        <v>13</v>
      </c>
      <c r="N1910" t="s">
        <v>90</v>
      </c>
      <c r="O1910" t="s">
        <v>3902</v>
      </c>
      <c r="P1910" t="s">
        <v>76</v>
      </c>
      <c r="Q1910" t="s">
        <v>76</v>
      </c>
      <c r="R1910" t="s">
        <v>76</v>
      </c>
      <c r="S1910" t="s">
        <v>76</v>
      </c>
      <c r="T1910" t="s">
        <v>76</v>
      </c>
      <c r="U1910">
        <v>1</v>
      </c>
      <c r="V1910" s="13">
        <v>45175</v>
      </c>
      <c r="W1910">
        <v>1</v>
      </c>
      <c r="X1910">
        <v>1</v>
      </c>
      <c r="Y1910" t="s">
        <v>3648</v>
      </c>
      <c r="AC1910">
        <v>5560</v>
      </c>
      <c r="AD1910" t="e" vm="1900">
        <v>#VALUE!</v>
      </c>
    </row>
    <row r="1911" spans="2:30" x14ac:dyDescent="0.25">
      <c r="B1911">
        <v>5561</v>
      </c>
      <c r="C1911" t="s">
        <v>3646</v>
      </c>
      <c r="D1911" t="s">
        <v>3647</v>
      </c>
      <c r="E1911" t="s">
        <v>3807</v>
      </c>
      <c r="F1911" t="s">
        <v>105</v>
      </c>
      <c r="G1911" t="s">
        <v>108</v>
      </c>
      <c r="H1911" t="s">
        <v>3808</v>
      </c>
      <c r="I1911" t="s">
        <v>3821</v>
      </c>
      <c r="J1911" t="s">
        <v>3810</v>
      </c>
      <c r="K1911" t="s">
        <v>239</v>
      </c>
      <c r="L1911" s="13">
        <v>40490</v>
      </c>
      <c r="M1911">
        <v>13</v>
      </c>
      <c r="N1911" t="s">
        <v>90</v>
      </c>
      <c r="O1911" t="s">
        <v>3902</v>
      </c>
      <c r="P1911" t="s">
        <v>76</v>
      </c>
      <c r="Q1911" t="s">
        <v>76</v>
      </c>
      <c r="R1911" t="s">
        <v>76</v>
      </c>
      <c r="S1911" t="s">
        <v>76</v>
      </c>
      <c r="T1911" t="s">
        <v>76</v>
      </c>
      <c r="U1911">
        <v>1</v>
      </c>
      <c r="V1911" s="13">
        <v>45175</v>
      </c>
      <c r="W1911">
        <v>1</v>
      </c>
      <c r="X1911">
        <v>1</v>
      </c>
      <c r="Y1911" t="s">
        <v>3648</v>
      </c>
      <c r="AC1911">
        <v>5561</v>
      </c>
      <c r="AD1911" t="e" vm="1901">
        <v>#VALUE!</v>
      </c>
    </row>
    <row r="1912" spans="2:30" x14ac:dyDescent="0.25">
      <c r="B1912">
        <v>5562</v>
      </c>
      <c r="C1912" t="s">
        <v>3646</v>
      </c>
      <c r="D1912" t="s">
        <v>3647</v>
      </c>
      <c r="E1912" t="s">
        <v>3807</v>
      </c>
      <c r="F1912" t="s">
        <v>105</v>
      </c>
      <c r="G1912" t="s">
        <v>108</v>
      </c>
      <c r="H1912" t="s">
        <v>3808</v>
      </c>
      <c r="I1912" t="s">
        <v>3821</v>
      </c>
      <c r="J1912" t="s">
        <v>3810</v>
      </c>
      <c r="K1912" t="s">
        <v>239</v>
      </c>
      <c r="L1912" s="13">
        <v>40728</v>
      </c>
      <c r="M1912">
        <v>12</v>
      </c>
      <c r="N1912" t="s">
        <v>90</v>
      </c>
      <c r="O1912" t="s">
        <v>3902</v>
      </c>
      <c r="P1912" t="s">
        <v>76</v>
      </c>
      <c r="Q1912" t="s">
        <v>76</v>
      </c>
      <c r="R1912" t="s">
        <v>76</v>
      </c>
      <c r="S1912" t="s">
        <v>76</v>
      </c>
      <c r="T1912" t="s">
        <v>76</v>
      </c>
      <c r="U1912">
        <v>1</v>
      </c>
      <c r="V1912" s="13">
        <v>45175</v>
      </c>
      <c r="W1912">
        <v>1</v>
      </c>
      <c r="X1912">
        <v>1</v>
      </c>
      <c r="Y1912" t="s">
        <v>3648</v>
      </c>
      <c r="AC1912">
        <v>5562</v>
      </c>
      <c r="AD1912" t="e" vm="1902">
        <v>#VALUE!</v>
      </c>
    </row>
    <row r="1913" spans="2:30" x14ac:dyDescent="0.25">
      <c r="B1913">
        <v>5563</v>
      </c>
      <c r="C1913" t="s">
        <v>3659</v>
      </c>
      <c r="D1913" t="s">
        <v>3675</v>
      </c>
      <c r="E1913" t="s">
        <v>3820</v>
      </c>
      <c r="F1913" t="s">
        <v>85</v>
      </c>
      <c r="G1913" t="s">
        <v>107</v>
      </c>
      <c r="H1913" t="s">
        <v>3808</v>
      </c>
      <c r="I1913" t="s">
        <v>3821</v>
      </c>
      <c r="J1913" t="s">
        <v>3810</v>
      </c>
      <c r="K1913" t="s">
        <v>239</v>
      </c>
      <c r="L1913" s="13">
        <v>40744</v>
      </c>
      <c r="M1913">
        <v>12</v>
      </c>
      <c r="N1913" t="s">
        <v>88</v>
      </c>
      <c r="O1913" t="s">
        <v>3902</v>
      </c>
      <c r="P1913" t="s">
        <v>76</v>
      </c>
      <c r="Q1913" t="s">
        <v>76</v>
      </c>
      <c r="R1913" t="s">
        <v>76</v>
      </c>
      <c r="S1913" t="s">
        <v>76</v>
      </c>
      <c r="T1913" t="s">
        <v>76</v>
      </c>
      <c r="U1913">
        <v>1</v>
      </c>
      <c r="V1913" s="13">
        <v>45175</v>
      </c>
      <c r="W1913">
        <v>1</v>
      </c>
      <c r="X1913">
        <v>1</v>
      </c>
      <c r="Y1913" t="s">
        <v>3676</v>
      </c>
      <c r="AC1913">
        <v>5563</v>
      </c>
      <c r="AD1913" t="e" vm="1903">
        <v>#VALUE!</v>
      </c>
    </row>
    <row r="1914" spans="2:30" x14ac:dyDescent="0.25">
      <c r="B1914">
        <v>5564</v>
      </c>
      <c r="C1914" t="s">
        <v>3659</v>
      </c>
      <c r="D1914" t="s">
        <v>3675</v>
      </c>
      <c r="E1914" t="s">
        <v>3820</v>
      </c>
      <c r="F1914" t="s">
        <v>85</v>
      </c>
      <c r="G1914" t="s">
        <v>107</v>
      </c>
      <c r="H1914" t="s">
        <v>3808</v>
      </c>
      <c r="I1914" t="s">
        <v>3821</v>
      </c>
      <c r="J1914" t="s">
        <v>3810</v>
      </c>
      <c r="K1914" t="s">
        <v>239</v>
      </c>
      <c r="L1914" s="13">
        <v>40793</v>
      </c>
      <c r="M1914">
        <v>12</v>
      </c>
      <c r="N1914" t="s">
        <v>88</v>
      </c>
      <c r="O1914" t="s">
        <v>3902</v>
      </c>
      <c r="P1914" t="s">
        <v>76</v>
      </c>
      <c r="Q1914" t="s">
        <v>76</v>
      </c>
      <c r="R1914" t="s">
        <v>76</v>
      </c>
      <c r="S1914" t="s">
        <v>76</v>
      </c>
      <c r="T1914" t="s">
        <v>76</v>
      </c>
      <c r="U1914">
        <v>1</v>
      </c>
      <c r="V1914" s="13">
        <v>45175</v>
      </c>
      <c r="W1914">
        <v>1</v>
      </c>
      <c r="X1914">
        <v>1</v>
      </c>
      <c r="Y1914" t="s">
        <v>3676</v>
      </c>
      <c r="AC1914">
        <v>5564</v>
      </c>
      <c r="AD1914" t="e" vm="1904">
        <v>#VALUE!</v>
      </c>
    </row>
    <row r="1915" spans="2:30" x14ac:dyDescent="0.25">
      <c r="B1915">
        <v>5565</v>
      </c>
      <c r="C1915" t="s">
        <v>3659</v>
      </c>
      <c r="D1915" t="s">
        <v>3675</v>
      </c>
      <c r="E1915" t="s">
        <v>3820</v>
      </c>
      <c r="F1915" t="s">
        <v>85</v>
      </c>
      <c r="G1915" t="s">
        <v>107</v>
      </c>
      <c r="H1915" t="s">
        <v>3808</v>
      </c>
      <c r="I1915" t="s">
        <v>3821</v>
      </c>
      <c r="J1915" t="s">
        <v>3810</v>
      </c>
      <c r="K1915" t="s">
        <v>239</v>
      </c>
      <c r="L1915" s="13">
        <v>40801</v>
      </c>
      <c r="M1915">
        <v>12</v>
      </c>
      <c r="N1915" t="s">
        <v>88</v>
      </c>
      <c r="O1915" t="s">
        <v>3902</v>
      </c>
      <c r="P1915" t="s">
        <v>76</v>
      </c>
      <c r="Q1915" t="s">
        <v>76</v>
      </c>
      <c r="R1915" t="s">
        <v>76</v>
      </c>
      <c r="S1915" t="s">
        <v>76</v>
      </c>
      <c r="T1915" t="s">
        <v>76</v>
      </c>
      <c r="U1915">
        <v>1</v>
      </c>
      <c r="V1915" s="13">
        <v>45175</v>
      </c>
      <c r="W1915">
        <v>1</v>
      </c>
      <c r="X1915">
        <v>1</v>
      </c>
      <c r="Y1915" t="s">
        <v>3676</v>
      </c>
      <c r="AC1915">
        <v>5565</v>
      </c>
      <c r="AD1915" t="e" vm="1905">
        <v>#VALUE!</v>
      </c>
    </row>
    <row r="1916" spans="2:30" x14ac:dyDescent="0.25">
      <c r="B1916">
        <v>5566</v>
      </c>
      <c r="C1916" t="s">
        <v>3659</v>
      </c>
      <c r="D1916" t="s">
        <v>3675</v>
      </c>
      <c r="E1916" t="s">
        <v>3820</v>
      </c>
      <c r="F1916" t="s">
        <v>85</v>
      </c>
      <c r="G1916" t="s">
        <v>107</v>
      </c>
      <c r="H1916" t="s">
        <v>3808</v>
      </c>
      <c r="I1916" t="s">
        <v>3821</v>
      </c>
      <c r="J1916" t="s">
        <v>3810</v>
      </c>
      <c r="K1916" t="s">
        <v>239</v>
      </c>
      <c r="L1916" s="13">
        <v>40801</v>
      </c>
      <c r="M1916">
        <v>12</v>
      </c>
      <c r="N1916" t="s">
        <v>88</v>
      </c>
      <c r="O1916" t="s">
        <v>3902</v>
      </c>
      <c r="P1916" t="s">
        <v>76</v>
      </c>
      <c r="Q1916" t="s">
        <v>76</v>
      </c>
      <c r="R1916" t="s">
        <v>76</v>
      </c>
      <c r="S1916" t="s">
        <v>76</v>
      </c>
      <c r="T1916" t="s">
        <v>76</v>
      </c>
      <c r="U1916">
        <v>1</v>
      </c>
      <c r="V1916" s="13">
        <v>45175</v>
      </c>
      <c r="W1916">
        <v>1</v>
      </c>
      <c r="X1916">
        <v>1</v>
      </c>
      <c r="Y1916" t="s">
        <v>3676</v>
      </c>
      <c r="AC1916">
        <v>5566</v>
      </c>
      <c r="AD1916" t="e" vm="1906">
        <v>#VALUE!</v>
      </c>
    </row>
    <row r="1917" spans="2:30" x14ac:dyDescent="0.25">
      <c r="B1917">
        <v>5567</v>
      </c>
      <c r="C1917" t="s">
        <v>3659</v>
      </c>
      <c r="D1917" t="s">
        <v>3675</v>
      </c>
      <c r="E1917" t="s">
        <v>3820</v>
      </c>
      <c r="F1917" t="s">
        <v>85</v>
      </c>
      <c r="G1917" t="s">
        <v>107</v>
      </c>
      <c r="H1917" t="s">
        <v>3808</v>
      </c>
      <c r="I1917" t="s">
        <v>3821</v>
      </c>
      <c r="J1917" t="s">
        <v>3810</v>
      </c>
      <c r="K1917" t="s">
        <v>239</v>
      </c>
      <c r="L1917" s="13">
        <v>40813</v>
      </c>
      <c r="M1917">
        <v>12</v>
      </c>
      <c r="N1917" t="s">
        <v>88</v>
      </c>
      <c r="O1917" t="s">
        <v>3902</v>
      </c>
      <c r="P1917" t="s">
        <v>76</v>
      </c>
      <c r="Q1917" t="s">
        <v>76</v>
      </c>
      <c r="R1917" t="s">
        <v>76</v>
      </c>
      <c r="S1917" t="s">
        <v>76</v>
      </c>
      <c r="T1917" t="s">
        <v>76</v>
      </c>
      <c r="U1917">
        <v>1</v>
      </c>
      <c r="V1917" s="13">
        <v>45175</v>
      </c>
      <c r="W1917">
        <v>1</v>
      </c>
      <c r="X1917">
        <v>1</v>
      </c>
      <c r="Y1917" t="s">
        <v>3676</v>
      </c>
      <c r="AC1917">
        <v>5567</v>
      </c>
      <c r="AD1917" t="e" vm="1907">
        <v>#VALUE!</v>
      </c>
    </row>
    <row r="1918" spans="2:30" x14ac:dyDescent="0.25">
      <c r="B1918">
        <v>5568</v>
      </c>
      <c r="C1918" t="s">
        <v>3659</v>
      </c>
      <c r="D1918" t="s">
        <v>3675</v>
      </c>
      <c r="E1918" t="s">
        <v>3820</v>
      </c>
      <c r="F1918" t="s">
        <v>85</v>
      </c>
      <c r="G1918" t="s">
        <v>107</v>
      </c>
      <c r="H1918" t="s">
        <v>3808</v>
      </c>
      <c r="I1918" t="s">
        <v>3821</v>
      </c>
      <c r="J1918" t="s">
        <v>3810</v>
      </c>
      <c r="K1918" t="s">
        <v>239</v>
      </c>
      <c r="L1918" s="13">
        <v>40814</v>
      </c>
      <c r="M1918">
        <v>12</v>
      </c>
      <c r="N1918" t="s">
        <v>88</v>
      </c>
      <c r="O1918" t="s">
        <v>3902</v>
      </c>
      <c r="P1918" t="s">
        <v>76</v>
      </c>
      <c r="Q1918" t="s">
        <v>76</v>
      </c>
      <c r="R1918" t="s">
        <v>76</v>
      </c>
      <c r="S1918" t="s">
        <v>76</v>
      </c>
      <c r="T1918" t="s">
        <v>76</v>
      </c>
      <c r="U1918">
        <v>1</v>
      </c>
      <c r="V1918" s="13">
        <v>45175</v>
      </c>
      <c r="W1918">
        <v>1</v>
      </c>
      <c r="X1918">
        <v>1</v>
      </c>
      <c r="Y1918" t="s">
        <v>3676</v>
      </c>
      <c r="AC1918">
        <v>5568</v>
      </c>
      <c r="AD1918" t="e" vm="1908">
        <v>#VALUE!</v>
      </c>
    </row>
    <row r="1919" spans="2:30" x14ac:dyDescent="0.25">
      <c r="B1919">
        <v>5569</v>
      </c>
      <c r="C1919" t="s">
        <v>3659</v>
      </c>
      <c r="D1919" t="s">
        <v>3675</v>
      </c>
      <c r="E1919" t="s">
        <v>3820</v>
      </c>
      <c r="F1919" t="s">
        <v>85</v>
      </c>
      <c r="G1919" t="s">
        <v>107</v>
      </c>
      <c r="H1919" t="s">
        <v>3808</v>
      </c>
      <c r="I1919" t="s">
        <v>3821</v>
      </c>
      <c r="J1919" t="s">
        <v>3810</v>
      </c>
      <c r="K1919" t="s">
        <v>239</v>
      </c>
      <c r="L1919" s="13">
        <v>40814</v>
      </c>
      <c r="M1919">
        <v>12</v>
      </c>
      <c r="N1919" t="s">
        <v>88</v>
      </c>
      <c r="O1919" t="s">
        <v>3902</v>
      </c>
      <c r="P1919" t="s">
        <v>76</v>
      </c>
      <c r="Q1919" t="s">
        <v>76</v>
      </c>
      <c r="R1919" t="s">
        <v>76</v>
      </c>
      <c r="S1919" t="s">
        <v>76</v>
      </c>
      <c r="T1919" t="s">
        <v>76</v>
      </c>
      <c r="U1919">
        <v>1</v>
      </c>
      <c r="V1919" s="13">
        <v>45175</v>
      </c>
      <c r="W1919">
        <v>1</v>
      </c>
      <c r="X1919">
        <v>1</v>
      </c>
      <c r="Y1919" t="s">
        <v>3676</v>
      </c>
      <c r="AC1919">
        <v>5569</v>
      </c>
      <c r="AD1919" t="e" vm="1909">
        <v>#VALUE!</v>
      </c>
    </row>
    <row r="1920" spans="2:30" x14ac:dyDescent="0.25">
      <c r="B1920">
        <v>5570</v>
      </c>
      <c r="C1920" t="s">
        <v>3659</v>
      </c>
      <c r="D1920" t="s">
        <v>3675</v>
      </c>
      <c r="E1920" t="s">
        <v>3820</v>
      </c>
      <c r="F1920" t="s">
        <v>85</v>
      </c>
      <c r="G1920" t="s">
        <v>107</v>
      </c>
      <c r="H1920" t="s">
        <v>3808</v>
      </c>
      <c r="I1920" t="s">
        <v>3821</v>
      </c>
      <c r="J1920" t="s">
        <v>3810</v>
      </c>
      <c r="K1920" t="s">
        <v>239</v>
      </c>
      <c r="L1920" s="13">
        <v>40827</v>
      </c>
      <c r="M1920">
        <v>12</v>
      </c>
      <c r="N1920" t="s">
        <v>88</v>
      </c>
      <c r="O1920" t="s">
        <v>3902</v>
      </c>
      <c r="P1920" t="s">
        <v>76</v>
      </c>
      <c r="Q1920" t="s">
        <v>76</v>
      </c>
      <c r="R1920" t="s">
        <v>76</v>
      </c>
      <c r="S1920" t="s">
        <v>76</v>
      </c>
      <c r="T1920" t="s">
        <v>76</v>
      </c>
      <c r="U1920">
        <v>1</v>
      </c>
      <c r="V1920" s="13">
        <v>45175</v>
      </c>
      <c r="W1920">
        <v>1</v>
      </c>
      <c r="X1920">
        <v>1</v>
      </c>
      <c r="Y1920" t="s">
        <v>3676</v>
      </c>
      <c r="AC1920">
        <v>5570</v>
      </c>
      <c r="AD1920" t="e" vm="1910">
        <v>#VALUE!</v>
      </c>
    </row>
    <row r="1921" spans="2:30" x14ac:dyDescent="0.25">
      <c r="B1921">
        <v>5571</v>
      </c>
      <c r="C1921" t="s">
        <v>3659</v>
      </c>
      <c r="D1921" t="s">
        <v>3675</v>
      </c>
      <c r="E1921" t="s">
        <v>3820</v>
      </c>
      <c r="F1921" t="s">
        <v>85</v>
      </c>
      <c r="G1921" t="s">
        <v>107</v>
      </c>
      <c r="H1921" t="s">
        <v>3808</v>
      </c>
      <c r="I1921" t="s">
        <v>3821</v>
      </c>
      <c r="J1921" t="s">
        <v>3810</v>
      </c>
      <c r="K1921" t="s">
        <v>239</v>
      </c>
      <c r="L1921" s="13">
        <v>40827</v>
      </c>
      <c r="M1921">
        <v>12</v>
      </c>
      <c r="N1921" t="s">
        <v>88</v>
      </c>
      <c r="O1921" t="s">
        <v>3902</v>
      </c>
      <c r="P1921" t="s">
        <v>76</v>
      </c>
      <c r="Q1921" t="s">
        <v>76</v>
      </c>
      <c r="R1921" t="s">
        <v>76</v>
      </c>
      <c r="S1921" t="s">
        <v>76</v>
      </c>
      <c r="T1921" t="s">
        <v>76</v>
      </c>
      <c r="U1921">
        <v>1</v>
      </c>
      <c r="V1921" s="13">
        <v>45175</v>
      </c>
      <c r="W1921">
        <v>1</v>
      </c>
      <c r="X1921">
        <v>1</v>
      </c>
      <c r="Y1921" t="s">
        <v>3676</v>
      </c>
      <c r="AC1921">
        <v>5571</v>
      </c>
      <c r="AD1921" t="e" vm="1911">
        <v>#VALUE!</v>
      </c>
    </row>
    <row r="1922" spans="2:30" x14ac:dyDescent="0.25">
      <c r="B1922">
        <v>5572</v>
      </c>
      <c r="C1922" t="s">
        <v>3659</v>
      </c>
      <c r="D1922" t="s">
        <v>3675</v>
      </c>
      <c r="E1922" t="s">
        <v>3820</v>
      </c>
      <c r="F1922" t="s">
        <v>85</v>
      </c>
      <c r="G1922" t="s">
        <v>107</v>
      </c>
      <c r="H1922" t="s">
        <v>3808</v>
      </c>
      <c r="I1922" t="s">
        <v>3821</v>
      </c>
      <c r="J1922" t="s">
        <v>3810</v>
      </c>
      <c r="K1922" t="s">
        <v>239</v>
      </c>
      <c r="L1922" s="13">
        <v>40836</v>
      </c>
      <c r="M1922">
        <v>12</v>
      </c>
      <c r="N1922" t="s">
        <v>88</v>
      </c>
      <c r="O1922" t="s">
        <v>3902</v>
      </c>
      <c r="P1922" t="s">
        <v>76</v>
      </c>
      <c r="Q1922" t="s">
        <v>76</v>
      </c>
      <c r="R1922" t="s">
        <v>76</v>
      </c>
      <c r="S1922" t="s">
        <v>76</v>
      </c>
      <c r="T1922" t="s">
        <v>76</v>
      </c>
      <c r="U1922">
        <v>1</v>
      </c>
      <c r="V1922" s="13">
        <v>45175</v>
      </c>
      <c r="W1922">
        <v>1</v>
      </c>
      <c r="X1922">
        <v>1</v>
      </c>
      <c r="Y1922" t="s">
        <v>3676</v>
      </c>
      <c r="AC1922">
        <v>5572</v>
      </c>
      <c r="AD1922" t="e" vm="1912">
        <v>#VALUE!</v>
      </c>
    </row>
    <row r="1923" spans="2:30" x14ac:dyDescent="0.25">
      <c r="B1923">
        <v>5573</v>
      </c>
      <c r="C1923" t="s">
        <v>3659</v>
      </c>
      <c r="D1923" t="s">
        <v>3675</v>
      </c>
      <c r="E1923" t="s">
        <v>3820</v>
      </c>
      <c r="F1923" t="s">
        <v>85</v>
      </c>
      <c r="G1923" t="s">
        <v>107</v>
      </c>
      <c r="H1923" t="s">
        <v>3808</v>
      </c>
      <c r="I1923" t="s">
        <v>3821</v>
      </c>
      <c r="J1923" t="s">
        <v>3810</v>
      </c>
      <c r="K1923" t="s">
        <v>239</v>
      </c>
      <c r="L1923" s="13">
        <v>40836</v>
      </c>
      <c r="M1923">
        <v>12</v>
      </c>
      <c r="N1923" t="s">
        <v>88</v>
      </c>
      <c r="O1923" t="s">
        <v>3902</v>
      </c>
      <c r="P1923" t="s">
        <v>76</v>
      </c>
      <c r="Q1923" t="s">
        <v>76</v>
      </c>
      <c r="R1923" t="s">
        <v>76</v>
      </c>
      <c r="S1923" t="s">
        <v>76</v>
      </c>
      <c r="T1923" t="s">
        <v>76</v>
      </c>
      <c r="U1923">
        <v>1</v>
      </c>
      <c r="V1923" s="13">
        <v>45175</v>
      </c>
      <c r="W1923">
        <v>1</v>
      </c>
      <c r="X1923">
        <v>1</v>
      </c>
      <c r="Y1923" t="s">
        <v>3676</v>
      </c>
      <c r="AC1923">
        <v>5573</v>
      </c>
      <c r="AD1923" t="e" vm="1913">
        <v>#VALUE!</v>
      </c>
    </row>
    <row r="1924" spans="2:30" x14ac:dyDescent="0.25">
      <c r="B1924">
        <v>5574</v>
      </c>
      <c r="C1924" t="s">
        <v>3659</v>
      </c>
      <c r="D1924" t="s">
        <v>3675</v>
      </c>
      <c r="E1924" t="s">
        <v>3820</v>
      </c>
      <c r="F1924" t="s">
        <v>85</v>
      </c>
      <c r="G1924" t="s">
        <v>107</v>
      </c>
      <c r="H1924" t="s">
        <v>3808</v>
      </c>
      <c r="I1924" t="s">
        <v>3821</v>
      </c>
      <c r="J1924" t="s">
        <v>3810</v>
      </c>
      <c r="K1924" t="s">
        <v>239</v>
      </c>
      <c r="L1924" s="13">
        <v>40841</v>
      </c>
      <c r="M1924">
        <v>12</v>
      </c>
      <c r="N1924" t="s">
        <v>88</v>
      </c>
      <c r="O1924" t="s">
        <v>3902</v>
      </c>
      <c r="P1924" t="s">
        <v>76</v>
      </c>
      <c r="Q1924" t="s">
        <v>76</v>
      </c>
      <c r="R1924" t="s">
        <v>76</v>
      </c>
      <c r="S1924" t="s">
        <v>76</v>
      </c>
      <c r="T1924" t="s">
        <v>76</v>
      </c>
      <c r="U1924">
        <v>1</v>
      </c>
      <c r="V1924" s="13">
        <v>45175</v>
      </c>
      <c r="W1924">
        <v>1</v>
      </c>
      <c r="X1924">
        <v>1</v>
      </c>
      <c r="Y1924" t="s">
        <v>3676</v>
      </c>
      <c r="AC1924">
        <v>5574</v>
      </c>
      <c r="AD1924" t="e" vm="1914">
        <v>#VALUE!</v>
      </c>
    </row>
    <row r="1925" spans="2:30" x14ac:dyDescent="0.25">
      <c r="B1925">
        <v>5575</v>
      </c>
      <c r="C1925" t="s">
        <v>3659</v>
      </c>
      <c r="D1925" t="s">
        <v>3675</v>
      </c>
      <c r="E1925" t="s">
        <v>3820</v>
      </c>
      <c r="F1925" t="s">
        <v>85</v>
      </c>
      <c r="G1925" t="s">
        <v>107</v>
      </c>
      <c r="H1925" t="s">
        <v>3808</v>
      </c>
      <c r="I1925" t="s">
        <v>3821</v>
      </c>
      <c r="J1925" t="s">
        <v>3810</v>
      </c>
      <c r="K1925" t="s">
        <v>239</v>
      </c>
      <c r="L1925" s="13">
        <v>40843</v>
      </c>
      <c r="M1925">
        <v>12</v>
      </c>
      <c r="N1925" t="s">
        <v>88</v>
      </c>
      <c r="O1925" t="s">
        <v>3902</v>
      </c>
      <c r="P1925" t="s">
        <v>76</v>
      </c>
      <c r="Q1925" t="s">
        <v>76</v>
      </c>
      <c r="R1925" t="s">
        <v>76</v>
      </c>
      <c r="S1925" t="s">
        <v>76</v>
      </c>
      <c r="T1925" t="s">
        <v>76</v>
      </c>
      <c r="U1925">
        <v>1</v>
      </c>
      <c r="V1925" s="13">
        <v>45175</v>
      </c>
      <c r="W1925">
        <v>1</v>
      </c>
      <c r="X1925">
        <v>1</v>
      </c>
      <c r="Y1925" t="s">
        <v>3676</v>
      </c>
      <c r="AC1925">
        <v>5575</v>
      </c>
      <c r="AD1925" t="e" vm="1915">
        <v>#VALUE!</v>
      </c>
    </row>
    <row r="1926" spans="2:30" x14ac:dyDescent="0.25">
      <c r="B1926">
        <v>5576</v>
      </c>
      <c r="C1926" t="s">
        <v>3659</v>
      </c>
      <c r="D1926" t="s">
        <v>3675</v>
      </c>
      <c r="E1926" t="s">
        <v>3820</v>
      </c>
      <c r="F1926" t="s">
        <v>85</v>
      </c>
      <c r="G1926" t="s">
        <v>107</v>
      </c>
      <c r="H1926" t="s">
        <v>3808</v>
      </c>
      <c r="I1926" t="s">
        <v>3821</v>
      </c>
      <c r="J1926" t="s">
        <v>3810</v>
      </c>
      <c r="K1926" t="s">
        <v>239</v>
      </c>
      <c r="L1926" s="13">
        <v>40861</v>
      </c>
      <c r="M1926">
        <v>12</v>
      </c>
      <c r="N1926" t="s">
        <v>88</v>
      </c>
      <c r="O1926" t="s">
        <v>3902</v>
      </c>
      <c r="P1926" t="s">
        <v>76</v>
      </c>
      <c r="Q1926" t="s">
        <v>76</v>
      </c>
      <c r="R1926" t="s">
        <v>76</v>
      </c>
      <c r="S1926" t="s">
        <v>76</v>
      </c>
      <c r="T1926" t="s">
        <v>76</v>
      </c>
      <c r="U1926">
        <v>1</v>
      </c>
      <c r="V1926" s="13">
        <v>45175</v>
      </c>
      <c r="W1926">
        <v>1</v>
      </c>
      <c r="X1926">
        <v>1</v>
      </c>
      <c r="Y1926" t="s">
        <v>3676</v>
      </c>
      <c r="AC1926">
        <v>5576</v>
      </c>
      <c r="AD1926" t="e" vm="1916">
        <v>#VALUE!</v>
      </c>
    </row>
    <row r="1927" spans="2:30" x14ac:dyDescent="0.25">
      <c r="B1927">
        <v>5577</v>
      </c>
      <c r="C1927" t="s">
        <v>3659</v>
      </c>
      <c r="D1927" t="s">
        <v>3675</v>
      </c>
      <c r="E1927" t="s">
        <v>3820</v>
      </c>
      <c r="F1927" t="s">
        <v>85</v>
      </c>
      <c r="G1927" t="s">
        <v>107</v>
      </c>
      <c r="H1927" t="s">
        <v>3808</v>
      </c>
      <c r="I1927" t="s">
        <v>3821</v>
      </c>
      <c r="J1927" t="s">
        <v>3810</v>
      </c>
      <c r="K1927" t="s">
        <v>239</v>
      </c>
      <c r="L1927" s="13">
        <v>40861</v>
      </c>
      <c r="M1927">
        <v>12</v>
      </c>
      <c r="N1927" t="s">
        <v>88</v>
      </c>
      <c r="O1927" t="s">
        <v>3902</v>
      </c>
      <c r="P1927" t="s">
        <v>76</v>
      </c>
      <c r="Q1927" t="s">
        <v>76</v>
      </c>
      <c r="R1927" t="s">
        <v>76</v>
      </c>
      <c r="S1927" t="s">
        <v>76</v>
      </c>
      <c r="T1927" t="s">
        <v>76</v>
      </c>
      <c r="U1927">
        <v>1</v>
      </c>
      <c r="V1927" s="13">
        <v>45175</v>
      </c>
      <c r="W1927">
        <v>1</v>
      </c>
      <c r="X1927">
        <v>1</v>
      </c>
      <c r="Y1927" t="s">
        <v>3676</v>
      </c>
      <c r="AC1927">
        <v>5577</v>
      </c>
      <c r="AD1927" t="e" vm="1917">
        <v>#VALUE!</v>
      </c>
    </row>
    <row r="1928" spans="2:30" x14ac:dyDescent="0.25">
      <c r="B1928">
        <v>5578</v>
      </c>
      <c r="C1928" t="s">
        <v>3659</v>
      </c>
      <c r="D1928" t="s">
        <v>3675</v>
      </c>
      <c r="E1928" t="s">
        <v>3820</v>
      </c>
      <c r="F1928" t="s">
        <v>85</v>
      </c>
      <c r="G1928" t="s">
        <v>107</v>
      </c>
      <c r="H1928" t="s">
        <v>3808</v>
      </c>
      <c r="I1928" t="s">
        <v>3821</v>
      </c>
      <c r="J1928" t="s">
        <v>3810</v>
      </c>
      <c r="K1928" t="s">
        <v>239</v>
      </c>
      <c r="L1928" s="13">
        <v>40861</v>
      </c>
      <c r="M1928">
        <v>12</v>
      </c>
      <c r="N1928" t="s">
        <v>88</v>
      </c>
      <c r="O1928" t="s">
        <v>3902</v>
      </c>
      <c r="P1928" t="s">
        <v>76</v>
      </c>
      <c r="Q1928" t="s">
        <v>76</v>
      </c>
      <c r="R1928" t="s">
        <v>76</v>
      </c>
      <c r="S1928" t="s">
        <v>76</v>
      </c>
      <c r="T1928" t="s">
        <v>76</v>
      </c>
      <c r="U1928">
        <v>1</v>
      </c>
      <c r="V1928" s="13">
        <v>45175</v>
      </c>
      <c r="W1928">
        <v>1</v>
      </c>
      <c r="X1928">
        <v>1</v>
      </c>
      <c r="Y1928" t="s">
        <v>3676</v>
      </c>
      <c r="AC1928">
        <v>5578</v>
      </c>
      <c r="AD1928" t="e" vm="1918">
        <v>#VALUE!</v>
      </c>
    </row>
    <row r="1929" spans="2:30" x14ac:dyDescent="0.25">
      <c r="B1929">
        <v>5579</v>
      </c>
      <c r="C1929" t="s">
        <v>3684</v>
      </c>
      <c r="D1929" t="s">
        <v>3695</v>
      </c>
      <c r="E1929" t="s">
        <v>3838</v>
      </c>
      <c r="F1929" t="s">
        <v>97</v>
      </c>
      <c r="G1929" t="s">
        <v>102</v>
      </c>
      <c r="H1929" t="s">
        <v>3808</v>
      </c>
      <c r="I1929" t="s">
        <v>3821</v>
      </c>
      <c r="J1929" t="s">
        <v>3810</v>
      </c>
      <c r="K1929" t="s">
        <v>239</v>
      </c>
      <c r="L1929" s="13">
        <v>40870</v>
      </c>
      <c r="M1929">
        <v>12</v>
      </c>
      <c r="N1929" t="s">
        <v>101</v>
      </c>
      <c r="O1929" t="s">
        <v>3902</v>
      </c>
      <c r="P1929" t="s">
        <v>76</v>
      </c>
      <c r="Q1929" t="s">
        <v>76</v>
      </c>
      <c r="R1929" t="s">
        <v>76</v>
      </c>
      <c r="S1929" t="s">
        <v>76</v>
      </c>
      <c r="T1929" t="s">
        <v>76</v>
      </c>
      <c r="U1929">
        <v>1</v>
      </c>
      <c r="V1929" s="13">
        <v>45175</v>
      </c>
      <c r="W1929">
        <v>1</v>
      </c>
      <c r="X1929">
        <v>1</v>
      </c>
      <c r="Y1929" t="s">
        <v>3696</v>
      </c>
      <c r="AC1929">
        <v>5579</v>
      </c>
      <c r="AD1929" t="e" vm="1919">
        <v>#VALUE!</v>
      </c>
    </row>
    <row r="1930" spans="2:30" x14ac:dyDescent="0.25">
      <c r="B1930">
        <v>5580</v>
      </c>
      <c r="C1930" t="s">
        <v>3684</v>
      </c>
      <c r="D1930" t="s">
        <v>3695</v>
      </c>
      <c r="E1930" t="s">
        <v>3838</v>
      </c>
      <c r="F1930" t="s">
        <v>97</v>
      </c>
      <c r="G1930" t="s">
        <v>102</v>
      </c>
      <c r="H1930" t="s">
        <v>3808</v>
      </c>
      <c r="I1930" t="s">
        <v>3821</v>
      </c>
      <c r="J1930" t="s">
        <v>3810</v>
      </c>
      <c r="K1930" t="s">
        <v>239</v>
      </c>
      <c r="L1930" s="13">
        <v>40875</v>
      </c>
      <c r="M1930">
        <v>12</v>
      </c>
      <c r="N1930" t="s">
        <v>101</v>
      </c>
      <c r="O1930" t="s">
        <v>3902</v>
      </c>
      <c r="P1930" t="s">
        <v>76</v>
      </c>
      <c r="Q1930" t="s">
        <v>76</v>
      </c>
      <c r="R1930" t="s">
        <v>76</v>
      </c>
      <c r="S1930" t="s">
        <v>76</v>
      </c>
      <c r="T1930" t="s">
        <v>76</v>
      </c>
      <c r="U1930">
        <v>1</v>
      </c>
      <c r="V1930" s="13">
        <v>45175</v>
      </c>
      <c r="W1930">
        <v>1</v>
      </c>
      <c r="X1930">
        <v>1</v>
      </c>
      <c r="Y1930" t="s">
        <v>3696</v>
      </c>
      <c r="AC1930">
        <v>5580</v>
      </c>
      <c r="AD1930" t="e" vm="1920">
        <v>#VALUE!</v>
      </c>
    </row>
    <row r="1931" spans="2:30" x14ac:dyDescent="0.25">
      <c r="B1931">
        <v>5581</v>
      </c>
      <c r="C1931" t="s">
        <v>3684</v>
      </c>
      <c r="D1931" t="s">
        <v>3695</v>
      </c>
      <c r="E1931" t="s">
        <v>3838</v>
      </c>
      <c r="F1931" t="s">
        <v>97</v>
      </c>
      <c r="G1931" t="s">
        <v>102</v>
      </c>
      <c r="H1931" t="s">
        <v>3808</v>
      </c>
      <c r="I1931" t="s">
        <v>3821</v>
      </c>
      <c r="J1931" t="s">
        <v>3810</v>
      </c>
      <c r="K1931" t="s">
        <v>239</v>
      </c>
      <c r="L1931" s="13">
        <v>40882</v>
      </c>
      <c r="M1931">
        <v>12</v>
      </c>
      <c r="N1931" t="s">
        <v>101</v>
      </c>
      <c r="O1931" t="s">
        <v>3902</v>
      </c>
      <c r="P1931" t="s">
        <v>76</v>
      </c>
      <c r="Q1931" t="s">
        <v>76</v>
      </c>
      <c r="R1931" t="s">
        <v>76</v>
      </c>
      <c r="S1931" t="s">
        <v>76</v>
      </c>
      <c r="T1931" t="s">
        <v>76</v>
      </c>
      <c r="U1931">
        <v>1</v>
      </c>
      <c r="V1931" s="13">
        <v>45175</v>
      </c>
      <c r="W1931">
        <v>1</v>
      </c>
      <c r="X1931">
        <v>1</v>
      </c>
      <c r="Y1931" t="s">
        <v>3696</v>
      </c>
      <c r="AC1931">
        <v>5581</v>
      </c>
      <c r="AD1931" t="e" vm="1921">
        <v>#VALUE!</v>
      </c>
    </row>
    <row r="1932" spans="2:30" x14ac:dyDescent="0.25">
      <c r="B1932">
        <v>5582</v>
      </c>
      <c r="C1932" t="s">
        <v>3684</v>
      </c>
      <c r="D1932" t="s">
        <v>3695</v>
      </c>
      <c r="E1932" t="s">
        <v>3838</v>
      </c>
      <c r="F1932" t="s">
        <v>97</v>
      </c>
      <c r="G1932" t="s">
        <v>102</v>
      </c>
      <c r="H1932" t="s">
        <v>3808</v>
      </c>
      <c r="I1932" t="s">
        <v>3821</v>
      </c>
      <c r="J1932" t="s">
        <v>3810</v>
      </c>
      <c r="K1932" t="s">
        <v>239</v>
      </c>
      <c r="L1932" s="13">
        <v>40878</v>
      </c>
      <c r="M1932">
        <v>12</v>
      </c>
      <c r="N1932" t="s">
        <v>101</v>
      </c>
      <c r="O1932" t="s">
        <v>3902</v>
      </c>
      <c r="P1932" t="s">
        <v>76</v>
      </c>
      <c r="Q1932" t="s">
        <v>76</v>
      </c>
      <c r="R1932" t="s">
        <v>76</v>
      </c>
      <c r="S1932" t="s">
        <v>76</v>
      </c>
      <c r="T1932" t="s">
        <v>76</v>
      </c>
      <c r="U1932">
        <v>1</v>
      </c>
      <c r="V1932" s="13">
        <v>45175</v>
      </c>
      <c r="W1932">
        <v>1</v>
      </c>
      <c r="X1932">
        <v>1</v>
      </c>
      <c r="Y1932" t="s">
        <v>3696</v>
      </c>
      <c r="AC1932">
        <v>5582</v>
      </c>
      <c r="AD1932" t="e" vm="1922">
        <v>#VALUE!</v>
      </c>
    </row>
    <row r="1933" spans="2:30" x14ac:dyDescent="0.25">
      <c r="B1933">
        <v>5583</v>
      </c>
      <c r="C1933" t="s">
        <v>3684</v>
      </c>
      <c r="D1933" t="s">
        <v>3695</v>
      </c>
      <c r="E1933" t="s">
        <v>3838</v>
      </c>
      <c r="F1933" t="s">
        <v>97</v>
      </c>
      <c r="G1933" t="s">
        <v>102</v>
      </c>
      <c r="H1933" t="s">
        <v>3808</v>
      </c>
      <c r="I1933" t="s">
        <v>3821</v>
      </c>
      <c r="J1933" t="s">
        <v>3810</v>
      </c>
      <c r="K1933" t="s">
        <v>239</v>
      </c>
      <c r="L1933" s="13">
        <v>40884</v>
      </c>
      <c r="M1933">
        <v>12</v>
      </c>
      <c r="N1933" t="s">
        <v>101</v>
      </c>
      <c r="O1933" t="s">
        <v>3902</v>
      </c>
      <c r="P1933" t="s">
        <v>76</v>
      </c>
      <c r="Q1933" t="s">
        <v>76</v>
      </c>
      <c r="R1933" t="s">
        <v>76</v>
      </c>
      <c r="S1933" t="s">
        <v>76</v>
      </c>
      <c r="T1933" t="s">
        <v>76</v>
      </c>
      <c r="U1933">
        <v>1</v>
      </c>
      <c r="V1933" s="13">
        <v>45175</v>
      </c>
      <c r="W1933">
        <v>1</v>
      </c>
      <c r="X1933">
        <v>1</v>
      </c>
      <c r="Y1933" t="s">
        <v>3696</v>
      </c>
      <c r="AC1933">
        <v>5583</v>
      </c>
      <c r="AD1933" t="e" vm="1923">
        <v>#VALUE!</v>
      </c>
    </row>
    <row r="1934" spans="2:30" x14ac:dyDescent="0.25">
      <c r="B1934">
        <v>5584</v>
      </c>
      <c r="C1934" t="s">
        <v>3684</v>
      </c>
      <c r="D1934" t="s">
        <v>3695</v>
      </c>
      <c r="E1934" t="s">
        <v>3838</v>
      </c>
      <c r="F1934" t="s">
        <v>97</v>
      </c>
      <c r="G1934" t="s">
        <v>102</v>
      </c>
      <c r="H1934" t="s">
        <v>3808</v>
      </c>
      <c r="I1934" t="s">
        <v>3821</v>
      </c>
      <c r="J1934" t="s">
        <v>3810</v>
      </c>
      <c r="K1934" t="s">
        <v>239</v>
      </c>
      <c r="L1934" s="13">
        <v>40900</v>
      </c>
      <c r="M1934">
        <v>12</v>
      </c>
      <c r="N1934" t="s">
        <v>101</v>
      </c>
      <c r="O1934" t="s">
        <v>3902</v>
      </c>
      <c r="P1934" t="s">
        <v>76</v>
      </c>
      <c r="Q1934" t="s">
        <v>76</v>
      </c>
      <c r="R1934" t="s">
        <v>76</v>
      </c>
      <c r="S1934" t="s">
        <v>76</v>
      </c>
      <c r="T1934" t="s">
        <v>76</v>
      </c>
      <c r="U1934">
        <v>1</v>
      </c>
      <c r="V1934" s="13">
        <v>45175</v>
      </c>
      <c r="W1934">
        <v>1</v>
      </c>
      <c r="X1934">
        <v>1</v>
      </c>
      <c r="Y1934" t="s">
        <v>3696</v>
      </c>
      <c r="AC1934">
        <v>5584</v>
      </c>
      <c r="AD1934" t="e" vm="1924">
        <v>#VALUE!</v>
      </c>
    </row>
    <row r="1935" spans="2:30" x14ac:dyDescent="0.25">
      <c r="B1935">
        <v>5585</v>
      </c>
      <c r="C1935" t="s">
        <v>3684</v>
      </c>
      <c r="D1935" t="s">
        <v>3695</v>
      </c>
      <c r="E1935" t="s">
        <v>3838</v>
      </c>
      <c r="F1935" t="s">
        <v>97</v>
      </c>
      <c r="G1935" t="s">
        <v>102</v>
      </c>
      <c r="H1935" t="s">
        <v>3808</v>
      </c>
      <c r="I1935" t="s">
        <v>3821</v>
      </c>
      <c r="J1935" t="s">
        <v>3810</v>
      </c>
      <c r="K1935" t="s">
        <v>239</v>
      </c>
      <c r="L1935" s="13">
        <v>40899</v>
      </c>
      <c r="M1935">
        <v>12</v>
      </c>
      <c r="N1935" t="s">
        <v>101</v>
      </c>
      <c r="O1935" t="s">
        <v>3902</v>
      </c>
      <c r="P1935" t="s">
        <v>76</v>
      </c>
      <c r="Q1935" t="s">
        <v>76</v>
      </c>
      <c r="R1935" t="s">
        <v>76</v>
      </c>
      <c r="S1935" t="s">
        <v>76</v>
      </c>
      <c r="T1935" t="s">
        <v>76</v>
      </c>
      <c r="U1935">
        <v>1</v>
      </c>
      <c r="V1935" s="13">
        <v>45175</v>
      </c>
      <c r="W1935">
        <v>1</v>
      </c>
      <c r="X1935">
        <v>1</v>
      </c>
      <c r="Y1935" t="s">
        <v>3696</v>
      </c>
      <c r="AC1935">
        <v>5585</v>
      </c>
      <c r="AD1935" t="e" vm="1925">
        <v>#VALUE!</v>
      </c>
    </row>
    <row r="1936" spans="2:30" x14ac:dyDescent="0.25">
      <c r="B1936">
        <v>5586</v>
      </c>
      <c r="C1936" t="s">
        <v>3684</v>
      </c>
      <c r="D1936" t="s">
        <v>3695</v>
      </c>
      <c r="E1936" t="s">
        <v>3838</v>
      </c>
      <c r="F1936" t="s">
        <v>97</v>
      </c>
      <c r="G1936" t="s">
        <v>102</v>
      </c>
      <c r="H1936" t="s">
        <v>3808</v>
      </c>
      <c r="I1936" t="s">
        <v>3821</v>
      </c>
      <c r="J1936" t="s">
        <v>3810</v>
      </c>
      <c r="K1936" t="s">
        <v>239</v>
      </c>
      <c r="L1936" s="13">
        <v>40911</v>
      </c>
      <c r="M1936">
        <v>12</v>
      </c>
      <c r="N1936" t="s">
        <v>101</v>
      </c>
      <c r="O1936" t="s">
        <v>3902</v>
      </c>
      <c r="P1936" t="s">
        <v>76</v>
      </c>
      <c r="Q1936" t="s">
        <v>76</v>
      </c>
      <c r="R1936" t="s">
        <v>76</v>
      </c>
      <c r="S1936" t="s">
        <v>76</v>
      </c>
      <c r="T1936" t="s">
        <v>76</v>
      </c>
      <c r="U1936">
        <v>1</v>
      </c>
      <c r="V1936" s="13">
        <v>45175</v>
      </c>
      <c r="W1936">
        <v>1</v>
      </c>
      <c r="X1936">
        <v>1</v>
      </c>
      <c r="Y1936" t="s">
        <v>3696</v>
      </c>
      <c r="AC1936">
        <v>5586</v>
      </c>
      <c r="AD1936" t="e" vm="1926">
        <v>#VALUE!</v>
      </c>
    </row>
    <row r="1937" spans="2:30" x14ac:dyDescent="0.25">
      <c r="B1937">
        <v>5587</v>
      </c>
      <c r="C1937" t="s">
        <v>3684</v>
      </c>
      <c r="D1937" t="s">
        <v>3695</v>
      </c>
      <c r="E1937" t="s">
        <v>3838</v>
      </c>
      <c r="F1937" t="s">
        <v>97</v>
      </c>
      <c r="G1937" t="s">
        <v>102</v>
      </c>
      <c r="H1937" t="s">
        <v>3808</v>
      </c>
      <c r="I1937" t="s">
        <v>3821</v>
      </c>
      <c r="J1937" t="s">
        <v>3810</v>
      </c>
      <c r="K1937" t="s">
        <v>239</v>
      </c>
      <c r="L1937" s="13">
        <v>40911</v>
      </c>
      <c r="M1937">
        <v>12</v>
      </c>
      <c r="N1937" t="s">
        <v>101</v>
      </c>
      <c r="O1937" t="s">
        <v>3902</v>
      </c>
      <c r="P1937" t="s">
        <v>76</v>
      </c>
      <c r="Q1937" t="s">
        <v>76</v>
      </c>
      <c r="R1937" t="s">
        <v>76</v>
      </c>
      <c r="S1937" t="s">
        <v>76</v>
      </c>
      <c r="T1937" t="s">
        <v>76</v>
      </c>
      <c r="U1937">
        <v>1</v>
      </c>
      <c r="V1937" s="13">
        <v>45175</v>
      </c>
      <c r="W1937">
        <v>1</v>
      </c>
      <c r="X1937">
        <v>1</v>
      </c>
      <c r="Y1937" t="s">
        <v>3696</v>
      </c>
      <c r="AC1937">
        <v>5587</v>
      </c>
      <c r="AD1937" t="e" vm="1927">
        <v>#VALUE!</v>
      </c>
    </row>
    <row r="1938" spans="2:30" x14ac:dyDescent="0.25">
      <c r="B1938">
        <v>5588</v>
      </c>
      <c r="C1938" t="s">
        <v>3684</v>
      </c>
      <c r="D1938" t="s">
        <v>3695</v>
      </c>
      <c r="E1938" t="s">
        <v>3838</v>
      </c>
      <c r="F1938" t="s">
        <v>97</v>
      </c>
      <c r="G1938" t="s">
        <v>102</v>
      </c>
      <c r="H1938" t="s">
        <v>3808</v>
      </c>
      <c r="I1938" t="s">
        <v>3821</v>
      </c>
      <c r="J1938" t="s">
        <v>3810</v>
      </c>
      <c r="K1938" t="s">
        <v>239</v>
      </c>
      <c r="L1938" s="13">
        <v>40911</v>
      </c>
      <c r="M1938">
        <v>12</v>
      </c>
      <c r="N1938" t="s">
        <v>101</v>
      </c>
      <c r="O1938" t="s">
        <v>3902</v>
      </c>
      <c r="P1938" t="s">
        <v>76</v>
      </c>
      <c r="Q1938" t="s">
        <v>76</v>
      </c>
      <c r="R1938" t="s">
        <v>76</v>
      </c>
      <c r="S1938" t="s">
        <v>76</v>
      </c>
      <c r="T1938" t="s">
        <v>76</v>
      </c>
      <c r="U1938">
        <v>1</v>
      </c>
      <c r="V1938" s="13">
        <v>45175</v>
      </c>
      <c r="W1938">
        <v>1</v>
      </c>
      <c r="X1938">
        <v>1</v>
      </c>
      <c r="Y1938" t="s">
        <v>3696</v>
      </c>
      <c r="AC1938">
        <v>5588</v>
      </c>
      <c r="AD1938" t="e" vm="1928">
        <v>#VALUE!</v>
      </c>
    </row>
    <row r="1939" spans="2:30" x14ac:dyDescent="0.25">
      <c r="B1939">
        <v>5589</v>
      </c>
      <c r="C1939" t="s">
        <v>3684</v>
      </c>
      <c r="D1939" t="s">
        <v>3695</v>
      </c>
      <c r="E1939" t="s">
        <v>3838</v>
      </c>
      <c r="F1939" t="s">
        <v>97</v>
      </c>
      <c r="G1939" t="s">
        <v>102</v>
      </c>
      <c r="H1939" t="s">
        <v>3808</v>
      </c>
      <c r="I1939" t="s">
        <v>3821</v>
      </c>
      <c r="J1939" t="s">
        <v>3810</v>
      </c>
      <c r="K1939" t="s">
        <v>239</v>
      </c>
      <c r="L1939" s="13">
        <v>40921</v>
      </c>
      <c r="M1939">
        <v>12</v>
      </c>
      <c r="N1939" t="s">
        <v>101</v>
      </c>
      <c r="O1939" t="s">
        <v>3902</v>
      </c>
      <c r="P1939" t="s">
        <v>76</v>
      </c>
      <c r="Q1939" t="s">
        <v>76</v>
      </c>
      <c r="R1939" t="s">
        <v>76</v>
      </c>
      <c r="S1939" t="s">
        <v>76</v>
      </c>
      <c r="T1939" t="s">
        <v>76</v>
      </c>
      <c r="U1939">
        <v>1</v>
      </c>
      <c r="V1939" s="13">
        <v>45175</v>
      </c>
      <c r="W1939">
        <v>1</v>
      </c>
      <c r="X1939">
        <v>1</v>
      </c>
      <c r="Y1939" t="s">
        <v>3696</v>
      </c>
      <c r="AC1939">
        <v>5589</v>
      </c>
      <c r="AD1939" t="e" vm="1929">
        <v>#VALUE!</v>
      </c>
    </row>
    <row r="1940" spans="2:30" x14ac:dyDescent="0.25">
      <c r="B1940">
        <v>5590</v>
      </c>
      <c r="C1940" t="s">
        <v>3684</v>
      </c>
      <c r="D1940" t="s">
        <v>3695</v>
      </c>
      <c r="E1940" t="s">
        <v>3838</v>
      </c>
      <c r="F1940" t="s">
        <v>97</v>
      </c>
      <c r="G1940" t="s">
        <v>102</v>
      </c>
      <c r="H1940" t="s">
        <v>3808</v>
      </c>
      <c r="I1940" t="s">
        <v>3821</v>
      </c>
      <c r="J1940" t="s">
        <v>3810</v>
      </c>
      <c r="K1940" t="s">
        <v>239</v>
      </c>
      <c r="L1940" s="13">
        <v>40918</v>
      </c>
      <c r="M1940">
        <v>12</v>
      </c>
      <c r="N1940" t="s">
        <v>101</v>
      </c>
      <c r="O1940" t="s">
        <v>3902</v>
      </c>
      <c r="P1940" t="s">
        <v>76</v>
      </c>
      <c r="Q1940" t="s">
        <v>76</v>
      </c>
      <c r="R1940" t="s">
        <v>76</v>
      </c>
      <c r="S1940" t="s">
        <v>76</v>
      </c>
      <c r="T1940" t="s">
        <v>76</v>
      </c>
      <c r="U1940">
        <v>1</v>
      </c>
      <c r="V1940" s="13">
        <v>45175</v>
      </c>
      <c r="W1940">
        <v>1</v>
      </c>
      <c r="X1940">
        <v>1</v>
      </c>
      <c r="Y1940" t="s">
        <v>3696</v>
      </c>
      <c r="AC1940">
        <v>5590</v>
      </c>
      <c r="AD1940" t="e" vm="1930">
        <v>#VALUE!</v>
      </c>
    </row>
    <row r="1941" spans="2:30" x14ac:dyDescent="0.25">
      <c r="B1941">
        <v>5591</v>
      </c>
      <c r="C1941" t="s">
        <v>3684</v>
      </c>
      <c r="D1941" t="s">
        <v>3695</v>
      </c>
      <c r="E1941" t="s">
        <v>3838</v>
      </c>
      <c r="F1941" t="s">
        <v>97</v>
      </c>
      <c r="G1941" t="s">
        <v>102</v>
      </c>
      <c r="H1941" t="s">
        <v>3808</v>
      </c>
      <c r="I1941" t="s">
        <v>3821</v>
      </c>
      <c r="J1941" t="s">
        <v>3810</v>
      </c>
      <c r="K1941" t="s">
        <v>239</v>
      </c>
      <c r="L1941" s="13">
        <v>40918</v>
      </c>
      <c r="M1941">
        <v>12</v>
      </c>
      <c r="N1941" t="s">
        <v>101</v>
      </c>
      <c r="O1941" t="s">
        <v>3902</v>
      </c>
      <c r="P1941" t="s">
        <v>76</v>
      </c>
      <c r="Q1941" t="s">
        <v>76</v>
      </c>
      <c r="R1941" t="s">
        <v>76</v>
      </c>
      <c r="S1941" t="s">
        <v>76</v>
      </c>
      <c r="T1941" t="s">
        <v>76</v>
      </c>
      <c r="U1941">
        <v>1</v>
      </c>
      <c r="V1941" s="13">
        <v>45175</v>
      </c>
      <c r="W1941">
        <v>1</v>
      </c>
      <c r="X1941">
        <v>1</v>
      </c>
      <c r="Y1941" t="s">
        <v>3696</v>
      </c>
      <c r="AC1941">
        <v>5591</v>
      </c>
      <c r="AD1941" t="e" vm="1931">
        <v>#VALUE!</v>
      </c>
    </row>
    <row r="1942" spans="2:30" x14ac:dyDescent="0.25">
      <c r="B1942">
        <v>5592</v>
      </c>
      <c r="C1942" t="s">
        <v>3684</v>
      </c>
      <c r="D1942" t="s">
        <v>3695</v>
      </c>
      <c r="E1942" t="s">
        <v>3838</v>
      </c>
      <c r="F1942" t="s">
        <v>97</v>
      </c>
      <c r="G1942" t="s">
        <v>102</v>
      </c>
      <c r="H1942" t="s">
        <v>3808</v>
      </c>
      <c r="I1942" t="s">
        <v>3821</v>
      </c>
      <c r="J1942" t="s">
        <v>3810</v>
      </c>
      <c r="K1942" t="s">
        <v>239</v>
      </c>
      <c r="L1942" s="13">
        <v>40918</v>
      </c>
      <c r="M1942">
        <v>12</v>
      </c>
      <c r="N1942" t="s">
        <v>101</v>
      </c>
      <c r="O1942" t="s">
        <v>3902</v>
      </c>
      <c r="P1942" t="s">
        <v>76</v>
      </c>
      <c r="Q1942" t="s">
        <v>76</v>
      </c>
      <c r="R1942" t="s">
        <v>76</v>
      </c>
      <c r="S1942" t="s">
        <v>76</v>
      </c>
      <c r="T1942" t="s">
        <v>76</v>
      </c>
      <c r="U1942">
        <v>1</v>
      </c>
      <c r="V1942" s="13">
        <v>45175</v>
      </c>
      <c r="W1942">
        <v>1</v>
      </c>
      <c r="X1942">
        <v>1</v>
      </c>
      <c r="Y1942" t="s">
        <v>3696</v>
      </c>
      <c r="AC1942">
        <v>5592</v>
      </c>
      <c r="AD1942" t="e" vm="1932">
        <v>#VALUE!</v>
      </c>
    </row>
    <row r="1943" spans="2:30" x14ac:dyDescent="0.25">
      <c r="B1943">
        <v>5593</v>
      </c>
      <c r="C1943" t="s">
        <v>3684</v>
      </c>
      <c r="D1943" t="s">
        <v>3695</v>
      </c>
      <c r="E1943" t="s">
        <v>3838</v>
      </c>
      <c r="F1943" t="s">
        <v>97</v>
      </c>
      <c r="G1943" t="s">
        <v>102</v>
      </c>
      <c r="H1943" t="s">
        <v>3808</v>
      </c>
      <c r="I1943" t="s">
        <v>3821</v>
      </c>
      <c r="J1943" t="s">
        <v>3810</v>
      </c>
      <c r="K1943" t="s">
        <v>239</v>
      </c>
      <c r="L1943" s="13">
        <v>40927</v>
      </c>
      <c r="M1943">
        <v>12</v>
      </c>
      <c r="N1943" t="s">
        <v>101</v>
      </c>
      <c r="O1943" t="s">
        <v>3902</v>
      </c>
      <c r="P1943" t="s">
        <v>76</v>
      </c>
      <c r="Q1943" t="s">
        <v>76</v>
      </c>
      <c r="R1943" t="s">
        <v>76</v>
      </c>
      <c r="S1943" t="s">
        <v>76</v>
      </c>
      <c r="T1943" t="s">
        <v>76</v>
      </c>
      <c r="U1943">
        <v>1</v>
      </c>
      <c r="V1943" s="13">
        <v>45175</v>
      </c>
      <c r="W1943">
        <v>1</v>
      </c>
      <c r="X1943">
        <v>1</v>
      </c>
      <c r="Y1943" t="s">
        <v>3696</v>
      </c>
      <c r="AC1943">
        <v>5593</v>
      </c>
      <c r="AD1943" t="e" vm="1933">
        <v>#VALUE!</v>
      </c>
    </row>
    <row r="1944" spans="2:30" x14ac:dyDescent="0.25">
      <c r="B1944">
        <v>5594</v>
      </c>
      <c r="C1944" t="s">
        <v>3684</v>
      </c>
      <c r="D1944" t="s">
        <v>3695</v>
      </c>
      <c r="E1944" t="s">
        <v>3838</v>
      </c>
      <c r="F1944" t="s">
        <v>97</v>
      </c>
      <c r="G1944" t="s">
        <v>102</v>
      </c>
      <c r="H1944" t="s">
        <v>3808</v>
      </c>
      <c r="I1944" t="s">
        <v>3821</v>
      </c>
      <c r="J1944" t="s">
        <v>3810</v>
      </c>
      <c r="K1944" t="s">
        <v>239</v>
      </c>
      <c r="L1944" s="13">
        <v>40927</v>
      </c>
      <c r="M1944">
        <v>12</v>
      </c>
      <c r="N1944" t="s">
        <v>101</v>
      </c>
      <c r="O1944" t="s">
        <v>3902</v>
      </c>
      <c r="P1944" t="s">
        <v>76</v>
      </c>
      <c r="Q1944" t="s">
        <v>76</v>
      </c>
      <c r="R1944" t="s">
        <v>76</v>
      </c>
      <c r="S1944" t="s">
        <v>76</v>
      </c>
      <c r="T1944" t="s">
        <v>76</v>
      </c>
      <c r="U1944">
        <v>1</v>
      </c>
      <c r="V1944" s="13">
        <v>45175</v>
      </c>
      <c r="W1944">
        <v>1</v>
      </c>
      <c r="X1944">
        <v>1</v>
      </c>
      <c r="Y1944" t="s">
        <v>3696</v>
      </c>
      <c r="AC1944">
        <v>5594</v>
      </c>
      <c r="AD1944" t="e" vm="1934">
        <v>#VALUE!</v>
      </c>
    </row>
    <row r="1945" spans="2:30" x14ac:dyDescent="0.25">
      <c r="B1945">
        <v>5595</v>
      </c>
      <c r="C1945" t="s">
        <v>3684</v>
      </c>
      <c r="D1945" t="s">
        <v>3695</v>
      </c>
      <c r="E1945" t="s">
        <v>3838</v>
      </c>
      <c r="F1945" t="s">
        <v>97</v>
      </c>
      <c r="G1945" t="s">
        <v>102</v>
      </c>
      <c r="H1945" t="s">
        <v>3808</v>
      </c>
      <c r="I1945" t="s">
        <v>3821</v>
      </c>
      <c r="J1945" t="s">
        <v>3810</v>
      </c>
      <c r="K1945" t="s">
        <v>239</v>
      </c>
      <c r="L1945" s="13">
        <v>40927</v>
      </c>
      <c r="M1945">
        <v>12</v>
      </c>
      <c r="N1945" t="s">
        <v>101</v>
      </c>
      <c r="O1945" t="s">
        <v>3902</v>
      </c>
      <c r="P1945" t="s">
        <v>76</v>
      </c>
      <c r="Q1945" t="s">
        <v>76</v>
      </c>
      <c r="R1945" t="s">
        <v>76</v>
      </c>
      <c r="S1945" t="s">
        <v>76</v>
      </c>
      <c r="T1945" t="s">
        <v>76</v>
      </c>
      <c r="U1945">
        <v>1</v>
      </c>
      <c r="V1945" s="13">
        <v>45175</v>
      </c>
      <c r="W1945">
        <v>1</v>
      </c>
      <c r="X1945">
        <v>1</v>
      </c>
      <c r="Y1945" t="s">
        <v>3696</v>
      </c>
      <c r="AC1945">
        <v>5595</v>
      </c>
      <c r="AD1945" t="e" vm="1935">
        <v>#VALUE!</v>
      </c>
    </row>
    <row r="1946" spans="2:30" x14ac:dyDescent="0.25">
      <c r="B1946">
        <v>5596</v>
      </c>
      <c r="C1946" t="s">
        <v>3684</v>
      </c>
      <c r="D1946" t="s">
        <v>3695</v>
      </c>
      <c r="E1946" t="s">
        <v>3838</v>
      </c>
      <c r="F1946" t="s">
        <v>97</v>
      </c>
      <c r="G1946" t="s">
        <v>102</v>
      </c>
      <c r="H1946" t="s">
        <v>3808</v>
      </c>
      <c r="I1946" t="s">
        <v>3821</v>
      </c>
      <c r="J1946" t="s">
        <v>3810</v>
      </c>
      <c r="K1946" t="s">
        <v>239</v>
      </c>
      <c r="L1946" s="13">
        <v>40927</v>
      </c>
      <c r="M1946">
        <v>12</v>
      </c>
      <c r="N1946" t="s">
        <v>101</v>
      </c>
      <c r="O1946" t="s">
        <v>3902</v>
      </c>
      <c r="P1946" t="s">
        <v>76</v>
      </c>
      <c r="Q1946" t="s">
        <v>76</v>
      </c>
      <c r="R1946" t="s">
        <v>76</v>
      </c>
      <c r="S1946" t="s">
        <v>76</v>
      </c>
      <c r="T1946" t="s">
        <v>76</v>
      </c>
      <c r="U1946">
        <v>1</v>
      </c>
      <c r="V1946" s="13">
        <v>45175</v>
      </c>
      <c r="W1946">
        <v>1</v>
      </c>
      <c r="X1946">
        <v>1</v>
      </c>
      <c r="Y1946" t="s">
        <v>3696</v>
      </c>
      <c r="AC1946">
        <v>5596</v>
      </c>
      <c r="AD1946" t="e" vm="1936">
        <v>#VALUE!</v>
      </c>
    </row>
    <row r="1947" spans="2:30" x14ac:dyDescent="0.25">
      <c r="B1947">
        <v>5601</v>
      </c>
      <c r="C1947" t="s">
        <v>3646</v>
      </c>
      <c r="D1947" t="s">
        <v>3711</v>
      </c>
      <c r="E1947" t="s">
        <v>3849</v>
      </c>
      <c r="F1947" t="s">
        <v>83</v>
      </c>
      <c r="G1947" t="s">
        <v>103</v>
      </c>
      <c r="H1947" t="s">
        <v>3808</v>
      </c>
      <c r="I1947" t="s">
        <v>3809</v>
      </c>
      <c r="J1947" t="s">
        <v>3862</v>
      </c>
      <c r="K1947" t="s">
        <v>99</v>
      </c>
      <c r="L1947" s="13">
        <v>41901</v>
      </c>
      <c r="M1947">
        <v>9</v>
      </c>
      <c r="N1947" t="s">
        <v>90</v>
      </c>
      <c r="O1947" t="s">
        <v>3904</v>
      </c>
      <c r="P1947" t="s">
        <v>76</v>
      </c>
      <c r="Q1947" t="s">
        <v>95</v>
      </c>
      <c r="R1947" t="s">
        <v>76</v>
      </c>
      <c r="S1947" t="s">
        <v>76</v>
      </c>
      <c r="T1947" t="s">
        <v>76</v>
      </c>
      <c r="U1947">
        <v>1</v>
      </c>
      <c r="V1947" s="13">
        <v>45175</v>
      </c>
      <c r="W1947">
        <v>1</v>
      </c>
      <c r="X1947">
        <v>1</v>
      </c>
      <c r="Y1947" t="s">
        <v>3712</v>
      </c>
      <c r="AC1947">
        <v>5601</v>
      </c>
      <c r="AD1947" t="e" vm="1937">
        <v>#VALUE!</v>
      </c>
    </row>
    <row r="1948" spans="2:30" x14ac:dyDescent="0.25">
      <c r="B1948">
        <v>5602</v>
      </c>
      <c r="C1948" t="s">
        <v>3646</v>
      </c>
      <c r="D1948" t="s">
        <v>3711</v>
      </c>
      <c r="E1948" t="s">
        <v>3849</v>
      </c>
      <c r="F1948" t="s">
        <v>83</v>
      </c>
      <c r="G1948" t="s">
        <v>103</v>
      </c>
      <c r="H1948" t="s">
        <v>3808</v>
      </c>
      <c r="I1948" t="s">
        <v>3809</v>
      </c>
      <c r="J1948" t="s">
        <v>3862</v>
      </c>
      <c r="K1948" t="s">
        <v>99</v>
      </c>
      <c r="L1948" s="13">
        <v>41835</v>
      </c>
      <c r="M1948">
        <v>9</v>
      </c>
      <c r="N1948" t="s">
        <v>90</v>
      </c>
      <c r="O1948" t="s">
        <v>3904</v>
      </c>
      <c r="P1948" t="s">
        <v>76</v>
      </c>
      <c r="Q1948" t="s">
        <v>95</v>
      </c>
      <c r="R1948" t="s">
        <v>76</v>
      </c>
      <c r="S1948" t="s">
        <v>76</v>
      </c>
      <c r="T1948" t="s">
        <v>76</v>
      </c>
      <c r="U1948">
        <v>1</v>
      </c>
      <c r="V1948" s="13">
        <v>45175</v>
      </c>
      <c r="W1948">
        <v>1</v>
      </c>
      <c r="X1948">
        <v>1</v>
      </c>
      <c r="Y1948" t="s">
        <v>3712</v>
      </c>
      <c r="AC1948">
        <v>5602</v>
      </c>
      <c r="AD1948" t="e" vm="1938">
        <v>#VALUE!</v>
      </c>
    </row>
    <row r="1949" spans="2:30" x14ac:dyDescent="0.25">
      <c r="B1949">
        <v>5603</v>
      </c>
      <c r="C1949" t="s">
        <v>3646</v>
      </c>
      <c r="D1949" t="s">
        <v>3711</v>
      </c>
      <c r="E1949" t="s">
        <v>3849</v>
      </c>
      <c r="F1949" t="s">
        <v>83</v>
      </c>
      <c r="G1949" t="s">
        <v>103</v>
      </c>
      <c r="H1949" t="s">
        <v>3808</v>
      </c>
      <c r="I1949" t="s">
        <v>3809</v>
      </c>
      <c r="J1949" t="s">
        <v>3862</v>
      </c>
      <c r="K1949" t="s">
        <v>99</v>
      </c>
      <c r="L1949" s="13">
        <v>41835</v>
      </c>
      <c r="M1949">
        <v>9</v>
      </c>
      <c r="N1949" t="s">
        <v>90</v>
      </c>
      <c r="O1949" t="s">
        <v>3904</v>
      </c>
      <c r="P1949" t="s">
        <v>76</v>
      </c>
      <c r="Q1949" t="s">
        <v>95</v>
      </c>
      <c r="R1949" t="s">
        <v>76</v>
      </c>
      <c r="S1949" t="s">
        <v>76</v>
      </c>
      <c r="T1949" t="s">
        <v>76</v>
      </c>
      <c r="U1949">
        <v>1</v>
      </c>
      <c r="V1949" s="13">
        <v>45175</v>
      </c>
      <c r="W1949">
        <v>1</v>
      </c>
      <c r="X1949">
        <v>1</v>
      </c>
      <c r="Y1949" t="s">
        <v>3712</v>
      </c>
      <c r="AC1949">
        <v>5603</v>
      </c>
      <c r="AD1949" t="e" vm="1939">
        <v>#VALUE!</v>
      </c>
    </row>
    <row r="1950" spans="2:30" x14ac:dyDescent="0.25">
      <c r="B1950">
        <v>5604</v>
      </c>
      <c r="C1950" t="s">
        <v>3646</v>
      </c>
      <c r="D1950" t="s">
        <v>3711</v>
      </c>
      <c r="E1950" t="s">
        <v>3849</v>
      </c>
      <c r="F1950" t="s">
        <v>83</v>
      </c>
      <c r="G1950" t="s">
        <v>103</v>
      </c>
      <c r="H1950" t="s">
        <v>3808</v>
      </c>
      <c r="I1950" t="s">
        <v>3809</v>
      </c>
      <c r="J1950" t="s">
        <v>3862</v>
      </c>
      <c r="K1950" t="s">
        <v>99</v>
      </c>
      <c r="L1950" s="13">
        <v>41836</v>
      </c>
      <c r="M1950">
        <v>9</v>
      </c>
      <c r="N1950" t="s">
        <v>90</v>
      </c>
      <c r="O1950" t="s">
        <v>3904</v>
      </c>
      <c r="P1950" t="s">
        <v>76</v>
      </c>
      <c r="Q1950" t="s">
        <v>95</v>
      </c>
      <c r="R1950" t="s">
        <v>76</v>
      </c>
      <c r="S1950" t="s">
        <v>76</v>
      </c>
      <c r="T1950" t="s">
        <v>76</v>
      </c>
      <c r="U1950">
        <v>1</v>
      </c>
      <c r="V1950" s="13">
        <v>45175</v>
      </c>
      <c r="W1950">
        <v>1</v>
      </c>
      <c r="X1950">
        <v>1</v>
      </c>
      <c r="Y1950" t="s">
        <v>3712</v>
      </c>
      <c r="AC1950">
        <v>5604</v>
      </c>
      <c r="AD1950" t="e" vm="1940">
        <v>#VALUE!</v>
      </c>
    </row>
    <row r="1951" spans="2:30" x14ac:dyDescent="0.25">
      <c r="B1951">
        <v>5605</v>
      </c>
      <c r="C1951" t="s">
        <v>3646</v>
      </c>
      <c r="D1951" t="s">
        <v>3711</v>
      </c>
      <c r="E1951" t="s">
        <v>3849</v>
      </c>
      <c r="F1951" t="s">
        <v>83</v>
      </c>
      <c r="G1951" t="s">
        <v>103</v>
      </c>
      <c r="H1951" t="s">
        <v>3808</v>
      </c>
      <c r="I1951" t="s">
        <v>3809</v>
      </c>
      <c r="J1951" t="s">
        <v>3862</v>
      </c>
      <c r="K1951" t="s">
        <v>99</v>
      </c>
      <c r="L1951" s="13">
        <v>41852</v>
      </c>
      <c r="M1951">
        <v>9</v>
      </c>
      <c r="N1951" t="s">
        <v>90</v>
      </c>
      <c r="O1951" t="s">
        <v>3904</v>
      </c>
      <c r="P1951" t="s">
        <v>76</v>
      </c>
      <c r="Q1951" t="s">
        <v>95</v>
      </c>
      <c r="R1951" t="s">
        <v>76</v>
      </c>
      <c r="S1951" t="s">
        <v>76</v>
      </c>
      <c r="T1951" t="s">
        <v>76</v>
      </c>
      <c r="U1951">
        <v>1</v>
      </c>
      <c r="V1951" s="13">
        <v>45175</v>
      </c>
      <c r="W1951">
        <v>1</v>
      </c>
      <c r="X1951">
        <v>1</v>
      </c>
      <c r="Y1951" t="s">
        <v>3712</v>
      </c>
      <c r="AC1951">
        <v>5605</v>
      </c>
      <c r="AD1951" t="e" vm="1941">
        <v>#VALUE!</v>
      </c>
    </row>
    <row r="1952" spans="2:30" x14ac:dyDescent="0.25">
      <c r="B1952">
        <v>5606</v>
      </c>
      <c r="C1952" t="s">
        <v>3646</v>
      </c>
      <c r="D1952" t="s">
        <v>3711</v>
      </c>
      <c r="E1952" t="s">
        <v>3849</v>
      </c>
      <c r="F1952" t="s">
        <v>83</v>
      </c>
      <c r="G1952" t="s">
        <v>103</v>
      </c>
      <c r="H1952" t="s">
        <v>3808</v>
      </c>
      <c r="I1952" t="s">
        <v>3809</v>
      </c>
      <c r="J1952" t="s">
        <v>3810</v>
      </c>
      <c r="K1952" t="s">
        <v>1218</v>
      </c>
      <c r="L1952" s="13">
        <v>42131</v>
      </c>
      <c r="M1952">
        <v>8</v>
      </c>
      <c r="N1952" t="s">
        <v>90</v>
      </c>
      <c r="O1952" t="s">
        <v>3905</v>
      </c>
      <c r="P1952" t="s">
        <v>76</v>
      </c>
      <c r="Q1952" t="s">
        <v>76</v>
      </c>
      <c r="R1952" t="s">
        <v>76</v>
      </c>
      <c r="S1952" t="s">
        <v>76</v>
      </c>
      <c r="T1952" t="s">
        <v>76</v>
      </c>
      <c r="U1952">
        <v>1</v>
      </c>
      <c r="V1952" s="13">
        <v>45175</v>
      </c>
      <c r="W1952">
        <v>1</v>
      </c>
      <c r="X1952">
        <v>1</v>
      </c>
      <c r="Y1952" t="s">
        <v>3712</v>
      </c>
      <c r="AC1952">
        <v>5606</v>
      </c>
      <c r="AD1952" t="e" vm="1942">
        <v>#VALUE!</v>
      </c>
    </row>
    <row r="1953" spans="2:30" x14ac:dyDescent="0.25">
      <c r="B1953">
        <v>5607</v>
      </c>
      <c r="C1953" t="s">
        <v>3646</v>
      </c>
      <c r="D1953" t="s">
        <v>3711</v>
      </c>
      <c r="E1953" t="s">
        <v>3849</v>
      </c>
      <c r="F1953" t="s">
        <v>83</v>
      </c>
      <c r="G1953" t="s">
        <v>103</v>
      </c>
      <c r="H1953" t="s">
        <v>3808</v>
      </c>
      <c r="I1953" t="s">
        <v>3809</v>
      </c>
      <c r="J1953" t="s">
        <v>3810</v>
      </c>
      <c r="K1953" t="s">
        <v>1218</v>
      </c>
      <c r="L1953" s="13">
        <v>41894</v>
      </c>
      <c r="M1953">
        <v>9</v>
      </c>
      <c r="N1953" t="s">
        <v>90</v>
      </c>
      <c r="O1953" t="s">
        <v>3905</v>
      </c>
      <c r="P1953" t="s">
        <v>76</v>
      </c>
      <c r="Q1953" t="s">
        <v>76</v>
      </c>
      <c r="R1953" t="s">
        <v>76</v>
      </c>
      <c r="S1953" t="s">
        <v>76</v>
      </c>
      <c r="T1953" t="s">
        <v>76</v>
      </c>
      <c r="U1953">
        <v>1</v>
      </c>
      <c r="V1953" s="13">
        <v>45175</v>
      </c>
      <c r="W1953">
        <v>1</v>
      </c>
      <c r="X1953">
        <v>1</v>
      </c>
      <c r="Y1953" t="s">
        <v>3712</v>
      </c>
      <c r="AC1953">
        <v>5607</v>
      </c>
      <c r="AD1953" t="e" vm="1943">
        <v>#VALUE!</v>
      </c>
    </row>
    <row r="1954" spans="2:30" x14ac:dyDescent="0.25">
      <c r="B1954">
        <v>5608</v>
      </c>
      <c r="C1954" t="s">
        <v>3646</v>
      </c>
      <c r="D1954" t="s">
        <v>3711</v>
      </c>
      <c r="E1954" t="s">
        <v>3849</v>
      </c>
      <c r="F1954" t="s">
        <v>83</v>
      </c>
      <c r="G1954" t="s">
        <v>103</v>
      </c>
      <c r="H1954" t="s">
        <v>3808</v>
      </c>
      <c r="I1954" t="s">
        <v>3809</v>
      </c>
      <c r="J1954" t="s">
        <v>3810</v>
      </c>
      <c r="K1954" t="s">
        <v>1218</v>
      </c>
      <c r="L1954" s="13">
        <v>41822</v>
      </c>
      <c r="M1954">
        <v>9</v>
      </c>
      <c r="N1954" t="s">
        <v>90</v>
      </c>
      <c r="O1954" t="s">
        <v>3905</v>
      </c>
      <c r="P1954" t="s">
        <v>76</v>
      </c>
      <c r="Q1954" t="s">
        <v>76</v>
      </c>
      <c r="R1954" t="s">
        <v>76</v>
      </c>
      <c r="S1954" t="s">
        <v>76</v>
      </c>
      <c r="T1954" t="s">
        <v>76</v>
      </c>
      <c r="U1954">
        <v>1</v>
      </c>
      <c r="V1954" s="13">
        <v>45175</v>
      </c>
      <c r="W1954">
        <v>1</v>
      </c>
      <c r="X1954">
        <v>1</v>
      </c>
      <c r="Y1954" t="s">
        <v>3712</v>
      </c>
      <c r="AC1954">
        <v>5608</v>
      </c>
      <c r="AD1954" t="e" vm="1944">
        <v>#VALUE!</v>
      </c>
    </row>
    <row r="1955" spans="2:30" x14ac:dyDescent="0.25">
      <c r="B1955">
        <v>5609</v>
      </c>
      <c r="C1955" t="s">
        <v>3646</v>
      </c>
      <c r="D1955" t="s">
        <v>3711</v>
      </c>
      <c r="E1955" t="s">
        <v>3849</v>
      </c>
      <c r="F1955" t="s">
        <v>83</v>
      </c>
      <c r="G1955" t="s">
        <v>103</v>
      </c>
      <c r="H1955" t="s">
        <v>3808</v>
      </c>
      <c r="I1955" t="s">
        <v>3809</v>
      </c>
      <c r="J1955" t="s">
        <v>3810</v>
      </c>
      <c r="K1955" t="s">
        <v>1218</v>
      </c>
      <c r="L1955" s="13">
        <v>41821</v>
      </c>
      <c r="M1955">
        <v>9</v>
      </c>
      <c r="N1955" t="s">
        <v>90</v>
      </c>
      <c r="O1955" t="s">
        <v>3905</v>
      </c>
      <c r="P1955" t="s">
        <v>76</v>
      </c>
      <c r="Q1955" t="s">
        <v>76</v>
      </c>
      <c r="R1955" t="s">
        <v>76</v>
      </c>
      <c r="S1955" t="s">
        <v>76</v>
      </c>
      <c r="T1955" t="s">
        <v>76</v>
      </c>
      <c r="U1955">
        <v>1</v>
      </c>
      <c r="V1955" s="13">
        <v>45175</v>
      </c>
      <c r="W1955">
        <v>1</v>
      </c>
      <c r="X1955">
        <v>1</v>
      </c>
      <c r="Y1955" t="s">
        <v>3712</v>
      </c>
      <c r="AC1955">
        <v>5609</v>
      </c>
      <c r="AD1955" t="e" vm="1945">
        <v>#VALUE!</v>
      </c>
    </row>
    <row r="1956" spans="2:30" x14ac:dyDescent="0.25">
      <c r="B1956">
        <v>5610</v>
      </c>
      <c r="C1956" t="s">
        <v>3646</v>
      </c>
      <c r="D1956" t="s">
        <v>3711</v>
      </c>
      <c r="E1956" t="s">
        <v>3849</v>
      </c>
      <c r="F1956" t="s">
        <v>83</v>
      </c>
      <c r="G1956" t="s">
        <v>103</v>
      </c>
      <c r="H1956" t="s">
        <v>3808</v>
      </c>
      <c r="I1956" t="s">
        <v>3809</v>
      </c>
      <c r="J1956" t="s">
        <v>3810</v>
      </c>
      <c r="K1956" t="s">
        <v>1218</v>
      </c>
      <c r="L1956" s="13">
        <v>41823</v>
      </c>
      <c r="M1956">
        <v>9</v>
      </c>
      <c r="N1956" t="s">
        <v>90</v>
      </c>
      <c r="O1956" t="s">
        <v>3905</v>
      </c>
      <c r="P1956" t="s">
        <v>76</v>
      </c>
      <c r="Q1956" t="s">
        <v>76</v>
      </c>
      <c r="R1956" t="s">
        <v>76</v>
      </c>
      <c r="S1956" t="s">
        <v>76</v>
      </c>
      <c r="T1956" t="s">
        <v>76</v>
      </c>
      <c r="U1956">
        <v>1</v>
      </c>
      <c r="V1956" s="13">
        <v>45175</v>
      </c>
      <c r="W1956">
        <v>1</v>
      </c>
      <c r="X1956">
        <v>1</v>
      </c>
      <c r="Y1956" t="s">
        <v>3712</v>
      </c>
      <c r="AC1956">
        <v>5610</v>
      </c>
      <c r="AD1956" t="e" vm="1946">
        <v>#VALUE!</v>
      </c>
    </row>
    <row r="1957" spans="2:30" x14ac:dyDescent="0.25">
      <c r="B1957">
        <v>5611</v>
      </c>
      <c r="C1957" t="s">
        <v>3646</v>
      </c>
      <c r="D1957" t="s">
        <v>3711</v>
      </c>
      <c r="E1957" t="s">
        <v>3849</v>
      </c>
      <c r="F1957" t="s">
        <v>83</v>
      </c>
      <c r="G1957" t="s">
        <v>103</v>
      </c>
      <c r="H1957" t="s">
        <v>3808</v>
      </c>
      <c r="I1957" t="s">
        <v>3809</v>
      </c>
      <c r="J1957" t="s">
        <v>3810</v>
      </c>
      <c r="K1957" t="s">
        <v>1218</v>
      </c>
      <c r="L1957" s="13">
        <v>41946</v>
      </c>
      <c r="M1957">
        <v>9</v>
      </c>
      <c r="N1957" t="s">
        <v>90</v>
      </c>
      <c r="O1957" t="s">
        <v>3905</v>
      </c>
      <c r="P1957" t="s">
        <v>76</v>
      </c>
      <c r="Q1957" t="s">
        <v>76</v>
      </c>
      <c r="R1957" t="s">
        <v>76</v>
      </c>
      <c r="S1957" t="s">
        <v>76</v>
      </c>
      <c r="T1957" t="s">
        <v>76</v>
      </c>
      <c r="U1957">
        <v>1</v>
      </c>
      <c r="V1957" s="13">
        <v>45175</v>
      </c>
      <c r="W1957">
        <v>1</v>
      </c>
      <c r="X1957">
        <v>1</v>
      </c>
      <c r="Y1957" t="s">
        <v>3712</v>
      </c>
      <c r="AC1957">
        <v>5611</v>
      </c>
      <c r="AD1957" t="e" vm="1947">
        <v>#VALUE!</v>
      </c>
    </row>
    <row r="1958" spans="2:30" x14ac:dyDescent="0.25">
      <c r="B1958">
        <v>5612</v>
      </c>
      <c r="C1958" t="s">
        <v>3646</v>
      </c>
      <c r="D1958" t="s">
        <v>3711</v>
      </c>
      <c r="E1958" t="s">
        <v>3849</v>
      </c>
      <c r="F1958" t="s">
        <v>83</v>
      </c>
      <c r="G1958" t="s">
        <v>103</v>
      </c>
      <c r="H1958" t="s">
        <v>3808</v>
      </c>
      <c r="I1958" t="s">
        <v>3809</v>
      </c>
      <c r="J1958" t="s">
        <v>3810</v>
      </c>
      <c r="K1958" t="s">
        <v>1218</v>
      </c>
      <c r="L1958" s="13">
        <v>41929</v>
      </c>
      <c r="M1958">
        <v>9</v>
      </c>
      <c r="N1958" t="s">
        <v>90</v>
      </c>
      <c r="O1958" t="s">
        <v>3905</v>
      </c>
      <c r="P1958" t="s">
        <v>76</v>
      </c>
      <c r="Q1958" t="s">
        <v>76</v>
      </c>
      <c r="R1958" t="s">
        <v>76</v>
      </c>
      <c r="S1958" t="s">
        <v>76</v>
      </c>
      <c r="T1958" t="s">
        <v>76</v>
      </c>
      <c r="U1958">
        <v>1</v>
      </c>
      <c r="V1958" s="13">
        <v>45175</v>
      </c>
      <c r="W1958">
        <v>1</v>
      </c>
      <c r="X1958">
        <v>1</v>
      </c>
      <c r="Y1958" t="s">
        <v>3712</v>
      </c>
      <c r="AC1958">
        <v>5612</v>
      </c>
      <c r="AD1958" t="e" vm="1948">
        <v>#VALUE!</v>
      </c>
    </row>
    <row r="1959" spans="2:30" x14ac:dyDescent="0.25">
      <c r="B1959">
        <v>5613</v>
      </c>
      <c r="C1959" t="s">
        <v>3646</v>
      </c>
      <c r="D1959" t="s">
        <v>3711</v>
      </c>
      <c r="E1959" t="s">
        <v>3849</v>
      </c>
      <c r="F1959" t="s">
        <v>83</v>
      </c>
      <c r="G1959" t="s">
        <v>103</v>
      </c>
      <c r="H1959" t="s">
        <v>3808</v>
      </c>
      <c r="I1959" t="s">
        <v>3809</v>
      </c>
      <c r="J1959" t="s">
        <v>3810</v>
      </c>
      <c r="K1959" t="s">
        <v>1218</v>
      </c>
      <c r="L1959" s="13">
        <v>41890</v>
      </c>
      <c r="M1959">
        <v>9</v>
      </c>
      <c r="N1959" t="s">
        <v>90</v>
      </c>
      <c r="O1959" t="s">
        <v>3905</v>
      </c>
      <c r="P1959" t="s">
        <v>76</v>
      </c>
      <c r="Q1959" t="s">
        <v>76</v>
      </c>
      <c r="R1959" t="s">
        <v>76</v>
      </c>
      <c r="S1959" t="s">
        <v>76</v>
      </c>
      <c r="T1959" t="s">
        <v>76</v>
      </c>
      <c r="U1959">
        <v>1</v>
      </c>
      <c r="V1959" s="13">
        <v>45175</v>
      </c>
      <c r="W1959">
        <v>1</v>
      </c>
      <c r="X1959">
        <v>1</v>
      </c>
      <c r="Y1959" t="s">
        <v>3712</v>
      </c>
      <c r="AC1959">
        <v>5613</v>
      </c>
      <c r="AD1959" t="e" vm="1949">
        <v>#VALUE!</v>
      </c>
    </row>
    <row r="1960" spans="2:30" x14ac:dyDescent="0.25">
      <c r="B1960">
        <v>5614</v>
      </c>
      <c r="C1960" t="s">
        <v>3646</v>
      </c>
      <c r="D1960" t="s">
        <v>3711</v>
      </c>
      <c r="E1960" t="s">
        <v>3849</v>
      </c>
      <c r="F1960" t="s">
        <v>83</v>
      </c>
      <c r="G1960" t="s">
        <v>103</v>
      </c>
      <c r="H1960" t="s">
        <v>3808</v>
      </c>
      <c r="I1960" t="s">
        <v>3809</v>
      </c>
      <c r="J1960" t="s">
        <v>3810</v>
      </c>
      <c r="K1960" t="s">
        <v>1218</v>
      </c>
      <c r="L1960" s="13">
        <v>41933</v>
      </c>
      <c r="M1960">
        <v>9</v>
      </c>
      <c r="N1960" t="s">
        <v>90</v>
      </c>
      <c r="O1960" t="s">
        <v>3905</v>
      </c>
      <c r="P1960" t="s">
        <v>76</v>
      </c>
      <c r="Q1960" t="s">
        <v>76</v>
      </c>
      <c r="R1960" t="s">
        <v>76</v>
      </c>
      <c r="S1960" t="s">
        <v>76</v>
      </c>
      <c r="T1960" t="s">
        <v>76</v>
      </c>
      <c r="U1960">
        <v>1</v>
      </c>
      <c r="V1960" s="13">
        <v>45175</v>
      </c>
      <c r="W1960">
        <v>1</v>
      </c>
      <c r="X1960">
        <v>1</v>
      </c>
      <c r="Y1960" t="s">
        <v>3712</v>
      </c>
      <c r="AC1960">
        <v>5614</v>
      </c>
      <c r="AD1960" t="e" vm="1950">
        <v>#VALUE!</v>
      </c>
    </row>
    <row r="1961" spans="2:30" x14ac:dyDescent="0.25">
      <c r="B1961">
        <v>5615</v>
      </c>
      <c r="C1961" t="s">
        <v>3646</v>
      </c>
      <c r="D1961" t="s">
        <v>3711</v>
      </c>
      <c r="E1961" t="s">
        <v>3849</v>
      </c>
      <c r="F1961" t="s">
        <v>83</v>
      </c>
      <c r="G1961" t="s">
        <v>103</v>
      </c>
      <c r="H1961" t="s">
        <v>3808</v>
      </c>
      <c r="I1961" t="s">
        <v>3809</v>
      </c>
      <c r="J1961" t="s">
        <v>3810</v>
      </c>
      <c r="K1961" t="s">
        <v>1218</v>
      </c>
      <c r="L1961" s="13">
        <v>41916</v>
      </c>
      <c r="M1961">
        <v>9</v>
      </c>
      <c r="N1961" t="s">
        <v>90</v>
      </c>
      <c r="O1961" t="s">
        <v>3905</v>
      </c>
      <c r="P1961" t="s">
        <v>76</v>
      </c>
      <c r="Q1961" t="s">
        <v>76</v>
      </c>
      <c r="R1961" t="s">
        <v>76</v>
      </c>
      <c r="S1961" t="s">
        <v>76</v>
      </c>
      <c r="T1961" t="s">
        <v>76</v>
      </c>
      <c r="U1961">
        <v>1</v>
      </c>
      <c r="V1961" s="13">
        <v>45175</v>
      </c>
      <c r="W1961">
        <v>1</v>
      </c>
      <c r="X1961">
        <v>1</v>
      </c>
      <c r="Y1961" t="s">
        <v>3712</v>
      </c>
      <c r="AC1961">
        <v>5615</v>
      </c>
      <c r="AD1961" t="e" vm="1951">
        <v>#VALUE!</v>
      </c>
    </row>
    <row r="1962" spans="2:30" x14ac:dyDescent="0.25">
      <c r="B1962">
        <v>5616</v>
      </c>
      <c r="C1962" t="s">
        <v>3646</v>
      </c>
      <c r="D1962" t="s">
        <v>3711</v>
      </c>
      <c r="E1962" t="s">
        <v>3849</v>
      </c>
      <c r="F1962" t="s">
        <v>83</v>
      </c>
      <c r="G1962" t="s">
        <v>103</v>
      </c>
      <c r="H1962" t="s">
        <v>3808</v>
      </c>
      <c r="I1962" t="s">
        <v>3809</v>
      </c>
      <c r="J1962" t="s">
        <v>3810</v>
      </c>
      <c r="K1962" t="s">
        <v>1218</v>
      </c>
      <c r="L1962" s="13">
        <v>41892</v>
      </c>
      <c r="M1962">
        <v>9</v>
      </c>
      <c r="N1962" t="s">
        <v>90</v>
      </c>
      <c r="O1962" t="s">
        <v>3905</v>
      </c>
      <c r="P1962" t="s">
        <v>76</v>
      </c>
      <c r="Q1962" t="s">
        <v>76</v>
      </c>
      <c r="R1962" t="s">
        <v>76</v>
      </c>
      <c r="S1962" t="s">
        <v>76</v>
      </c>
      <c r="T1962" t="s">
        <v>76</v>
      </c>
      <c r="U1962">
        <v>1</v>
      </c>
      <c r="V1962" s="13">
        <v>45175</v>
      </c>
      <c r="W1962">
        <v>1</v>
      </c>
      <c r="X1962">
        <v>1</v>
      </c>
      <c r="Y1962" t="s">
        <v>3712</v>
      </c>
      <c r="AC1962">
        <v>5616</v>
      </c>
      <c r="AD1962" t="e" vm="1952">
        <v>#VALUE!</v>
      </c>
    </row>
    <row r="1963" spans="2:30" x14ac:dyDescent="0.25">
      <c r="B1963">
        <v>5617</v>
      </c>
      <c r="C1963" t="s">
        <v>3646</v>
      </c>
      <c r="D1963" t="s">
        <v>3711</v>
      </c>
      <c r="E1963" t="s">
        <v>3849</v>
      </c>
      <c r="F1963" t="s">
        <v>83</v>
      </c>
      <c r="G1963" t="s">
        <v>103</v>
      </c>
      <c r="H1963" t="s">
        <v>3808</v>
      </c>
      <c r="I1963" t="s">
        <v>3809</v>
      </c>
      <c r="J1963" t="s">
        <v>3810</v>
      </c>
      <c r="K1963" t="s">
        <v>1218</v>
      </c>
      <c r="L1963" s="13">
        <v>41828</v>
      </c>
      <c r="M1963">
        <v>9</v>
      </c>
      <c r="N1963" t="s">
        <v>90</v>
      </c>
      <c r="O1963" t="s">
        <v>3905</v>
      </c>
      <c r="P1963" t="s">
        <v>76</v>
      </c>
      <c r="Q1963" t="s">
        <v>76</v>
      </c>
      <c r="R1963" t="s">
        <v>76</v>
      </c>
      <c r="S1963" t="s">
        <v>76</v>
      </c>
      <c r="T1963" t="s">
        <v>76</v>
      </c>
      <c r="U1963">
        <v>1</v>
      </c>
      <c r="V1963" s="13">
        <v>45175</v>
      </c>
      <c r="W1963">
        <v>1</v>
      </c>
      <c r="X1963">
        <v>1</v>
      </c>
      <c r="Y1963" t="s">
        <v>3712</v>
      </c>
      <c r="AC1963">
        <v>5617</v>
      </c>
      <c r="AD1963" t="e" vm="1953">
        <v>#VALUE!</v>
      </c>
    </row>
    <row r="1964" spans="2:30" x14ac:dyDescent="0.25">
      <c r="B1964">
        <v>5618</v>
      </c>
      <c r="C1964" t="s">
        <v>3646</v>
      </c>
      <c r="D1964" t="s">
        <v>3711</v>
      </c>
      <c r="E1964" t="s">
        <v>3849</v>
      </c>
      <c r="F1964" t="s">
        <v>83</v>
      </c>
      <c r="G1964" t="s">
        <v>103</v>
      </c>
      <c r="H1964" t="s">
        <v>3808</v>
      </c>
      <c r="I1964" t="s">
        <v>3809</v>
      </c>
      <c r="J1964" t="s">
        <v>3810</v>
      </c>
      <c r="K1964" t="s">
        <v>1218</v>
      </c>
      <c r="L1964" s="13">
        <v>41935</v>
      </c>
      <c r="M1964">
        <v>9</v>
      </c>
      <c r="N1964" t="s">
        <v>90</v>
      </c>
      <c r="O1964" t="s">
        <v>3905</v>
      </c>
      <c r="P1964" t="s">
        <v>76</v>
      </c>
      <c r="Q1964" t="s">
        <v>76</v>
      </c>
      <c r="R1964" t="s">
        <v>76</v>
      </c>
      <c r="S1964" t="s">
        <v>76</v>
      </c>
      <c r="T1964" t="s">
        <v>76</v>
      </c>
      <c r="U1964">
        <v>1</v>
      </c>
      <c r="V1964" s="13">
        <v>45175</v>
      </c>
      <c r="W1964">
        <v>1</v>
      </c>
      <c r="X1964">
        <v>1</v>
      </c>
      <c r="Y1964" t="s">
        <v>3712</v>
      </c>
      <c r="AC1964">
        <v>5618</v>
      </c>
      <c r="AD1964" t="e" vm="1954">
        <v>#VALUE!</v>
      </c>
    </row>
    <row r="1965" spans="2:30" x14ac:dyDescent="0.25">
      <c r="B1965">
        <v>5619</v>
      </c>
      <c r="C1965" t="s">
        <v>3646</v>
      </c>
      <c r="D1965" t="s">
        <v>3711</v>
      </c>
      <c r="E1965" t="s">
        <v>3849</v>
      </c>
      <c r="F1965" t="s">
        <v>83</v>
      </c>
      <c r="G1965" t="s">
        <v>103</v>
      </c>
      <c r="H1965" t="s">
        <v>3808</v>
      </c>
      <c r="I1965" t="s">
        <v>3809</v>
      </c>
      <c r="J1965" t="s">
        <v>3810</v>
      </c>
      <c r="K1965" t="s">
        <v>1218</v>
      </c>
      <c r="L1965" s="13">
        <v>41849</v>
      </c>
      <c r="M1965">
        <v>9</v>
      </c>
      <c r="N1965" t="s">
        <v>90</v>
      </c>
      <c r="O1965" t="s">
        <v>3905</v>
      </c>
      <c r="P1965" t="s">
        <v>76</v>
      </c>
      <c r="Q1965" t="s">
        <v>76</v>
      </c>
      <c r="R1965" t="s">
        <v>76</v>
      </c>
      <c r="S1965" t="s">
        <v>76</v>
      </c>
      <c r="T1965" t="s">
        <v>76</v>
      </c>
      <c r="U1965">
        <v>1</v>
      </c>
      <c r="V1965" s="13">
        <v>45175</v>
      </c>
      <c r="W1965">
        <v>1</v>
      </c>
      <c r="X1965">
        <v>1</v>
      </c>
      <c r="Y1965" t="s">
        <v>3712</v>
      </c>
      <c r="AC1965">
        <v>5619</v>
      </c>
      <c r="AD1965" t="e" vm="1955">
        <v>#VALUE!</v>
      </c>
    </row>
    <row r="1966" spans="2:30" x14ac:dyDescent="0.25">
      <c r="B1966">
        <v>5620</v>
      </c>
      <c r="C1966" t="s">
        <v>3646</v>
      </c>
      <c r="D1966" t="s">
        <v>3711</v>
      </c>
      <c r="E1966" t="s">
        <v>3849</v>
      </c>
      <c r="F1966" t="s">
        <v>83</v>
      </c>
      <c r="G1966" t="s">
        <v>103</v>
      </c>
      <c r="H1966" t="s">
        <v>3808</v>
      </c>
      <c r="I1966" t="s">
        <v>3809</v>
      </c>
      <c r="J1966" t="s">
        <v>3810</v>
      </c>
      <c r="K1966" t="s">
        <v>1218</v>
      </c>
      <c r="L1966" s="13">
        <v>41932</v>
      </c>
      <c r="M1966">
        <v>9</v>
      </c>
      <c r="N1966" t="s">
        <v>90</v>
      </c>
      <c r="O1966" t="s">
        <v>3905</v>
      </c>
      <c r="P1966" t="s">
        <v>76</v>
      </c>
      <c r="Q1966" t="s">
        <v>76</v>
      </c>
      <c r="R1966" t="s">
        <v>76</v>
      </c>
      <c r="S1966" t="s">
        <v>76</v>
      </c>
      <c r="T1966" t="s">
        <v>76</v>
      </c>
      <c r="U1966">
        <v>1</v>
      </c>
      <c r="V1966" s="13">
        <v>45175</v>
      </c>
      <c r="W1966">
        <v>1</v>
      </c>
      <c r="X1966">
        <v>1</v>
      </c>
      <c r="Y1966" t="s">
        <v>3712</v>
      </c>
      <c r="AC1966">
        <v>5620</v>
      </c>
      <c r="AD1966" t="e" vm="1956">
        <v>#VALUE!</v>
      </c>
    </row>
    <row r="1967" spans="2:30" x14ac:dyDescent="0.25">
      <c r="B1967">
        <v>5621</v>
      </c>
      <c r="C1967" t="s">
        <v>3646</v>
      </c>
      <c r="D1967" t="s">
        <v>3711</v>
      </c>
      <c r="E1967" t="s">
        <v>3849</v>
      </c>
      <c r="F1967" t="s">
        <v>83</v>
      </c>
      <c r="G1967" t="s">
        <v>103</v>
      </c>
      <c r="H1967" t="s">
        <v>3808</v>
      </c>
      <c r="I1967" t="s">
        <v>3809</v>
      </c>
      <c r="J1967" t="s">
        <v>3810</v>
      </c>
      <c r="K1967" t="s">
        <v>1218</v>
      </c>
      <c r="L1967" s="13">
        <v>41828</v>
      </c>
      <c r="M1967">
        <v>9</v>
      </c>
      <c r="N1967" t="s">
        <v>90</v>
      </c>
      <c r="O1967" t="s">
        <v>3905</v>
      </c>
      <c r="P1967" t="s">
        <v>76</v>
      </c>
      <c r="Q1967" t="s">
        <v>76</v>
      </c>
      <c r="R1967" t="s">
        <v>76</v>
      </c>
      <c r="S1967" t="s">
        <v>76</v>
      </c>
      <c r="T1967" t="s">
        <v>76</v>
      </c>
      <c r="U1967">
        <v>1</v>
      </c>
      <c r="V1967" s="13">
        <v>45175</v>
      </c>
      <c r="W1967">
        <v>1</v>
      </c>
      <c r="X1967">
        <v>1</v>
      </c>
      <c r="Y1967" t="s">
        <v>3712</v>
      </c>
      <c r="AC1967">
        <v>5621</v>
      </c>
      <c r="AD1967" t="e" vm="1957">
        <v>#VALUE!</v>
      </c>
    </row>
    <row r="1968" spans="2:30" x14ac:dyDescent="0.25">
      <c r="B1968">
        <v>5622</v>
      </c>
      <c r="C1968" t="s">
        <v>3646</v>
      </c>
      <c r="D1968" t="s">
        <v>3711</v>
      </c>
      <c r="E1968" t="s">
        <v>3849</v>
      </c>
      <c r="F1968" t="s">
        <v>83</v>
      </c>
      <c r="G1968" t="s">
        <v>103</v>
      </c>
      <c r="H1968" t="s">
        <v>3808</v>
      </c>
      <c r="I1968" t="s">
        <v>3809</v>
      </c>
      <c r="J1968" t="s">
        <v>3810</v>
      </c>
      <c r="K1968" t="s">
        <v>1218</v>
      </c>
      <c r="L1968" s="13">
        <v>41946</v>
      </c>
      <c r="M1968">
        <v>9</v>
      </c>
      <c r="N1968" t="s">
        <v>90</v>
      </c>
      <c r="O1968" t="s">
        <v>3905</v>
      </c>
      <c r="P1968" t="s">
        <v>76</v>
      </c>
      <c r="Q1968" t="s">
        <v>76</v>
      </c>
      <c r="R1968" t="s">
        <v>76</v>
      </c>
      <c r="S1968" t="s">
        <v>76</v>
      </c>
      <c r="T1968" t="s">
        <v>76</v>
      </c>
      <c r="U1968">
        <v>1</v>
      </c>
      <c r="V1968" s="13">
        <v>45175</v>
      </c>
      <c r="W1968">
        <v>1</v>
      </c>
      <c r="X1968">
        <v>1</v>
      </c>
      <c r="Y1968" t="s">
        <v>3712</v>
      </c>
      <c r="AC1968">
        <v>5622</v>
      </c>
      <c r="AD1968" t="e" vm="1958">
        <v>#VALUE!</v>
      </c>
    </row>
    <row r="1969" spans="2:30" x14ac:dyDescent="0.25">
      <c r="B1969">
        <v>5623</v>
      </c>
      <c r="C1969" t="s">
        <v>3646</v>
      </c>
      <c r="D1969" t="s">
        <v>3711</v>
      </c>
      <c r="E1969" t="s">
        <v>3849</v>
      </c>
      <c r="F1969" t="s">
        <v>83</v>
      </c>
      <c r="G1969" t="s">
        <v>103</v>
      </c>
      <c r="H1969" t="s">
        <v>3808</v>
      </c>
      <c r="I1969" t="s">
        <v>3809</v>
      </c>
      <c r="J1969" t="s">
        <v>3810</v>
      </c>
      <c r="K1969" t="s">
        <v>1218</v>
      </c>
      <c r="L1969" s="13">
        <v>41838</v>
      </c>
      <c r="M1969">
        <v>9</v>
      </c>
      <c r="N1969" t="s">
        <v>90</v>
      </c>
      <c r="O1969" t="s">
        <v>3905</v>
      </c>
      <c r="P1969" t="s">
        <v>76</v>
      </c>
      <c r="Q1969" t="s">
        <v>76</v>
      </c>
      <c r="R1969" t="s">
        <v>76</v>
      </c>
      <c r="S1969" t="s">
        <v>76</v>
      </c>
      <c r="T1969" t="s">
        <v>76</v>
      </c>
      <c r="U1969">
        <v>1</v>
      </c>
      <c r="V1969" s="13">
        <v>45175</v>
      </c>
      <c r="W1969">
        <v>1</v>
      </c>
      <c r="X1969">
        <v>1</v>
      </c>
      <c r="Y1969" t="s">
        <v>3712</v>
      </c>
      <c r="AC1969">
        <v>5623</v>
      </c>
      <c r="AD1969" t="e" vm="1959">
        <v>#VALUE!</v>
      </c>
    </row>
    <row r="1970" spans="2:30" x14ac:dyDescent="0.25">
      <c r="B1970">
        <v>5624</v>
      </c>
      <c r="C1970" t="s">
        <v>3646</v>
      </c>
      <c r="D1970" t="s">
        <v>3741</v>
      </c>
      <c r="E1970" t="s">
        <v>3849</v>
      </c>
      <c r="F1970" t="s">
        <v>83</v>
      </c>
      <c r="G1970" t="s">
        <v>109</v>
      </c>
      <c r="H1970" t="s">
        <v>3808</v>
      </c>
      <c r="I1970" t="s">
        <v>3809</v>
      </c>
      <c r="J1970" t="s">
        <v>3810</v>
      </c>
      <c r="K1970" t="s">
        <v>1218</v>
      </c>
      <c r="L1970" s="13">
        <v>41869</v>
      </c>
      <c r="M1970">
        <v>9</v>
      </c>
      <c r="N1970" t="s">
        <v>90</v>
      </c>
      <c r="O1970" t="s">
        <v>3905</v>
      </c>
      <c r="P1970" t="s">
        <v>76</v>
      </c>
      <c r="Q1970" t="s">
        <v>76</v>
      </c>
      <c r="R1970" t="s">
        <v>76</v>
      </c>
      <c r="S1970" t="s">
        <v>76</v>
      </c>
      <c r="T1970" t="s">
        <v>76</v>
      </c>
      <c r="U1970">
        <v>1</v>
      </c>
      <c r="V1970" s="13">
        <v>45175</v>
      </c>
      <c r="W1970">
        <v>1</v>
      </c>
      <c r="X1970">
        <v>1</v>
      </c>
      <c r="Y1970" t="s">
        <v>3742</v>
      </c>
      <c r="AC1970">
        <v>5624</v>
      </c>
      <c r="AD1970" t="e" vm="1960">
        <v>#VALUE!</v>
      </c>
    </row>
    <row r="1971" spans="2:30" x14ac:dyDescent="0.25">
      <c r="B1971">
        <v>5625</v>
      </c>
      <c r="C1971" t="s">
        <v>3646</v>
      </c>
      <c r="D1971" t="s">
        <v>3741</v>
      </c>
      <c r="E1971" t="s">
        <v>3849</v>
      </c>
      <c r="F1971" t="s">
        <v>83</v>
      </c>
      <c r="G1971" t="s">
        <v>109</v>
      </c>
      <c r="H1971" t="s">
        <v>3808</v>
      </c>
      <c r="I1971" t="s">
        <v>3809</v>
      </c>
      <c r="J1971" t="s">
        <v>3810</v>
      </c>
      <c r="K1971" t="s">
        <v>1218</v>
      </c>
      <c r="L1971" s="13">
        <v>41865</v>
      </c>
      <c r="M1971">
        <v>9</v>
      </c>
      <c r="N1971" t="s">
        <v>90</v>
      </c>
      <c r="O1971" t="s">
        <v>3905</v>
      </c>
      <c r="P1971" t="s">
        <v>76</v>
      </c>
      <c r="Q1971" t="s">
        <v>76</v>
      </c>
      <c r="R1971" t="s">
        <v>76</v>
      </c>
      <c r="S1971" t="s">
        <v>76</v>
      </c>
      <c r="T1971" t="s">
        <v>76</v>
      </c>
      <c r="U1971">
        <v>1</v>
      </c>
      <c r="V1971" s="13">
        <v>45175</v>
      </c>
      <c r="W1971">
        <v>1</v>
      </c>
      <c r="X1971">
        <v>1</v>
      </c>
      <c r="Y1971" t="s">
        <v>3742</v>
      </c>
      <c r="AC1971">
        <v>5625</v>
      </c>
      <c r="AD1971" t="e" vm="1961">
        <v>#VALUE!</v>
      </c>
    </row>
    <row r="1972" spans="2:30" x14ac:dyDescent="0.25">
      <c r="B1972">
        <v>5626</v>
      </c>
      <c r="C1972" t="s">
        <v>3646</v>
      </c>
      <c r="D1972" t="s">
        <v>3741</v>
      </c>
      <c r="E1972" t="s">
        <v>3849</v>
      </c>
      <c r="F1972" t="s">
        <v>83</v>
      </c>
      <c r="G1972" t="s">
        <v>109</v>
      </c>
      <c r="H1972" t="s">
        <v>3808</v>
      </c>
      <c r="I1972" t="s">
        <v>3809</v>
      </c>
      <c r="J1972" t="s">
        <v>3810</v>
      </c>
      <c r="K1972" t="s">
        <v>1218</v>
      </c>
      <c r="L1972" s="13">
        <v>41891</v>
      </c>
      <c r="M1972">
        <v>9</v>
      </c>
      <c r="N1972" t="s">
        <v>90</v>
      </c>
      <c r="O1972" t="s">
        <v>3905</v>
      </c>
      <c r="P1972" t="s">
        <v>76</v>
      </c>
      <c r="Q1972" t="s">
        <v>76</v>
      </c>
      <c r="R1972" t="s">
        <v>76</v>
      </c>
      <c r="S1972" t="s">
        <v>76</v>
      </c>
      <c r="T1972" t="s">
        <v>76</v>
      </c>
      <c r="U1972">
        <v>1</v>
      </c>
      <c r="V1972" s="13">
        <v>45175</v>
      </c>
      <c r="W1972">
        <v>1</v>
      </c>
      <c r="X1972">
        <v>1</v>
      </c>
      <c r="Y1972" t="s">
        <v>3742</v>
      </c>
      <c r="AC1972">
        <v>5626</v>
      </c>
      <c r="AD1972" t="e" vm="1962">
        <v>#VALUE!</v>
      </c>
    </row>
    <row r="1973" spans="2:30" x14ac:dyDescent="0.25">
      <c r="B1973">
        <v>5627</v>
      </c>
      <c r="C1973" t="s">
        <v>3646</v>
      </c>
      <c r="D1973" t="s">
        <v>3741</v>
      </c>
      <c r="E1973" t="s">
        <v>3849</v>
      </c>
      <c r="F1973" t="s">
        <v>83</v>
      </c>
      <c r="G1973" t="s">
        <v>109</v>
      </c>
      <c r="H1973" t="s">
        <v>3808</v>
      </c>
      <c r="I1973" t="s">
        <v>3809</v>
      </c>
      <c r="J1973" t="s">
        <v>3810</v>
      </c>
      <c r="K1973" t="s">
        <v>1218</v>
      </c>
      <c r="L1973" s="13">
        <v>41850</v>
      </c>
      <c r="M1973">
        <v>9</v>
      </c>
      <c r="N1973" t="s">
        <v>90</v>
      </c>
      <c r="O1973" t="s">
        <v>3905</v>
      </c>
      <c r="P1973" t="s">
        <v>76</v>
      </c>
      <c r="Q1973" t="s">
        <v>76</v>
      </c>
      <c r="R1973" t="s">
        <v>76</v>
      </c>
      <c r="S1973" t="s">
        <v>76</v>
      </c>
      <c r="T1973" t="s">
        <v>76</v>
      </c>
      <c r="U1973">
        <v>1</v>
      </c>
      <c r="V1973" s="13">
        <v>45175</v>
      </c>
      <c r="W1973">
        <v>1</v>
      </c>
      <c r="X1973">
        <v>1</v>
      </c>
      <c r="Y1973" t="s">
        <v>3742</v>
      </c>
      <c r="AC1973">
        <v>5627</v>
      </c>
      <c r="AD1973" t="e" vm="1963">
        <v>#VALUE!</v>
      </c>
    </row>
    <row r="1974" spans="2:30" x14ac:dyDescent="0.25">
      <c r="B1974">
        <v>5628</v>
      </c>
      <c r="C1974" t="s">
        <v>3646</v>
      </c>
      <c r="D1974" t="s">
        <v>3743</v>
      </c>
      <c r="E1974" t="s">
        <v>3849</v>
      </c>
      <c r="F1974" t="s">
        <v>83</v>
      </c>
      <c r="G1974" t="s">
        <v>113</v>
      </c>
      <c r="H1974" t="s">
        <v>3808</v>
      </c>
      <c r="I1974" t="s">
        <v>3809</v>
      </c>
      <c r="J1974" t="s">
        <v>3810</v>
      </c>
      <c r="K1974" t="s">
        <v>1218</v>
      </c>
      <c r="L1974" s="13">
        <v>41842</v>
      </c>
      <c r="M1974">
        <v>9</v>
      </c>
      <c r="N1974" t="s">
        <v>90</v>
      </c>
      <c r="O1974" t="s">
        <v>3905</v>
      </c>
      <c r="P1974" t="s">
        <v>76</v>
      </c>
      <c r="Q1974" t="s">
        <v>76</v>
      </c>
      <c r="R1974" t="s">
        <v>76</v>
      </c>
      <c r="S1974" t="s">
        <v>76</v>
      </c>
      <c r="T1974" t="s">
        <v>76</v>
      </c>
      <c r="U1974">
        <v>1</v>
      </c>
      <c r="V1974" s="13">
        <v>45175</v>
      </c>
      <c r="W1974">
        <v>1</v>
      </c>
      <c r="X1974">
        <v>1</v>
      </c>
      <c r="Y1974" t="s">
        <v>3744</v>
      </c>
      <c r="AC1974">
        <v>5628</v>
      </c>
      <c r="AD1974" t="e" vm="1964">
        <v>#VALUE!</v>
      </c>
    </row>
    <row r="1975" spans="2:30" x14ac:dyDescent="0.25">
      <c r="B1975">
        <v>5629</v>
      </c>
      <c r="C1975" t="s">
        <v>3646</v>
      </c>
      <c r="D1975" t="s">
        <v>3743</v>
      </c>
      <c r="E1975" t="s">
        <v>3849</v>
      </c>
      <c r="F1975" t="s">
        <v>83</v>
      </c>
      <c r="G1975" t="s">
        <v>113</v>
      </c>
      <c r="H1975" t="s">
        <v>3808</v>
      </c>
      <c r="I1975" t="s">
        <v>3809</v>
      </c>
      <c r="J1975" t="s">
        <v>3810</v>
      </c>
      <c r="K1975" t="s">
        <v>1218</v>
      </c>
      <c r="L1975" s="13">
        <v>41828</v>
      </c>
      <c r="M1975">
        <v>9</v>
      </c>
      <c r="N1975" t="s">
        <v>90</v>
      </c>
      <c r="O1975" t="s">
        <v>3905</v>
      </c>
      <c r="P1975" t="s">
        <v>76</v>
      </c>
      <c r="Q1975" t="s">
        <v>76</v>
      </c>
      <c r="R1975" t="s">
        <v>76</v>
      </c>
      <c r="S1975" t="s">
        <v>76</v>
      </c>
      <c r="T1975" t="s">
        <v>76</v>
      </c>
      <c r="U1975">
        <v>1</v>
      </c>
      <c r="V1975" s="13">
        <v>45175</v>
      </c>
      <c r="W1975">
        <v>1</v>
      </c>
      <c r="X1975">
        <v>1</v>
      </c>
      <c r="Y1975" t="s">
        <v>3744</v>
      </c>
      <c r="AC1975">
        <v>5629</v>
      </c>
      <c r="AD1975" t="e" vm="1965">
        <v>#VALUE!</v>
      </c>
    </row>
    <row r="1976" spans="2:30" x14ac:dyDescent="0.25">
      <c r="B1976">
        <v>5630</v>
      </c>
      <c r="C1976" t="s">
        <v>3646</v>
      </c>
      <c r="D1976" t="s">
        <v>3743</v>
      </c>
      <c r="E1976" t="s">
        <v>3849</v>
      </c>
      <c r="F1976" t="s">
        <v>83</v>
      </c>
      <c r="G1976" t="s">
        <v>113</v>
      </c>
      <c r="H1976" t="s">
        <v>3808</v>
      </c>
      <c r="I1976" t="s">
        <v>3809</v>
      </c>
      <c r="J1976" t="s">
        <v>3810</v>
      </c>
      <c r="K1976" t="s">
        <v>1218</v>
      </c>
      <c r="L1976" s="13">
        <v>41865</v>
      </c>
      <c r="M1976">
        <v>9</v>
      </c>
      <c r="N1976" t="s">
        <v>90</v>
      </c>
      <c r="O1976" t="s">
        <v>3905</v>
      </c>
      <c r="P1976" t="s">
        <v>76</v>
      </c>
      <c r="Q1976" t="s">
        <v>76</v>
      </c>
      <c r="R1976" t="s">
        <v>76</v>
      </c>
      <c r="S1976" t="s">
        <v>76</v>
      </c>
      <c r="T1976" t="s">
        <v>76</v>
      </c>
      <c r="U1976">
        <v>1</v>
      </c>
      <c r="V1976" s="13">
        <v>45175</v>
      </c>
      <c r="W1976">
        <v>1</v>
      </c>
      <c r="X1976">
        <v>1</v>
      </c>
      <c r="Y1976" t="s">
        <v>3744</v>
      </c>
      <c r="AC1976">
        <v>5630</v>
      </c>
      <c r="AD1976" t="e" vm="1966">
        <v>#VALUE!</v>
      </c>
    </row>
    <row r="1977" spans="2:30" x14ac:dyDescent="0.25">
      <c r="B1977">
        <v>5631</v>
      </c>
      <c r="C1977" t="s">
        <v>3646</v>
      </c>
      <c r="D1977" t="s">
        <v>3743</v>
      </c>
      <c r="E1977" t="s">
        <v>3849</v>
      </c>
      <c r="F1977" t="s">
        <v>83</v>
      </c>
      <c r="G1977" t="s">
        <v>113</v>
      </c>
      <c r="H1977" t="s">
        <v>3808</v>
      </c>
      <c r="I1977" t="s">
        <v>3809</v>
      </c>
      <c r="J1977" t="s">
        <v>3810</v>
      </c>
      <c r="K1977" t="s">
        <v>1218</v>
      </c>
      <c r="L1977" s="13">
        <v>41843</v>
      </c>
      <c r="M1977">
        <v>9</v>
      </c>
      <c r="N1977" t="s">
        <v>90</v>
      </c>
      <c r="O1977" t="s">
        <v>3905</v>
      </c>
      <c r="P1977" t="s">
        <v>76</v>
      </c>
      <c r="Q1977" t="s">
        <v>76</v>
      </c>
      <c r="R1977" t="s">
        <v>76</v>
      </c>
      <c r="S1977" t="s">
        <v>76</v>
      </c>
      <c r="T1977" t="s">
        <v>76</v>
      </c>
      <c r="U1977">
        <v>1</v>
      </c>
      <c r="V1977" s="13">
        <v>45175</v>
      </c>
      <c r="W1977">
        <v>1</v>
      </c>
      <c r="X1977">
        <v>1</v>
      </c>
      <c r="Y1977" t="s">
        <v>3744</v>
      </c>
      <c r="AC1977">
        <v>5631</v>
      </c>
      <c r="AD1977" t="e" vm="1967">
        <v>#VALUE!</v>
      </c>
    </row>
    <row r="1978" spans="2:30" x14ac:dyDescent="0.25">
      <c r="B1978">
        <v>5632</v>
      </c>
      <c r="C1978" t="s">
        <v>3646</v>
      </c>
      <c r="D1978" t="s">
        <v>3743</v>
      </c>
      <c r="E1978" t="s">
        <v>3849</v>
      </c>
      <c r="F1978" t="s">
        <v>83</v>
      </c>
      <c r="G1978" t="s">
        <v>113</v>
      </c>
      <c r="H1978" t="s">
        <v>3808</v>
      </c>
      <c r="I1978" t="s">
        <v>3809</v>
      </c>
      <c r="J1978" t="s">
        <v>3810</v>
      </c>
      <c r="K1978" t="s">
        <v>1218</v>
      </c>
      <c r="L1978" s="13">
        <v>41853</v>
      </c>
      <c r="M1978">
        <v>9</v>
      </c>
      <c r="N1978" t="s">
        <v>90</v>
      </c>
      <c r="O1978" t="s">
        <v>3905</v>
      </c>
      <c r="P1978" t="s">
        <v>76</v>
      </c>
      <c r="Q1978" t="s">
        <v>76</v>
      </c>
      <c r="R1978" t="s">
        <v>76</v>
      </c>
      <c r="S1978" t="s">
        <v>76</v>
      </c>
      <c r="T1978" t="s">
        <v>76</v>
      </c>
      <c r="U1978">
        <v>1</v>
      </c>
      <c r="V1978" s="13">
        <v>45175</v>
      </c>
      <c r="W1978">
        <v>1</v>
      </c>
      <c r="X1978">
        <v>1</v>
      </c>
      <c r="Y1978" t="s">
        <v>3744</v>
      </c>
      <c r="AC1978">
        <v>5632</v>
      </c>
      <c r="AD1978" t="e" vm="1968">
        <v>#VALUE!</v>
      </c>
    </row>
    <row r="1979" spans="2:30" x14ac:dyDescent="0.25">
      <c r="B1979">
        <v>5633</v>
      </c>
      <c r="C1979" t="s">
        <v>3646</v>
      </c>
      <c r="D1979" t="s">
        <v>3743</v>
      </c>
      <c r="E1979" t="s">
        <v>3849</v>
      </c>
      <c r="F1979" t="s">
        <v>83</v>
      </c>
      <c r="G1979" t="s">
        <v>113</v>
      </c>
      <c r="H1979" t="s">
        <v>3808</v>
      </c>
      <c r="I1979" t="s">
        <v>3809</v>
      </c>
      <c r="J1979" t="s">
        <v>3810</v>
      </c>
      <c r="K1979" t="s">
        <v>1218</v>
      </c>
      <c r="L1979" s="13">
        <v>41645</v>
      </c>
      <c r="M1979">
        <v>10</v>
      </c>
      <c r="N1979" t="s">
        <v>90</v>
      </c>
      <c r="O1979" t="s">
        <v>3905</v>
      </c>
      <c r="P1979" t="s">
        <v>76</v>
      </c>
      <c r="Q1979" t="s">
        <v>76</v>
      </c>
      <c r="R1979" t="s">
        <v>76</v>
      </c>
      <c r="S1979" t="s">
        <v>76</v>
      </c>
      <c r="T1979" t="s">
        <v>76</v>
      </c>
      <c r="U1979">
        <v>1</v>
      </c>
      <c r="V1979" s="13">
        <v>45175</v>
      </c>
      <c r="W1979">
        <v>1</v>
      </c>
      <c r="X1979">
        <v>1</v>
      </c>
      <c r="Y1979" t="s">
        <v>3744</v>
      </c>
      <c r="AC1979">
        <v>5633</v>
      </c>
      <c r="AD1979" t="e" vm="1969">
        <v>#VALUE!</v>
      </c>
    </row>
    <row r="1980" spans="2:30" x14ac:dyDescent="0.25">
      <c r="B1980">
        <v>5634</v>
      </c>
      <c r="C1980" t="s">
        <v>3646</v>
      </c>
      <c r="D1980" t="s">
        <v>3743</v>
      </c>
      <c r="E1980" t="s">
        <v>3849</v>
      </c>
      <c r="F1980" t="s">
        <v>83</v>
      </c>
      <c r="G1980" t="s">
        <v>113</v>
      </c>
      <c r="H1980" t="s">
        <v>3808</v>
      </c>
      <c r="I1980" t="s">
        <v>3809</v>
      </c>
      <c r="J1980" t="s">
        <v>3810</v>
      </c>
      <c r="K1980" t="s">
        <v>1218</v>
      </c>
      <c r="L1980" s="13">
        <v>41956</v>
      </c>
      <c r="M1980">
        <v>9</v>
      </c>
      <c r="N1980" t="s">
        <v>90</v>
      </c>
      <c r="O1980" t="s">
        <v>3905</v>
      </c>
      <c r="P1980" t="s">
        <v>76</v>
      </c>
      <c r="Q1980" t="s">
        <v>76</v>
      </c>
      <c r="R1980" t="s">
        <v>76</v>
      </c>
      <c r="S1980" t="s">
        <v>76</v>
      </c>
      <c r="T1980" t="s">
        <v>76</v>
      </c>
      <c r="U1980">
        <v>1</v>
      </c>
      <c r="V1980" s="13">
        <v>45175</v>
      </c>
      <c r="W1980">
        <v>1</v>
      </c>
      <c r="X1980">
        <v>1</v>
      </c>
      <c r="Y1980" t="s">
        <v>3744</v>
      </c>
      <c r="AC1980">
        <v>5634</v>
      </c>
      <c r="AD1980" t="e" vm="1970">
        <v>#VALUE!</v>
      </c>
    </row>
    <row r="1981" spans="2:30" x14ac:dyDescent="0.25">
      <c r="B1981">
        <v>5635</v>
      </c>
      <c r="C1981" t="s">
        <v>3646</v>
      </c>
      <c r="D1981" t="s">
        <v>3743</v>
      </c>
      <c r="E1981" t="s">
        <v>3849</v>
      </c>
      <c r="F1981" t="s">
        <v>83</v>
      </c>
      <c r="G1981" t="s">
        <v>113</v>
      </c>
      <c r="H1981" t="s">
        <v>3808</v>
      </c>
      <c r="I1981" t="s">
        <v>3809</v>
      </c>
      <c r="J1981" t="s">
        <v>3810</v>
      </c>
      <c r="K1981" t="s">
        <v>1218</v>
      </c>
      <c r="L1981" s="13">
        <v>41857</v>
      </c>
      <c r="M1981">
        <v>9</v>
      </c>
      <c r="N1981" t="s">
        <v>90</v>
      </c>
      <c r="O1981" t="s">
        <v>3905</v>
      </c>
      <c r="P1981" t="s">
        <v>76</v>
      </c>
      <c r="Q1981" t="s">
        <v>76</v>
      </c>
      <c r="R1981" t="s">
        <v>76</v>
      </c>
      <c r="S1981" t="s">
        <v>76</v>
      </c>
      <c r="T1981" t="s">
        <v>76</v>
      </c>
      <c r="U1981">
        <v>1</v>
      </c>
      <c r="V1981" s="13">
        <v>45175</v>
      </c>
      <c r="W1981">
        <v>1</v>
      </c>
      <c r="X1981">
        <v>1</v>
      </c>
      <c r="Y1981" t="s">
        <v>3744</v>
      </c>
      <c r="AC1981">
        <v>5635</v>
      </c>
      <c r="AD1981" t="e" vm="1971">
        <v>#VALUE!</v>
      </c>
    </row>
    <row r="1982" spans="2:30" x14ac:dyDescent="0.25">
      <c r="B1982">
        <v>5636</v>
      </c>
      <c r="C1982" t="s">
        <v>3646</v>
      </c>
      <c r="D1982" t="s">
        <v>3743</v>
      </c>
      <c r="E1982" t="s">
        <v>3849</v>
      </c>
      <c r="F1982" t="s">
        <v>83</v>
      </c>
      <c r="G1982" t="s">
        <v>113</v>
      </c>
      <c r="H1982" t="s">
        <v>3808</v>
      </c>
      <c r="I1982" t="s">
        <v>3809</v>
      </c>
      <c r="J1982" t="s">
        <v>3810</v>
      </c>
      <c r="K1982" t="s">
        <v>1218</v>
      </c>
      <c r="L1982" s="13">
        <v>41946</v>
      </c>
      <c r="M1982">
        <v>9</v>
      </c>
      <c r="N1982" t="s">
        <v>90</v>
      </c>
      <c r="O1982" t="s">
        <v>3905</v>
      </c>
      <c r="P1982" t="s">
        <v>76</v>
      </c>
      <c r="Q1982" t="s">
        <v>76</v>
      </c>
      <c r="R1982" t="s">
        <v>76</v>
      </c>
      <c r="S1982" t="s">
        <v>76</v>
      </c>
      <c r="T1982" t="s">
        <v>76</v>
      </c>
      <c r="U1982">
        <v>1</v>
      </c>
      <c r="V1982" s="13">
        <v>45175</v>
      </c>
      <c r="W1982">
        <v>1</v>
      </c>
      <c r="X1982">
        <v>1</v>
      </c>
      <c r="Y1982" t="s">
        <v>3744</v>
      </c>
      <c r="AC1982">
        <v>5636</v>
      </c>
      <c r="AD1982" t="e" vm="1972">
        <v>#VALUE!</v>
      </c>
    </row>
    <row r="1983" spans="2:30" x14ac:dyDescent="0.25">
      <c r="B1983">
        <v>5637</v>
      </c>
      <c r="C1983" t="s">
        <v>3646</v>
      </c>
      <c r="D1983" t="s">
        <v>3713</v>
      </c>
      <c r="E1983" t="s">
        <v>3849</v>
      </c>
      <c r="F1983" t="s">
        <v>83</v>
      </c>
      <c r="G1983" t="s">
        <v>107</v>
      </c>
      <c r="H1983" t="s">
        <v>3808</v>
      </c>
      <c r="I1983" t="s">
        <v>3809</v>
      </c>
      <c r="J1983" t="s">
        <v>3810</v>
      </c>
      <c r="K1983" t="s">
        <v>1218</v>
      </c>
      <c r="L1983" s="13">
        <v>41977</v>
      </c>
      <c r="M1983">
        <v>9</v>
      </c>
      <c r="N1983" t="s">
        <v>90</v>
      </c>
      <c r="O1983" t="s">
        <v>3905</v>
      </c>
      <c r="P1983" t="s">
        <v>76</v>
      </c>
      <c r="Q1983" t="s">
        <v>76</v>
      </c>
      <c r="R1983" t="s">
        <v>76</v>
      </c>
      <c r="S1983" t="s">
        <v>76</v>
      </c>
      <c r="T1983" t="s">
        <v>76</v>
      </c>
      <c r="U1983">
        <v>1</v>
      </c>
      <c r="V1983" s="13">
        <v>45175</v>
      </c>
      <c r="W1983">
        <v>1</v>
      </c>
      <c r="X1983">
        <v>1</v>
      </c>
      <c r="Y1983" t="s">
        <v>3714</v>
      </c>
      <c r="AC1983">
        <v>5637</v>
      </c>
      <c r="AD1983" t="e" vm="1973">
        <v>#VALUE!</v>
      </c>
    </row>
    <row r="1984" spans="2:30" x14ac:dyDescent="0.25">
      <c r="B1984">
        <v>5638</v>
      </c>
      <c r="C1984" t="s">
        <v>3646</v>
      </c>
      <c r="D1984" t="s">
        <v>3713</v>
      </c>
      <c r="E1984" t="s">
        <v>3849</v>
      </c>
      <c r="F1984" t="s">
        <v>83</v>
      </c>
      <c r="G1984" t="s">
        <v>107</v>
      </c>
      <c r="H1984" t="s">
        <v>3808</v>
      </c>
      <c r="I1984" t="s">
        <v>3809</v>
      </c>
      <c r="J1984" t="s">
        <v>3810</v>
      </c>
      <c r="K1984" t="s">
        <v>1218</v>
      </c>
      <c r="L1984" s="13">
        <v>41956</v>
      </c>
      <c r="M1984">
        <v>9</v>
      </c>
      <c r="N1984" t="s">
        <v>90</v>
      </c>
      <c r="O1984" t="s">
        <v>3905</v>
      </c>
      <c r="P1984" t="s">
        <v>76</v>
      </c>
      <c r="Q1984" t="s">
        <v>76</v>
      </c>
      <c r="R1984" t="s">
        <v>76</v>
      </c>
      <c r="S1984" t="s">
        <v>76</v>
      </c>
      <c r="T1984" t="s">
        <v>76</v>
      </c>
      <c r="U1984">
        <v>1</v>
      </c>
      <c r="V1984" s="13">
        <v>45175</v>
      </c>
      <c r="W1984">
        <v>1</v>
      </c>
      <c r="X1984">
        <v>1</v>
      </c>
      <c r="Y1984" t="s">
        <v>3714</v>
      </c>
      <c r="AC1984">
        <v>5638</v>
      </c>
      <c r="AD1984" t="e" vm="1974">
        <v>#VALUE!</v>
      </c>
    </row>
    <row r="1985" spans="2:30" x14ac:dyDescent="0.25">
      <c r="B1985">
        <v>5639</v>
      </c>
      <c r="C1985" t="s">
        <v>3646</v>
      </c>
      <c r="D1985" t="s">
        <v>3713</v>
      </c>
      <c r="E1985" t="s">
        <v>3849</v>
      </c>
      <c r="F1985" t="s">
        <v>83</v>
      </c>
      <c r="G1985" t="s">
        <v>107</v>
      </c>
      <c r="H1985" t="s">
        <v>3808</v>
      </c>
      <c r="I1985" t="s">
        <v>3809</v>
      </c>
      <c r="J1985" t="s">
        <v>3810</v>
      </c>
      <c r="K1985" t="s">
        <v>1218</v>
      </c>
      <c r="L1985" s="13">
        <v>41970</v>
      </c>
      <c r="M1985">
        <v>9</v>
      </c>
      <c r="N1985" t="s">
        <v>90</v>
      </c>
      <c r="O1985" t="s">
        <v>3905</v>
      </c>
      <c r="P1985" t="s">
        <v>76</v>
      </c>
      <c r="Q1985" t="s">
        <v>76</v>
      </c>
      <c r="R1985" t="s">
        <v>76</v>
      </c>
      <c r="S1985" t="s">
        <v>76</v>
      </c>
      <c r="T1985" t="s">
        <v>76</v>
      </c>
      <c r="U1985">
        <v>1</v>
      </c>
      <c r="V1985" s="13">
        <v>45175</v>
      </c>
      <c r="W1985">
        <v>1</v>
      </c>
      <c r="X1985">
        <v>1</v>
      </c>
      <c r="Y1985" t="s">
        <v>3714</v>
      </c>
      <c r="AC1985">
        <v>5639</v>
      </c>
      <c r="AD1985" t="e" vm="1975">
        <v>#VALUE!</v>
      </c>
    </row>
    <row r="1986" spans="2:30" x14ac:dyDescent="0.25">
      <c r="B1986">
        <v>5640</v>
      </c>
      <c r="C1986" t="s">
        <v>3646</v>
      </c>
      <c r="D1986" t="s">
        <v>3713</v>
      </c>
      <c r="E1986" t="s">
        <v>3849</v>
      </c>
      <c r="F1986" t="s">
        <v>83</v>
      </c>
      <c r="G1986" t="s">
        <v>107</v>
      </c>
      <c r="H1986" t="s">
        <v>3808</v>
      </c>
      <c r="I1986" t="s">
        <v>3809</v>
      </c>
      <c r="J1986" t="s">
        <v>3810</v>
      </c>
      <c r="K1986" t="s">
        <v>1218</v>
      </c>
      <c r="L1986" s="13">
        <v>41991</v>
      </c>
      <c r="M1986">
        <v>9</v>
      </c>
      <c r="N1986" t="s">
        <v>90</v>
      </c>
      <c r="O1986" t="s">
        <v>3905</v>
      </c>
      <c r="P1986" t="s">
        <v>76</v>
      </c>
      <c r="Q1986" t="s">
        <v>76</v>
      </c>
      <c r="R1986" t="s">
        <v>76</v>
      </c>
      <c r="S1986" t="s">
        <v>76</v>
      </c>
      <c r="T1986" t="s">
        <v>76</v>
      </c>
      <c r="U1986">
        <v>1</v>
      </c>
      <c r="V1986" s="13">
        <v>45175</v>
      </c>
      <c r="W1986">
        <v>1</v>
      </c>
      <c r="X1986">
        <v>1</v>
      </c>
      <c r="Y1986" t="s">
        <v>3714</v>
      </c>
      <c r="AC1986">
        <v>5640</v>
      </c>
      <c r="AD1986" t="e" vm="1976">
        <v>#VALUE!</v>
      </c>
    </row>
    <row r="1987" spans="2:30" x14ac:dyDescent="0.25">
      <c r="B1987">
        <v>5641</v>
      </c>
      <c r="C1987" t="s">
        <v>3646</v>
      </c>
      <c r="D1987" t="s">
        <v>3713</v>
      </c>
      <c r="E1987" t="s">
        <v>3849</v>
      </c>
      <c r="F1987" t="s">
        <v>83</v>
      </c>
      <c r="G1987" t="s">
        <v>107</v>
      </c>
      <c r="H1987" t="s">
        <v>3808</v>
      </c>
      <c r="I1987" t="s">
        <v>3809</v>
      </c>
      <c r="J1987" t="s">
        <v>3810</v>
      </c>
      <c r="K1987" t="s">
        <v>1218</v>
      </c>
      <c r="L1987" s="13">
        <v>41969</v>
      </c>
      <c r="M1987">
        <v>9</v>
      </c>
      <c r="N1987" t="s">
        <v>90</v>
      </c>
      <c r="O1987" t="s">
        <v>3905</v>
      </c>
      <c r="P1987" t="s">
        <v>76</v>
      </c>
      <c r="Q1987" t="s">
        <v>76</v>
      </c>
      <c r="R1987" t="s">
        <v>76</v>
      </c>
      <c r="S1987" t="s">
        <v>76</v>
      </c>
      <c r="T1987" t="s">
        <v>76</v>
      </c>
      <c r="U1987">
        <v>1</v>
      </c>
      <c r="V1987" s="13">
        <v>45175</v>
      </c>
      <c r="W1987">
        <v>1</v>
      </c>
      <c r="X1987">
        <v>1</v>
      </c>
      <c r="Y1987" t="s">
        <v>3714</v>
      </c>
      <c r="AC1987">
        <v>5641</v>
      </c>
      <c r="AD1987" t="e" vm="1977">
        <v>#VALUE!</v>
      </c>
    </row>
    <row r="1988" spans="2:30" x14ac:dyDescent="0.25">
      <c r="B1988">
        <v>5642</v>
      </c>
      <c r="C1988" t="s">
        <v>3662</v>
      </c>
      <c r="D1988" t="s">
        <v>3751</v>
      </c>
      <c r="E1988" t="s">
        <v>3903</v>
      </c>
      <c r="F1988" t="s">
        <v>115</v>
      </c>
      <c r="G1988" t="s">
        <v>108</v>
      </c>
      <c r="H1988" t="s">
        <v>3808</v>
      </c>
      <c r="I1988" t="s">
        <v>3809</v>
      </c>
      <c r="J1988" t="s">
        <v>3810</v>
      </c>
      <c r="K1988" t="s">
        <v>1218</v>
      </c>
      <c r="L1988" s="13">
        <v>41971</v>
      </c>
      <c r="M1988">
        <v>9</v>
      </c>
      <c r="N1988" t="s">
        <v>79</v>
      </c>
      <c r="O1988" t="s">
        <v>3905</v>
      </c>
      <c r="P1988" t="s">
        <v>76</v>
      </c>
      <c r="Q1988" t="s">
        <v>76</v>
      </c>
      <c r="R1988" t="s">
        <v>76</v>
      </c>
      <c r="S1988" t="s">
        <v>76</v>
      </c>
      <c r="T1988" t="s">
        <v>76</v>
      </c>
      <c r="U1988">
        <v>1</v>
      </c>
      <c r="V1988" s="13">
        <v>45175</v>
      </c>
      <c r="W1988">
        <v>1</v>
      </c>
      <c r="X1988">
        <v>1</v>
      </c>
      <c r="Y1988" t="s">
        <v>3752</v>
      </c>
      <c r="AC1988">
        <v>5642</v>
      </c>
      <c r="AD1988" t="e" vm="1978">
        <v>#VALUE!</v>
      </c>
    </row>
    <row r="1989" spans="2:30" x14ac:dyDescent="0.25">
      <c r="B1989">
        <v>5643</v>
      </c>
      <c r="C1989" t="s">
        <v>3662</v>
      </c>
      <c r="D1989" t="s">
        <v>3751</v>
      </c>
      <c r="E1989" t="s">
        <v>3903</v>
      </c>
      <c r="F1989" t="s">
        <v>115</v>
      </c>
      <c r="G1989" t="s">
        <v>108</v>
      </c>
      <c r="H1989" t="s">
        <v>3808</v>
      </c>
      <c r="I1989" t="s">
        <v>3809</v>
      </c>
      <c r="J1989" t="s">
        <v>3810</v>
      </c>
      <c r="K1989" t="s">
        <v>1218</v>
      </c>
      <c r="L1989" s="13">
        <v>42037</v>
      </c>
      <c r="M1989">
        <v>9</v>
      </c>
      <c r="N1989" t="s">
        <v>79</v>
      </c>
      <c r="O1989" t="s">
        <v>3905</v>
      </c>
      <c r="P1989" t="s">
        <v>76</v>
      </c>
      <c r="Q1989" t="s">
        <v>76</v>
      </c>
      <c r="R1989" t="s">
        <v>76</v>
      </c>
      <c r="S1989" t="s">
        <v>76</v>
      </c>
      <c r="T1989" t="s">
        <v>76</v>
      </c>
      <c r="U1989">
        <v>1</v>
      </c>
      <c r="V1989" s="13">
        <v>45175</v>
      </c>
      <c r="W1989">
        <v>1</v>
      </c>
      <c r="X1989">
        <v>1</v>
      </c>
      <c r="Y1989" t="s">
        <v>3752</v>
      </c>
      <c r="AC1989">
        <v>5643</v>
      </c>
      <c r="AD1989" t="e" vm="1979">
        <v>#VALUE!</v>
      </c>
    </row>
    <row r="1990" spans="2:30" x14ac:dyDescent="0.25">
      <c r="B1990">
        <v>5644</v>
      </c>
      <c r="C1990" t="s">
        <v>3646</v>
      </c>
      <c r="D1990" t="s">
        <v>3711</v>
      </c>
      <c r="E1990" t="s">
        <v>3849</v>
      </c>
      <c r="F1990" t="s">
        <v>83</v>
      </c>
      <c r="G1990" t="s">
        <v>103</v>
      </c>
      <c r="H1990" t="s">
        <v>3808</v>
      </c>
      <c r="I1990" t="s">
        <v>3809</v>
      </c>
      <c r="J1990" t="s">
        <v>3810</v>
      </c>
      <c r="K1990" t="s">
        <v>1218</v>
      </c>
      <c r="L1990" s="13">
        <v>42010</v>
      </c>
      <c r="M1990">
        <v>9</v>
      </c>
      <c r="N1990" t="s">
        <v>90</v>
      </c>
      <c r="O1990" t="s">
        <v>3905</v>
      </c>
      <c r="P1990" t="s">
        <v>76</v>
      </c>
      <c r="Q1990" t="s">
        <v>76</v>
      </c>
      <c r="R1990" t="s">
        <v>76</v>
      </c>
      <c r="S1990" t="s">
        <v>76</v>
      </c>
      <c r="T1990" t="s">
        <v>76</v>
      </c>
      <c r="U1990">
        <v>1</v>
      </c>
      <c r="V1990" s="13">
        <v>45175</v>
      </c>
      <c r="W1990">
        <v>1</v>
      </c>
      <c r="X1990">
        <v>1</v>
      </c>
      <c r="Y1990" t="s">
        <v>3712</v>
      </c>
      <c r="AC1990">
        <v>5644</v>
      </c>
      <c r="AD1990" t="e" vm="1980">
        <v>#VALUE!</v>
      </c>
    </row>
    <row r="1991" spans="2:30" x14ac:dyDescent="0.25">
      <c r="B1991">
        <v>5645</v>
      </c>
      <c r="C1991" t="s">
        <v>3646</v>
      </c>
      <c r="D1991" t="s">
        <v>3711</v>
      </c>
      <c r="E1991" t="s">
        <v>3849</v>
      </c>
      <c r="F1991" t="s">
        <v>83</v>
      </c>
      <c r="G1991" t="s">
        <v>103</v>
      </c>
      <c r="H1991" t="s">
        <v>3808</v>
      </c>
      <c r="I1991" t="s">
        <v>3809</v>
      </c>
      <c r="J1991" t="s">
        <v>3810</v>
      </c>
      <c r="K1991" t="s">
        <v>1218</v>
      </c>
      <c r="L1991" s="13">
        <v>42012</v>
      </c>
      <c r="M1991">
        <v>9</v>
      </c>
      <c r="N1991" t="s">
        <v>90</v>
      </c>
      <c r="O1991" t="s">
        <v>3905</v>
      </c>
      <c r="P1991" t="s">
        <v>76</v>
      </c>
      <c r="Q1991" t="s">
        <v>76</v>
      </c>
      <c r="R1991" t="s">
        <v>76</v>
      </c>
      <c r="S1991" t="s">
        <v>76</v>
      </c>
      <c r="T1991" t="s">
        <v>76</v>
      </c>
      <c r="U1991">
        <v>1</v>
      </c>
      <c r="V1991" s="13">
        <v>45175</v>
      </c>
      <c r="W1991">
        <v>1</v>
      </c>
      <c r="X1991">
        <v>1</v>
      </c>
      <c r="Y1991" t="s">
        <v>3712</v>
      </c>
      <c r="AC1991">
        <v>5645</v>
      </c>
      <c r="AD1991" t="e" vm="1981">
        <v>#VALUE!</v>
      </c>
    </row>
    <row r="1992" spans="2:30" x14ac:dyDescent="0.25">
      <c r="B1992">
        <v>5646</v>
      </c>
      <c r="C1992" t="s">
        <v>3646</v>
      </c>
      <c r="D1992" t="s">
        <v>3711</v>
      </c>
      <c r="E1992" t="s">
        <v>3849</v>
      </c>
      <c r="F1992" t="s">
        <v>83</v>
      </c>
      <c r="G1992" t="s">
        <v>103</v>
      </c>
      <c r="H1992" t="s">
        <v>3808</v>
      </c>
      <c r="I1992" t="s">
        <v>3809</v>
      </c>
      <c r="J1992" t="s">
        <v>3810</v>
      </c>
      <c r="K1992" t="s">
        <v>1218</v>
      </c>
      <c r="L1992" s="13">
        <v>41955</v>
      </c>
      <c r="M1992">
        <v>9</v>
      </c>
      <c r="N1992" t="s">
        <v>90</v>
      </c>
      <c r="O1992" t="s">
        <v>3905</v>
      </c>
      <c r="P1992" t="s">
        <v>76</v>
      </c>
      <c r="Q1992" t="s">
        <v>76</v>
      </c>
      <c r="R1992" t="s">
        <v>76</v>
      </c>
      <c r="S1992" t="s">
        <v>76</v>
      </c>
      <c r="T1992" t="s">
        <v>76</v>
      </c>
      <c r="U1992">
        <v>1</v>
      </c>
      <c r="V1992" s="13">
        <v>45175</v>
      </c>
      <c r="W1992">
        <v>1</v>
      </c>
      <c r="X1992">
        <v>1</v>
      </c>
      <c r="Y1992" t="s">
        <v>3712</v>
      </c>
      <c r="AC1992">
        <v>5646</v>
      </c>
      <c r="AD1992" t="e" vm="1982">
        <v>#VALUE!</v>
      </c>
    </row>
    <row r="1993" spans="2:30" x14ac:dyDescent="0.25">
      <c r="B1993">
        <v>5647</v>
      </c>
      <c r="C1993" t="s">
        <v>3646</v>
      </c>
      <c r="D1993" t="s">
        <v>3711</v>
      </c>
      <c r="E1993" t="s">
        <v>3849</v>
      </c>
      <c r="F1993" t="s">
        <v>83</v>
      </c>
      <c r="G1993" t="s">
        <v>103</v>
      </c>
      <c r="H1993" t="s">
        <v>3808</v>
      </c>
      <c r="I1993" t="s">
        <v>3809</v>
      </c>
      <c r="J1993" t="s">
        <v>3810</v>
      </c>
      <c r="K1993" t="s">
        <v>1218</v>
      </c>
      <c r="L1993" s="13">
        <v>41934</v>
      </c>
      <c r="M1993">
        <v>9</v>
      </c>
      <c r="N1993" t="s">
        <v>90</v>
      </c>
      <c r="O1993" t="s">
        <v>3905</v>
      </c>
      <c r="P1993" t="s">
        <v>76</v>
      </c>
      <c r="Q1993" t="s">
        <v>76</v>
      </c>
      <c r="R1993" t="s">
        <v>76</v>
      </c>
      <c r="S1993" t="s">
        <v>76</v>
      </c>
      <c r="T1993" t="s">
        <v>76</v>
      </c>
      <c r="U1993">
        <v>1</v>
      </c>
      <c r="V1993" s="13">
        <v>45175</v>
      </c>
      <c r="W1993">
        <v>1</v>
      </c>
      <c r="X1993">
        <v>1</v>
      </c>
      <c r="Y1993" t="s">
        <v>3712</v>
      </c>
      <c r="AC1993">
        <v>5647</v>
      </c>
      <c r="AD1993" t="e" vm="1983">
        <v>#VALUE!</v>
      </c>
    </row>
    <row r="1994" spans="2:30" x14ac:dyDescent="0.25">
      <c r="B1994">
        <v>5648</v>
      </c>
      <c r="C1994" t="s">
        <v>3646</v>
      </c>
      <c r="D1994" t="s">
        <v>3713</v>
      </c>
      <c r="E1994" t="s">
        <v>3849</v>
      </c>
      <c r="F1994" t="s">
        <v>83</v>
      </c>
      <c r="G1994" t="s">
        <v>107</v>
      </c>
      <c r="H1994" t="s">
        <v>3808</v>
      </c>
      <c r="I1994" t="s">
        <v>3809</v>
      </c>
      <c r="J1994" t="s">
        <v>3810</v>
      </c>
      <c r="K1994" t="s">
        <v>1218</v>
      </c>
      <c r="L1994" s="13">
        <v>41977</v>
      </c>
      <c r="M1994">
        <v>9</v>
      </c>
      <c r="N1994" t="s">
        <v>90</v>
      </c>
      <c r="O1994" t="s">
        <v>3905</v>
      </c>
      <c r="P1994" t="s">
        <v>76</v>
      </c>
      <c r="Q1994" t="s">
        <v>76</v>
      </c>
      <c r="R1994" t="s">
        <v>76</v>
      </c>
      <c r="S1994" t="s">
        <v>76</v>
      </c>
      <c r="T1994" t="s">
        <v>76</v>
      </c>
      <c r="U1994">
        <v>1</v>
      </c>
      <c r="V1994" s="13">
        <v>45175</v>
      </c>
      <c r="W1994">
        <v>1</v>
      </c>
      <c r="X1994">
        <v>1</v>
      </c>
      <c r="Y1994" t="s">
        <v>3714</v>
      </c>
      <c r="AC1994">
        <v>5648</v>
      </c>
      <c r="AD1994" t="e" vm="1984">
        <v>#VALUE!</v>
      </c>
    </row>
    <row r="1995" spans="2:30" x14ac:dyDescent="0.25">
      <c r="B1995">
        <v>5649</v>
      </c>
      <c r="C1995" t="s">
        <v>3646</v>
      </c>
      <c r="D1995" t="s">
        <v>3713</v>
      </c>
      <c r="E1995" t="s">
        <v>3849</v>
      </c>
      <c r="F1995" t="s">
        <v>83</v>
      </c>
      <c r="G1995" t="s">
        <v>107</v>
      </c>
      <c r="H1995" t="s">
        <v>3808</v>
      </c>
      <c r="I1995" t="s">
        <v>3809</v>
      </c>
      <c r="J1995" t="s">
        <v>3810</v>
      </c>
      <c r="K1995" t="s">
        <v>1218</v>
      </c>
      <c r="L1995" s="13">
        <v>41956</v>
      </c>
      <c r="M1995">
        <v>9</v>
      </c>
      <c r="N1995" t="s">
        <v>90</v>
      </c>
      <c r="O1995" t="s">
        <v>3905</v>
      </c>
      <c r="P1995" t="s">
        <v>76</v>
      </c>
      <c r="Q1995" t="s">
        <v>76</v>
      </c>
      <c r="R1995" t="s">
        <v>76</v>
      </c>
      <c r="S1995" t="s">
        <v>76</v>
      </c>
      <c r="T1995" t="s">
        <v>76</v>
      </c>
      <c r="U1995">
        <v>1</v>
      </c>
      <c r="V1995" s="13">
        <v>45175</v>
      </c>
      <c r="W1995">
        <v>1</v>
      </c>
      <c r="X1995">
        <v>1</v>
      </c>
      <c r="Y1995" t="s">
        <v>3714</v>
      </c>
      <c r="AC1995">
        <v>5649</v>
      </c>
      <c r="AD1995" t="e" vm="1985">
        <v>#VALUE!</v>
      </c>
    </row>
    <row r="1996" spans="2:30" x14ac:dyDescent="0.25">
      <c r="B1996">
        <v>5650</v>
      </c>
      <c r="C1996" t="s">
        <v>3646</v>
      </c>
      <c r="D1996" t="s">
        <v>3713</v>
      </c>
      <c r="E1996" t="s">
        <v>3849</v>
      </c>
      <c r="F1996" t="s">
        <v>83</v>
      </c>
      <c r="G1996" t="s">
        <v>107</v>
      </c>
      <c r="H1996" t="s">
        <v>3808</v>
      </c>
      <c r="I1996" t="s">
        <v>3809</v>
      </c>
      <c r="J1996" t="s">
        <v>3810</v>
      </c>
      <c r="K1996" t="s">
        <v>1218</v>
      </c>
      <c r="L1996" s="13">
        <v>41974</v>
      </c>
      <c r="M1996">
        <v>9</v>
      </c>
      <c r="N1996" t="s">
        <v>90</v>
      </c>
      <c r="O1996" t="s">
        <v>3905</v>
      </c>
      <c r="P1996" t="s">
        <v>76</v>
      </c>
      <c r="Q1996" t="s">
        <v>76</v>
      </c>
      <c r="R1996" t="s">
        <v>76</v>
      </c>
      <c r="S1996" t="s">
        <v>76</v>
      </c>
      <c r="T1996" t="s">
        <v>76</v>
      </c>
      <c r="U1996">
        <v>1</v>
      </c>
      <c r="V1996" s="13">
        <v>45175</v>
      </c>
      <c r="W1996">
        <v>1</v>
      </c>
      <c r="X1996">
        <v>1</v>
      </c>
      <c r="Y1996" t="s">
        <v>3714</v>
      </c>
      <c r="AC1996">
        <v>5650</v>
      </c>
      <c r="AD1996" t="e" vm="1986">
        <v>#VALUE!</v>
      </c>
    </row>
    <row r="1997" spans="2:30" x14ac:dyDescent="0.25">
      <c r="B1997">
        <v>5651</v>
      </c>
      <c r="C1997" t="s">
        <v>3646</v>
      </c>
      <c r="D1997" t="s">
        <v>3713</v>
      </c>
      <c r="E1997" t="s">
        <v>3849</v>
      </c>
      <c r="F1997" t="s">
        <v>83</v>
      </c>
      <c r="G1997" t="s">
        <v>107</v>
      </c>
      <c r="H1997" t="s">
        <v>3808</v>
      </c>
      <c r="I1997" t="s">
        <v>3809</v>
      </c>
      <c r="J1997" t="s">
        <v>3810</v>
      </c>
      <c r="K1997" t="s">
        <v>1218</v>
      </c>
      <c r="L1997" s="13">
        <v>42012</v>
      </c>
      <c r="M1997">
        <v>9</v>
      </c>
      <c r="N1997" t="s">
        <v>90</v>
      </c>
      <c r="O1997" t="s">
        <v>3905</v>
      </c>
      <c r="P1997" t="s">
        <v>76</v>
      </c>
      <c r="Q1997" t="s">
        <v>76</v>
      </c>
      <c r="R1997" t="s">
        <v>76</v>
      </c>
      <c r="S1997" t="s">
        <v>76</v>
      </c>
      <c r="T1997" t="s">
        <v>76</v>
      </c>
      <c r="U1997">
        <v>1</v>
      </c>
      <c r="V1997" s="13">
        <v>45175</v>
      </c>
      <c r="W1997">
        <v>1</v>
      </c>
      <c r="X1997">
        <v>1</v>
      </c>
      <c r="Y1997" t="s">
        <v>3714</v>
      </c>
      <c r="AC1997">
        <v>5651</v>
      </c>
      <c r="AD1997" t="e" vm="1987">
        <v>#VALUE!</v>
      </c>
    </row>
    <row r="1998" spans="2:30" x14ac:dyDescent="0.25">
      <c r="B1998">
        <v>5652</v>
      </c>
      <c r="C1998" t="s">
        <v>3646</v>
      </c>
      <c r="D1998" t="s">
        <v>3713</v>
      </c>
      <c r="E1998" t="s">
        <v>3849</v>
      </c>
      <c r="F1998" t="s">
        <v>83</v>
      </c>
      <c r="G1998" t="s">
        <v>107</v>
      </c>
      <c r="H1998" t="s">
        <v>3808</v>
      </c>
      <c r="I1998" t="s">
        <v>3809</v>
      </c>
      <c r="J1998" t="s">
        <v>3810</v>
      </c>
      <c r="K1998" t="s">
        <v>1218</v>
      </c>
      <c r="L1998" s="13">
        <v>42010</v>
      </c>
      <c r="M1998">
        <v>9</v>
      </c>
      <c r="N1998" t="s">
        <v>90</v>
      </c>
      <c r="O1998" t="s">
        <v>3905</v>
      </c>
      <c r="P1998" t="s">
        <v>76</v>
      </c>
      <c r="Q1998" t="s">
        <v>76</v>
      </c>
      <c r="R1998" t="s">
        <v>76</v>
      </c>
      <c r="S1998" t="s">
        <v>76</v>
      </c>
      <c r="T1998" t="s">
        <v>76</v>
      </c>
      <c r="U1998">
        <v>1</v>
      </c>
      <c r="V1998" s="13">
        <v>45175</v>
      </c>
      <c r="W1998">
        <v>1</v>
      </c>
      <c r="X1998">
        <v>1</v>
      </c>
      <c r="Y1998" t="s">
        <v>3714</v>
      </c>
      <c r="AC1998">
        <v>5652</v>
      </c>
      <c r="AD1998" t="e" vm="1988">
        <v>#VALUE!</v>
      </c>
    </row>
    <row r="1999" spans="2:30" x14ac:dyDescent="0.25">
      <c r="B1999">
        <v>5653</v>
      </c>
      <c r="C1999" t="s">
        <v>3646</v>
      </c>
      <c r="D1999" t="s">
        <v>3713</v>
      </c>
      <c r="E1999" t="s">
        <v>3849</v>
      </c>
      <c r="F1999" t="s">
        <v>83</v>
      </c>
      <c r="G1999" t="s">
        <v>107</v>
      </c>
      <c r="H1999" t="s">
        <v>3808</v>
      </c>
      <c r="I1999" t="s">
        <v>3809</v>
      </c>
      <c r="J1999" t="s">
        <v>3810</v>
      </c>
      <c r="K1999" t="s">
        <v>1218</v>
      </c>
      <c r="L1999" s="13">
        <v>42004</v>
      </c>
      <c r="M1999">
        <v>9</v>
      </c>
      <c r="N1999" t="s">
        <v>90</v>
      </c>
      <c r="O1999" t="s">
        <v>3905</v>
      </c>
      <c r="P1999" t="s">
        <v>76</v>
      </c>
      <c r="Q1999" t="s">
        <v>76</v>
      </c>
      <c r="R1999" t="s">
        <v>76</v>
      </c>
      <c r="S1999" t="s">
        <v>76</v>
      </c>
      <c r="T1999" t="s">
        <v>76</v>
      </c>
      <c r="U1999">
        <v>1</v>
      </c>
      <c r="V1999" s="13">
        <v>45175</v>
      </c>
      <c r="W1999">
        <v>1</v>
      </c>
      <c r="X1999">
        <v>1</v>
      </c>
      <c r="Y1999" t="s">
        <v>3714</v>
      </c>
      <c r="AC1999">
        <v>5653</v>
      </c>
      <c r="AD1999" t="e" vm="1989">
        <v>#VALUE!</v>
      </c>
    </row>
    <row r="2000" spans="2:30" x14ac:dyDescent="0.25">
      <c r="B2000">
        <v>5654</v>
      </c>
      <c r="C2000" t="s">
        <v>3646</v>
      </c>
      <c r="D2000" t="s">
        <v>3713</v>
      </c>
      <c r="E2000" t="s">
        <v>3849</v>
      </c>
      <c r="F2000" t="s">
        <v>83</v>
      </c>
      <c r="G2000" t="s">
        <v>107</v>
      </c>
      <c r="H2000" t="s">
        <v>3808</v>
      </c>
      <c r="I2000" t="s">
        <v>3809</v>
      </c>
      <c r="J2000" t="s">
        <v>3810</v>
      </c>
      <c r="K2000" t="s">
        <v>1218</v>
      </c>
      <c r="L2000" s="13">
        <v>41997</v>
      </c>
      <c r="M2000">
        <v>9</v>
      </c>
      <c r="N2000" t="s">
        <v>90</v>
      </c>
      <c r="O2000" t="s">
        <v>3905</v>
      </c>
      <c r="P2000" t="s">
        <v>76</v>
      </c>
      <c r="Q2000" t="s">
        <v>76</v>
      </c>
      <c r="R2000" t="s">
        <v>76</v>
      </c>
      <c r="S2000" t="s">
        <v>76</v>
      </c>
      <c r="T2000" t="s">
        <v>76</v>
      </c>
      <c r="U2000">
        <v>1</v>
      </c>
      <c r="V2000" s="13">
        <v>45175</v>
      </c>
      <c r="W2000">
        <v>1</v>
      </c>
      <c r="X2000">
        <v>1</v>
      </c>
      <c r="Y2000" t="s">
        <v>3714</v>
      </c>
      <c r="AC2000">
        <v>5654</v>
      </c>
      <c r="AD2000" t="e" vm="1990">
        <v>#VALUE!</v>
      </c>
    </row>
    <row r="2001" spans="2:30" x14ac:dyDescent="0.25">
      <c r="B2001">
        <v>5655</v>
      </c>
      <c r="C2001" t="s">
        <v>3646</v>
      </c>
      <c r="D2001" t="s">
        <v>3711</v>
      </c>
      <c r="E2001" t="s">
        <v>3849</v>
      </c>
      <c r="F2001" t="s">
        <v>83</v>
      </c>
      <c r="G2001" t="s">
        <v>103</v>
      </c>
      <c r="H2001" t="s">
        <v>3808</v>
      </c>
      <c r="I2001" t="s">
        <v>3809</v>
      </c>
      <c r="J2001" t="s">
        <v>3810</v>
      </c>
      <c r="K2001" t="s">
        <v>1218</v>
      </c>
      <c r="L2001" s="13">
        <v>41997</v>
      </c>
      <c r="M2001">
        <v>9</v>
      </c>
      <c r="N2001" t="s">
        <v>90</v>
      </c>
      <c r="O2001" t="s">
        <v>3905</v>
      </c>
      <c r="P2001" t="s">
        <v>76</v>
      </c>
      <c r="Q2001" t="s">
        <v>76</v>
      </c>
      <c r="R2001" t="s">
        <v>76</v>
      </c>
      <c r="S2001" t="s">
        <v>76</v>
      </c>
      <c r="T2001" t="s">
        <v>76</v>
      </c>
      <c r="U2001">
        <v>1</v>
      </c>
      <c r="V2001" s="13">
        <v>45175</v>
      </c>
      <c r="W2001">
        <v>1</v>
      </c>
      <c r="X2001">
        <v>1</v>
      </c>
      <c r="Y2001" t="s">
        <v>3712</v>
      </c>
      <c r="AC2001">
        <v>5655</v>
      </c>
      <c r="AD2001" t="e" vm="1991">
        <v>#VALUE!</v>
      </c>
    </row>
    <row r="2002" spans="2:30" x14ac:dyDescent="0.25">
      <c r="B2002">
        <v>5656</v>
      </c>
      <c r="C2002" t="s">
        <v>3646</v>
      </c>
      <c r="D2002" t="s">
        <v>3711</v>
      </c>
      <c r="E2002" t="s">
        <v>3849</v>
      </c>
      <c r="F2002" t="s">
        <v>83</v>
      </c>
      <c r="G2002" t="s">
        <v>103</v>
      </c>
      <c r="H2002" t="s">
        <v>3808</v>
      </c>
      <c r="I2002" t="s">
        <v>3809</v>
      </c>
      <c r="J2002" t="s">
        <v>3810</v>
      </c>
      <c r="K2002" t="s">
        <v>1218</v>
      </c>
      <c r="L2002" s="13">
        <v>42065</v>
      </c>
      <c r="M2002">
        <v>9</v>
      </c>
      <c r="N2002" t="s">
        <v>90</v>
      </c>
      <c r="O2002" t="s">
        <v>3905</v>
      </c>
      <c r="P2002" t="s">
        <v>76</v>
      </c>
      <c r="Q2002" t="s">
        <v>76</v>
      </c>
      <c r="R2002" t="s">
        <v>76</v>
      </c>
      <c r="S2002" t="s">
        <v>76</v>
      </c>
      <c r="T2002" t="s">
        <v>76</v>
      </c>
      <c r="U2002">
        <v>1</v>
      </c>
      <c r="V2002" s="13">
        <v>45175</v>
      </c>
      <c r="W2002">
        <v>1</v>
      </c>
      <c r="X2002">
        <v>1</v>
      </c>
      <c r="Y2002" t="s">
        <v>3712</v>
      </c>
      <c r="AC2002">
        <v>5656</v>
      </c>
      <c r="AD2002" t="e" vm="1992">
        <v>#VALUE!</v>
      </c>
    </row>
    <row r="2003" spans="2:30" x14ac:dyDescent="0.25">
      <c r="B2003">
        <v>5657</v>
      </c>
      <c r="C2003" t="s">
        <v>3646</v>
      </c>
      <c r="D2003" t="s">
        <v>3711</v>
      </c>
      <c r="E2003" t="s">
        <v>3849</v>
      </c>
      <c r="F2003" t="s">
        <v>83</v>
      </c>
      <c r="G2003" t="s">
        <v>103</v>
      </c>
      <c r="H2003" t="s">
        <v>3808</v>
      </c>
      <c r="I2003" t="s">
        <v>3809</v>
      </c>
      <c r="J2003" t="s">
        <v>3810</v>
      </c>
      <c r="K2003" t="s">
        <v>1218</v>
      </c>
      <c r="L2003" s="13">
        <v>41991</v>
      </c>
      <c r="M2003">
        <v>9</v>
      </c>
      <c r="N2003" t="s">
        <v>90</v>
      </c>
      <c r="O2003" t="s">
        <v>3905</v>
      </c>
      <c r="P2003" t="s">
        <v>76</v>
      </c>
      <c r="Q2003" t="s">
        <v>76</v>
      </c>
      <c r="R2003" t="s">
        <v>76</v>
      </c>
      <c r="S2003" t="s">
        <v>76</v>
      </c>
      <c r="T2003" t="s">
        <v>76</v>
      </c>
      <c r="U2003">
        <v>1</v>
      </c>
      <c r="V2003" s="13">
        <v>45175</v>
      </c>
      <c r="W2003">
        <v>1</v>
      </c>
      <c r="X2003">
        <v>1</v>
      </c>
      <c r="Y2003" t="s">
        <v>3712</v>
      </c>
      <c r="AC2003">
        <v>5657</v>
      </c>
      <c r="AD2003" t="e" vm="1993">
        <v>#VALUE!</v>
      </c>
    </row>
    <row r="2004" spans="2:30" x14ac:dyDescent="0.25">
      <c r="B2004">
        <v>5658</v>
      </c>
      <c r="C2004" t="s">
        <v>3646</v>
      </c>
      <c r="D2004" t="s">
        <v>3711</v>
      </c>
      <c r="E2004" t="s">
        <v>3849</v>
      </c>
      <c r="F2004" t="s">
        <v>83</v>
      </c>
      <c r="G2004" t="s">
        <v>103</v>
      </c>
      <c r="H2004" t="s">
        <v>3808</v>
      </c>
      <c r="I2004" t="s">
        <v>3809</v>
      </c>
      <c r="J2004" t="s">
        <v>3810</v>
      </c>
      <c r="K2004" t="s">
        <v>1218</v>
      </c>
      <c r="L2004" s="13">
        <v>42006</v>
      </c>
      <c r="M2004">
        <v>9</v>
      </c>
      <c r="N2004" t="s">
        <v>90</v>
      </c>
      <c r="O2004" t="s">
        <v>3905</v>
      </c>
      <c r="P2004" t="s">
        <v>76</v>
      </c>
      <c r="Q2004" t="s">
        <v>76</v>
      </c>
      <c r="R2004" t="s">
        <v>76</v>
      </c>
      <c r="S2004" t="s">
        <v>76</v>
      </c>
      <c r="T2004" t="s">
        <v>76</v>
      </c>
      <c r="U2004">
        <v>1</v>
      </c>
      <c r="V2004" s="13">
        <v>45175</v>
      </c>
      <c r="W2004">
        <v>1</v>
      </c>
      <c r="X2004">
        <v>1</v>
      </c>
      <c r="Y2004" t="s">
        <v>3712</v>
      </c>
      <c r="AC2004">
        <v>5658</v>
      </c>
      <c r="AD2004" t="e" vm="1994">
        <v>#VALUE!</v>
      </c>
    </row>
    <row r="2005" spans="2:30" x14ac:dyDescent="0.25">
      <c r="B2005">
        <v>5659</v>
      </c>
      <c r="C2005" t="s">
        <v>3646</v>
      </c>
      <c r="D2005" t="s">
        <v>3711</v>
      </c>
      <c r="E2005" t="s">
        <v>3849</v>
      </c>
      <c r="F2005" t="s">
        <v>83</v>
      </c>
      <c r="G2005" t="s">
        <v>103</v>
      </c>
      <c r="H2005" t="s">
        <v>3808</v>
      </c>
      <c r="I2005" t="s">
        <v>3809</v>
      </c>
      <c r="J2005" t="s">
        <v>3810</v>
      </c>
      <c r="K2005" t="s">
        <v>1218</v>
      </c>
      <c r="L2005" s="13">
        <v>42012</v>
      </c>
      <c r="M2005">
        <v>9</v>
      </c>
      <c r="N2005" t="s">
        <v>90</v>
      </c>
      <c r="O2005" t="s">
        <v>3905</v>
      </c>
      <c r="P2005" t="s">
        <v>76</v>
      </c>
      <c r="Q2005" t="s">
        <v>76</v>
      </c>
      <c r="R2005" t="s">
        <v>76</v>
      </c>
      <c r="S2005" t="s">
        <v>76</v>
      </c>
      <c r="T2005" t="s">
        <v>76</v>
      </c>
      <c r="U2005">
        <v>1</v>
      </c>
      <c r="V2005" s="13">
        <v>45175</v>
      </c>
      <c r="W2005">
        <v>1</v>
      </c>
      <c r="X2005">
        <v>1</v>
      </c>
      <c r="Y2005" t="s">
        <v>3712</v>
      </c>
      <c r="AC2005">
        <v>5659</v>
      </c>
      <c r="AD2005" t="e" vm="1995">
        <v>#VALUE!</v>
      </c>
    </row>
    <row r="2006" spans="2:30" x14ac:dyDescent="0.25">
      <c r="B2006">
        <v>5660</v>
      </c>
      <c r="C2006" t="s">
        <v>3646</v>
      </c>
      <c r="D2006" t="s">
        <v>3711</v>
      </c>
      <c r="E2006" t="s">
        <v>3849</v>
      </c>
      <c r="F2006" t="s">
        <v>83</v>
      </c>
      <c r="G2006" t="s">
        <v>103</v>
      </c>
      <c r="H2006" t="s">
        <v>3808</v>
      </c>
      <c r="I2006" t="s">
        <v>3809</v>
      </c>
      <c r="J2006" t="s">
        <v>3810</v>
      </c>
      <c r="K2006" t="s">
        <v>1218</v>
      </c>
      <c r="L2006" s="13">
        <v>41997</v>
      </c>
      <c r="M2006">
        <v>9</v>
      </c>
      <c r="N2006" t="s">
        <v>90</v>
      </c>
      <c r="O2006" t="s">
        <v>3905</v>
      </c>
      <c r="P2006" t="s">
        <v>76</v>
      </c>
      <c r="Q2006" t="s">
        <v>76</v>
      </c>
      <c r="R2006" t="s">
        <v>76</v>
      </c>
      <c r="S2006" t="s">
        <v>76</v>
      </c>
      <c r="T2006" t="s">
        <v>76</v>
      </c>
      <c r="U2006">
        <v>1</v>
      </c>
      <c r="V2006" s="13">
        <v>45175</v>
      </c>
      <c r="W2006">
        <v>1</v>
      </c>
      <c r="X2006">
        <v>1</v>
      </c>
      <c r="Y2006" t="s">
        <v>3712</v>
      </c>
      <c r="AC2006">
        <v>5660</v>
      </c>
      <c r="AD2006" t="e" vm="1996">
        <v>#VALUE!</v>
      </c>
    </row>
    <row r="2007" spans="2:30" x14ac:dyDescent="0.25">
      <c r="B2007">
        <v>5661</v>
      </c>
      <c r="C2007" t="s">
        <v>3646</v>
      </c>
      <c r="D2007" t="s">
        <v>3711</v>
      </c>
      <c r="E2007" t="s">
        <v>3849</v>
      </c>
      <c r="F2007" t="s">
        <v>83</v>
      </c>
      <c r="G2007" t="s">
        <v>103</v>
      </c>
      <c r="H2007" t="s">
        <v>3808</v>
      </c>
      <c r="I2007" t="s">
        <v>3809</v>
      </c>
      <c r="J2007" t="s">
        <v>3810</v>
      </c>
      <c r="K2007" t="s">
        <v>1218</v>
      </c>
      <c r="L2007" s="13">
        <v>42019</v>
      </c>
      <c r="M2007">
        <v>9</v>
      </c>
      <c r="N2007" t="s">
        <v>90</v>
      </c>
      <c r="O2007" t="s">
        <v>3905</v>
      </c>
      <c r="P2007" t="s">
        <v>76</v>
      </c>
      <c r="Q2007" t="s">
        <v>76</v>
      </c>
      <c r="R2007" t="s">
        <v>76</v>
      </c>
      <c r="S2007" t="s">
        <v>76</v>
      </c>
      <c r="T2007" t="s">
        <v>76</v>
      </c>
      <c r="U2007">
        <v>1</v>
      </c>
      <c r="V2007" s="13">
        <v>45175</v>
      </c>
      <c r="W2007">
        <v>1</v>
      </c>
      <c r="X2007">
        <v>1</v>
      </c>
      <c r="Y2007" t="s">
        <v>3712</v>
      </c>
      <c r="AC2007">
        <v>5661</v>
      </c>
      <c r="AD2007" t="e" vm="1997">
        <v>#VALUE!</v>
      </c>
    </row>
    <row r="2008" spans="2:30" x14ac:dyDescent="0.25">
      <c r="B2008">
        <v>5662</v>
      </c>
      <c r="C2008" t="s">
        <v>3646</v>
      </c>
      <c r="D2008" t="s">
        <v>3711</v>
      </c>
      <c r="E2008" t="s">
        <v>3849</v>
      </c>
      <c r="F2008" t="s">
        <v>83</v>
      </c>
      <c r="G2008" t="s">
        <v>103</v>
      </c>
      <c r="H2008" t="s">
        <v>3808</v>
      </c>
      <c r="I2008" t="s">
        <v>3809</v>
      </c>
      <c r="J2008" t="s">
        <v>3810</v>
      </c>
      <c r="K2008" t="s">
        <v>1218</v>
      </c>
      <c r="L2008" s="13">
        <v>42019</v>
      </c>
      <c r="M2008">
        <v>9</v>
      </c>
      <c r="N2008" t="s">
        <v>90</v>
      </c>
      <c r="O2008" t="s">
        <v>3905</v>
      </c>
      <c r="P2008" t="s">
        <v>76</v>
      </c>
      <c r="Q2008" t="s">
        <v>76</v>
      </c>
      <c r="R2008" t="s">
        <v>76</v>
      </c>
      <c r="S2008" t="s">
        <v>76</v>
      </c>
      <c r="T2008" t="s">
        <v>76</v>
      </c>
      <c r="U2008">
        <v>1</v>
      </c>
      <c r="V2008" s="13">
        <v>45175</v>
      </c>
      <c r="W2008">
        <v>1</v>
      </c>
      <c r="X2008">
        <v>1</v>
      </c>
      <c r="Y2008" t="s">
        <v>3712</v>
      </c>
      <c r="AC2008">
        <v>5662</v>
      </c>
      <c r="AD2008" t="e" vm="1998">
        <v>#VALUE!</v>
      </c>
    </row>
    <row r="2009" spans="2:30" x14ac:dyDescent="0.25">
      <c r="B2009">
        <v>5663</v>
      </c>
      <c r="C2009" t="s">
        <v>3662</v>
      </c>
      <c r="D2009" t="s">
        <v>3716</v>
      </c>
      <c r="E2009" t="s">
        <v>3853</v>
      </c>
      <c r="F2009" t="s">
        <v>78</v>
      </c>
      <c r="G2009" t="s">
        <v>77</v>
      </c>
      <c r="H2009" t="s">
        <v>3808</v>
      </c>
      <c r="I2009" t="s">
        <v>3809</v>
      </c>
      <c r="J2009" t="s">
        <v>3810</v>
      </c>
      <c r="K2009" t="s">
        <v>1218</v>
      </c>
      <c r="L2009" s="13">
        <v>41983</v>
      </c>
      <c r="M2009">
        <v>9</v>
      </c>
      <c r="N2009" t="s">
        <v>79</v>
      </c>
      <c r="O2009" t="s">
        <v>3905</v>
      </c>
      <c r="P2009" t="s">
        <v>76</v>
      </c>
      <c r="Q2009" t="s">
        <v>76</v>
      </c>
      <c r="R2009" t="s">
        <v>76</v>
      </c>
      <c r="S2009" t="s">
        <v>76</v>
      </c>
      <c r="T2009" t="s">
        <v>76</v>
      </c>
      <c r="U2009">
        <v>1</v>
      </c>
      <c r="V2009" s="13">
        <v>45175</v>
      </c>
      <c r="W2009">
        <v>1</v>
      </c>
      <c r="X2009">
        <v>1</v>
      </c>
      <c r="Y2009" t="s">
        <v>3717</v>
      </c>
      <c r="AC2009">
        <v>5663</v>
      </c>
      <c r="AD2009" t="e" vm="1999">
        <v>#VALUE!</v>
      </c>
    </row>
    <row r="2010" spans="2:30" x14ac:dyDescent="0.25">
      <c r="B2010">
        <v>5664</v>
      </c>
      <c r="C2010" t="s">
        <v>3662</v>
      </c>
      <c r="D2010" t="s">
        <v>3716</v>
      </c>
      <c r="E2010" t="s">
        <v>3853</v>
      </c>
      <c r="F2010" t="s">
        <v>78</v>
      </c>
      <c r="G2010" t="s">
        <v>77</v>
      </c>
      <c r="H2010" t="s">
        <v>3808</v>
      </c>
      <c r="I2010" t="s">
        <v>3809</v>
      </c>
      <c r="J2010" t="s">
        <v>3810</v>
      </c>
      <c r="K2010" t="s">
        <v>1218</v>
      </c>
      <c r="L2010" s="13">
        <v>42024</v>
      </c>
      <c r="M2010">
        <v>9</v>
      </c>
      <c r="N2010" t="s">
        <v>79</v>
      </c>
      <c r="O2010" t="s">
        <v>3905</v>
      </c>
      <c r="P2010" t="s">
        <v>76</v>
      </c>
      <c r="Q2010" t="s">
        <v>76</v>
      </c>
      <c r="R2010" t="s">
        <v>76</v>
      </c>
      <c r="S2010" t="s">
        <v>76</v>
      </c>
      <c r="T2010" t="s">
        <v>76</v>
      </c>
      <c r="U2010">
        <v>1</v>
      </c>
      <c r="V2010" s="13">
        <v>45175</v>
      </c>
      <c r="W2010">
        <v>1</v>
      </c>
      <c r="X2010">
        <v>1</v>
      </c>
      <c r="Y2010" t="s">
        <v>3717</v>
      </c>
      <c r="AC2010">
        <v>5664</v>
      </c>
      <c r="AD2010" t="e" vm="2000">
        <v>#VALUE!</v>
      </c>
    </row>
    <row r="2011" spans="2:30" x14ac:dyDescent="0.25">
      <c r="B2011">
        <v>5665</v>
      </c>
      <c r="C2011" t="s">
        <v>3662</v>
      </c>
      <c r="D2011" t="s">
        <v>3751</v>
      </c>
      <c r="E2011" t="s">
        <v>3903</v>
      </c>
      <c r="F2011" t="s">
        <v>115</v>
      </c>
      <c r="G2011" t="s">
        <v>108</v>
      </c>
      <c r="H2011" t="s">
        <v>3808</v>
      </c>
      <c r="I2011" t="s">
        <v>3809</v>
      </c>
      <c r="J2011" t="s">
        <v>3810</v>
      </c>
      <c r="K2011" t="s">
        <v>1218</v>
      </c>
      <c r="L2011" s="13">
        <v>42035</v>
      </c>
      <c r="M2011">
        <v>9</v>
      </c>
      <c r="N2011" t="s">
        <v>79</v>
      </c>
      <c r="O2011" t="s">
        <v>3905</v>
      </c>
      <c r="P2011" t="s">
        <v>76</v>
      </c>
      <c r="Q2011" t="s">
        <v>76</v>
      </c>
      <c r="R2011" t="s">
        <v>76</v>
      </c>
      <c r="S2011" t="s">
        <v>76</v>
      </c>
      <c r="T2011" t="s">
        <v>76</v>
      </c>
      <c r="U2011">
        <v>1</v>
      </c>
      <c r="V2011" s="13">
        <v>45175</v>
      </c>
      <c r="W2011">
        <v>1</v>
      </c>
      <c r="X2011">
        <v>1</v>
      </c>
      <c r="Y2011" t="s">
        <v>3752</v>
      </c>
      <c r="AC2011">
        <v>5665</v>
      </c>
      <c r="AD2011" t="e" vm="2001">
        <v>#VALUE!</v>
      </c>
    </row>
    <row r="2012" spans="2:30" x14ac:dyDescent="0.25">
      <c r="B2012">
        <v>5666</v>
      </c>
      <c r="C2012" t="s">
        <v>3646</v>
      </c>
      <c r="D2012" t="s">
        <v>3711</v>
      </c>
      <c r="E2012" t="s">
        <v>3849</v>
      </c>
      <c r="F2012" t="s">
        <v>83</v>
      </c>
      <c r="G2012" t="s">
        <v>103</v>
      </c>
      <c r="H2012" t="s">
        <v>3808</v>
      </c>
      <c r="I2012" t="s">
        <v>3809</v>
      </c>
      <c r="J2012" t="s">
        <v>3810</v>
      </c>
      <c r="K2012" t="s">
        <v>1218</v>
      </c>
      <c r="L2012" s="13">
        <v>42017</v>
      </c>
      <c r="M2012">
        <v>9</v>
      </c>
      <c r="N2012" t="s">
        <v>90</v>
      </c>
      <c r="O2012" t="s">
        <v>3905</v>
      </c>
      <c r="P2012" t="s">
        <v>76</v>
      </c>
      <c r="Q2012" t="s">
        <v>76</v>
      </c>
      <c r="R2012" t="s">
        <v>76</v>
      </c>
      <c r="S2012" t="s">
        <v>76</v>
      </c>
      <c r="T2012" t="s">
        <v>76</v>
      </c>
      <c r="U2012">
        <v>1</v>
      </c>
      <c r="V2012" s="13">
        <v>45175</v>
      </c>
      <c r="W2012">
        <v>1</v>
      </c>
      <c r="X2012">
        <v>1</v>
      </c>
      <c r="Y2012" t="s">
        <v>3712</v>
      </c>
      <c r="AC2012">
        <v>5666</v>
      </c>
      <c r="AD2012" t="e" vm="2002">
        <v>#VALUE!</v>
      </c>
    </row>
    <row r="2013" spans="2:30" x14ac:dyDescent="0.25">
      <c r="B2013">
        <v>5667</v>
      </c>
      <c r="C2013" t="s">
        <v>3684</v>
      </c>
      <c r="D2013" t="s">
        <v>3746</v>
      </c>
      <c r="E2013" t="s">
        <v>3889</v>
      </c>
      <c r="F2013" t="s">
        <v>81</v>
      </c>
      <c r="G2013" t="s">
        <v>86</v>
      </c>
      <c r="H2013" t="s">
        <v>3808</v>
      </c>
      <c r="I2013" t="s">
        <v>3809</v>
      </c>
      <c r="J2013" t="s">
        <v>3810</v>
      </c>
      <c r="K2013" t="s">
        <v>1218</v>
      </c>
      <c r="L2013" s="13">
        <v>41914</v>
      </c>
      <c r="M2013">
        <v>9</v>
      </c>
      <c r="N2013" t="s">
        <v>101</v>
      </c>
      <c r="O2013" t="s">
        <v>3905</v>
      </c>
      <c r="P2013" t="s">
        <v>76</v>
      </c>
      <c r="Q2013" t="s">
        <v>76</v>
      </c>
      <c r="R2013" t="s">
        <v>76</v>
      </c>
      <c r="S2013" t="s">
        <v>76</v>
      </c>
      <c r="T2013" t="s">
        <v>76</v>
      </c>
      <c r="U2013">
        <v>1</v>
      </c>
      <c r="V2013" s="13">
        <v>45175</v>
      </c>
      <c r="W2013">
        <v>1</v>
      </c>
      <c r="X2013">
        <v>1</v>
      </c>
      <c r="Y2013" t="s">
        <v>3747</v>
      </c>
      <c r="AC2013">
        <v>5667</v>
      </c>
      <c r="AD2013" t="e" vm="2003">
        <v>#VALUE!</v>
      </c>
    </row>
    <row r="2014" spans="2:30" x14ac:dyDescent="0.25">
      <c r="B2014">
        <v>5668</v>
      </c>
      <c r="C2014" t="s">
        <v>3684</v>
      </c>
      <c r="D2014" t="s">
        <v>3746</v>
      </c>
      <c r="E2014" t="s">
        <v>3889</v>
      </c>
      <c r="F2014" t="s">
        <v>81</v>
      </c>
      <c r="G2014" t="s">
        <v>86</v>
      </c>
      <c r="H2014" t="s">
        <v>3808</v>
      </c>
      <c r="I2014" t="s">
        <v>3809</v>
      </c>
      <c r="J2014" t="s">
        <v>3810</v>
      </c>
      <c r="K2014" t="s">
        <v>1218</v>
      </c>
      <c r="L2014" s="13">
        <v>41898</v>
      </c>
      <c r="M2014">
        <v>9</v>
      </c>
      <c r="N2014" t="s">
        <v>101</v>
      </c>
      <c r="O2014" t="s">
        <v>3905</v>
      </c>
      <c r="P2014" t="s">
        <v>76</v>
      </c>
      <c r="Q2014" t="s">
        <v>76</v>
      </c>
      <c r="R2014" t="s">
        <v>76</v>
      </c>
      <c r="S2014" t="s">
        <v>76</v>
      </c>
      <c r="T2014" t="s">
        <v>76</v>
      </c>
      <c r="U2014">
        <v>1</v>
      </c>
      <c r="V2014" s="13">
        <v>45175</v>
      </c>
      <c r="W2014">
        <v>1</v>
      </c>
      <c r="X2014">
        <v>1</v>
      </c>
      <c r="Y2014" t="s">
        <v>3747</v>
      </c>
      <c r="AC2014">
        <v>5668</v>
      </c>
      <c r="AD2014" t="e" vm="2004">
        <v>#VALUE!</v>
      </c>
    </row>
    <row r="2015" spans="2:30" x14ac:dyDescent="0.25">
      <c r="B2015">
        <v>5669</v>
      </c>
      <c r="C2015" t="s">
        <v>3684</v>
      </c>
      <c r="D2015" t="s">
        <v>3746</v>
      </c>
      <c r="E2015" t="s">
        <v>3889</v>
      </c>
      <c r="F2015" t="s">
        <v>81</v>
      </c>
      <c r="G2015" t="s">
        <v>86</v>
      </c>
      <c r="H2015" t="s">
        <v>3808</v>
      </c>
      <c r="I2015" t="s">
        <v>3809</v>
      </c>
      <c r="J2015" t="s">
        <v>3810</v>
      </c>
      <c r="K2015" t="s">
        <v>1218</v>
      </c>
      <c r="L2015" s="13">
        <v>41898</v>
      </c>
      <c r="M2015">
        <v>9</v>
      </c>
      <c r="N2015" t="s">
        <v>101</v>
      </c>
      <c r="O2015" t="s">
        <v>3905</v>
      </c>
      <c r="P2015" t="s">
        <v>76</v>
      </c>
      <c r="Q2015" t="s">
        <v>76</v>
      </c>
      <c r="R2015" t="s">
        <v>76</v>
      </c>
      <c r="S2015" t="s">
        <v>76</v>
      </c>
      <c r="T2015" t="s">
        <v>76</v>
      </c>
      <c r="U2015">
        <v>1</v>
      </c>
      <c r="V2015" s="13">
        <v>45175</v>
      </c>
      <c r="W2015">
        <v>1</v>
      </c>
      <c r="X2015">
        <v>1</v>
      </c>
      <c r="Y2015" t="s">
        <v>3747</v>
      </c>
      <c r="AC2015">
        <v>5669</v>
      </c>
      <c r="AD2015" t="e" vm="2005">
        <v>#VALUE!</v>
      </c>
    </row>
    <row r="2016" spans="2:30" x14ac:dyDescent="0.25">
      <c r="B2016">
        <v>5670</v>
      </c>
      <c r="C2016" t="s">
        <v>3684</v>
      </c>
      <c r="D2016" t="s">
        <v>3746</v>
      </c>
      <c r="E2016" t="s">
        <v>3889</v>
      </c>
      <c r="F2016" t="s">
        <v>81</v>
      </c>
      <c r="G2016" t="s">
        <v>86</v>
      </c>
      <c r="H2016" t="s">
        <v>3808</v>
      </c>
      <c r="I2016" t="s">
        <v>3809</v>
      </c>
      <c r="J2016" t="s">
        <v>3810</v>
      </c>
      <c r="K2016" t="s">
        <v>1218</v>
      </c>
      <c r="L2016" s="13">
        <v>41843</v>
      </c>
      <c r="M2016">
        <v>9</v>
      </c>
      <c r="N2016" t="s">
        <v>101</v>
      </c>
      <c r="O2016" t="s">
        <v>3905</v>
      </c>
      <c r="P2016" t="s">
        <v>76</v>
      </c>
      <c r="Q2016" t="s">
        <v>76</v>
      </c>
      <c r="R2016" t="s">
        <v>76</v>
      </c>
      <c r="S2016" t="s">
        <v>76</v>
      </c>
      <c r="T2016" t="s">
        <v>76</v>
      </c>
      <c r="U2016">
        <v>1</v>
      </c>
      <c r="V2016" s="13">
        <v>45175</v>
      </c>
      <c r="W2016">
        <v>1</v>
      </c>
      <c r="X2016">
        <v>1</v>
      </c>
      <c r="Y2016" t="s">
        <v>3747</v>
      </c>
      <c r="AC2016">
        <v>5670</v>
      </c>
      <c r="AD2016" t="e" vm="2006">
        <v>#VALUE!</v>
      </c>
    </row>
    <row r="2017" spans="2:30" x14ac:dyDescent="0.25">
      <c r="B2017">
        <v>5671</v>
      </c>
      <c r="C2017" t="s">
        <v>3684</v>
      </c>
      <c r="D2017" t="s">
        <v>3746</v>
      </c>
      <c r="E2017" t="s">
        <v>3889</v>
      </c>
      <c r="F2017" t="s">
        <v>81</v>
      </c>
      <c r="G2017" t="s">
        <v>86</v>
      </c>
      <c r="H2017" t="s">
        <v>3808</v>
      </c>
      <c r="I2017" t="s">
        <v>3809</v>
      </c>
      <c r="J2017" t="s">
        <v>3810</v>
      </c>
      <c r="K2017" t="s">
        <v>1218</v>
      </c>
      <c r="L2017" s="13">
        <v>41830</v>
      </c>
      <c r="M2017">
        <v>9</v>
      </c>
      <c r="N2017" t="s">
        <v>101</v>
      </c>
      <c r="O2017" t="s">
        <v>3905</v>
      </c>
      <c r="P2017" t="s">
        <v>76</v>
      </c>
      <c r="Q2017" t="s">
        <v>76</v>
      </c>
      <c r="R2017" t="s">
        <v>76</v>
      </c>
      <c r="S2017" t="s">
        <v>76</v>
      </c>
      <c r="T2017" t="s">
        <v>76</v>
      </c>
      <c r="U2017">
        <v>1</v>
      </c>
      <c r="V2017" s="13">
        <v>45175</v>
      </c>
      <c r="W2017">
        <v>1</v>
      </c>
      <c r="X2017">
        <v>1</v>
      </c>
      <c r="Y2017" t="s">
        <v>3747</v>
      </c>
      <c r="AC2017">
        <v>5671</v>
      </c>
      <c r="AD2017" t="e" vm="2007">
        <v>#VALUE!</v>
      </c>
    </row>
    <row r="2018" spans="2:30" x14ac:dyDescent="0.25">
      <c r="B2018">
        <v>5672</v>
      </c>
      <c r="C2018" t="s">
        <v>3684</v>
      </c>
      <c r="D2018" t="s">
        <v>3746</v>
      </c>
      <c r="E2018" t="s">
        <v>3889</v>
      </c>
      <c r="F2018" t="s">
        <v>81</v>
      </c>
      <c r="G2018" t="s">
        <v>86</v>
      </c>
      <c r="H2018" t="s">
        <v>3808</v>
      </c>
      <c r="I2018" t="s">
        <v>3809</v>
      </c>
      <c r="J2018" t="s">
        <v>3810</v>
      </c>
      <c r="K2018" t="s">
        <v>1218</v>
      </c>
      <c r="L2018" s="13">
        <v>41843</v>
      </c>
      <c r="M2018">
        <v>9</v>
      </c>
      <c r="N2018" t="s">
        <v>101</v>
      </c>
      <c r="O2018" t="s">
        <v>3905</v>
      </c>
      <c r="P2018" t="s">
        <v>76</v>
      </c>
      <c r="Q2018" t="s">
        <v>76</v>
      </c>
      <c r="R2018" t="s">
        <v>76</v>
      </c>
      <c r="S2018" t="s">
        <v>76</v>
      </c>
      <c r="T2018" t="s">
        <v>76</v>
      </c>
      <c r="U2018">
        <v>1</v>
      </c>
      <c r="V2018" s="13">
        <v>45175</v>
      </c>
      <c r="W2018">
        <v>1</v>
      </c>
      <c r="X2018">
        <v>1</v>
      </c>
      <c r="Y2018" t="s">
        <v>3747</v>
      </c>
      <c r="AC2018">
        <v>5672</v>
      </c>
      <c r="AD2018" t="e" vm="2008">
        <v>#VALUE!</v>
      </c>
    </row>
    <row r="2019" spans="2:30" x14ac:dyDescent="0.25">
      <c r="B2019">
        <v>5673</v>
      </c>
      <c r="C2019" t="s">
        <v>3684</v>
      </c>
      <c r="D2019" t="s">
        <v>3746</v>
      </c>
      <c r="E2019" t="s">
        <v>3889</v>
      </c>
      <c r="F2019" t="s">
        <v>81</v>
      </c>
      <c r="G2019" t="s">
        <v>86</v>
      </c>
      <c r="H2019" t="s">
        <v>3808</v>
      </c>
      <c r="I2019" t="s">
        <v>3809</v>
      </c>
      <c r="J2019" t="s">
        <v>3810</v>
      </c>
      <c r="K2019" t="s">
        <v>1218</v>
      </c>
      <c r="L2019" s="13">
        <v>41939</v>
      </c>
      <c r="M2019">
        <v>9</v>
      </c>
      <c r="N2019" t="s">
        <v>101</v>
      </c>
      <c r="O2019" t="s">
        <v>3905</v>
      </c>
      <c r="P2019" t="s">
        <v>76</v>
      </c>
      <c r="Q2019" t="s">
        <v>76</v>
      </c>
      <c r="R2019" t="s">
        <v>76</v>
      </c>
      <c r="S2019" t="s">
        <v>76</v>
      </c>
      <c r="T2019" t="s">
        <v>76</v>
      </c>
      <c r="U2019">
        <v>1</v>
      </c>
      <c r="V2019" s="13">
        <v>45175</v>
      </c>
      <c r="W2019">
        <v>1</v>
      </c>
      <c r="X2019">
        <v>1</v>
      </c>
      <c r="Y2019" t="s">
        <v>3747</v>
      </c>
      <c r="AC2019">
        <v>5673</v>
      </c>
      <c r="AD2019" t="e" vm="2009">
        <v>#VALUE!</v>
      </c>
    </row>
    <row r="2020" spans="2:30" x14ac:dyDescent="0.25">
      <c r="B2020">
        <v>5674</v>
      </c>
      <c r="C2020" t="s">
        <v>3684</v>
      </c>
      <c r="D2020" t="s">
        <v>3746</v>
      </c>
      <c r="E2020" t="s">
        <v>3889</v>
      </c>
      <c r="F2020" t="s">
        <v>81</v>
      </c>
      <c r="G2020" t="s">
        <v>86</v>
      </c>
      <c r="H2020" t="s">
        <v>3808</v>
      </c>
      <c r="I2020" t="s">
        <v>3809</v>
      </c>
      <c r="J2020" t="s">
        <v>3810</v>
      </c>
      <c r="K2020" t="s">
        <v>1218</v>
      </c>
      <c r="L2020" s="13">
        <v>41830</v>
      </c>
      <c r="M2020">
        <v>9</v>
      </c>
      <c r="N2020" t="s">
        <v>101</v>
      </c>
      <c r="O2020" t="s">
        <v>3905</v>
      </c>
      <c r="P2020" t="s">
        <v>76</v>
      </c>
      <c r="Q2020" t="s">
        <v>76</v>
      </c>
      <c r="R2020" t="s">
        <v>76</v>
      </c>
      <c r="S2020" t="s">
        <v>76</v>
      </c>
      <c r="T2020" t="s">
        <v>76</v>
      </c>
      <c r="U2020">
        <v>1</v>
      </c>
      <c r="V2020" s="13">
        <v>45175</v>
      </c>
      <c r="W2020">
        <v>1</v>
      </c>
      <c r="X2020">
        <v>1</v>
      </c>
      <c r="Y2020" t="s">
        <v>3747</v>
      </c>
      <c r="AC2020">
        <v>5674</v>
      </c>
      <c r="AD2020" t="e" vm="2010">
        <v>#VALUE!</v>
      </c>
    </row>
    <row r="2021" spans="2:30" x14ac:dyDescent="0.25">
      <c r="B2021">
        <v>5675</v>
      </c>
      <c r="C2021" t="s">
        <v>3684</v>
      </c>
      <c r="D2021" t="s">
        <v>3746</v>
      </c>
      <c r="E2021" t="s">
        <v>3889</v>
      </c>
      <c r="F2021" t="s">
        <v>81</v>
      </c>
      <c r="G2021" t="s">
        <v>86</v>
      </c>
      <c r="H2021" t="s">
        <v>3808</v>
      </c>
      <c r="I2021" t="s">
        <v>3809</v>
      </c>
      <c r="J2021" t="s">
        <v>3810</v>
      </c>
      <c r="K2021" t="s">
        <v>1218</v>
      </c>
      <c r="L2021" s="13">
        <v>41815</v>
      </c>
      <c r="M2021">
        <v>9</v>
      </c>
      <c r="N2021" t="s">
        <v>101</v>
      </c>
      <c r="O2021" t="s">
        <v>3905</v>
      </c>
      <c r="P2021" t="s">
        <v>76</v>
      </c>
      <c r="Q2021" t="s">
        <v>76</v>
      </c>
      <c r="R2021" t="s">
        <v>76</v>
      </c>
      <c r="S2021" t="s">
        <v>76</v>
      </c>
      <c r="T2021" t="s">
        <v>76</v>
      </c>
      <c r="U2021">
        <v>1</v>
      </c>
      <c r="V2021" s="13">
        <v>45175</v>
      </c>
      <c r="W2021">
        <v>1</v>
      </c>
      <c r="X2021">
        <v>1</v>
      </c>
      <c r="Y2021" t="s">
        <v>3747</v>
      </c>
      <c r="AC2021">
        <v>5675</v>
      </c>
      <c r="AD2021" t="e" vm="2011">
        <v>#VALUE!</v>
      </c>
    </row>
    <row r="2022" spans="2:30" x14ac:dyDescent="0.25">
      <c r="B2022">
        <v>5676</v>
      </c>
      <c r="C2022" t="s">
        <v>3684</v>
      </c>
      <c r="D2022" t="s">
        <v>3746</v>
      </c>
      <c r="E2022" t="s">
        <v>3889</v>
      </c>
      <c r="F2022" t="s">
        <v>81</v>
      </c>
      <c r="G2022" t="s">
        <v>86</v>
      </c>
      <c r="H2022" t="s">
        <v>3808</v>
      </c>
      <c r="I2022" t="s">
        <v>3809</v>
      </c>
      <c r="J2022" t="s">
        <v>3810</v>
      </c>
      <c r="K2022" t="s">
        <v>1218</v>
      </c>
      <c r="L2022" s="13">
        <v>41809</v>
      </c>
      <c r="M2022">
        <v>9</v>
      </c>
      <c r="N2022" t="s">
        <v>101</v>
      </c>
      <c r="O2022" t="s">
        <v>3905</v>
      </c>
      <c r="P2022" t="s">
        <v>76</v>
      </c>
      <c r="Q2022" t="s">
        <v>76</v>
      </c>
      <c r="R2022" t="s">
        <v>76</v>
      </c>
      <c r="S2022" t="s">
        <v>76</v>
      </c>
      <c r="T2022" t="s">
        <v>76</v>
      </c>
      <c r="U2022">
        <v>1</v>
      </c>
      <c r="V2022" s="13">
        <v>45175</v>
      </c>
      <c r="W2022">
        <v>1</v>
      </c>
      <c r="X2022">
        <v>1</v>
      </c>
      <c r="Y2022" t="s">
        <v>3747</v>
      </c>
      <c r="AC2022">
        <v>5676</v>
      </c>
      <c r="AD2022" t="e" vm="2012">
        <v>#VALUE!</v>
      </c>
    </row>
    <row r="2023" spans="2:30" x14ac:dyDescent="0.25">
      <c r="B2023">
        <v>5677</v>
      </c>
      <c r="C2023" t="s">
        <v>3684</v>
      </c>
      <c r="D2023" t="s">
        <v>3746</v>
      </c>
      <c r="E2023" t="s">
        <v>3889</v>
      </c>
      <c r="F2023" t="s">
        <v>81</v>
      </c>
      <c r="G2023" t="s">
        <v>86</v>
      </c>
      <c r="H2023" t="s">
        <v>3808</v>
      </c>
      <c r="I2023" t="s">
        <v>3809</v>
      </c>
      <c r="J2023" t="s">
        <v>3810</v>
      </c>
      <c r="K2023" t="s">
        <v>1218</v>
      </c>
      <c r="L2023" s="13">
        <v>41815</v>
      </c>
      <c r="M2023">
        <v>9</v>
      </c>
      <c r="N2023" t="s">
        <v>101</v>
      </c>
      <c r="O2023" t="s">
        <v>3905</v>
      </c>
      <c r="P2023" t="s">
        <v>76</v>
      </c>
      <c r="Q2023" t="s">
        <v>76</v>
      </c>
      <c r="R2023" t="s">
        <v>76</v>
      </c>
      <c r="S2023" t="s">
        <v>76</v>
      </c>
      <c r="T2023" t="s">
        <v>76</v>
      </c>
      <c r="U2023">
        <v>1</v>
      </c>
      <c r="V2023" s="13">
        <v>45175</v>
      </c>
      <c r="W2023">
        <v>1</v>
      </c>
      <c r="X2023">
        <v>1</v>
      </c>
      <c r="Y2023" t="s">
        <v>3747</v>
      </c>
      <c r="AC2023">
        <v>5677</v>
      </c>
      <c r="AD2023" t="e" vm="2013">
        <v>#VALUE!</v>
      </c>
    </row>
    <row r="2024" spans="2:30" x14ac:dyDescent="0.25">
      <c r="B2024">
        <v>5678</v>
      </c>
      <c r="C2024" t="s">
        <v>3684</v>
      </c>
      <c r="D2024" t="s">
        <v>3746</v>
      </c>
      <c r="E2024" t="s">
        <v>3889</v>
      </c>
      <c r="F2024" t="s">
        <v>81</v>
      </c>
      <c r="G2024" t="s">
        <v>86</v>
      </c>
      <c r="H2024" t="s">
        <v>3808</v>
      </c>
      <c r="I2024" t="s">
        <v>3809</v>
      </c>
      <c r="J2024" t="s">
        <v>3810</v>
      </c>
      <c r="K2024" t="s">
        <v>1218</v>
      </c>
      <c r="L2024" s="13">
        <v>41823</v>
      </c>
      <c r="M2024">
        <v>9</v>
      </c>
      <c r="N2024" t="s">
        <v>101</v>
      </c>
      <c r="O2024" t="s">
        <v>3905</v>
      </c>
      <c r="P2024" t="s">
        <v>76</v>
      </c>
      <c r="Q2024" t="s">
        <v>76</v>
      </c>
      <c r="R2024" t="s">
        <v>76</v>
      </c>
      <c r="S2024" t="s">
        <v>76</v>
      </c>
      <c r="T2024" t="s">
        <v>76</v>
      </c>
      <c r="U2024">
        <v>1</v>
      </c>
      <c r="V2024" s="13">
        <v>45175</v>
      </c>
      <c r="W2024">
        <v>1</v>
      </c>
      <c r="X2024">
        <v>1</v>
      </c>
      <c r="Y2024" t="s">
        <v>3747</v>
      </c>
      <c r="AC2024">
        <v>5678</v>
      </c>
      <c r="AD2024" t="e" vm="2014">
        <v>#VALUE!</v>
      </c>
    </row>
    <row r="2025" spans="2:30" x14ac:dyDescent="0.25">
      <c r="B2025">
        <v>5679</v>
      </c>
      <c r="C2025" t="s">
        <v>3684</v>
      </c>
      <c r="D2025" t="s">
        <v>3746</v>
      </c>
      <c r="E2025" t="s">
        <v>3889</v>
      </c>
      <c r="F2025" t="s">
        <v>81</v>
      </c>
      <c r="G2025" t="s">
        <v>86</v>
      </c>
      <c r="H2025" t="s">
        <v>3808</v>
      </c>
      <c r="I2025" t="s">
        <v>3809</v>
      </c>
      <c r="J2025" t="s">
        <v>3810</v>
      </c>
      <c r="K2025" t="s">
        <v>1218</v>
      </c>
      <c r="L2025" s="13">
        <v>41823</v>
      </c>
      <c r="M2025">
        <v>9</v>
      </c>
      <c r="N2025" t="s">
        <v>101</v>
      </c>
      <c r="O2025" t="s">
        <v>3905</v>
      </c>
      <c r="P2025" t="s">
        <v>76</v>
      </c>
      <c r="Q2025" t="s">
        <v>76</v>
      </c>
      <c r="R2025" t="s">
        <v>76</v>
      </c>
      <c r="S2025" t="s">
        <v>76</v>
      </c>
      <c r="T2025" t="s">
        <v>76</v>
      </c>
      <c r="U2025">
        <v>1</v>
      </c>
      <c r="V2025" s="13">
        <v>45175</v>
      </c>
      <c r="W2025">
        <v>1</v>
      </c>
      <c r="X2025">
        <v>1</v>
      </c>
      <c r="Y2025" t="s">
        <v>3747</v>
      </c>
      <c r="AC2025">
        <v>5679</v>
      </c>
      <c r="AD2025" t="e" vm="2015">
        <v>#VALUE!</v>
      </c>
    </row>
    <row r="2026" spans="2:30" x14ac:dyDescent="0.25">
      <c r="B2026">
        <v>5680</v>
      </c>
      <c r="C2026" t="s">
        <v>3684</v>
      </c>
      <c r="D2026" t="s">
        <v>3746</v>
      </c>
      <c r="E2026" t="s">
        <v>3889</v>
      </c>
      <c r="F2026" t="s">
        <v>81</v>
      </c>
      <c r="G2026" t="s">
        <v>86</v>
      </c>
      <c r="H2026" t="s">
        <v>3808</v>
      </c>
      <c r="I2026" t="s">
        <v>3809</v>
      </c>
      <c r="J2026" t="s">
        <v>3810</v>
      </c>
      <c r="K2026" t="s">
        <v>1218</v>
      </c>
      <c r="L2026" s="13">
        <v>41815</v>
      </c>
      <c r="M2026">
        <v>9</v>
      </c>
      <c r="N2026" t="s">
        <v>101</v>
      </c>
      <c r="O2026" t="s">
        <v>3905</v>
      </c>
      <c r="P2026" t="s">
        <v>76</v>
      </c>
      <c r="Q2026" t="s">
        <v>76</v>
      </c>
      <c r="R2026" t="s">
        <v>76</v>
      </c>
      <c r="S2026" t="s">
        <v>76</v>
      </c>
      <c r="T2026" t="s">
        <v>76</v>
      </c>
      <c r="U2026">
        <v>1</v>
      </c>
      <c r="V2026" s="13">
        <v>45175</v>
      </c>
      <c r="W2026">
        <v>1</v>
      </c>
      <c r="X2026">
        <v>1</v>
      </c>
      <c r="Y2026" t="s">
        <v>3747</v>
      </c>
      <c r="AC2026">
        <v>5680</v>
      </c>
      <c r="AD2026" t="e" vm="2016">
        <v>#VALUE!</v>
      </c>
    </row>
    <row r="2027" spans="2:30" x14ac:dyDescent="0.25">
      <c r="B2027">
        <v>5681</v>
      </c>
      <c r="C2027" t="s">
        <v>3684</v>
      </c>
      <c r="D2027" t="s">
        <v>3746</v>
      </c>
      <c r="E2027" t="s">
        <v>3889</v>
      </c>
      <c r="F2027" t="s">
        <v>81</v>
      </c>
      <c r="G2027" t="s">
        <v>86</v>
      </c>
      <c r="H2027" t="s">
        <v>3808</v>
      </c>
      <c r="I2027" t="s">
        <v>3809</v>
      </c>
      <c r="J2027" t="s">
        <v>3810</v>
      </c>
      <c r="K2027" t="s">
        <v>1218</v>
      </c>
      <c r="L2027" s="13">
        <v>41823</v>
      </c>
      <c r="M2027">
        <v>9</v>
      </c>
      <c r="N2027" t="s">
        <v>101</v>
      </c>
      <c r="O2027" t="s">
        <v>3905</v>
      </c>
      <c r="P2027" t="s">
        <v>76</v>
      </c>
      <c r="Q2027" t="s">
        <v>76</v>
      </c>
      <c r="R2027" t="s">
        <v>76</v>
      </c>
      <c r="S2027" t="s">
        <v>76</v>
      </c>
      <c r="T2027" t="s">
        <v>76</v>
      </c>
      <c r="U2027">
        <v>1</v>
      </c>
      <c r="V2027" s="13">
        <v>45175</v>
      </c>
      <c r="W2027">
        <v>1</v>
      </c>
      <c r="X2027">
        <v>1</v>
      </c>
      <c r="Y2027" t="s">
        <v>3747</v>
      </c>
      <c r="AC2027">
        <v>5681</v>
      </c>
      <c r="AD2027" t="e" vm="2017">
        <v>#VALUE!</v>
      </c>
    </row>
    <row r="2028" spans="2:30" x14ac:dyDescent="0.25">
      <c r="B2028">
        <v>5682</v>
      </c>
      <c r="C2028" t="s">
        <v>3684</v>
      </c>
      <c r="D2028" t="s">
        <v>3746</v>
      </c>
      <c r="E2028" t="s">
        <v>3889</v>
      </c>
      <c r="F2028" t="s">
        <v>81</v>
      </c>
      <c r="G2028" t="s">
        <v>86</v>
      </c>
      <c r="H2028" t="s">
        <v>3808</v>
      </c>
      <c r="I2028" t="s">
        <v>3809</v>
      </c>
      <c r="J2028" t="s">
        <v>3810</v>
      </c>
      <c r="K2028" t="s">
        <v>1218</v>
      </c>
      <c r="L2028" s="13">
        <v>41946</v>
      </c>
      <c r="M2028">
        <v>9</v>
      </c>
      <c r="N2028" t="s">
        <v>101</v>
      </c>
      <c r="O2028" t="s">
        <v>3905</v>
      </c>
      <c r="P2028" t="s">
        <v>76</v>
      </c>
      <c r="Q2028" t="s">
        <v>76</v>
      </c>
      <c r="R2028" t="s">
        <v>76</v>
      </c>
      <c r="S2028" t="s">
        <v>76</v>
      </c>
      <c r="T2028" t="s">
        <v>76</v>
      </c>
      <c r="U2028">
        <v>1</v>
      </c>
      <c r="V2028" s="13">
        <v>45175</v>
      </c>
      <c r="W2028">
        <v>1</v>
      </c>
      <c r="X2028">
        <v>1</v>
      </c>
      <c r="Y2028" t="s">
        <v>3747</v>
      </c>
      <c r="AC2028">
        <v>5682</v>
      </c>
      <c r="AD2028" t="e" vm="2018">
        <v>#VALUE!</v>
      </c>
    </row>
    <row r="2029" spans="2:30" x14ac:dyDescent="0.25">
      <c r="B2029">
        <v>5683</v>
      </c>
      <c r="C2029" t="s">
        <v>3684</v>
      </c>
      <c r="D2029" t="s">
        <v>3746</v>
      </c>
      <c r="E2029" t="s">
        <v>3889</v>
      </c>
      <c r="F2029" t="s">
        <v>81</v>
      </c>
      <c r="G2029" t="s">
        <v>86</v>
      </c>
      <c r="H2029" t="s">
        <v>3808</v>
      </c>
      <c r="I2029" t="s">
        <v>3809</v>
      </c>
      <c r="J2029" t="s">
        <v>3810</v>
      </c>
      <c r="K2029" t="s">
        <v>1218</v>
      </c>
      <c r="L2029" s="13">
        <v>41843</v>
      </c>
      <c r="M2029">
        <v>9</v>
      </c>
      <c r="N2029" t="s">
        <v>101</v>
      </c>
      <c r="O2029" t="s">
        <v>3905</v>
      </c>
      <c r="P2029" t="s">
        <v>76</v>
      </c>
      <c r="Q2029" t="s">
        <v>76</v>
      </c>
      <c r="R2029" t="s">
        <v>76</v>
      </c>
      <c r="S2029" t="s">
        <v>76</v>
      </c>
      <c r="T2029" t="s">
        <v>76</v>
      </c>
      <c r="U2029">
        <v>1</v>
      </c>
      <c r="V2029" s="13">
        <v>45175</v>
      </c>
      <c r="W2029">
        <v>1</v>
      </c>
      <c r="X2029">
        <v>1</v>
      </c>
      <c r="Y2029" t="s">
        <v>3747</v>
      </c>
      <c r="AC2029">
        <v>5683</v>
      </c>
      <c r="AD2029" t="e" vm="2019">
        <v>#VALUE!</v>
      </c>
    </row>
    <row r="2030" spans="2:30" x14ac:dyDescent="0.25">
      <c r="B2030">
        <v>5684</v>
      </c>
      <c r="C2030" t="s">
        <v>3684</v>
      </c>
      <c r="D2030" t="s">
        <v>3746</v>
      </c>
      <c r="E2030" t="s">
        <v>3889</v>
      </c>
      <c r="F2030" t="s">
        <v>81</v>
      </c>
      <c r="G2030" t="s">
        <v>86</v>
      </c>
      <c r="H2030" t="s">
        <v>3808</v>
      </c>
      <c r="I2030" t="s">
        <v>3809</v>
      </c>
      <c r="J2030" t="s">
        <v>3810</v>
      </c>
      <c r="K2030" t="s">
        <v>1218</v>
      </c>
      <c r="L2030" s="13">
        <v>41844</v>
      </c>
      <c r="M2030">
        <v>9</v>
      </c>
      <c r="N2030" t="s">
        <v>101</v>
      </c>
      <c r="O2030" t="s">
        <v>3905</v>
      </c>
      <c r="P2030" t="s">
        <v>76</v>
      </c>
      <c r="Q2030" t="s">
        <v>76</v>
      </c>
      <c r="R2030" t="s">
        <v>76</v>
      </c>
      <c r="S2030" t="s">
        <v>76</v>
      </c>
      <c r="T2030" t="s">
        <v>76</v>
      </c>
      <c r="U2030">
        <v>1</v>
      </c>
      <c r="V2030" s="13">
        <v>45175</v>
      </c>
      <c r="W2030">
        <v>1</v>
      </c>
      <c r="X2030">
        <v>1</v>
      </c>
      <c r="Y2030" t="s">
        <v>3747</v>
      </c>
      <c r="AC2030">
        <v>5684</v>
      </c>
      <c r="AD2030" t="e" vm="2020">
        <v>#VALUE!</v>
      </c>
    </row>
    <row r="2031" spans="2:30" x14ac:dyDescent="0.25">
      <c r="B2031">
        <v>5685</v>
      </c>
      <c r="C2031" t="s">
        <v>3684</v>
      </c>
      <c r="D2031" t="s">
        <v>3746</v>
      </c>
      <c r="E2031" t="s">
        <v>3889</v>
      </c>
      <c r="F2031" t="s">
        <v>81</v>
      </c>
      <c r="G2031" t="s">
        <v>86</v>
      </c>
      <c r="H2031" t="s">
        <v>3808</v>
      </c>
      <c r="I2031" t="s">
        <v>3809</v>
      </c>
      <c r="J2031" t="s">
        <v>3810</v>
      </c>
      <c r="K2031" t="s">
        <v>1218</v>
      </c>
      <c r="L2031" s="13">
        <v>41843</v>
      </c>
      <c r="M2031">
        <v>9</v>
      </c>
      <c r="N2031" t="s">
        <v>101</v>
      </c>
      <c r="O2031" t="s">
        <v>3905</v>
      </c>
      <c r="P2031" t="s">
        <v>76</v>
      </c>
      <c r="Q2031" t="s">
        <v>76</v>
      </c>
      <c r="R2031" t="s">
        <v>76</v>
      </c>
      <c r="S2031" t="s">
        <v>76</v>
      </c>
      <c r="T2031" t="s">
        <v>76</v>
      </c>
      <c r="U2031">
        <v>1</v>
      </c>
      <c r="V2031" s="13">
        <v>45175</v>
      </c>
      <c r="W2031">
        <v>1</v>
      </c>
      <c r="X2031">
        <v>1</v>
      </c>
      <c r="Y2031" t="s">
        <v>3747</v>
      </c>
      <c r="AC2031">
        <v>5685</v>
      </c>
      <c r="AD2031" t="e" vm="2021">
        <v>#VALUE!</v>
      </c>
    </row>
    <row r="2032" spans="2:30" x14ac:dyDescent="0.25">
      <c r="B2032">
        <v>5686</v>
      </c>
      <c r="C2032" t="s">
        <v>3684</v>
      </c>
      <c r="D2032" t="s">
        <v>3746</v>
      </c>
      <c r="E2032" t="s">
        <v>3889</v>
      </c>
      <c r="F2032" t="s">
        <v>81</v>
      </c>
      <c r="G2032" t="s">
        <v>86</v>
      </c>
      <c r="H2032" t="s">
        <v>3808</v>
      </c>
      <c r="I2032" t="s">
        <v>3809</v>
      </c>
      <c r="J2032" t="s">
        <v>3810</v>
      </c>
      <c r="K2032" t="s">
        <v>1218</v>
      </c>
      <c r="L2032" s="13">
        <v>41898</v>
      </c>
      <c r="M2032">
        <v>9</v>
      </c>
      <c r="N2032" t="s">
        <v>101</v>
      </c>
      <c r="O2032" t="s">
        <v>3905</v>
      </c>
      <c r="P2032" t="s">
        <v>76</v>
      </c>
      <c r="Q2032" t="s">
        <v>76</v>
      </c>
      <c r="R2032" t="s">
        <v>76</v>
      </c>
      <c r="S2032" t="s">
        <v>76</v>
      </c>
      <c r="T2032" t="s">
        <v>76</v>
      </c>
      <c r="U2032">
        <v>1</v>
      </c>
      <c r="V2032" s="13">
        <v>45175</v>
      </c>
      <c r="W2032">
        <v>1</v>
      </c>
      <c r="X2032">
        <v>1</v>
      </c>
      <c r="Y2032" t="s">
        <v>3747</v>
      </c>
      <c r="AC2032">
        <v>5686</v>
      </c>
      <c r="AD2032" t="e" vm="2022">
        <v>#VALUE!</v>
      </c>
    </row>
    <row r="2033" spans="2:30" x14ac:dyDescent="0.25">
      <c r="B2033">
        <v>5687</v>
      </c>
      <c r="C2033" t="s">
        <v>3684</v>
      </c>
      <c r="D2033" t="s">
        <v>3746</v>
      </c>
      <c r="E2033" t="s">
        <v>3889</v>
      </c>
      <c r="F2033" t="s">
        <v>81</v>
      </c>
      <c r="G2033" t="s">
        <v>86</v>
      </c>
      <c r="H2033" t="s">
        <v>3808</v>
      </c>
      <c r="I2033" t="s">
        <v>3809</v>
      </c>
      <c r="J2033" t="s">
        <v>3810</v>
      </c>
      <c r="K2033" t="s">
        <v>1218</v>
      </c>
      <c r="L2033" s="13">
        <v>41939</v>
      </c>
      <c r="M2033">
        <v>9</v>
      </c>
      <c r="N2033" t="s">
        <v>101</v>
      </c>
      <c r="O2033" t="s">
        <v>3905</v>
      </c>
      <c r="P2033" t="s">
        <v>76</v>
      </c>
      <c r="Q2033" t="s">
        <v>76</v>
      </c>
      <c r="R2033" t="s">
        <v>76</v>
      </c>
      <c r="S2033" t="s">
        <v>76</v>
      </c>
      <c r="T2033" t="s">
        <v>76</v>
      </c>
      <c r="U2033">
        <v>1</v>
      </c>
      <c r="V2033" s="13">
        <v>45175</v>
      </c>
      <c r="W2033">
        <v>1</v>
      </c>
      <c r="X2033">
        <v>1</v>
      </c>
      <c r="Y2033" t="s">
        <v>3747</v>
      </c>
      <c r="AC2033">
        <v>5687</v>
      </c>
      <c r="AD2033" t="e" vm="2023">
        <v>#VALUE!</v>
      </c>
    </row>
    <row r="2034" spans="2:30" x14ac:dyDescent="0.25">
      <c r="B2034">
        <v>5688</v>
      </c>
      <c r="C2034" t="s">
        <v>3684</v>
      </c>
      <c r="D2034" t="s">
        <v>3746</v>
      </c>
      <c r="E2034" t="s">
        <v>3889</v>
      </c>
      <c r="F2034" t="s">
        <v>81</v>
      </c>
      <c r="G2034" t="s">
        <v>86</v>
      </c>
      <c r="H2034" t="s">
        <v>3808</v>
      </c>
      <c r="I2034" t="s">
        <v>3809</v>
      </c>
      <c r="J2034" t="s">
        <v>3810</v>
      </c>
      <c r="K2034" t="s">
        <v>1218</v>
      </c>
      <c r="L2034" s="13">
        <v>41843</v>
      </c>
      <c r="M2034">
        <v>9</v>
      </c>
      <c r="N2034" t="s">
        <v>101</v>
      </c>
      <c r="O2034" t="s">
        <v>3905</v>
      </c>
      <c r="P2034" t="s">
        <v>76</v>
      </c>
      <c r="Q2034" t="s">
        <v>76</v>
      </c>
      <c r="R2034" t="s">
        <v>76</v>
      </c>
      <c r="S2034" t="s">
        <v>76</v>
      </c>
      <c r="T2034" t="s">
        <v>76</v>
      </c>
      <c r="U2034">
        <v>1</v>
      </c>
      <c r="V2034" s="13">
        <v>45175</v>
      </c>
      <c r="W2034">
        <v>1</v>
      </c>
      <c r="X2034">
        <v>1</v>
      </c>
      <c r="Y2034" t="s">
        <v>3747</v>
      </c>
      <c r="AC2034">
        <v>5688</v>
      </c>
      <c r="AD2034" t="e" vm="2024">
        <v>#VALUE!</v>
      </c>
    </row>
    <row r="2035" spans="2:30" x14ac:dyDescent="0.25">
      <c r="B2035">
        <v>5689</v>
      </c>
      <c r="C2035" t="s">
        <v>3684</v>
      </c>
      <c r="D2035" t="s">
        <v>3746</v>
      </c>
      <c r="E2035" t="s">
        <v>3889</v>
      </c>
      <c r="F2035" t="s">
        <v>81</v>
      </c>
      <c r="G2035" t="s">
        <v>86</v>
      </c>
      <c r="H2035" t="s">
        <v>3808</v>
      </c>
      <c r="I2035" t="s">
        <v>3809</v>
      </c>
      <c r="J2035" t="s">
        <v>3810</v>
      </c>
      <c r="K2035" t="s">
        <v>1218</v>
      </c>
      <c r="L2035" s="13">
        <v>41946</v>
      </c>
      <c r="M2035">
        <v>9</v>
      </c>
      <c r="N2035" t="s">
        <v>101</v>
      </c>
      <c r="O2035" t="s">
        <v>3905</v>
      </c>
      <c r="P2035" t="s">
        <v>76</v>
      </c>
      <c r="Q2035" t="s">
        <v>76</v>
      </c>
      <c r="R2035" t="s">
        <v>76</v>
      </c>
      <c r="S2035" t="s">
        <v>76</v>
      </c>
      <c r="T2035" t="s">
        <v>76</v>
      </c>
      <c r="U2035">
        <v>1</v>
      </c>
      <c r="V2035" s="13">
        <v>45175</v>
      </c>
      <c r="W2035">
        <v>1</v>
      </c>
      <c r="X2035">
        <v>1</v>
      </c>
      <c r="Y2035" t="s">
        <v>3747</v>
      </c>
      <c r="AC2035">
        <v>5689</v>
      </c>
      <c r="AD2035" t="e" vm="2025">
        <v>#VALUE!</v>
      </c>
    </row>
    <row r="2036" spans="2:30" x14ac:dyDescent="0.25">
      <c r="B2036">
        <v>5690</v>
      </c>
      <c r="C2036" t="s">
        <v>3684</v>
      </c>
      <c r="D2036" t="s">
        <v>3746</v>
      </c>
      <c r="E2036" t="s">
        <v>3889</v>
      </c>
      <c r="F2036" t="s">
        <v>81</v>
      </c>
      <c r="G2036" t="s">
        <v>86</v>
      </c>
      <c r="H2036" t="s">
        <v>3808</v>
      </c>
      <c r="I2036" t="s">
        <v>3809</v>
      </c>
      <c r="J2036" t="s">
        <v>3810</v>
      </c>
      <c r="K2036" t="s">
        <v>1218</v>
      </c>
      <c r="L2036" s="13">
        <v>41914</v>
      </c>
      <c r="M2036">
        <v>9</v>
      </c>
      <c r="N2036" t="s">
        <v>101</v>
      </c>
      <c r="O2036" t="s">
        <v>3905</v>
      </c>
      <c r="P2036" t="s">
        <v>76</v>
      </c>
      <c r="Q2036" t="s">
        <v>76</v>
      </c>
      <c r="R2036" t="s">
        <v>76</v>
      </c>
      <c r="S2036" t="s">
        <v>76</v>
      </c>
      <c r="T2036" t="s">
        <v>76</v>
      </c>
      <c r="U2036">
        <v>1</v>
      </c>
      <c r="V2036" s="13">
        <v>45175</v>
      </c>
      <c r="W2036">
        <v>1</v>
      </c>
      <c r="X2036">
        <v>1</v>
      </c>
      <c r="Y2036" t="s">
        <v>3747</v>
      </c>
      <c r="AC2036">
        <v>5690</v>
      </c>
      <c r="AD2036" t="e" vm="2026">
        <v>#VALUE!</v>
      </c>
    </row>
    <row r="2037" spans="2:30" x14ac:dyDescent="0.25">
      <c r="B2037">
        <v>5691</v>
      </c>
      <c r="C2037" t="s">
        <v>3684</v>
      </c>
      <c r="D2037" t="s">
        <v>3746</v>
      </c>
      <c r="E2037" t="s">
        <v>3889</v>
      </c>
      <c r="F2037" t="s">
        <v>81</v>
      </c>
      <c r="G2037" t="s">
        <v>86</v>
      </c>
      <c r="H2037" t="s">
        <v>3808</v>
      </c>
      <c r="I2037" t="s">
        <v>3809</v>
      </c>
      <c r="J2037" t="s">
        <v>3810</v>
      </c>
      <c r="K2037" t="s">
        <v>1218</v>
      </c>
      <c r="L2037" s="13">
        <v>41870</v>
      </c>
      <c r="M2037">
        <v>9</v>
      </c>
      <c r="N2037" t="s">
        <v>101</v>
      </c>
      <c r="O2037" t="s">
        <v>3905</v>
      </c>
      <c r="P2037" t="s">
        <v>76</v>
      </c>
      <c r="Q2037" t="s">
        <v>76</v>
      </c>
      <c r="R2037" t="s">
        <v>76</v>
      </c>
      <c r="S2037" t="s">
        <v>76</v>
      </c>
      <c r="T2037" t="s">
        <v>76</v>
      </c>
      <c r="U2037">
        <v>1</v>
      </c>
      <c r="V2037" s="13">
        <v>45175</v>
      </c>
      <c r="W2037">
        <v>1</v>
      </c>
      <c r="X2037">
        <v>1</v>
      </c>
      <c r="Y2037" t="s">
        <v>3747</v>
      </c>
      <c r="AC2037">
        <v>5691</v>
      </c>
      <c r="AD2037" t="e" vm="2027">
        <v>#VALUE!</v>
      </c>
    </row>
    <row r="2038" spans="2:30" x14ac:dyDescent="0.25">
      <c r="B2038">
        <v>5692</v>
      </c>
      <c r="C2038" t="s">
        <v>3684</v>
      </c>
      <c r="D2038" t="s">
        <v>3746</v>
      </c>
      <c r="E2038" t="s">
        <v>3889</v>
      </c>
      <c r="F2038" t="s">
        <v>81</v>
      </c>
      <c r="G2038" t="s">
        <v>86</v>
      </c>
      <c r="H2038" t="s">
        <v>3808</v>
      </c>
      <c r="I2038" t="s">
        <v>3809</v>
      </c>
      <c r="J2038" t="s">
        <v>3810</v>
      </c>
      <c r="K2038" t="s">
        <v>1218</v>
      </c>
      <c r="L2038" s="13">
        <v>41956</v>
      </c>
      <c r="M2038">
        <v>9</v>
      </c>
      <c r="N2038" t="s">
        <v>101</v>
      </c>
      <c r="O2038" t="s">
        <v>3905</v>
      </c>
      <c r="P2038" t="s">
        <v>76</v>
      </c>
      <c r="Q2038" t="s">
        <v>76</v>
      </c>
      <c r="R2038" t="s">
        <v>76</v>
      </c>
      <c r="S2038" t="s">
        <v>76</v>
      </c>
      <c r="T2038" t="s">
        <v>76</v>
      </c>
      <c r="U2038">
        <v>1</v>
      </c>
      <c r="V2038" s="13">
        <v>45175</v>
      </c>
      <c r="W2038">
        <v>1</v>
      </c>
      <c r="X2038">
        <v>1</v>
      </c>
      <c r="Y2038" t="s">
        <v>3747</v>
      </c>
      <c r="AC2038">
        <v>5692</v>
      </c>
      <c r="AD2038" t="e" vm="2028">
        <v>#VALUE!</v>
      </c>
    </row>
    <row r="2039" spans="2:30" x14ac:dyDescent="0.25">
      <c r="B2039">
        <v>5693</v>
      </c>
      <c r="C2039" t="s">
        <v>3684</v>
      </c>
      <c r="D2039" t="s">
        <v>3746</v>
      </c>
      <c r="E2039" t="s">
        <v>3889</v>
      </c>
      <c r="F2039" t="s">
        <v>81</v>
      </c>
      <c r="G2039" t="s">
        <v>86</v>
      </c>
      <c r="H2039" t="s">
        <v>3808</v>
      </c>
      <c r="I2039" t="s">
        <v>3809</v>
      </c>
      <c r="J2039" t="s">
        <v>3810</v>
      </c>
      <c r="K2039" t="s">
        <v>1218</v>
      </c>
      <c r="L2039" s="13">
        <v>41925</v>
      </c>
      <c r="M2039">
        <v>9</v>
      </c>
      <c r="N2039" t="s">
        <v>101</v>
      </c>
      <c r="O2039" t="s">
        <v>3905</v>
      </c>
      <c r="P2039" t="s">
        <v>76</v>
      </c>
      <c r="Q2039" t="s">
        <v>76</v>
      </c>
      <c r="R2039" t="s">
        <v>76</v>
      </c>
      <c r="S2039" t="s">
        <v>76</v>
      </c>
      <c r="T2039" t="s">
        <v>76</v>
      </c>
      <c r="U2039">
        <v>1</v>
      </c>
      <c r="V2039" s="13">
        <v>45175</v>
      </c>
      <c r="W2039">
        <v>1</v>
      </c>
      <c r="X2039">
        <v>1</v>
      </c>
      <c r="Y2039" t="s">
        <v>3747</v>
      </c>
      <c r="AC2039">
        <v>5693</v>
      </c>
      <c r="AD2039" t="e" vm="2029">
        <v>#VALUE!</v>
      </c>
    </row>
    <row r="2040" spans="2:30" x14ac:dyDescent="0.25">
      <c r="B2040">
        <v>5694</v>
      </c>
      <c r="C2040" t="s">
        <v>3684</v>
      </c>
      <c r="D2040" t="s">
        <v>3746</v>
      </c>
      <c r="E2040" t="s">
        <v>3889</v>
      </c>
      <c r="F2040" t="s">
        <v>81</v>
      </c>
      <c r="G2040" t="s">
        <v>86</v>
      </c>
      <c r="H2040" t="s">
        <v>3808</v>
      </c>
      <c r="I2040" t="s">
        <v>3809</v>
      </c>
      <c r="J2040" t="s">
        <v>3810</v>
      </c>
      <c r="K2040" t="s">
        <v>1218</v>
      </c>
      <c r="L2040" s="13">
        <v>41946</v>
      </c>
      <c r="M2040">
        <v>9</v>
      </c>
      <c r="N2040" t="s">
        <v>101</v>
      </c>
      <c r="O2040" t="s">
        <v>3905</v>
      </c>
      <c r="P2040" t="s">
        <v>76</v>
      </c>
      <c r="Q2040" t="s">
        <v>76</v>
      </c>
      <c r="R2040" t="s">
        <v>76</v>
      </c>
      <c r="S2040" t="s">
        <v>76</v>
      </c>
      <c r="T2040" t="s">
        <v>76</v>
      </c>
      <c r="U2040">
        <v>1</v>
      </c>
      <c r="V2040" s="13">
        <v>45175</v>
      </c>
      <c r="W2040">
        <v>1</v>
      </c>
      <c r="X2040">
        <v>1</v>
      </c>
      <c r="Y2040" t="s">
        <v>3747</v>
      </c>
      <c r="AC2040">
        <v>5694</v>
      </c>
      <c r="AD2040" t="e" vm="2030">
        <v>#VALUE!</v>
      </c>
    </row>
    <row r="2041" spans="2:30" x14ac:dyDescent="0.25">
      <c r="B2041">
        <v>5695</v>
      </c>
      <c r="C2041" t="s">
        <v>3684</v>
      </c>
      <c r="D2041" t="s">
        <v>3746</v>
      </c>
      <c r="E2041" t="s">
        <v>3889</v>
      </c>
      <c r="F2041" t="s">
        <v>81</v>
      </c>
      <c r="G2041" t="s">
        <v>86</v>
      </c>
      <c r="H2041" t="s">
        <v>3808</v>
      </c>
      <c r="I2041" t="s">
        <v>3809</v>
      </c>
      <c r="J2041" t="s">
        <v>3810</v>
      </c>
      <c r="K2041" t="s">
        <v>1218</v>
      </c>
      <c r="L2041" s="13">
        <v>41898</v>
      </c>
      <c r="M2041">
        <v>9</v>
      </c>
      <c r="N2041" t="s">
        <v>101</v>
      </c>
      <c r="O2041" t="s">
        <v>3905</v>
      </c>
      <c r="P2041" t="s">
        <v>76</v>
      </c>
      <c r="Q2041" t="s">
        <v>76</v>
      </c>
      <c r="R2041" t="s">
        <v>76</v>
      </c>
      <c r="S2041" t="s">
        <v>76</v>
      </c>
      <c r="T2041" t="s">
        <v>76</v>
      </c>
      <c r="U2041">
        <v>1</v>
      </c>
      <c r="V2041" s="13">
        <v>45175</v>
      </c>
      <c r="W2041">
        <v>1</v>
      </c>
      <c r="X2041">
        <v>1</v>
      </c>
      <c r="Y2041" t="s">
        <v>3747</v>
      </c>
      <c r="AC2041">
        <v>5695</v>
      </c>
      <c r="AD2041" t="e" vm="2031">
        <v>#VALUE!</v>
      </c>
    </row>
    <row r="2042" spans="2:30" x14ac:dyDescent="0.25">
      <c r="B2042">
        <v>5696</v>
      </c>
      <c r="C2042" t="s">
        <v>3684</v>
      </c>
      <c r="D2042" t="s">
        <v>3746</v>
      </c>
      <c r="E2042" t="s">
        <v>3889</v>
      </c>
      <c r="F2042" t="s">
        <v>81</v>
      </c>
      <c r="G2042" t="s">
        <v>86</v>
      </c>
      <c r="H2042" t="s">
        <v>3808</v>
      </c>
      <c r="I2042" t="s">
        <v>3809</v>
      </c>
      <c r="J2042" t="s">
        <v>3810</v>
      </c>
      <c r="K2042" t="s">
        <v>1218</v>
      </c>
      <c r="L2042" s="13">
        <v>41914</v>
      </c>
      <c r="M2042">
        <v>9</v>
      </c>
      <c r="N2042" t="s">
        <v>101</v>
      </c>
      <c r="O2042" t="s">
        <v>3905</v>
      </c>
      <c r="P2042" t="s">
        <v>76</v>
      </c>
      <c r="Q2042" t="s">
        <v>76</v>
      </c>
      <c r="R2042" t="s">
        <v>76</v>
      </c>
      <c r="S2042" t="s">
        <v>76</v>
      </c>
      <c r="T2042" t="s">
        <v>76</v>
      </c>
      <c r="U2042">
        <v>1</v>
      </c>
      <c r="V2042" s="13">
        <v>45175</v>
      </c>
      <c r="W2042">
        <v>1</v>
      </c>
      <c r="X2042">
        <v>1</v>
      </c>
      <c r="Y2042" t="s">
        <v>3747</v>
      </c>
      <c r="AC2042">
        <v>5696</v>
      </c>
      <c r="AD2042" t="e" vm="2032">
        <v>#VALUE!</v>
      </c>
    </row>
    <row r="2043" spans="2:30" x14ac:dyDescent="0.25">
      <c r="B2043">
        <v>5697</v>
      </c>
      <c r="C2043" t="s">
        <v>3684</v>
      </c>
      <c r="D2043" t="s">
        <v>3746</v>
      </c>
      <c r="E2043" t="s">
        <v>3889</v>
      </c>
      <c r="F2043" t="s">
        <v>81</v>
      </c>
      <c r="G2043" t="s">
        <v>86</v>
      </c>
      <c r="H2043" t="s">
        <v>3808</v>
      </c>
      <c r="I2043" t="s">
        <v>3809</v>
      </c>
      <c r="J2043" t="s">
        <v>3810</v>
      </c>
      <c r="K2043" t="s">
        <v>1218</v>
      </c>
      <c r="L2043" s="13">
        <v>41939</v>
      </c>
      <c r="M2043">
        <v>9</v>
      </c>
      <c r="N2043" t="s">
        <v>101</v>
      </c>
      <c r="O2043" t="s">
        <v>3905</v>
      </c>
      <c r="P2043" t="s">
        <v>76</v>
      </c>
      <c r="Q2043" t="s">
        <v>76</v>
      </c>
      <c r="R2043" t="s">
        <v>76</v>
      </c>
      <c r="S2043" t="s">
        <v>76</v>
      </c>
      <c r="T2043" t="s">
        <v>76</v>
      </c>
      <c r="U2043">
        <v>1</v>
      </c>
      <c r="V2043" s="13">
        <v>45175</v>
      </c>
      <c r="W2043">
        <v>1</v>
      </c>
      <c r="X2043">
        <v>1</v>
      </c>
      <c r="Y2043" t="s">
        <v>3747</v>
      </c>
      <c r="AC2043">
        <v>5697</v>
      </c>
      <c r="AD2043" t="e" vm="2033">
        <v>#VALUE!</v>
      </c>
    </row>
    <row r="2044" spans="2:30" x14ac:dyDescent="0.25">
      <c r="B2044">
        <v>5698</v>
      </c>
      <c r="C2044" t="s">
        <v>3684</v>
      </c>
      <c r="D2044" t="s">
        <v>3746</v>
      </c>
      <c r="E2044" t="s">
        <v>3889</v>
      </c>
      <c r="F2044" t="s">
        <v>81</v>
      </c>
      <c r="G2044" t="s">
        <v>86</v>
      </c>
      <c r="H2044" t="s">
        <v>3808</v>
      </c>
      <c r="I2044" t="s">
        <v>3809</v>
      </c>
      <c r="J2044" t="s">
        <v>3810</v>
      </c>
      <c r="K2044" t="s">
        <v>1218</v>
      </c>
      <c r="L2044" s="13">
        <v>41957</v>
      </c>
      <c r="M2044">
        <v>9</v>
      </c>
      <c r="N2044" t="s">
        <v>101</v>
      </c>
      <c r="O2044" t="s">
        <v>3905</v>
      </c>
      <c r="P2044" t="s">
        <v>76</v>
      </c>
      <c r="Q2044" t="s">
        <v>76</v>
      </c>
      <c r="R2044" t="s">
        <v>76</v>
      </c>
      <c r="S2044" t="s">
        <v>76</v>
      </c>
      <c r="T2044" t="s">
        <v>76</v>
      </c>
      <c r="U2044">
        <v>1</v>
      </c>
      <c r="V2044" s="13">
        <v>45175</v>
      </c>
      <c r="W2044">
        <v>1</v>
      </c>
      <c r="X2044">
        <v>1</v>
      </c>
      <c r="Y2044" t="s">
        <v>3747</v>
      </c>
      <c r="AC2044">
        <v>5698</v>
      </c>
      <c r="AD2044" t="e" vm="2034">
        <v>#VALUE!</v>
      </c>
    </row>
    <row r="2045" spans="2:30" x14ac:dyDescent="0.25">
      <c r="B2045">
        <v>5699</v>
      </c>
      <c r="C2045" t="s">
        <v>3684</v>
      </c>
      <c r="D2045" t="s">
        <v>3746</v>
      </c>
      <c r="E2045" t="s">
        <v>3889</v>
      </c>
      <c r="F2045" t="s">
        <v>81</v>
      </c>
      <c r="G2045" t="s">
        <v>86</v>
      </c>
      <c r="H2045" t="s">
        <v>3808</v>
      </c>
      <c r="I2045" t="s">
        <v>3809</v>
      </c>
      <c r="J2045" t="s">
        <v>3810</v>
      </c>
      <c r="K2045" t="s">
        <v>1218</v>
      </c>
      <c r="L2045" s="13">
        <v>41957</v>
      </c>
      <c r="M2045">
        <v>9</v>
      </c>
      <c r="N2045" t="s">
        <v>101</v>
      </c>
      <c r="O2045" t="s">
        <v>3905</v>
      </c>
      <c r="P2045" t="s">
        <v>76</v>
      </c>
      <c r="Q2045" t="s">
        <v>76</v>
      </c>
      <c r="R2045" t="s">
        <v>76</v>
      </c>
      <c r="S2045" t="s">
        <v>76</v>
      </c>
      <c r="T2045" t="s">
        <v>76</v>
      </c>
      <c r="U2045">
        <v>1</v>
      </c>
      <c r="V2045" s="13">
        <v>45175</v>
      </c>
      <c r="W2045">
        <v>1</v>
      </c>
      <c r="X2045">
        <v>1</v>
      </c>
      <c r="Y2045" t="s">
        <v>3747</v>
      </c>
      <c r="AC2045">
        <v>5699</v>
      </c>
      <c r="AD2045" t="e" vm="2035">
        <v>#VALUE!</v>
      </c>
    </row>
    <row r="2046" spans="2:30" x14ac:dyDescent="0.25">
      <c r="B2046">
        <v>5700</v>
      </c>
      <c r="C2046" t="s">
        <v>3684</v>
      </c>
      <c r="D2046" t="s">
        <v>3685</v>
      </c>
      <c r="E2046" t="s">
        <v>3829</v>
      </c>
      <c r="F2046" t="s">
        <v>105</v>
      </c>
      <c r="G2046" t="s">
        <v>108</v>
      </c>
      <c r="H2046" t="s">
        <v>3808</v>
      </c>
      <c r="I2046" t="s">
        <v>3809</v>
      </c>
      <c r="J2046" t="s">
        <v>3810</v>
      </c>
      <c r="K2046" t="s">
        <v>1218</v>
      </c>
      <c r="L2046" s="13">
        <v>41925</v>
      </c>
      <c r="M2046">
        <v>9</v>
      </c>
      <c r="N2046" t="s">
        <v>101</v>
      </c>
      <c r="O2046" t="s">
        <v>3905</v>
      </c>
      <c r="P2046" t="s">
        <v>76</v>
      </c>
      <c r="Q2046" t="s">
        <v>76</v>
      </c>
      <c r="R2046" t="s">
        <v>76</v>
      </c>
      <c r="S2046" t="s">
        <v>76</v>
      </c>
      <c r="T2046" t="s">
        <v>76</v>
      </c>
      <c r="U2046">
        <v>1</v>
      </c>
      <c r="V2046" s="13">
        <v>45175</v>
      </c>
      <c r="W2046">
        <v>1</v>
      </c>
      <c r="X2046">
        <v>1</v>
      </c>
      <c r="Y2046" t="s">
        <v>3686</v>
      </c>
      <c r="AC2046">
        <v>5700</v>
      </c>
      <c r="AD2046" t="e" vm="2036">
        <v>#VALUE!</v>
      </c>
    </row>
    <row r="2047" spans="2:30" x14ac:dyDescent="0.25">
      <c r="B2047">
        <v>5701</v>
      </c>
      <c r="C2047" t="s">
        <v>3684</v>
      </c>
      <c r="D2047" t="s">
        <v>3685</v>
      </c>
      <c r="E2047" t="s">
        <v>3829</v>
      </c>
      <c r="F2047" t="s">
        <v>105</v>
      </c>
      <c r="G2047" t="s">
        <v>108</v>
      </c>
      <c r="H2047" t="s">
        <v>3808</v>
      </c>
      <c r="I2047" t="s">
        <v>3809</v>
      </c>
      <c r="J2047" t="s">
        <v>3810</v>
      </c>
      <c r="K2047" t="s">
        <v>1218</v>
      </c>
      <c r="L2047" s="13">
        <v>41947</v>
      </c>
      <c r="M2047">
        <v>9</v>
      </c>
      <c r="N2047" t="s">
        <v>101</v>
      </c>
      <c r="O2047" t="s">
        <v>3905</v>
      </c>
      <c r="P2047" t="s">
        <v>76</v>
      </c>
      <c r="Q2047" t="s">
        <v>76</v>
      </c>
      <c r="R2047" t="s">
        <v>76</v>
      </c>
      <c r="S2047" t="s">
        <v>76</v>
      </c>
      <c r="T2047" t="s">
        <v>76</v>
      </c>
      <c r="U2047">
        <v>1</v>
      </c>
      <c r="V2047" s="13">
        <v>45175</v>
      </c>
      <c r="W2047">
        <v>1</v>
      </c>
      <c r="X2047">
        <v>1</v>
      </c>
      <c r="Y2047" t="s">
        <v>3686</v>
      </c>
      <c r="AC2047">
        <v>5701</v>
      </c>
      <c r="AD2047" t="e" vm="2037">
        <v>#VALUE!</v>
      </c>
    </row>
    <row r="2048" spans="2:30" x14ac:dyDescent="0.25">
      <c r="B2048">
        <v>5702</v>
      </c>
      <c r="C2048" t="s">
        <v>3684</v>
      </c>
      <c r="D2048" t="s">
        <v>3685</v>
      </c>
      <c r="E2048" t="s">
        <v>3829</v>
      </c>
      <c r="F2048" t="s">
        <v>105</v>
      </c>
      <c r="G2048" t="s">
        <v>108</v>
      </c>
      <c r="H2048" t="s">
        <v>3808</v>
      </c>
      <c r="I2048" t="s">
        <v>3809</v>
      </c>
      <c r="J2048" t="s">
        <v>3810</v>
      </c>
      <c r="K2048" t="s">
        <v>1218</v>
      </c>
      <c r="L2048" s="13">
        <v>41946</v>
      </c>
      <c r="M2048">
        <v>9</v>
      </c>
      <c r="N2048" t="s">
        <v>101</v>
      </c>
      <c r="O2048" t="s">
        <v>3905</v>
      </c>
      <c r="P2048" t="s">
        <v>76</v>
      </c>
      <c r="Q2048" t="s">
        <v>76</v>
      </c>
      <c r="R2048" t="s">
        <v>76</v>
      </c>
      <c r="S2048" t="s">
        <v>76</v>
      </c>
      <c r="T2048" t="s">
        <v>76</v>
      </c>
      <c r="U2048">
        <v>1</v>
      </c>
      <c r="V2048" s="13">
        <v>45175</v>
      </c>
      <c r="W2048">
        <v>1</v>
      </c>
      <c r="X2048">
        <v>1</v>
      </c>
      <c r="Y2048" t="s">
        <v>3686</v>
      </c>
      <c r="AC2048">
        <v>5702</v>
      </c>
      <c r="AD2048" t="e" vm="2038">
        <v>#VALUE!</v>
      </c>
    </row>
    <row r="2049" spans="2:30" x14ac:dyDescent="0.25">
      <c r="B2049">
        <v>5703</v>
      </c>
      <c r="C2049" t="s">
        <v>3684</v>
      </c>
      <c r="D2049" t="s">
        <v>3685</v>
      </c>
      <c r="E2049" t="s">
        <v>3829</v>
      </c>
      <c r="F2049" t="s">
        <v>105</v>
      </c>
      <c r="G2049" t="s">
        <v>108</v>
      </c>
      <c r="H2049" t="s">
        <v>3808</v>
      </c>
      <c r="I2049" t="s">
        <v>3809</v>
      </c>
      <c r="J2049" t="s">
        <v>3810</v>
      </c>
      <c r="K2049" t="s">
        <v>1218</v>
      </c>
      <c r="L2049" s="13">
        <v>41956</v>
      </c>
      <c r="M2049">
        <v>9</v>
      </c>
      <c r="N2049" t="s">
        <v>101</v>
      </c>
      <c r="O2049" t="s">
        <v>3905</v>
      </c>
      <c r="P2049" t="s">
        <v>76</v>
      </c>
      <c r="Q2049" t="s">
        <v>76</v>
      </c>
      <c r="R2049" t="s">
        <v>76</v>
      </c>
      <c r="S2049" t="s">
        <v>76</v>
      </c>
      <c r="T2049" t="s">
        <v>76</v>
      </c>
      <c r="U2049">
        <v>1</v>
      </c>
      <c r="V2049" s="13">
        <v>45175</v>
      </c>
      <c r="W2049">
        <v>1</v>
      </c>
      <c r="X2049">
        <v>1</v>
      </c>
      <c r="Y2049" t="s">
        <v>3686</v>
      </c>
      <c r="AC2049">
        <v>5703</v>
      </c>
      <c r="AD2049" t="e" vm="2039">
        <v>#VALUE!</v>
      </c>
    </row>
    <row r="2050" spans="2:30" x14ac:dyDescent="0.25">
      <c r="B2050">
        <v>5704</v>
      </c>
      <c r="C2050" t="s">
        <v>3684</v>
      </c>
      <c r="D2050" t="s">
        <v>3685</v>
      </c>
      <c r="E2050" t="s">
        <v>3829</v>
      </c>
      <c r="F2050" t="s">
        <v>105</v>
      </c>
      <c r="G2050" t="s">
        <v>108</v>
      </c>
      <c r="H2050" t="s">
        <v>3808</v>
      </c>
      <c r="I2050" t="s">
        <v>3809</v>
      </c>
      <c r="J2050" t="s">
        <v>3810</v>
      </c>
      <c r="K2050" t="s">
        <v>1218</v>
      </c>
      <c r="L2050" s="13">
        <v>41981</v>
      </c>
      <c r="M2050">
        <v>9</v>
      </c>
      <c r="N2050" t="s">
        <v>101</v>
      </c>
      <c r="O2050" t="s">
        <v>3905</v>
      </c>
      <c r="P2050" t="s">
        <v>76</v>
      </c>
      <c r="Q2050" t="s">
        <v>76</v>
      </c>
      <c r="R2050" t="s">
        <v>76</v>
      </c>
      <c r="S2050" t="s">
        <v>76</v>
      </c>
      <c r="T2050" t="s">
        <v>76</v>
      </c>
      <c r="U2050">
        <v>1</v>
      </c>
      <c r="V2050" s="13">
        <v>45175</v>
      </c>
      <c r="W2050">
        <v>1</v>
      </c>
      <c r="X2050">
        <v>1</v>
      </c>
      <c r="Y2050" t="s">
        <v>3686</v>
      </c>
      <c r="AC2050">
        <v>5704</v>
      </c>
      <c r="AD2050" t="e" vm="2040">
        <v>#VALUE!</v>
      </c>
    </row>
    <row r="2051" spans="2:30" x14ac:dyDescent="0.25">
      <c r="B2051">
        <v>5706</v>
      </c>
      <c r="C2051" t="s">
        <v>3684</v>
      </c>
      <c r="D2051" t="s">
        <v>3685</v>
      </c>
      <c r="E2051" t="s">
        <v>3829</v>
      </c>
      <c r="F2051" t="s">
        <v>105</v>
      </c>
      <c r="G2051" t="s">
        <v>108</v>
      </c>
      <c r="H2051" t="s">
        <v>3808</v>
      </c>
      <c r="I2051" t="s">
        <v>3809</v>
      </c>
      <c r="J2051" t="s">
        <v>3810</v>
      </c>
      <c r="K2051" t="s">
        <v>1218</v>
      </c>
      <c r="L2051" s="13">
        <v>41960</v>
      </c>
      <c r="M2051">
        <v>9</v>
      </c>
      <c r="N2051" t="s">
        <v>101</v>
      </c>
      <c r="O2051" t="s">
        <v>3905</v>
      </c>
      <c r="P2051" t="s">
        <v>76</v>
      </c>
      <c r="Q2051" t="s">
        <v>76</v>
      </c>
      <c r="R2051" t="s">
        <v>76</v>
      </c>
      <c r="S2051" t="s">
        <v>76</v>
      </c>
      <c r="T2051" t="s">
        <v>76</v>
      </c>
      <c r="U2051">
        <v>1</v>
      </c>
      <c r="V2051" s="13">
        <v>45175</v>
      </c>
      <c r="W2051">
        <v>1</v>
      </c>
      <c r="X2051">
        <v>1</v>
      </c>
      <c r="Y2051" t="s">
        <v>3686</v>
      </c>
      <c r="AC2051">
        <v>5706</v>
      </c>
      <c r="AD2051" t="e" vm="2041">
        <v>#VALUE!</v>
      </c>
    </row>
    <row r="2052" spans="2:30" x14ac:dyDescent="0.25">
      <c r="B2052">
        <v>5707</v>
      </c>
      <c r="C2052" t="s">
        <v>3684</v>
      </c>
      <c r="D2052" t="s">
        <v>3685</v>
      </c>
      <c r="E2052" t="s">
        <v>3829</v>
      </c>
      <c r="F2052" t="s">
        <v>105</v>
      </c>
      <c r="G2052" t="s">
        <v>108</v>
      </c>
      <c r="H2052" t="s">
        <v>3808</v>
      </c>
      <c r="I2052" t="s">
        <v>3809</v>
      </c>
      <c r="J2052" t="s">
        <v>3810</v>
      </c>
      <c r="K2052" t="s">
        <v>1218</v>
      </c>
      <c r="L2052" s="13">
        <v>41939</v>
      </c>
      <c r="M2052">
        <v>9</v>
      </c>
      <c r="N2052" t="s">
        <v>101</v>
      </c>
      <c r="O2052" t="s">
        <v>3905</v>
      </c>
      <c r="P2052" t="s">
        <v>76</v>
      </c>
      <c r="Q2052" t="s">
        <v>76</v>
      </c>
      <c r="R2052" t="s">
        <v>76</v>
      </c>
      <c r="S2052" t="s">
        <v>76</v>
      </c>
      <c r="T2052" t="s">
        <v>76</v>
      </c>
      <c r="U2052">
        <v>1</v>
      </c>
      <c r="V2052" s="13">
        <v>45175</v>
      </c>
      <c r="W2052">
        <v>1</v>
      </c>
      <c r="X2052">
        <v>1</v>
      </c>
      <c r="Y2052" t="s">
        <v>3686</v>
      </c>
      <c r="AC2052">
        <v>5707</v>
      </c>
      <c r="AD2052" t="e" vm="2042">
        <v>#VALUE!</v>
      </c>
    </row>
    <row r="2053" spans="2:30" x14ac:dyDescent="0.25">
      <c r="B2053">
        <v>5708</v>
      </c>
      <c r="C2053" t="s">
        <v>3684</v>
      </c>
      <c r="D2053" t="s">
        <v>3685</v>
      </c>
      <c r="E2053" t="s">
        <v>3829</v>
      </c>
      <c r="F2053" t="s">
        <v>105</v>
      </c>
      <c r="G2053" t="s">
        <v>108</v>
      </c>
      <c r="H2053" t="s">
        <v>3808</v>
      </c>
      <c r="I2053" t="s">
        <v>3809</v>
      </c>
      <c r="J2053" t="s">
        <v>3810</v>
      </c>
      <c r="K2053" t="s">
        <v>1218</v>
      </c>
      <c r="L2053" s="13">
        <v>41970</v>
      </c>
      <c r="M2053">
        <v>9</v>
      </c>
      <c r="N2053" t="s">
        <v>101</v>
      </c>
      <c r="O2053" t="s">
        <v>3905</v>
      </c>
      <c r="P2053" t="s">
        <v>76</v>
      </c>
      <c r="Q2053" t="s">
        <v>76</v>
      </c>
      <c r="R2053" t="s">
        <v>76</v>
      </c>
      <c r="S2053" t="s">
        <v>76</v>
      </c>
      <c r="T2053" t="s">
        <v>76</v>
      </c>
      <c r="U2053">
        <v>1</v>
      </c>
      <c r="V2053" s="13">
        <v>45175</v>
      </c>
      <c r="W2053">
        <v>1</v>
      </c>
      <c r="X2053">
        <v>1</v>
      </c>
      <c r="Y2053" t="s">
        <v>3686</v>
      </c>
      <c r="AC2053">
        <v>5708</v>
      </c>
      <c r="AD2053" t="e" vm="2043">
        <v>#VALUE!</v>
      </c>
    </row>
    <row r="2054" spans="2:30" x14ac:dyDescent="0.25">
      <c r="B2054">
        <v>5709</v>
      </c>
      <c r="C2054" t="s">
        <v>3684</v>
      </c>
      <c r="D2054" t="s">
        <v>3685</v>
      </c>
      <c r="E2054" t="s">
        <v>3829</v>
      </c>
      <c r="F2054" t="s">
        <v>105</v>
      </c>
      <c r="G2054" t="s">
        <v>108</v>
      </c>
      <c r="H2054" t="s">
        <v>3808</v>
      </c>
      <c r="I2054" t="s">
        <v>3809</v>
      </c>
      <c r="J2054" t="s">
        <v>3810</v>
      </c>
      <c r="K2054" t="s">
        <v>1218</v>
      </c>
      <c r="L2054" s="13">
        <v>41970</v>
      </c>
      <c r="M2054">
        <v>9</v>
      </c>
      <c r="N2054" t="s">
        <v>101</v>
      </c>
      <c r="O2054" t="s">
        <v>3905</v>
      </c>
      <c r="P2054" t="s">
        <v>76</v>
      </c>
      <c r="Q2054" t="s">
        <v>76</v>
      </c>
      <c r="R2054" t="s">
        <v>76</v>
      </c>
      <c r="S2054" t="s">
        <v>76</v>
      </c>
      <c r="T2054" t="s">
        <v>76</v>
      </c>
      <c r="U2054">
        <v>1</v>
      </c>
      <c r="V2054" s="13">
        <v>45175</v>
      </c>
      <c r="W2054">
        <v>1</v>
      </c>
      <c r="X2054">
        <v>1</v>
      </c>
      <c r="Y2054" t="s">
        <v>3686</v>
      </c>
      <c r="AC2054">
        <v>5709</v>
      </c>
      <c r="AD2054" t="e" vm="2044">
        <v>#VALUE!</v>
      </c>
    </row>
    <row r="2055" spans="2:30" x14ac:dyDescent="0.25">
      <c r="B2055">
        <v>5710</v>
      </c>
      <c r="C2055" t="s">
        <v>3684</v>
      </c>
      <c r="D2055" t="s">
        <v>3685</v>
      </c>
      <c r="E2055" t="s">
        <v>3829</v>
      </c>
      <c r="F2055" t="s">
        <v>105</v>
      </c>
      <c r="G2055" t="s">
        <v>108</v>
      </c>
      <c r="H2055" t="s">
        <v>3808</v>
      </c>
      <c r="I2055" t="s">
        <v>3809</v>
      </c>
      <c r="J2055" t="s">
        <v>3810</v>
      </c>
      <c r="K2055" t="s">
        <v>1218</v>
      </c>
      <c r="L2055" s="13">
        <v>41946</v>
      </c>
      <c r="M2055">
        <v>9</v>
      </c>
      <c r="N2055" t="s">
        <v>101</v>
      </c>
      <c r="O2055" t="s">
        <v>3905</v>
      </c>
      <c r="P2055" t="s">
        <v>76</v>
      </c>
      <c r="Q2055" t="s">
        <v>76</v>
      </c>
      <c r="R2055" t="s">
        <v>76</v>
      </c>
      <c r="S2055" t="s">
        <v>76</v>
      </c>
      <c r="T2055" t="s">
        <v>76</v>
      </c>
      <c r="U2055">
        <v>1</v>
      </c>
      <c r="V2055" s="13">
        <v>45175</v>
      </c>
      <c r="W2055">
        <v>1</v>
      </c>
      <c r="X2055">
        <v>1</v>
      </c>
      <c r="Y2055" t="s">
        <v>3686</v>
      </c>
      <c r="AC2055">
        <v>5710</v>
      </c>
      <c r="AD2055" t="e" vm="2045">
        <v>#VALUE!</v>
      </c>
    </row>
    <row r="2056" spans="2:30" x14ac:dyDescent="0.25">
      <c r="B2056">
        <v>5711</v>
      </c>
      <c r="C2056" t="s">
        <v>3684</v>
      </c>
      <c r="D2056" t="s">
        <v>3685</v>
      </c>
      <c r="E2056" t="s">
        <v>3829</v>
      </c>
      <c r="F2056" t="s">
        <v>105</v>
      </c>
      <c r="G2056" t="s">
        <v>108</v>
      </c>
      <c r="H2056" t="s">
        <v>3808</v>
      </c>
      <c r="I2056" t="s">
        <v>3809</v>
      </c>
      <c r="J2056" t="s">
        <v>3810</v>
      </c>
      <c r="K2056" t="s">
        <v>1218</v>
      </c>
      <c r="L2056" s="13">
        <v>41981</v>
      </c>
      <c r="M2056">
        <v>9</v>
      </c>
      <c r="N2056" t="s">
        <v>101</v>
      </c>
      <c r="O2056" t="s">
        <v>3905</v>
      </c>
      <c r="P2056" t="s">
        <v>76</v>
      </c>
      <c r="Q2056" t="s">
        <v>76</v>
      </c>
      <c r="R2056" t="s">
        <v>76</v>
      </c>
      <c r="S2056" t="s">
        <v>76</v>
      </c>
      <c r="T2056" t="s">
        <v>76</v>
      </c>
      <c r="U2056">
        <v>1</v>
      </c>
      <c r="V2056" s="13">
        <v>45175</v>
      </c>
      <c r="W2056">
        <v>1</v>
      </c>
      <c r="X2056">
        <v>1</v>
      </c>
      <c r="Y2056" t="s">
        <v>3686</v>
      </c>
      <c r="AC2056">
        <v>5711</v>
      </c>
      <c r="AD2056" t="e" vm="2046">
        <v>#VALUE!</v>
      </c>
    </row>
    <row r="2057" spans="2:30" x14ac:dyDescent="0.25">
      <c r="B2057">
        <v>5712</v>
      </c>
      <c r="C2057" t="s">
        <v>3684</v>
      </c>
      <c r="D2057" t="s">
        <v>3685</v>
      </c>
      <c r="E2057" t="s">
        <v>3829</v>
      </c>
      <c r="F2057" t="s">
        <v>105</v>
      </c>
      <c r="G2057" t="s">
        <v>108</v>
      </c>
      <c r="H2057" t="s">
        <v>3808</v>
      </c>
      <c r="I2057" t="s">
        <v>3809</v>
      </c>
      <c r="J2057" t="s">
        <v>3810</v>
      </c>
      <c r="K2057" t="s">
        <v>1218</v>
      </c>
      <c r="L2057" s="13">
        <v>41981</v>
      </c>
      <c r="M2057">
        <v>9</v>
      </c>
      <c r="N2057" t="s">
        <v>101</v>
      </c>
      <c r="O2057" t="s">
        <v>3905</v>
      </c>
      <c r="P2057" t="s">
        <v>76</v>
      </c>
      <c r="Q2057" t="s">
        <v>76</v>
      </c>
      <c r="R2057" t="s">
        <v>76</v>
      </c>
      <c r="S2057" t="s">
        <v>76</v>
      </c>
      <c r="T2057" t="s">
        <v>76</v>
      </c>
      <c r="U2057">
        <v>1</v>
      </c>
      <c r="V2057" s="13">
        <v>45175</v>
      </c>
      <c r="W2057">
        <v>1</v>
      </c>
      <c r="X2057">
        <v>1</v>
      </c>
      <c r="Y2057" t="s">
        <v>3686</v>
      </c>
      <c r="AC2057">
        <v>5712</v>
      </c>
      <c r="AD2057" t="e" vm="2047">
        <v>#VALUE!</v>
      </c>
    </row>
    <row r="2058" spans="2:30" x14ac:dyDescent="0.25">
      <c r="B2058">
        <v>5713</v>
      </c>
      <c r="C2058" t="s">
        <v>3684</v>
      </c>
      <c r="D2058" t="s">
        <v>3685</v>
      </c>
      <c r="E2058" t="s">
        <v>3829</v>
      </c>
      <c r="F2058" t="s">
        <v>105</v>
      </c>
      <c r="G2058" t="s">
        <v>108</v>
      </c>
      <c r="H2058" t="s">
        <v>3808</v>
      </c>
      <c r="I2058" t="s">
        <v>3809</v>
      </c>
      <c r="J2058" t="s">
        <v>3810</v>
      </c>
      <c r="K2058" t="s">
        <v>1218</v>
      </c>
      <c r="L2058" s="13">
        <v>41981</v>
      </c>
      <c r="M2058">
        <v>9</v>
      </c>
      <c r="N2058" t="s">
        <v>101</v>
      </c>
      <c r="O2058" t="s">
        <v>3905</v>
      </c>
      <c r="P2058" t="s">
        <v>76</v>
      </c>
      <c r="Q2058" t="s">
        <v>76</v>
      </c>
      <c r="R2058" t="s">
        <v>76</v>
      </c>
      <c r="S2058" t="s">
        <v>76</v>
      </c>
      <c r="T2058" t="s">
        <v>76</v>
      </c>
      <c r="U2058">
        <v>1</v>
      </c>
      <c r="V2058" s="13">
        <v>45175</v>
      </c>
      <c r="W2058">
        <v>1</v>
      </c>
      <c r="X2058">
        <v>1</v>
      </c>
      <c r="Y2058" t="s">
        <v>3686</v>
      </c>
      <c r="AC2058">
        <v>5713</v>
      </c>
      <c r="AD2058" t="e" vm="2048">
        <v>#VALUE!</v>
      </c>
    </row>
    <row r="2059" spans="2:30" x14ac:dyDescent="0.25">
      <c r="B2059">
        <v>5714</v>
      </c>
      <c r="C2059" t="s">
        <v>3684</v>
      </c>
      <c r="D2059" t="s">
        <v>3685</v>
      </c>
      <c r="E2059" t="s">
        <v>3829</v>
      </c>
      <c r="F2059" t="s">
        <v>105</v>
      </c>
      <c r="G2059" t="s">
        <v>108</v>
      </c>
      <c r="H2059" t="s">
        <v>3808</v>
      </c>
      <c r="I2059" t="s">
        <v>3809</v>
      </c>
      <c r="J2059" t="s">
        <v>3810</v>
      </c>
      <c r="K2059" t="s">
        <v>1218</v>
      </c>
      <c r="L2059" s="13">
        <v>41970</v>
      </c>
      <c r="M2059">
        <v>9</v>
      </c>
      <c r="N2059" t="s">
        <v>101</v>
      </c>
      <c r="O2059" t="s">
        <v>3905</v>
      </c>
      <c r="P2059" t="s">
        <v>76</v>
      </c>
      <c r="Q2059" t="s">
        <v>76</v>
      </c>
      <c r="R2059" t="s">
        <v>76</v>
      </c>
      <c r="S2059" t="s">
        <v>76</v>
      </c>
      <c r="T2059" t="s">
        <v>76</v>
      </c>
      <c r="U2059">
        <v>1</v>
      </c>
      <c r="V2059" s="13">
        <v>45175</v>
      </c>
      <c r="W2059">
        <v>1</v>
      </c>
      <c r="X2059">
        <v>1</v>
      </c>
      <c r="Y2059" t="s">
        <v>3686</v>
      </c>
      <c r="AC2059">
        <v>5714</v>
      </c>
      <c r="AD2059" t="e" vm="2049">
        <v>#VALUE!</v>
      </c>
    </row>
    <row r="2060" spans="2:30" x14ac:dyDescent="0.25">
      <c r="B2060">
        <v>5715</v>
      </c>
      <c r="C2060" t="s">
        <v>3684</v>
      </c>
      <c r="D2060" t="s">
        <v>3685</v>
      </c>
      <c r="E2060" t="s">
        <v>3829</v>
      </c>
      <c r="F2060" t="s">
        <v>105</v>
      </c>
      <c r="G2060" t="s">
        <v>108</v>
      </c>
      <c r="H2060" t="s">
        <v>3808</v>
      </c>
      <c r="I2060" t="s">
        <v>3809</v>
      </c>
      <c r="J2060" t="s">
        <v>3810</v>
      </c>
      <c r="K2060" t="s">
        <v>1218</v>
      </c>
      <c r="L2060" s="13">
        <v>41981</v>
      </c>
      <c r="M2060">
        <v>9</v>
      </c>
      <c r="N2060" t="s">
        <v>101</v>
      </c>
      <c r="O2060" t="s">
        <v>3905</v>
      </c>
      <c r="P2060" t="s">
        <v>76</v>
      </c>
      <c r="Q2060" t="s">
        <v>76</v>
      </c>
      <c r="R2060" t="s">
        <v>76</v>
      </c>
      <c r="S2060" t="s">
        <v>76</v>
      </c>
      <c r="T2060" t="s">
        <v>76</v>
      </c>
      <c r="U2060">
        <v>1</v>
      </c>
      <c r="V2060" s="13">
        <v>45175</v>
      </c>
      <c r="W2060">
        <v>1</v>
      </c>
      <c r="X2060">
        <v>1</v>
      </c>
      <c r="Y2060" t="s">
        <v>3686</v>
      </c>
      <c r="AC2060">
        <v>5715</v>
      </c>
      <c r="AD2060" t="e" vm="2050">
        <v>#VALUE!</v>
      </c>
    </row>
    <row r="2061" spans="2:30" x14ac:dyDescent="0.25">
      <c r="B2061">
        <v>5716</v>
      </c>
      <c r="C2061" t="s">
        <v>3662</v>
      </c>
      <c r="D2061" t="s">
        <v>3751</v>
      </c>
      <c r="E2061" t="s">
        <v>3903</v>
      </c>
      <c r="F2061" t="s">
        <v>115</v>
      </c>
      <c r="G2061" t="s">
        <v>108</v>
      </c>
      <c r="H2061" t="s">
        <v>3808</v>
      </c>
      <c r="I2061" t="s">
        <v>3809</v>
      </c>
      <c r="J2061" t="s">
        <v>3810</v>
      </c>
      <c r="K2061" t="s">
        <v>1218</v>
      </c>
      <c r="L2061" s="13">
        <v>41820</v>
      </c>
      <c r="M2061">
        <v>9</v>
      </c>
      <c r="N2061" t="s">
        <v>79</v>
      </c>
      <c r="O2061" t="s">
        <v>3905</v>
      </c>
      <c r="P2061" t="s">
        <v>76</v>
      </c>
      <c r="Q2061" t="s">
        <v>76</v>
      </c>
      <c r="R2061" t="s">
        <v>76</v>
      </c>
      <c r="S2061" t="s">
        <v>76</v>
      </c>
      <c r="T2061" t="s">
        <v>76</v>
      </c>
      <c r="U2061">
        <v>1</v>
      </c>
      <c r="V2061" s="13">
        <v>45175</v>
      </c>
      <c r="W2061">
        <v>1</v>
      </c>
      <c r="X2061">
        <v>1</v>
      </c>
      <c r="Y2061" t="s">
        <v>3752</v>
      </c>
      <c r="AC2061">
        <v>5716</v>
      </c>
      <c r="AD2061" t="e" vm="2051">
        <v>#VALUE!</v>
      </c>
    </row>
    <row r="2062" spans="2:30" x14ac:dyDescent="0.25">
      <c r="B2062">
        <v>5717</v>
      </c>
      <c r="C2062" t="s">
        <v>3662</v>
      </c>
      <c r="D2062" t="s">
        <v>3751</v>
      </c>
      <c r="E2062" t="s">
        <v>3903</v>
      </c>
      <c r="F2062" t="s">
        <v>115</v>
      </c>
      <c r="G2062" t="s">
        <v>108</v>
      </c>
      <c r="H2062" t="s">
        <v>3808</v>
      </c>
      <c r="I2062" t="s">
        <v>3809</v>
      </c>
      <c r="J2062" t="s">
        <v>3810</v>
      </c>
      <c r="K2062" t="s">
        <v>1218</v>
      </c>
      <c r="L2062" s="13">
        <v>41929</v>
      </c>
      <c r="M2062">
        <v>9</v>
      </c>
      <c r="N2062" t="s">
        <v>79</v>
      </c>
      <c r="O2062" t="s">
        <v>3905</v>
      </c>
      <c r="P2062" t="s">
        <v>76</v>
      </c>
      <c r="Q2062" t="s">
        <v>76</v>
      </c>
      <c r="R2062" t="s">
        <v>76</v>
      </c>
      <c r="S2062" t="s">
        <v>76</v>
      </c>
      <c r="T2062" t="s">
        <v>76</v>
      </c>
      <c r="U2062">
        <v>1</v>
      </c>
      <c r="V2062" s="13">
        <v>45175</v>
      </c>
      <c r="W2062">
        <v>1</v>
      </c>
      <c r="X2062">
        <v>1</v>
      </c>
      <c r="Y2062" t="s">
        <v>3752</v>
      </c>
      <c r="AC2062">
        <v>5717</v>
      </c>
      <c r="AD2062" t="e" vm="2052">
        <v>#VALUE!</v>
      </c>
    </row>
    <row r="2063" spans="2:30" x14ac:dyDescent="0.25">
      <c r="B2063">
        <v>5718</v>
      </c>
      <c r="C2063" t="s">
        <v>3662</v>
      </c>
      <c r="D2063" t="s">
        <v>3751</v>
      </c>
      <c r="E2063" t="s">
        <v>3903</v>
      </c>
      <c r="F2063" t="s">
        <v>115</v>
      </c>
      <c r="G2063" t="s">
        <v>108</v>
      </c>
      <c r="H2063" t="s">
        <v>3808</v>
      </c>
      <c r="I2063" t="s">
        <v>3809</v>
      </c>
      <c r="J2063" t="s">
        <v>3810</v>
      </c>
      <c r="K2063" t="s">
        <v>1218</v>
      </c>
      <c r="L2063" s="13">
        <v>41837</v>
      </c>
      <c r="M2063">
        <v>9</v>
      </c>
      <c r="N2063" t="s">
        <v>79</v>
      </c>
      <c r="O2063" t="s">
        <v>3905</v>
      </c>
      <c r="P2063" t="s">
        <v>76</v>
      </c>
      <c r="Q2063" t="s">
        <v>76</v>
      </c>
      <c r="R2063" t="s">
        <v>76</v>
      </c>
      <c r="S2063" t="s">
        <v>76</v>
      </c>
      <c r="T2063" t="s">
        <v>76</v>
      </c>
      <c r="U2063">
        <v>1</v>
      </c>
      <c r="V2063" s="13">
        <v>45175</v>
      </c>
      <c r="W2063">
        <v>1</v>
      </c>
      <c r="X2063">
        <v>1</v>
      </c>
      <c r="Y2063" t="s">
        <v>3752</v>
      </c>
      <c r="AC2063">
        <v>5718</v>
      </c>
      <c r="AD2063" t="e" vm="2053">
        <v>#VALUE!</v>
      </c>
    </row>
    <row r="2064" spans="2:30" x14ac:dyDescent="0.25">
      <c r="B2064">
        <v>5719</v>
      </c>
      <c r="C2064" t="s">
        <v>3662</v>
      </c>
      <c r="D2064" t="s">
        <v>3751</v>
      </c>
      <c r="E2064" t="s">
        <v>3903</v>
      </c>
      <c r="F2064" t="s">
        <v>115</v>
      </c>
      <c r="G2064" t="s">
        <v>108</v>
      </c>
      <c r="H2064" t="s">
        <v>3808</v>
      </c>
      <c r="I2064" t="s">
        <v>3809</v>
      </c>
      <c r="J2064" t="s">
        <v>3810</v>
      </c>
      <c r="K2064" t="s">
        <v>1218</v>
      </c>
      <c r="L2064" s="13">
        <v>41851</v>
      </c>
      <c r="M2064">
        <v>9</v>
      </c>
      <c r="N2064" t="s">
        <v>79</v>
      </c>
      <c r="O2064" t="s">
        <v>3905</v>
      </c>
      <c r="P2064" t="s">
        <v>76</v>
      </c>
      <c r="Q2064" t="s">
        <v>76</v>
      </c>
      <c r="R2064" t="s">
        <v>76</v>
      </c>
      <c r="S2064" t="s">
        <v>76</v>
      </c>
      <c r="T2064" t="s">
        <v>76</v>
      </c>
      <c r="U2064">
        <v>1</v>
      </c>
      <c r="V2064" s="13">
        <v>45175</v>
      </c>
      <c r="W2064">
        <v>1</v>
      </c>
      <c r="X2064">
        <v>1</v>
      </c>
      <c r="Y2064" t="s">
        <v>3752</v>
      </c>
      <c r="AC2064">
        <v>5719</v>
      </c>
      <c r="AD2064" t="e" vm="2054">
        <v>#VALUE!</v>
      </c>
    </row>
    <row r="2065" spans="2:30" x14ac:dyDescent="0.25">
      <c r="B2065">
        <v>5720</v>
      </c>
      <c r="C2065" t="s">
        <v>3662</v>
      </c>
      <c r="D2065" t="s">
        <v>3751</v>
      </c>
      <c r="E2065" t="s">
        <v>3903</v>
      </c>
      <c r="F2065" t="s">
        <v>115</v>
      </c>
      <c r="G2065" t="s">
        <v>108</v>
      </c>
      <c r="H2065" t="s">
        <v>3808</v>
      </c>
      <c r="I2065" t="s">
        <v>3809</v>
      </c>
      <c r="J2065" t="s">
        <v>3810</v>
      </c>
      <c r="K2065" t="s">
        <v>1218</v>
      </c>
      <c r="L2065" s="13">
        <v>41851</v>
      </c>
      <c r="M2065">
        <v>9</v>
      </c>
      <c r="N2065" t="s">
        <v>79</v>
      </c>
      <c r="O2065" t="s">
        <v>3905</v>
      </c>
      <c r="P2065" t="s">
        <v>76</v>
      </c>
      <c r="Q2065" t="s">
        <v>76</v>
      </c>
      <c r="R2065" t="s">
        <v>76</v>
      </c>
      <c r="S2065" t="s">
        <v>76</v>
      </c>
      <c r="T2065" t="s">
        <v>76</v>
      </c>
      <c r="U2065">
        <v>1</v>
      </c>
      <c r="V2065" s="13">
        <v>45175</v>
      </c>
      <c r="W2065">
        <v>1</v>
      </c>
      <c r="X2065">
        <v>1</v>
      </c>
      <c r="Y2065" t="s">
        <v>3752</v>
      </c>
      <c r="AC2065">
        <v>5720</v>
      </c>
      <c r="AD2065" t="e" vm="2055">
        <v>#VALUE!</v>
      </c>
    </row>
    <row r="2066" spans="2:30" x14ac:dyDescent="0.25">
      <c r="B2066">
        <v>5721</v>
      </c>
      <c r="C2066" t="s">
        <v>3662</v>
      </c>
      <c r="D2066" t="s">
        <v>3751</v>
      </c>
      <c r="E2066" t="s">
        <v>3903</v>
      </c>
      <c r="F2066" t="s">
        <v>115</v>
      </c>
      <c r="G2066" t="s">
        <v>108</v>
      </c>
      <c r="H2066" t="s">
        <v>3808</v>
      </c>
      <c r="I2066" t="s">
        <v>3809</v>
      </c>
      <c r="J2066" t="s">
        <v>3810</v>
      </c>
      <c r="K2066" t="s">
        <v>1218</v>
      </c>
      <c r="L2066" s="13">
        <v>41865</v>
      </c>
      <c r="M2066">
        <v>9</v>
      </c>
      <c r="N2066" t="s">
        <v>79</v>
      </c>
      <c r="O2066" t="s">
        <v>3905</v>
      </c>
      <c r="P2066" t="s">
        <v>76</v>
      </c>
      <c r="Q2066" t="s">
        <v>76</v>
      </c>
      <c r="R2066" t="s">
        <v>76</v>
      </c>
      <c r="S2066" t="s">
        <v>76</v>
      </c>
      <c r="T2066" t="s">
        <v>76</v>
      </c>
      <c r="U2066">
        <v>1</v>
      </c>
      <c r="V2066" s="13">
        <v>45175</v>
      </c>
      <c r="W2066">
        <v>1</v>
      </c>
      <c r="X2066">
        <v>1</v>
      </c>
      <c r="Y2066" t="s">
        <v>3752</v>
      </c>
      <c r="AC2066">
        <v>5721</v>
      </c>
      <c r="AD2066" t="e" vm="2056">
        <v>#VALUE!</v>
      </c>
    </row>
    <row r="2067" spans="2:30" x14ac:dyDescent="0.25">
      <c r="B2067">
        <v>5722</v>
      </c>
      <c r="C2067" t="s">
        <v>3662</v>
      </c>
      <c r="D2067" t="s">
        <v>3751</v>
      </c>
      <c r="E2067" t="s">
        <v>3903</v>
      </c>
      <c r="F2067" t="s">
        <v>115</v>
      </c>
      <c r="G2067" t="s">
        <v>108</v>
      </c>
      <c r="H2067" t="s">
        <v>3808</v>
      </c>
      <c r="I2067" t="s">
        <v>3809</v>
      </c>
      <c r="J2067" t="s">
        <v>3810</v>
      </c>
      <c r="K2067" t="s">
        <v>1218</v>
      </c>
      <c r="L2067" s="13">
        <v>41837</v>
      </c>
      <c r="M2067">
        <v>9</v>
      </c>
      <c r="N2067" t="s">
        <v>79</v>
      </c>
      <c r="O2067" t="s">
        <v>3905</v>
      </c>
      <c r="P2067" t="s">
        <v>76</v>
      </c>
      <c r="Q2067" t="s">
        <v>76</v>
      </c>
      <c r="R2067" t="s">
        <v>76</v>
      </c>
      <c r="S2067" t="s">
        <v>76</v>
      </c>
      <c r="T2067" t="s">
        <v>76</v>
      </c>
      <c r="U2067">
        <v>1</v>
      </c>
      <c r="V2067" s="13">
        <v>45175</v>
      </c>
      <c r="W2067">
        <v>1</v>
      </c>
      <c r="X2067">
        <v>1</v>
      </c>
      <c r="Y2067" t="s">
        <v>3752</v>
      </c>
      <c r="AC2067">
        <v>5722</v>
      </c>
      <c r="AD2067" t="e" vm="2057">
        <v>#VALUE!</v>
      </c>
    </row>
    <row r="2068" spans="2:30" x14ac:dyDescent="0.25">
      <c r="B2068">
        <v>5723</v>
      </c>
      <c r="C2068" t="s">
        <v>3662</v>
      </c>
      <c r="D2068" t="s">
        <v>3751</v>
      </c>
      <c r="E2068" t="s">
        <v>3903</v>
      </c>
      <c r="F2068" t="s">
        <v>115</v>
      </c>
      <c r="G2068" t="s">
        <v>108</v>
      </c>
      <c r="H2068" t="s">
        <v>3808</v>
      </c>
      <c r="I2068" t="s">
        <v>3809</v>
      </c>
      <c r="J2068" t="s">
        <v>3810</v>
      </c>
      <c r="K2068" t="s">
        <v>1218</v>
      </c>
      <c r="L2068" s="13">
        <v>41851</v>
      </c>
      <c r="M2068">
        <v>9</v>
      </c>
      <c r="N2068" t="s">
        <v>79</v>
      </c>
      <c r="O2068" t="s">
        <v>3905</v>
      </c>
      <c r="P2068" t="s">
        <v>76</v>
      </c>
      <c r="Q2068" t="s">
        <v>76</v>
      </c>
      <c r="R2068" t="s">
        <v>76</v>
      </c>
      <c r="S2068" t="s">
        <v>76</v>
      </c>
      <c r="T2068" t="s">
        <v>76</v>
      </c>
      <c r="U2068">
        <v>1</v>
      </c>
      <c r="V2068" s="13">
        <v>45175</v>
      </c>
      <c r="W2068">
        <v>1</v>
      </c>
      <c r="X2068">
        <v>1</v>
      </c>
      <c r="Y2068" t="s">
        <v>3752</v>
      </c>
      <c r="AC2068">
        <v>5723</v>
      </c>
      <c r="AD2068" t="e" vm="2058">
        <v>#VALUE!</v>
      </c>
    </row>
    <row r="2069" spans="2:30" x14ac:dyDescent="0.25">
      <c r="B2069">
        <v>5724</v>
      </c>
      <c r="C2069" t="s">
        <v>3662</v>
      </c>
      <c r="D2069" t="s">
        <v>3751</v>
      </c>
      <c r="E2069" t="s">
        <v>3903</v>
      </c>
      <c r="F2069" t="s">
        <v>115</v>
      </c>
      <c r="G2069" t="s">
        <v>108</v>
      </c>
      <c r="H2069" t="s">
        <v>3808</v>
      </c>
      <c r="I2069" t="s">
        <v>3809</v>
      </c>
      <c r="J2069" t="s">
        <v>3810</v>
      </c>
      <c r="K2069" t="s">
        <v>1218</v>
      </c>
      <c r="L2069" s="13">
        <v>41890</v>
      </c>
      <c r="M2069">
        <v>9</v>
      </c>
      <c r="N2069" t="s">
        <v>79</v>
      </c>
      <c r="O2069" t="s">
        <v>3905</v>
      </c>
      <c r="P2069" t="s">
        <v>76</v>
      </c>
      <c r="Q2069" t="s">
        <v>76</v>
      </c>
      <c r="R2069" t="s">
        <v>76</v>
      </c>
      <c r="S2069" t="s">
        <v>76</v>
      </c>
      <c r="T2069" t="s">
        <v>76</v>
      </c>
      <c r="U2069">
        <v>1</v>
      </c>
      <c r="V2069" s="13">
        <v>45175</v>
      </c>
      <c r="W2069">
        <v>1</v>
      </c>
      <c r="X2069">
        <v>1</v>
      </c>
      <c r="Y2069" t="s">
        <v>3752</v>
      </c>
      <c r="AC2069">
        <v>5724</v>
      </c>
      <c r="AD2069" t="e" vm="2059">
        <v>#VALUE!</v>
      </c>
    </row>
    <row r="2070" spans="2:30" x14ac:dyDescent="0.25">
      <c r="B2070">
        <v>5725</v>
      </c>
      <c r="C2070" t="s">
        <v>3662</v>
      </c>
      <c r="D2070" t="s">
        <v>3751</v>
      </c>
      <c r="E2070" t="s">
        <v>3903</v>
      </c>
      <c r="F2070" t="s">
        <v>115</v>
      </c>
      <c r="G2070" t="s">
        <v>108</v>
      </c>
      <c r="H2070" t="s">
        <v>3808</v>
      </c>
      <c r="I2070" t="s">
        <v>3809</v>
      </c>
      <c r="J2070" t="s">
        <v>3810</v>
      </c>
      <c r="K2070" t="s">
        <v>1218</v>
      </c>
      <c r="L2070" s="13">
        <v>41918</v>
      </c>
      <c r="M2070">
        <v>9</v>
      </c>
      <c r="N2070" t="s">
        <v>79</v>
      </c>
      <c r="O2070" t="s">
        <v>3905</v>
      </c>
      <c r="P2070" t="s">
        <v>76</v>
      </c>
      <c r="Q2070" t="s">
        <v>76</v>
      </c>
      <c r="R2070" t="s">
        <v>76</v>
      </c>
      <c r="S2070" t="s">
        <v>76</v>
      </c>
      <c r="T2070" t="s">
        <v>76</v>
      </c>
      <c r="U2070">
        <v>1</v>
      </c>
      <c r="V2070" s="13">
        <v>45175</v>
      </c>
      <c r="W2070">
        <v>1</v>
      </c>
      <c r="X2070">
        <v>1</v>
      </c>
      <c r="Y2070" t="s">
        <v>3752</v>
      </c>
      <c r="AC2070">
        <v>5725</v>
      </c>
      <c r="AD2070" t="e" vm="2060">
        <v>#VALUE!</v>
      </c>
    </row>
    <row r="2071" spans="2:30" x14ac:dyDescent="0.25">
      <c r="B2071">
        <v>5726</v>
      </c>
      <c r="C2071" t="s">
        <v>3662</v>
      </c>
      <c r="D2071" t="s">
        <v>3751</v>
      </c>
      <c r="E2071" t="s">
        <v>3903</v>
      </c>
      <c r="F2071" t="s">
        <v>115</v>
      </c>
      <c r="G2071" t="s">
        <v>108</v>
      </c>
      <c r="H2071" t="s">
        <v>3808</v>
      </c>
      <c r="I2071" t="s">
        <v>3809</v>
      </c>
      <c r="J2071" t="s">
        <v>3810</v>
      </c>
      <c r="K2071" t="s">
        <v>1218</v>
      </c>
      <c r="L2071" s="13">
        <v>41837</v>
      </c>
      <c r="M2071">
        <v>9</v>
      </c>
      <c r="N2071" t="s">
        <v>79</v>
      </c>
      <c r="O2071" t="s">
        <v>3905</v>
      </c>
      <c r="P2071" t="s">
        <v>76</v>
      </c>
      <c r="Q2071" t="s">
        <v>76</v>
      </c>
      <c r="R2071" t="s">
        <v>76</v>
      </c>
      <c r="S2071" t="s">
        <v>76</v>
      </c>
      <c r="T2071" t="s">
        <v>76</v>
      </c>
      <c r="U2071">
        <v>1</v>
      </c>
      <c r="V2071" s="13">
        <v>45175</v>
      </c>
      <c r="W2071">
        <v>1</v>
      </c>
      <c r="X2071">
        <v>1</v>
      </c>
      <c r="Y2071" t="s">
        <v>3752</v>
      </c>
      <c r="AC2071">
        <v>5726</v>
      </c>
      <c r="AD2071" t="e" vm="2061">
        <v>#VALUE!</v>
      </c>
    </row>
    <row r="2072" spans="2:30" x14ac:dyDescent="0.25">
      <c r="B2072">
        <v>5727</v>
      </c>
      <c r="C2072" t="s">
        <v>3662</v>
      </c>
      <c r="D2072" t="s">
        <v>3751</v>
      </c>
      <c r="E2072" t="s">
        <v>3903</v>
      </c>
      <c r="F2072" t="s">
        <v>115</v>
      </c>
      <c r="G2072" t="s">
        <v>108</v>
      </c>
      <c r="H2072" t="s">
        <v>3808</v>
      </c>
      <c r="I2072" t="s">
        <v>3809</v>
      </c>
      <c r="J2072" t="s">
        <v>3810</v>
      </c>
      <c r="K2072" t="s">
        <v>1218</v>
      </c>
      <c r="L2072" s="13">
        <v>41929</v>
      </c>
      <c r="M2072">
        <v>9</v>
      </c>
      <c r="N2072" t="s">
        <v>79</v>
      </c>
      <c r="O2072" t="s">
        <v>3905</v>
      </c>
      <c r="P2072" t="s">
        <v>76</v>
      </c>
      <c r="Q2072" t="s">
        <v>76</v>
      </c>
      <c r="R2072" t="s">
        <v>76</v>
      </c>
      <c r="S2072" t="s">
        <v>76</v>
      </c>
      <c r="T2072" t="s">
        <v>76</v>
      </c>
      <c r="U2072">
        <v>1</v>
      </c>
      <c r="V2072" s="13">
        <v>45175</v>
      </c>
      <c r="W2072">
        <v>1</v>
      </c>
      <c r="X2072">
        <v>1</v>
      </c>
      <c r="Y2072" t="s">
        <v>3752</v>
      </c>
      <c r="AC2072">
        <v>5727</v>
      </c>
      <c r="AD2072" t="e" vm="2062">
        <v>#VALUE!</v>
      </c>
    </row>
    <row r="2073" spans="2:30" x14ac:dyDescent="0.25">
      <c r="B2073">
        <v>5728</v>
      </c>
      <c r="C2073" t="s">
        <v>3662</v>
      </c>
      <c r="D2073" t="s">
        <v>3751</v>
      </c>
      <c r="E2073" t="s">
        <v>3903</v>
      </c>
      <c r="F2073" t="s">
        <v>115</v>
      </c>
      <c r="G2073" t="s">
        <v>108</v>
      </c>
      <c r="H2073" t="s">
        <v>3808</v>
      </c>
      <c r="I2073" t="s">
        <v>3809</v>
      </c>
      <c r="J2073" t="s">
        <v>3810</v>
      </c>
      <c r="K2073" t="s">
        <v>1218</v>
      </c>
      <c r="L2073" s="13">
        <v>41918</v>
      </c>
      <c r="M2073">
        <v>9</v>
      </c>
      <c r="N2073" t="s">
        <v>79</v>
      </c>
      <c r="O2073" t="s">
        <v>3905</v>
      </c>
      <c r="P2073" t="s">
        <v>76</v>
      </c>
      <c r="Q2073" t="s">
        <v>76</v>
      </c>
      <c r="R2073" t="s">
        <v>76</v>
      </c>
      <c r="S2073" t="s">
        <v>76</v>
      </c>
      <c r="T2073" t="s">
        <v>76</v>
      </c>
      <c r="U2073">
        <v>1</v>
      </c>
      <c r="V2073" s="13">
        <v>45175</v>
      </c>
      <c r="W2073">
        <v>1</v>
      </c>
      <c r="X2073">
        <v>1</v>
      </c>
      <c r="Y2073" t="s">
        <v>3752</v>
      </c>
      <c r="AC2073">
        <v>5728</v>
      </c>
      <c r="AD2073" t="e" vm="2063">
        <v>#VALUE!</v>
      </c>
    </row>
    <row r="2074" spans="2:30" x14ac:dyDescent="0.25">
      <c r="B2074">
        <v>5729</v>
      </c>
      <c r="C2074" t="s">
        <v>3662</v>
      </c>
      <c r="D2074" t="s">
        <v>3751</v>
      </c>
      <c r="E2074" t="s">
        <v>3903</v>
      </c>
      <c r="F2074" t="s">
        <v>115</v>
      </c>
      <c r="G2074" t="s">
        <v>108</v>
      </c>
      <c r="H2074" t="s">
        <v>3808</v>
      </c>
      <c r="I2074" t="s">
        <v>3809</v>
      </c>
      <c r="J2074" t="s">
        <v>3810</v>
      </c>
      <c r="K2074" t="s">
        <v>1218</v>
      </c>
      <c r="L2074" s="13">
        <v>41820</v>
      </c>
      <c r="M2074">
        <v>9</v>
      </c>
      <c r="N2074" t="s">
        <v>79</v>
      </c>
      <c r="O2074" t="s">
        <v>3905</v>
      </c>
      <c r="P2074" t="s">
        <v>76</v>
      </c>
      <c r="Q2074" t="s">
        <v>76</v>
      </c>
      <c r="R2074" t="s">
        <v>76</v>
      </c>
      <c r="S2074" t="s">
        <v>76</v>
      </c>
      <c r="T2074" t="s">
        <v>76</v>
      </c>
      <c r="U2074">
        <v>1</v>
      </c>
      <c r="V2074" s="13">
        <v>45175</v>
      </c>
      <c r="W2074">
        <v>1</v>
      </c>
      <c r="X2074">
        <v>1</v>
      </c>
      <c r="Y2074" t="s">
        <v>3752</v>
      </c>
      <c r="AC2074">
        <v>5729</v>
      </c>
      <c r="AD2074" t="e" vm="2064">
        <v>#VALUE!</v>
      </c>
    </row>
    <row r="2075" spans="2:30" x14ac:dyDescent="0.25">
      <c r="B2075">
        <v>5730</v>
      </c>
      <c r="C2075" t="s">
        <v>3662</v>
      </c>
      <c r="D2075" t="s">
        <v>3751</v>
      </c>
      <c r="E2075" t="s">
        <v>3903</v>
      </c>
      <c r="F2075" t="s">
        <v>115</v>
      </c>
      <c r="G2075" t="s">
        <v>108</v>
      </c>
      <c r="H2075" t="s">
        <v>3808</v>
      </c>
      <c r="I2075" t="s">
        <v>3809</v>
      </c>
      <c r="J2075" t="s">
        <v>3810</v>
      </c>
      <c r="K2075" t="s">
        <v>1218</v>
      </c>
      <c r="L2075" s="13">
        <v>41820</v>
      </c>
      <c r="M2075">
        <v>9</v>
      </c>
      <c r="N2075" t="s">
        <v>79</v>
      </c>
      <c r="O2075" t="s">
        <v>3905</v>
      </c>
      <c r="P2075" t="s">
        <v>76</v>
      </c>
      <c r="Q2075" t="s">
        <v>76</v>
      </c>
      <c r="R2075" t="s">
        <v>76</v>
      </c>
      <c r="S2075" t="s">
        <v>76</v>
      </c>
      <c r="T2075" t="s">
        <v>76</v>
      </c>
      <c r="U2075">
        <v>1</v>
      </c>
      <c r="V2075" s="13">
        <v>45175</v>
      </c>
      <c r="W2075">
        <v>1</v>
      </c>
      <c r="X2075">
        <v>1</v>
      </c>
      <c r="Y2075" t="s">
        <v>3752</v>
      </c>
      <c r="AC2075">
        <v>5730</v>
      </c>
      <c r="AD2075" t="e" vm="2065">
        <v>#VALUE!</v>
      </c>
    </row>
    <row r="2076" spans="2:30" x14ac:dyDescent="0.25">
      <c r="B2076">
        <v>5731</v>
      </c>
      <c r="C2076" t="s">
        <v>3662</v>
      </c>
      <c r="D2076" t="s">
        <v>3751</v>
      </c>
      <c r="E2076" t="s">
        <v>3903</v>
      </c>
      <c r="F2076" t="s">
        <v>115</v>
      </c>
      <c r="G2076" t="s">
        <v>108</v>
      </c>
      <c r="H2076" t="s">
        <v>3808</v>
      </c>
      <c r="I2076" t="s">
        <v>3809</v>
      </c>
      <c r="J2076" t="s">
        <v>3810</v>
      </c>
      <c r="K2076" t="s">
        <v>1218</v>
      </c>
      <c r="L2076" s="13">
        <v>41915</v>
      </c>
      <c r="M2076">
        <v>9</v>
      </c>
      <c r="N2076" t="s">
        <v>79</v>
      </c>
      <c r="O2076" t="s">
        <v>3905</v>
      </c>
      <c r="P2076" t="s">
        <v>76</v>
      </c>
      <c r="Q2076" t="s">
        <v>76</v>
      </c>
      <c r="R2076" t="s">
        <v>76</v>
      </c>
      <c r="S2076" t="s">
        <v>76</v>
      </c>
      <c r="T2076" t="s">
        <v>76</v>
      </c>
      <c r="U2076">
        <v>1</v>
      </c>
      <c r="V2076" s="13">
        <v>45175</v>
      </c>
      <c r="W2076">
        <v>1</v>
      </c>
      <c r="X2076">
        <v>1</v>
      </c>
      <c r="Y2076" t="s">
        <v>3752</v>
      </c>
      <c r="AC2076">
        <v>5731</v>
      </c>
      <c r="AD2076" t="e" vm="2066">
        <v>#VALUE!</v>
      </c>
    </row>
    <row r="2077" spans="2:30" x14ac:dyDescent="0.25">
      <c r="B2077">
        <v>5732</v>
      </c>
      <c r="C2077" t="s">
        <v>3662</v>
      </c>
      <c r="D2077" t="s">
        <v>3751</v>
      </c>
      <c r="E2077" t="s">
        <v>3903</v>
      </c>
      <c r="F2077" t="s">
        <v>115</v>
      </c>
      <c r="G2077" t="s">
        <v>108</v>
      </c>
      <c r="H2077" t="s">
        <v>3808</v>
      </c>
      <c r="I2077" t="s">
        <v>3809</v>
      </c>
      <c r="J2077" t="s">
        <v>3810</v>
      </c>
      <c r="K2077" t="s">
        <v>1218</v>
      </c>
      <c r="L2077" s="13">
        <v>41939</v>
      </c>
      <c r="M2077">
        <v>9</v>
      </c>
      <c r="N2077" t="s">
        <v>79</v>
      </c>
      <c r="O2077" t="s">
        <v>3905</v>
      </c>
      <c r="P2077" t="s">
        <v>76</v>
      </c>
      <c r="Q2077" t="s">
        <v>76</v>
      </c>
      <c r="R2077" t="s">
        <v>76</v>
      </c>
      <c r="S2077" t="s">
        <v>76</v>
      </c>
      <c r="T2077" t="s">
        <v>76</v>
      </c>
      <c r="U2077">
        <v>1</v>
      </c>
      <c r="V2077" s="13">
        <v>45175</v>
      </c>
      <c r="W2077">
        <v>1</v>
      </c>
      <c r="X2077">
        <v>1</v>
      </c>
      <c r="Y2077" t="s">
        <v>3752</v>
      </c>
      <c r="AC2077">
        <v>5732</v>
      </c>
      <c r="AD2077" t="e" vm="2067">
        <v>#VALUE!</v>
      </c>
    </row>
    <row r="2078" spans="2:30" x14ac:dyDescent="0.25">
      <c r="B2078">
        <v>5733</v>
      </c>
      <c r="C2078" t="s">
        <v>3662</v>
      </c>
      <c r="D2078" t="s">
        <v>3751</v>
      </c>
      <c r="E2078" t="s">
        <v>3903</v>
      </c>
      <c r="F2078" t="s">
        <v>115</v>
      </c>
      <c r="G2078" t="s">
        <v>108</v>
      </c>
      <c r="H2078" t="s">
        <v>3808</v>
      </c>
      <c r="I2078" t="s">
        <v>3809</v>
      </c>
      <c r="J2078" t="s">
        <v>3810</v>
      </c>
      <c r="K2078" t="s">
        <v>1218</v>
      </c>
      <c r="L2078" s="13">
        <v>41951</v>
      </c>
      <c r="M2078">
        <v>9</v>
      </c>
      <c r="N2078" t="s">
        <v>79</v>
      </c>
      <c r="O2078" t="s">
        <v>3905</v>
      </c>
      <c r="P2078" t="s">
        <v>76</v>
      </c>
      <c r="Q2078" t="s">
        <v>76</v>
      </c>
      <c r="R2078" t="s">
        <v>76</v>
      </c>
      <c r="S2078" t="s">
        <v>76</v>
      </c>
      <c r="T2078" t="s">
        <v>76</v>
      </c>
      <c r="U2078">
        <v>1</v>
      </c>
      <c r="V2078" s="13">
        <v>45175</v>
      </c>
      <c r="W2078">
        <v>1</v>
      </c>
      <c r="X2078">
        <v>1</v>
      </c>
      <c r="Y2078" t="s">
        <v>3752</v>
      </c>
      <c r="AC2078">
        <v>5733</v>
      </c>
      <c r="AD2078" t="e" vm="2068">
        <v>#VALUE!</v>
      </c>
    </row>
    <row r="2079" spans="2:30" x14ac:dyDescent="0.25">
      <c r="B2079">
        <v>5734</v>
      </c>
      <c r="C2079" t="s">
        <v>3662</v>
      </c>
      <c r="D2079" t="s">
        <v>3751</v>
      </c>
      <c r="E2079" t="s">
        <v>3903</v>
      </c>
      <c r="F2079" t="s">
        <v>115</v>
      </c>
      <c r="G2079" t="s">
        <v>108</v>
      </c>
      <c r="H2079" t="s">
        <v>3808</v>
      </c>
      <c r="I2079" t="s">
        <v>3809</v>
      </c>
      <c r="J2079" t="s">
        <v>3810</v>
      </c>
      <c r="K2079" t="s">
        <v>1218</v>
      </c>
      <c r="L2079" s="13">
        <v>41939</v>
      </c>
      <c r="M2079">
        <v>9</v>
      </c>
      <c r="N2079" t="s">
        <v>79</v>
      </c>
      <c r="O2079" t="s">
        <v>3905</v>
      </c>
      <c r="P2079" t="s">
        <v>76</v>
      </c>
      <c r="Q2079" t="s">
        <v>76</v>
      </c>
      <c r="R2079" t="s">
        <v>76</v>
      </c>
      <c r="S2079" t="s">
        <v>76</v>
      </c>
      <c r="T2079" t="s">
        <v>76</v>
      </c>
      <c r="U2079">
        <v>1</v>
      </c>
      <c r="V2079" s="13">
        <v>45175</v>
      </c>
      <c r="W2079">
        <v>1</v>
      </c>
      <c r="X2079">
        <v>1</v>
      </c>
      <c r="Y2079" t="s">
        <v>3752</v>
      </c>
      <c r="AC2079">
        <v>5734</v>
      </c>
      <c r="AD2079" t="e" vm="2069">
        <v>#VALUE!</v>
      </c>
    </row>
    <row r="2080" spans="2:30" x14ac:dyDescent="0.25">
      <c r="B2080">
        <v>5735</v>
      </c>
      <c r="C2080" t="s">
        <v>3662</v>
      </c>
      <c r="D2080" t="s">
        <v>3751</v>
      </c>
      <c r="E2080" t="s">
        <v>3903</v>
      </c>
      <c r="F2080" t="s">
        <v>115</v>
      </c>
      <c r="G2080" t="s">
        <v>108</v>
      </c>
      <c r="H2080" t="s">
        <v>3808</v>
      </c>
      <c r="I2080" t="s">
        <v>3809</v>
      </c>
      <c r="J2080" t="s">
        <v>3810</v>
      </c>
      <c r="K2080" t="s">
        <v>1218</v>
      </c>
      <c r="L2080" s="13">
        <v>41890</v>
      </c>
      <c r="M2080">
        <v>9</v>
      </c>
      <c r="N2080" t="s">
        <v>79</v>
      </c>
      <c r="O2080" t="s">
        <v>3905</v>
      </c>
      <c r="P2080" t="s">
        <v>76</v>
      </c>
      <c r="Q2080" t="s">
        <v>76</v>
      </c>
      <c r="R2080" t="s">
        <v>76</v>
      </c>
      <c r="S2080" t="s">
        <v>76</v>
      </c>
      <c r="T2080" t="s">
        <v>76</v>
      </c>
      <c r="U2080">
        <v>1</v>
      </c>
      <c r="V2080" s="13">
        <v>45175</v>
      </c>
      <c r="W2080">
        <v>1</v>
      </c>
      <c r="X2080">
        <v>1</v>
      </c>
      <c r="Y2080" t="s">
        <v>3752</v>
      </c>
      <c r="AC2080">
        <v>5735</v>
      </c>
      <c r="AD2080" t="e" vm="2070">
        <v>#VALUE!</v>
      </c>
    </row>
    <row r="2081" spans="2:30" x14ac:dyDescent="0.25">
      <c r="B2081">
        <v>5736</v>
      </c>
      <c r="C2081" t="s">
        <v>3662</v>
      </c>
      <c r="D2081" t="s">
        <v>3751</v>
      </c>
      <c r="E2081" t="s">
        <v>3903</v>
      </c>
      <c r="F2081" t="s">
        <v>115</v>
      </c>
      <c r="G2081" t="s">
        <v>108</v>
      </c>
      <c r="H2081" t="s">
        <v>3808</v>
      </c>
      <c r="I2081" t="s">
        <v>3809</v>
      </c>
      <c r="J2081" t="s">
        <v>3810</v>
      </c>
      <c r="K2081" t="s">
        <v>1218</v>
      </c>
      <c r="L2081" s="13">
        <v>41918</v>
      </c>
      <c r="M2081">
        <v>9</v>
      </c>
      <c r="N2081" t="s">
        <v>79</v>
      </c>
      <c r="O2081" t="s">
        <v>3905</v>
      </c>
      <c r="P2081" t="s">
        <v>76</v>
      </c>
      <c r="Q2081" t="s">
        <v>76</v>
      </c>
      <c r="R2081" t="s">
        <v>76</v>
      </c>
      <c r="S2081" t="s">
        <v>76</v>
      </c>
      <c r="T2081" t="s">
        <v>76</v>
      </c>
      <c r="U2081">
        <v>1</v>
      </c>
      <c r="V2081" s="13">
        <v>45175</v>
      </c>
      <c r="W2081">
        <v>1</v>
      </c>
      <c r="X2081">
        <v>1</v>
      </c>
      <c r="Y2081" t="s">
        <v>3752</v>
      </c>
      <c r="AC2081">
        <v>5736</v>
      </c>
      <c r="AD2081" t="e" vm="2071">
        <v>#VALUE!</v>
      </c>
    </row>
    <row r="2082" spans="2:30" x14ac:dyDescent="0.25">
      <c r="B2082">
        <v>5737</v>
      </c>
      <c r="C2082" t="s">
        <v>3662</v>
      </c>
      <c r="D2082" t="s">
        <v>3751</v>
      </c>
      <c r="E2082" t="s">
        <v>3903</v>
      </c>
      <c r="F2082" t="s">
        <v>115</v>
      </c>
      <c r="G2082" t="s">
        <v>108</v>
      </c>
      <c r="H2082" t="s">
        <v>3808</v>
      </c>
      <c r="I2082" t="s">
        <v>3809</v>
      </c>
      <c r="J2082" t="s">
        <v>3810</v>
      </c>
      <c r="K2082" t="s">
        <v>1218</v>
      </c>
      <c r="L2082" s="13">
        <v>41939</v>
      </c>
      <c r="M2082">
        <v>9</v>
      </c>
      <c r="N2082" t="s">
        <v>79</v>
      </c>
      <c r="O2082" t="s">
        <v>3905</v>
      </c>
      <c r="P2082" t="s">
        <v>76</v>
      </c>
      <c r="Q2082" t="s">
        <v>76</v>
      </c>
      <c r="R2082" t="s">
        <v>76</v>
      </c>
      <c r="S2082" t="s">
        <v>76</v>
      </c>
      <c r="T2082" t="s">
        <v>76</v>
      </c>
      <c r="U2082">
        <v>1</v>
      </c>
      <c r="V2082" s="13">
        <v>45175</v>
      </c>
      <c r="W2082">
        <v>1</v>
      </c>
      <c r="X2082">
        <v>1</v>
      </c>
      <c r="Y2082" t="s">
        <v>3752</v>
      </c>
      <c r="AC2082">
        <v>5737</v>
      </c>
      <c r="AD2082" t="e" vm="2072">
        <v>#VALUE!</v>
      </c>
    </row>
    <row r="2083" spans="2:30" x14ac:dyDescent="0.25">
      <c r="B2083">
        <v>5738</v>
      </c>
      <c r="C2083" t="s">
        <v>3662</v>
      </c>
      <c r="D2083" t="s">
        <v>3751</v>
      </c>
      <c r="E2083" t="s">
        <v>3903</v>
      </c>
      <c r="F2083" t="s">
        <v>115</v>
      </c>
      <c r="G2083" t="s">
        <v>108</v>
      </c>
      <c r="H2083" t="s">
        <v>3808</v>
      </c>
      <c r="I2083" t="s">
        <v>3809</v>
      </c>
      <c r="J2083" t="s">
        <v>3810</v>
      </c>
      <c r="K2083" t="s">
        <v>1218</v>
      </c>
      <c r="L2083" s="13">
        <v>41968</v>
      </c>
      <c r="M2083">
        <v>9</v>
      </c>
      <c r="N2083" t="s">
        <v>79</v>
      </c>
      <c r="O2083" t="s">
        <v>3905</v>
      </c>
      <c r="P2083" t="s">
        <v>76</v>
      </c>
      <c r="Q2083" t="s">
        <v>76</v>
      </c>
      <c r="R2083" t="s">
        <v>76</v>
      </c>
      <c r="S2083" t="s">
        <v>76</v>
      </c>
      <c r="T2083" t="s">
        <v>76</v>
      </c>
      <c r="U2083">
        <v>1</v>
      </c>
      <c r="V2083" s="13">
        <v>45175</v>
      </c>
      <c r="W2083">
        <v>1</v>
      </c>
      <c r="X2083">
        <v>1</v>
      </c>
      <c r="Y2083" t="s">
        <v>3752</v>
      </c>
      <c r="AC2083">
        <v>5738</v>
      </c>
      <c r="AD2083" t="e" vm="2073">
        <v>#VALUE!</v>
      </c>
    </row>
    <row r="2084" spans="2:30" x14ac:dyDescent="0.25">
      <c r="B2084">
        <v>5739</v>
      </c>
      <c r="C2084" t="s">
        <v>3662</v>
      </c>
      <c r="D2084" t="s">
        <v>3751</v>
      </c>
      <c r="E2084" t="s">
        <v>3903</v>
      </c>
      <c r="F2084" t="s">
        <v>115</v>
      </c>
      <c r="G2084" t="s">
        <v>108</v>
      </c>
      <c r="H2084" t="s">
        <v>3808</v>
      </c>
      <c r="I2084" t="s">
        <v>3809</v>
      </c>
      <c r="J2084" t="s">
        <v>3810</v>
      </c>
      <c r="K2084" t="s">
        <v>1218</v>
      </c>
      <c r="L2084" s="13">
        <v>41939</v>
      </c>
      <c r="M2084">
        <v>9</v>
      </c>
      <c r="N2084" t="s">
        <v>79</v>
      </c>
      <c r="O2084" t="s">
        <v>3905</v>
      </c>
      <c r="P2084" t="s">
        <v>76</v>
      </c>
      <c r="Q2084" t="s">
        <v>76</v>
      </c>
      <c r="R2084" t="s">
        <v>76</v>
      </c>
      <c r="S2084" t="s">
        <v>76</v>
      </c>
      <c r="T2084" t="s">
        <v>76</v>
      </c>
      <c r="U2084">
        <v>1</v>
      </c>
      <c r="V2084" s="13">
        <v>45175</v>
      </c>
      <c r="W2084">
        <v>1</v>
      </c>
      <c r="X2084">
        <v>1</v>
      </c>
      <c r="Y2084" t="s">
        <v>3752</v>
      </c>
      <c r="AC2084">
        <v>5739</v>
      </c>
      <c r="AD2084" t="e" vm="2074">
        <v>#VALUE!</v>
      </c>
    </row>
    <row r="2085" spans="2:30" x14ac:dyDescent="0.25">
      <c r="B2085">
        <v>5740</v>
      </c>
      <c r="C2085" t="s">
        <v>3662</v>
      </c>
      <c r="D2085" t="s">
        <v>3751</v>
      </c>
      <c r="E2085" t="s">
        <v>3903</v>
      </c>
      <c r="F2085" t="s">
        <v>115</v>
      </c>
      <c r="G2085" t="s">
        <v>108</v>
      </c>
      <c r="H2085" t="s">
        <v>3808</v>
      </c>
      <c r="I2085" t="s">
        <v>3809</v>
      </c>
      <c r="J2085" t="s">
        <v>3810</v>
      </c>
      <c r="K2085" t="s">
        <v>1218</v>
      </c>
      <c r="L2085" s="13">
        <v>41939</v>
      </c>
      <c r="M2085">
        <v>9</v>
      </c>
      <c r="N2085" t="s">
        <v>79</v>
      </c>
      <c r="O2085" t="s">
        <v>3905</v>
      </c>
      <c r="P2085" t="s">
        <v>76</v>
      </c>
      <c r="Q2085" t="s">
        <v>76</v>
      </c>
      <c r="R2085" t="s">
        <v>76</v>
      </c>
      <c r="S2085" t="s">
        <v>76</v>
      </c>
      <c r="T2085" t="s">
        <v>76</v>
      </c>
      <c r="U2085">
        <v>1</v>
      </c>
      <c r="V2085" s="13">
        <v>45175</v>
      </c>
      <c r="W2085">
        <v>1</v>
      </c>
      <c r="X2085">
        <v>1</v>
      </c>
      <c r="Y2085" t="s">
        <v>3752</v>
      </c>
      <c r="AC2085">
        <v>5740</v>
      </c>
      <c r="AD2085" t="e" vm="2075">
        <v>#VALUE!</v>
      </c>
    </row>
    <row r="2086" spans="2:30" x14ac:dyDescent="0.25">
      <c r="B2086">
        <v>5741</v>
      </c>
      <c r="C2086" t="s">
        <v>3662</v>
      </c>
      <c r="D2086" t="s">
        <v>3751</v>
      </c>
      <c r="E2086" t="s">
        <v>3903</v>
      </c>
      <c r="F2086" t="s">
        <v>115</v>
      </c>
      <c r="G2086" t="s">
        <v>108</v>
      </c>
      <c r="H2086" t="s">
        <v>3808</v>
      </c>
      <c r="I2086" t="s">
        <v>3809</v>
      </c>
      <c r="J2086" t="s">
        <v>3810</v>
      </c>
      <c r="K2086" t="s">
        <v>1218</v>
      </c>
      <c r="L2086" s="13">
        <v>41939</v>
      </c>
      <c r="M2086">
        <v>9</v>
      </c>
      <c r="N2086" t="s">
        <v>79</v>
      </c>
      <c r="O2086" t="s">
        <v>3905</v>
      </c>
      <c r="P2086" t="s">
        <v>76</v>
      </c>
      <c r="Q2086" t="s">
        <v>76</v>
      </c>
      <c r="R2086" t="s">
        <v>76</v>
      </c>
      <c r="S2086" t="s">
        <v>76</v>
      </c>
      <c r="T2086" t="s">
        <v>76</v>
      </c>
      <c r="U2086">
        <v>1</v>
      </c>
      <c r="V2086" s="13">
        <v>45175</v>
      </c>
      <c r="W2086">
        <v>1</v>
      </c>
      <c r="X2086">
        <v>1</v>
      </c>
      <c r="Y2086" t="s">
        <v>3752</v>
      </c>
      <c r="AC2086">
        <v>5741</v>
      </c>
      <c r="AD2086" t="e" vm="2076">
        <v>#VALUE!</v>
      </c>
    </row>
    <row r="2087" spans="2:30" x14ac:dyDescent="0.25">
      <c r="B2087">
        <v>5742</v>
      </c>
      <c r="C2087" t="s">
        <v>3662</v>
      </c>
      <c r="D2087" t="s">
        <v>3751</v>
      </c>
      <c r="E2087" t="s">
        <v>3903</v>
      </c>
      <c r="F2087" t="s">
        <v>115</v>
      </c>
      <c r="G2087" t="s">
        <v>108</v>
      </c>
      <c r="H2087" t="s">
        <v>3808</v>
      </c>
      <c r="I2087" t="s">
        <v>3809</v>
      </c>
      <c r="J2087" t="s">
        <v>3810</v>
      </c>
      <c r="K2087" t="s">
        <v>1218</v>
      </c>
      <c r="L2087" s="13">
        <v>41968</v>
      </c>
      <c r="M2087">
        <v>9</v>
      </c>
      <c r="N2087" t="s">
        <v>79</v>
      </c>
      <c r="O2087" t="s">
        <v>3905</v>
      </c>
      <c r="P2087" t="s">
        <v>76</v>
      </c>
      <c r="Q2087" t="s">
        <v>76</v>
      </c>
      <c r="R2087" t="s">
        <v>76</v>
      </c>
      <c r="S2087" t="s">
        <v>76</v>
      </c>
      <c r="T2087" t="s">
        <v>76</v>
      </c>
      <c r="U2087">
        <v>1</v>
      </c>
      <c r="V2087" s="13">
        <v>45175</v>
      </c>
      <c r="W2087">
        <v>1</v>
      </c>
      <c r="X2087">
        <v>1</v>
      </c>
      <c r="Y2087" t="s">
        <v>3752</v>
      </c>
      <c r="AC2087">
        <v>5742</v>
      </c>
      <c r="AD2087" t="e" vm="2077">
        <v>#VALUE!</v>
      </c>
    </row>
    <row r="2088" spans="2:30" x14ac:dyDescent="0.25">
      <c r="B2088">
        <v>5744</v>
      </c>
      <c r="C2088" t="s">
        <v>3662</v>
      </c>
      <c r="D2088" t="s">
        <v>3716</v>
      </c>
      <c r="E2088" t="s">
        <v>3853</v>
      </c>
      <c r="F2088" t="s">
        <v>78</v>
      </c>
      <c r="G2088" t="s">
        <v>77</v>
      </c>
      <c r="H2088" t="s">
        <v>3808</v>
      </c>
      <c r="I2088" t="s">
        <v>3809</v>
      </c>
      <c r="J2088" t="s">
        <v>3810</v>
      </c>
      <c r="K2088" t="s">
        <v>1218</v>
      </c>
      <c r="L2088" s="13">
        <v>41977</v>
      </c>
      <c r="M2088">
        <v>9</v>
      </c>
      <c r="N2088" t="s">
        <v>79</v>
      </c>
      <c r="O2088" t="s">
        <v>3905</v>
      </c>
      <c r="P2088" t="s">
        <v>76</v>
      </c>
      <c r="Q2088" t="s">
        <v>76</v>
      </c>
      <c r="R2088" t="s">
        <v>76</v>
      </c>
      <c r="S2088" t="s">
        <v>76</v>
      </c>
      <c r="T2088" t="s">
        <v>76</v>
      </c>
      <c r="U2088">
        <v>1</v>
      </c>
      <c r="V2088" s="13">
        <v>45175</v>
      </c>
      <c r="W2088">
        <v>1</v>
      </c>
      <c r="X2088">
        <v>1</v>
      </c>
      <c r="Y2088" t="s">
        <v>3717</v>
      </c>
      <c r="AC2088">
        <v>5744</v>
      </c>
      <c r="AD2088" t="e" vm="2078">
        <v>#VALUE!</v>
      </c>
    </row>
    <row r="2089" spans="2:30" x14ac:dyDescent="0.25">
      <c r="B2089">
        <v>5745</v>
      </c>
      <c r="C2089" t="s">
        <v>3662</v>
      </c>
      <c r="D2089" t="s">
        <v>3716</v>
      </c>
      <c r="E2089" t="s">
        <v>3853</v>
      </c>
      <c r="F2089" t="s">
        <v>78</v>
      </c>
      <c r="G2089" t="s">
        <v>77</v>
      </c>
      <c r="H2089" t="s">
        <v>3808</v>
      </c>
      <c r="I2089" t="s">
        <v>3809</v>
      </c>
      <c r="J2089" t="s">
        <v>3810</v>
      </c>
      <c r="K2089" t="s">
        <v>1218</v>
      </c>
      <c r="L2089" s="13">
        <v>41991</v>
      </c>
      <c r="M2089">
        <v>9</v>
      </c>
      <c r="N2089" t="s">
        <v>79</v>
      </c>
      <c r="O2089" t="s">
        <v>3905</v>
      </c>
      <c r="P2089" t="s">
        <v>76</v>
      </c>
      <c r="Q2089" t="s">
        <v>76</v>
      </c>
      <c r="R2089" t="s">
        <v>76</v>
      </c>
      <c r="S2089" t="s">
        <v>76</v>
      </c>
      <c r="T2089" t="s">
        <v>76</v>
      </c>
      <c r="U2089">
        <v>1</v>
      </c>
      <c r="V2089" s="13">
        <v>45175</v>
      </c>
      <c r="W2089">
        <v>1</v>
      </c>
      <c r="X2089">
        <v>1</v>
      </c>
      <c r="Y2089" t="s">
        <v>3717</v>
      </c>
      <c r="AC2089">
        <v>5745</v>
      </c>
      <c r="AD2089" t="e" vm="2079">
        <v>#VALUE!</v>
      </c>
    </row>
    <row r="2090" spans="2:30" x14ac:dyDescent="0.25">
      <c r="B2090">
        <v>5746</v>
      </c>
      <c r="C2090" t="s">
        <v>3662</v>
      </c>
      <c r="D2090" t="s">
        <v>3716</v>
      </c>
      <c r="E2090" t="s">
        <v>3853</v>
      </c>
      <c r="F2090" t="s">
        <v>78</v>
      </c>
      <c r="G2090" t="s">
        <v>77</v>
      </c>
      <c r="H2090" t="s">
        <v>3808</v>
      </c>
      <c r="I2090" t="s">
        <v>3809</v>
      </c>
      <c r="J2090" t="s">
        <v>3810</v>
      </c>
      <c r="K2090" t="s">
        <v>1218</v>
      </c>
      <c r="L2090" s="13">
        <v>41977</v>
      </c>
      <c r="M2090">
        <v>9</v>
      </c>
      <c r="N2090" t="s">
        <v>79</v>
      </c>
      <c r="O2090" t="s">
        <v>3905</v>
      </c>
      <c r="P2090" t="s">
        <v>76</v>
      </c>
      <c r="Q2090" t="s">
        <v>76</v>
      </c>
      <c r="R2090" t="s">
        <v>76</v>
      </c>
      <c r="S2090" t="s">
        <v>76</v>
      </c>
      <c r="T2090" t="s">
        <v>76</v>
      </c>
      <c r="U2090">
        <v>1</v>
      </c>
      <c r="V2090" s="13">
        <v>45175</v>
      </c>
      <c r="W2090">
        <v>1</v>
      </c>
      <c r="X2090">
        <v>1</v>
      </c>
      <c r="Y2090" t="s">
        <v>3717</v>
      </c>
      <c r="AC2090">
        <v>5746</v>
      </c>
      <c r="AD2090" t="e" vm="2080">
        <v>#VALUE!</v>
      </c>
    </row>
    <row r="2091" spans="2:30" x14ac:dyDescent="0.25">
      <c r="B2091">
        <v>5747</v>
      </c>
      <c r="C2091" t="s">
        <v>3662</v>
      </c>
      <c r="D2091" t="s">
        <v>3716</v>
      </c>
      <c r="E2091" t="s">
        <v>3853</v>
      </c>
      <c r="F2091" t="s">
        <v>78</v>
      </c>
      <c r="G2091" t="s">
        <v>77</v>
      </c>
      <c r="H2091" t="s">
        <v>3808</v>
      </c>
      <c r="I2091" t="s">
        <v>3809</v>
      </c>
      <c r="J2091" t="s">
        <v>3810</v>
      </c>
      <c r="K2091" t="s">
        <v>1218</v>
      </c>
      <c r="L2091" s="13">
        <v>41991</v>
      </c>
      <c r="M2091">
        <v>9</v>
      </c>
      <c r="N2091" t="s">
        <v>79</v>
      </c>
      <c r="O2091" t="s">
        <v>3905</v>
      </c>
      <c r="P2091" t="s">
        <v>76</v>
      </c>
      <c r="Q2091" t="s">
        <v>76</v>
      </c>
      <c r="R2091" t="s">
        <v>76</v>
      </c>
      <c r="S2091" t="s">
        <v>76</v>
      </c>
      <c r="T2091" t="s">
        <v>76</v>
      </c>
      <c r="U2091">
        <v>1</v>
      </c>
      <c r="V2091" s="13">
        <v>45175</v>
      </c>
      <c r="W2091">
        <v>1</v>
      </c>
      <c r="X2091">
        <v>1</v>
      </c>
      <c r="Y2091" t="s">
        <v>3717</v>
      </c>
      <c r="AC2091">
        <v>5747</v>
      </c>
      <c r="AD2091" t="e" vm="2081">
        <v>#VALUE!</v>
      </c>
    </row>
    <row r="2092" spans="2:30" x14ac:dyDescent="0.25">
      <c r="B2092">
        <v>5748</v>
      </c>
      <c r="C2092" t="s">
        <v>3662</v>
      </c>
      <c r="D2092" t="s">
        <v>3716</v>
      </c>
      <c r="E2092" t="s">
        <v>3853</v>
      </c>
      <c r="F2092" t="s">
        <v>78</v>
      </c>
      <c r="G2092" t="s">
        <v>77</v>
      </c>
      <c r="H2092" t="s">
        <v>3808</v>
      </c>
      <c r="I2092" t="s">
        <v>3809</v>
      </c>
      <c r="J2092" t="s">
        <v>3810</v>
      </c>
      <c r="K2092" t="s">
        <v>1218</v>
      </c>
      <c r="L2092" s="13">
        <v>41968</v>
      </c>
      <c r="M2092">
        <v>9</v>
      </c>
      <c r="N2092" t="s">
        <v>79</v>
      </c>
      <c r="O2092" t="s">
        <v>3905</v>
      </c>
      <c r="P2092" t="s">
        <v>76</v>
      </c>
      <c r="Q2092" t="s">
        <v>76</v>
      </c>
      <c r="R2092" t="s">
        <v>76</v>
      </c>
      <c r="S2092" t="s">
        <v>76</v>
      </c>
      <c r="T2092" t="s">
        <v>76</v>
      </c>
      <c r="U2092">
        <v>1</v>
      </c>
      <c r="V2092" s="13">
        <v>45175</v>
      </c>
      <c r="W2092">
        <v>1</v>
      </c>
      <c r="X2092">
        <v>1</v>
      </c>
      <c r="Y2092" t="s">
        <v>3717</v>
      </c>
      <c r="AC2092">
        <v>5748</v>
      </c>
      <c r="AD2092" t="e" vm="2082">
        <v>#VALUE!</v>
      </c>
    </row>
    <row r="2093" spans="2:30" x14ac:dyDescent="0.25">
      <c r="B2093">
        <v>5749</v>
      </c>
      <c r="C2093" t="s">
        <v>3662</v>
      </c>
      <c r="D2093" t="s">
        <v>3716</v>
      </c>
      <c r="E2093" t="s">
        <v>3853</v>
      </c>
      <c r="F2093" t="s">
        <v>78</v>
      </c>
      <c r="G2093" t="s">
        <v>77</v>
      </c>
      <c r="H2093" t="s">
        <v>3808</v>
      </c>
      <c r="I2093" t="s">
        <v>3809</v>
      </c>
      <c r="J2093" t="s">
        <v>3810</v>
      </c>
      <c r="K2093" t="s">
        <v>1218</v>
      </c>
      <c r="L2093" s="13">
        <v>41956</v>
      </c>
      <c r="M2093">
        <v>9</v>
      </c>
      <c r="N2093" t="s">
        <v>79</v>
      </c>
      <c r="O2093" t="s">
        <v>3905</v>
      </c>
      <c r="P2093" t="s">
        <v>76</v>
      </c>
      <c r="Q2093" t="s">
        <v>76</v>
      </c>
      <c r="R2093" t="s">
        <v>76</v>
      </c>
      <c r="S2093" t="s">
        <v>76</v>
      </c>
      <c r="T2093" t="s">
        <v>76</v>
      </c>
      <c r="U2093">
        <v>1</v>
      </c>
      <c r="V2093" s="13">
        <v>45175</v>
      </c>
      <c r="W2093">
        <v>1</v>
      </c>
      <c r="X2093">
        <v>1</v>
      </c>
      <c r="Y2093" t="s">
        <v>3717</v>
      </c>
      <c r="AC2093">
        <v>5749</v>
      </c>
      <c r="AD2093" t="e" vm="2083">
        <v>#VALUE!</v>
      </c>
    </row>
    <row r="2094" spans="2:30" x14ac:dyDescent="0.25">
      <c r="B2094">
        <v>5750</v>
      </c>
      <c r="C2094" t="s">
        <v>3662</v>
      </c>
      <c r="D2094" t="s">
        <v>3716</v>
      </c>
      <c r="E2094" t="s">
        <v>3853</v>
      </c>
      <c r="F2094" t="s">
        <v>78</v>
      </c>
      <c r="G2094" t="s">
        <v>77</v>
      </c>
      <c r="H2094" t="s">
        <v>3808</v>
      </c>
      <c r="I2094" t="s">
        <v>3809</v>
      </c>
      <c r="J2094" t="s">
        <v>3810</v>
      </c>
      <c r="K2094" t="s">
        <v>1218</v>
      </c>
      <c r="L2094" s="13">
        <v>41977</v>
      </c>
      <c r="M2094">
        <v>9</v>
      </c>
      <c r="N2094" t="s">
        <v>79</v>
      </c>
      <c r="O2094" t="s">
        <v>3905</v>
      </c>
      <c r="P2094" t="s">
        <v>76</v>
      </c>
      <c r="Q2094" t="s">
        <v>76</v>
      </c>
      <c r="R2094" t="s">
        <v>76</v>
      </c>
      <c r="S2094" t="s">
        <v>76</v>
      </c>
      <c r="T2094" t="s">
        <v>76</v>
      </c>
      <c r="U2094">
        <v>1</v>
      </c>
      <c r="V2094" s="13">
        <v>45175</v>
      </c>
      <c r="W2094">
        <v>1</v>
      </c>
      <c r="X2094">
        <v>1</v>
      </c>
      <c r="Y2094" t="s">
        <v>3717</v>
      </c>
      <c r="AC2094">
        <v>5750</v>
      </c>
      <c r="AD2094" t="e" vm="2084">
        <v>#VALUE!</v>
      </c>
    </row>
    <row r="2095" spans="2:30" x14ac:dyDescent="0.25">
      <c r="B2095">
        <v>5751</v>
      </c>
      <c r="C2095" t="s">
        <v>3662</v>
      </c>
      <c r="D2095" t="s">
        <v>3716</v>
      </c>
      <c r="E2095" t="s">
        <v>3853</v>
      </c>
      <c r="F2095" t="s">
        <v>78</v>
      </c>
      <c r="G2095" t="s">
        <v>77</v>
      </c>
      <c r="H2095" t="s">
        <v>3808</v>
      </c>
      <c r="I2095" t="s">
        <v>3809</v>
      </c>
      <c r="J2095" t="s">
        <v>3810</v>
      </c>
      <c r="K2095" t="s">
        <v>1218</v>
      </c>
      <c r="L2095" s="13">
        <v>41983</v>
      </c>
      <c r="M2095">
        <v>9</v>
      </c>
      <c r="N2095" t="s">
        <v>79</v>
      </c>
      <c r="O2095" t="s">
        <v>3905</v>
      </c>
      <c r="P2095" t="s">
        <v>76</v>
      </c>
      <c r="Q2095" t="s">
        <v>76</v>
      </c>
      <c r="R2095" t="s">
        <v>76</v>
      </c>
      <c r="S2095" t="s">
        <v>76</v>
      </c>
      <c r="T2095" t="s">
        <v>76</v>
      </c>
      <c r="U2095">
        <v>1</v>
      </c>
      <c r="V2095" s="13">
        <v>45175</v>
      </c>
      <c r="W2095">
        <v>1</v>
      </c>
      <c r="X2095">
        <v>1</v>
      </c>
      <c r="Y2095" t="s">
        <v>3717</v>
      </c>
      <c r="AC2095">
        <v>5751</v>
      </c>
      <c r="AD2095" t="e" vm="2085">
        <v>#VALUE!</v>
      </c>
    </row>
    <row r="2096" spans="2:30" x14ac:dyDescent="0.25">
      <c r="B2096">
        <v>5752</v>
      </c>
      <c r="C2096" t="s">
        <v>3662</v>
      </c>
      <c r="D2096" t="s">
        <v>3716</v>
      </c>
      <c r="E2096" t="s">
        <v>3853</v>
      </c>
      <c r="F2096" t="s">
        <v>78</v>
      </c>
      <c r="G2096" t="s">
        <v>77</v>
      </c>
      <c r="H2096" t="s">
        <v>3808</v>
      </c>
      <c r="I2096" t="s">
        <v>3809</v>
      </c>
      <c r="J2096" t="s">
        <v>3810</v>
      </c>
      <c r="K2096" t="s">
        <v>1218</v>
      </c>
      <c r="L2096" s="13">
        <v>41983</v>
      </c>
      <c r="M2096">
        <v>9</v>
      </c>
      <c r="N2096" t="s">
        <v>79</v>
      </c>
      <c r="O2096" t="s">
        <v>3905</v>
      </c>
      <c r="P2096" t="s">
        <v>76</v>
      </c>
      <c r="Q2096" t="s">
        <v>76</v>
      </c>
      <c r="R2096" t="s">
        <v>76</v>
      </c>
      <c r="S2096" t="s">
        <v>76</v>
      </c>
      <c r="T2096" t="s">
        <v>76</v>
      </c>
      <c r="U2096">
        <v>1</v>
      </c>
      <c r="V2096" s="13">
        <v>45175</v>
      </c>
      <c r="W2096">
        <v>1</v>
      </c>
      <c r="X2096">
        <v>1</v>
      </c>
      <c r="Y2096" t="s">
        <v>3717</v>
      </c>
      <c r="AC2096">
        <v>5752</v>
      </c>
      <c r="AD2096" t="e" vm="2086">
        <v>#VALUE!</v>
      </c>
    </row>
    <row r="2097" spans="2:30" x14ac:dyDescent="0.25">
      <c r="B2097">
        <v>5753</v>
      </c>
      <c r="C2097" t="s">
        <v>3662</v>
      </c>
      <c r="D2097" t="s">
        <v>3716</v>
      </c>
      <c r="E2097" t="s">
        <v>3853</v>
      </c>
      <c r="F2097" t="s">
        <v>78</v>
      </c>
      <c r="G2097" t="s">
        <v>77</v>
      </c>
      <c r="H2097" t="s">
        <v>3808</v>
      </c>
      <c r="I2097" t="s">
        <v>3809</v>
      </c>
      <c r="J2097" t="s">
        <v>3810</v>
      </c>
      <c r="K2097" t="s">
        <v>1218</v>
      </c>
      <c r="L2097" s="13">
        <v>41983</v>
      </c>
      <c r="M2097">
        <v>9</v>
      </c>
      <c r="N2097" t="s">
        <v>79</v>
      </c>
      <c r="O2097" t="s">
        <v>3905</v>
      </c>
      <c r="P2097" t="s">
        <v>76</v>
      </c>
      <c r="Q2097" t="s">
        <v>76</v>
      </c>
      <c r="R2097" t="s">
        <v>76</v>
      </c>
      <c r="S2097" t="s">
        <v>76</v>
      </c>
      <c r="T2097" t="s">
        <v>76</v>
      </c>
      <c r="U2097">
        <v>1</v>
      </c>
      <c r="V2097" s="13">
        <v>45175</v>
      </c>
      <c r="W2097">
        <v>1</v>
      </c>
      <c r="X2097">
        <v>1</v>
      </c>
      <c r="Y2097" t="s">
        <v>3717</v>
      </c>
      <c r="AC2097">
        <v>5753</v>
      </c>
      <c r="AD2097" t="e" vm="2087">
        <v>#VALUE!</v>
      </c>
    </row>
    <row r="2098" spans="2:30" x14ac:dyDescent="0.25">
      <c r="B2098">
        <v>5754</v>
      </c>
      <c r="C2098" t="s">
        <v>3662</v>
      </c>
      <c r="D2098" t="s">
        <v>3716</v>
      </c>
      <c r="E2098" t="s">
        <v>3853</v>
      </c>
      <c r="F2098" t="s">
        <v>78</v>
      </c>
      <c r="G2098" t="s">
        <v>77</v>
      </c>
      <c r="H2098" t="s">
        <v>3808</v>
      </c>
      <c r="I2098" t="s">
        <v>3809</v>
      </c>
      <c r="J2098" t="s">
        <v>3810</v>
      </c>
      <c r="K2098" t="s">
        <v>1218</v>
      </c>
      <c r="L2098" s="13">
        <v>41977</v>
      </c>
      <c r="M2098">
        <v>9</v>
      </c>
      <c r="N2098" t="s">
        <v>79</v>
      </c>
      <c r="O2098" t="s">
        <v>3905</v>
      </c>
      <c r="P2098" t="s">
        <v>76</v>
      </c>
      <c r="Q2098" t="s">
        <v>76</v>
      </c>
      <c r="R2098" t="s">
        <v>76</v>
      </c>
      <c r="S2098" t="s">
        <v>76</v>
      </c>
      <c r="T2098" t="s">
        <v>76</v>
      </c>
      <c r="U2098">
        <v>1</v>
      </c>
      <c r="V2098" s="13">
        <v>45175</v>
      </c>
      <c r="W2098">
        <v>1</v>
      </c>
      <c r="X2098">
        <v>1</v>
      </c>
      <c r="Y2098" t="s">
        <v>3717</v>
      </c>
      <c r="AC2098">
        <v>5754</v>
      </c>
      <c r="AD2098" t="e" vm="2088">
        <v>#VALUE!</v>
      </c>
    </row>
    <row r="2099" spans="2:30" x14ac:dyDescent="0.25">
      <c r="B2099">
        <v>5755</v>
      </c>
      <c r="C2099" t="s">
        <v>3662</v>
      </c>
      <c r="D2099" t="s">
        <v>3716</v>
      </c>
      <c r="E2099" t="s">
        <v>3853</v>
      </c>
      <c r="F2099" t="s">
        <v>78</v>
      </c>
      <c r="G2099" t="s">
        <v>77</v>
      </c>
      <c r="H2099" t="s">
        <v>3808</v>
      </c>
      <c r="I2099" t="s">
        <v>3809</v>
      </c>
      <c r="J2099" t="s">
        <v>3810</v>
      </c>
      <c r="K2099" t="s">
        <v>1218</v>
      </c>
      <c r="L2099" s="13">
        <v>41997</v>
      </c>
      <c r="M2099">
        <v>9</v>
      </c>
      <c r="N2099" t="s">
        <v>79</v>
      </c>
      <c r="O2099" t="s">
        <v>3905</v>
      </c>
      <c r="P2099" t="s">
        <v>76</v>
      </c>
      <c r="Q2099" t="s">
        <v>76</v>
      </c>
      <c r="R2099" t="s">
        <v>76</v>
      </c>
      <c r="S2099" t="s">
        <v>76</v>
      </c>
      <c r="T2099" t="s">
        <v>76</v>
      </c>
      <c r="U2099">
        <v>1</v>
      </c>
      <c r="V2099" s="13">
        <v>45175</v>
      </c>
      <c r="W2099">
        <v>1</v>
      </c>
      <c r="X2099">
        <v>1</v>
      </c>
      <c r="Y2099" t="s">
        <v>3717</v>
      </c>
      <c r="AC2099">
        <v>5755</v>
      </c>
      <c r="AD2099" t="e" vm="2089">
        <v>#VALUE!</v>
      </c>
    </row>
    <row r="2100" spans="2:30" x14ac:dyDescent="0.25">
      <c r="B2100">
        <v>5756</v>
      </c>
      <c r="C2100" t="s">
        <v>3662</v>
      </c>
      <c r="D2100" t="s">
        <v>3716</v>
      </c>
      <c r="E2100" t="s">
        <v>3853</v>
      </c>
      <c r="F2100" t="s">
        <v>78</v>
      </c>
      <c r="G2100" t="s">
        <v>77</v>
      </c>
      <c r="H2100" t="s">
        <v>3808</v>
      </c>
      <c r="I2100" t="s">
        <v>3809</v>
      </c>
      <c r="J2100" t="s">
        <v>3810</v>
      </c>
      <c r="K2100" t="s">
        <v>1218</v>
      </c>
      <c r="L2100" s="13">
        <v>41983</v>
      </c>
      <c r="M2100">
        <v>9</v>
      </c>
      <c r="N2100" t="s">
        <v>79</v>
      </c>
      <c r="O2100" t="s">
        <v>3905</v>
      </c>
      <c r="P2100" t="s">
        <v>76</v>
      </c>
      <c r="Q2100" t="s">
        <v>76</v>
      </c>
      <c r="R2100" t="s">
        <v>76</v>
      </c>
      <c r="S2100" t="s">
        <v>76</v>
      </c>
      <c r="T2100" t="s">
        <v>76</v>
      </c>
      <c r="U2100">
        <v>1</v>
      </c>
      <c r="V2100" s="13">
        <v>45175</v>
      </c>
      <c r="W2100">
        <v>1</v>
      </c>
      <c r="X2100">
        <v>1</v>
      </c>
      <c r="Y2100" t="s">
        <v>3717</v>
      </c>
      <c r="AC2100">
        <v>5756</v>
      </c>
      <c r="AD2100" t="e" vm="2090">
        <v>#VALUE!</v>
      </c>
    </row>
    <row r="2101" spans="2:30" x14ac:dyDescent="0.25">
      <c r="B2101">
        <v>5757</v>
      </c>
      <c r="C2101" t="s">
        <v>3662</v>
      </c>
      <c r="D2101" t="s">
        <v>3716</v>
      </c>
      <c r="E2101" t="s">
        <v>3853</v>
      </c>
      <c r="F2101" t="s">
        <v>78</v>
      </c>
      <c r="G2101" t="s">
        <v>77</v>
      </c>
      <c r="H2101" t="s">
        <v>3808</v>
      </c>
      <c r="I2101" t="s">
        <v>3809</v>
      </c>
      <c r="J2101" t="s">
        <v>3810</v>
      </c>
      <c r="K2101" t="s">
        <v>1218</v>
      </c>
      <c r="L2101" s="13">
        <v>42007</v>
      </c>
      <c r="M2101">
        <v>9</v>
      </c>
      <c r="N2101" t="s">
        <v>79</v>
      </c>
      <c r="O2101" t="s">
        <v>3905</v>
      </c>
      <c r="P2101" t="s">
        <v>76</v>
      </c>
      <c r="Q2101" t="s">
        <v>76</v>
      </c>
      <c r="R2101" t="s">
        <v>76</v>
      </c>
      <c r="S2101" t="s">
        <v>76</v>
      </c>
      <c r="T2101" t="s">
        <v>76</v>
      </c>
      <c r="U2101">
        <v>1</v>
      </c>
      <c r="V2101" s="13">
        <v>45175</v>
      </c>
      <c r="W2101">
        <v>1</v>
      </c>
      <c r="X2101">
        <v>1</v>
      </c>
      <c r="Y2101" t="s">
        <v>3717</v>
      </c>
      <c r="AC2101">
        <v>5757</v>
      </c>
      <c r="AD2101" t="e" vm="2091">
        <v>#VALUE!</v>
      </c>
    </row>
    <row r="2102" spans="2:30" x14ac:dyDescent="0.25">
      <c r="B2102">
        <v>5758</v>
      </c>
      <c r="C2102" t="s">
        <v>3662</v>
      </c>
      <c r="D2102" t="s">
        <v>3716</v>
      </c>
      <c r="E2102" t="s">
        <v>3853</v>
      </c>
      <c r="F2102" t="s">
        <v>78</v>
      </c>
      <c r="G2102" t="s">
        <v>77</v>
      </c>
      <c r="H2102" t="s">
        <v>3808</v>
      </c>
      <c r="I2102" t="s">
        <v>3809</v>
      </c>
      <c r="J2102" t="s">
        <v>3810</v>
      </c>
      <c r="K2102" t="s">
        <v>1218</v>
      </c>
      <c r="L2102" s="13">
        <v>42007</v>
      </c>
      <c r="M2102">
        <v>9</v>
      </c>
      <c r="N2102" t="s">
        <v>79</v>
      </c>
      <c r="O2102" t="s">
        <v>3905</v>
      </c>
      <c r="P2102" t="s">
        <v>76</v>
      </c>
      <c r="Q2102" t="s">
        <v>76</v>
      </c>
      <c r="R2102" t="s">
        <v>76</v>
      </c>
      <c r="S2102" t="s">
        <v>76</v>
      </c>
      <c r="T2102" t="s">
        <v>76</v>
      </c>
      <c r="U2102">
        <v>1</v>
      </c>
      <c r="V2102" s="13">
        <v>45175</v>
      </c>
      <c r="W2102">
        <v>1</v>
      </c>
      <c r="X2102">
        <v>1</v>
      </c>
      <c r="Y2102" t="s">
        <v>3717</v>
      </c>
      <c r="AC2102">
        <v>5758</v>
      </c>
      <c r="AD2102" t="e" vm="2092">
        <v>#VALUE!</v>
      </c>
    </row>
    <row r="2103" spans="2:30" x14ac:dyDescent="0.25">
      <c r="B2103">
        <v>5759</v>
      </c>
      <c r="C2103" t="s">
        <v>3662</v>
      </c>
      <c r="D2103" t="s">
        <v>3716</v>
      </c>
      <c r="E2103" t="s">
        <v>3853</v>
      </c>
      <c r="F2103" t="s">
        <v>78</v>
      </c>
      <c r="G2103" t="s">
        <v>77</v>
      </c>
      <c r="H2103" t="s">
        <v>3808</v>
      </c>
      <c r="I2103" t="s">
        <v>3809</v>
      </c>
      <c r="J2103" t="s">
        <v>3810</v>
      </c>
      <c r="K2103" t="s">
        <v>1218</v>
      </c>
      <c r="L2103" s="13">
        <v>41983</v>
      </c>
      <c r="M2103">
        <v>9</v>
      </c>
      <c r="N2103" t="s">
        <v>79</v>
      </c>
      <c r="O2103" t="s">
        <v>3905</v>
      </c>
      <c r="P2103" t="s">
        <v>76</v>
      </c>
      <c r="Q2103" t="s">
        <v>76</v>
      </c>
      <c r="R2103" t="s">
        <v>76</v>
      </c>
      <c r="S2103" t="s">
        <v>76</v>
      </c>
      <c r="T2103" t="s">
        <v>76</v>
      </c>
      <c r="U2103">
        <v>1</v>
      </c>
      <c r="V2103" s="13">
        <v>45175</v>
      </c>
      <c r="W2103">
        <v>1</v>
      </c>
      <c r="X2103">
        <v>1</v>
      </c>
      <c r="Y2103" t="s">
        <v>3717</v>
      </c>
      <c r="AC2103">
        <v>5759</v>
      </c>
      <c r="AD2103" t="e" vm="2093">
        <v>#VALUE!</v>
      </c>
    </row>
    <row r="2104" spans="2:30" x14ac:dyDescent="0.25">
      <c r="B2104">
        <v>5760</v>
      </c>
      <c r="C2104" t="s">
        <v>3662</v>
      </c>
      <c r="D2104" t="s">
        <v>3716</v>
      </c>
      <c r="E2104" t="s">
        <v>3853</v>
      </c>
      <c r="F2104" t="s">
        <v>78</v>
      </c>
      <c r="G2104" t="s">
        <v>77</v>
      </c>
      <c r="H2104" t="s">
        <v>3808</v>
      </c>
      <c r="I2104" t="s">
        <v>3809</v>
      </c>
      <c r="J2104" t="s">
        <v>3810</v>
      </c>
      <c r="K2104" t="s">
        <v>1218</v>
      </c>
      <c r="L2104" s="13">
        <v>41997</v>
      </c>
      <c r="M2104">
        <v>9</v>
      </c>
      <c r="N2104" t="s">
        <v>79</v>
      </c>
      <c r="O2104" t="s">
        <v>3905</v>
      </c>
      <c r="P2104" t="s">
        <v>76</v>
      </c>
      <c r="Q2104" t="s">
        <v>76</v>
      </c>
      <c r="R2104" t="s">
        <v>76</v>
      </c>
      <c r="S2104" t="s">
        <v>76</v>
      </c>
      <c r="T2104" t="s">
        <v>76</v>
      </c>
      <c r="U2104">
        <v>1</v>
      </c>
      <c r="V2104" s="13">
        <v>45175</v>
      </c>
      <c r="W2104">
        <v>1</v>
      </c>
      <c r="X2104">
        <v>1</v>
      </c>
      <c r="Y2104" t="s">
        <v>3717</v>
      </c>
      <c r="AC2104">
        <v>5760</v>
      </c>
      <c r="AD2104" t="e" vm="2094">
        <v>#VALUE!</v>
      </c>
    </row>
    <row r="2105" spans="2:30" x14ac:dyDescent="0.25">
      <c r="B2105">
        <v>5761</v>
      </c>
      <c r="C2105" t="s">
        <v>3662</v>
      </c>
      <c r="D2105" t="s">
        <v>3716</v>
      </c>
      <c r="E2105" t="s">
        <v>3853</v>
      </c>
      <c r="F2105" t="s">
        <v>78</v>
      </c>
      <c r="G2105" t="s">
        <v>77</v>
      </c>
      <c r="H2105" t="s">
        <v>3808</v>
      </c>
      <c r="I2105" t="s">
        <v>3809</v>
      </c>
      <c r="J2105" t="s">
        <v>3810</v>
      </c>
      <c r="K2105" t="s">
        <v>1218</v>
      </c>
      <c r="L2105" s="13">
        <v>41991</v>
      </c>
      <c r="M2105">
        <v>9</v>
      </c>
      <c r="N2105" t="s">
        <v>79</v>
      </c>
      <c r="O2105" t="s">
        <v>3905</v>
      </c>
      <c r="P2105" t="s">
        <v>76</v>
      </c>
      <c r="Q2105" t="s">
        <v>76</v>
      </c>
      <c r="R2105" t="s">
        <v>76</v>
      </c>
      <c r="S2105" t="s">
        <v>76</v>
      </c>
      <c r="T2105" t="s">
        <v>76</v>
      </c>
      <c r="U2105">
        <v>1</v>
      </c>
      <c r="V2105" s="13">
        <v>45175</v>
      </c>
      <c r="W2105">
        <v>1</v>
      </c>
      <c r="X2105">
        <v>1</v>
      </c>
      <c r="Y2105" t="s">
        <v>3717</v>
      </c>
      <c r="AC2105">
        <v>5761</v>
      </c>
      <c r="AD2105" t="e" vm="2095">
        <v>#VALUE!</v>
      </c>
    </row>
    <row r="2106" spans="2:30" x14ac:dyDescent="0.25">
      <c r="B2106">
        <v>5762</v>
      </c>
      <c r="C2106" t="s">
        <v>3662</v>
      </c>
      <c r="D2106" t="s">
        <v>3716</v>
      </c>
      <c r="E2106" t="s">
        <v>3853</v>
      </c>
      <c r="F2106" t="s">
        <v>78</v>
      </c>
      <c r="G2106" t="s">
        <v>77</v>
      </c>
      <c r="H2106" t="s">
        <v>3808</v>
      </c>
      <c r="I2106" t="s">
        <v>3809</v>
      </c>
      <c r="J2106" t="s">
        <v>3810</v>
      </c>
      <c r="K2106" t="s">
        <v>1218</v>
      </c>
      <c r="L2106" s="13">
        <v>41991</v>
      </c>
      <c r="M2106">
        <v>9</v>
      </c>
      <c r="N2106" t="s">
        <v>79</v>
      </c>
      <c r="O2106" t="s">
        <v>3905</v>
      </c>
      <c r="P2106" t="s">
        <v>76</v>
      </c>
      <c r="Q2106" t="s">
        <v>76</v>
      </c>
      <c r="R2106" t="s">
        <v>76</v>
      </c>
      <c r="S2106" t="s">
        <v>76</v>
      </c>
      <c r="T2106" t="s">
        <v>76</v>
      </c>
      <c r="U2106">
        <v>1</v>
      </c>
      <c r="V2106" s="13">
        <v>45175</v>
      </c>
      <c r="W2106">
        <v>1</v>
      </c>
      <c r="X2106">
        <v>1</v>
      </c>
      <c r="Y2106" t="s">
        <v>3717</v>
      </c>
      <c r="AC2106">
        <v>5762</v>
      </c>
      <c r="AD2106" t="e" vm="2096">
        <v>#VALUE!</v>
      </c>
    </row>
    <row r="2107" spans="2:30" x14ac:dyDescent="0.25">
      <c r="B2107">
        <v>5763</v>
      </c>
      <c r="C2107" t="s">
        <v>3659</v>
      </c>
      <c r="D2107" t="s">
        <v>3677</v>
      </c>
      <c r="E2107" t="s">
        <v>3823</v>
      </c>
      <c r="F2107" t="s">
        <v>87</v>
      </c>
      <c r="G2107" t="s">
        <v>86</v>
      </c>
      <c r="H2107" t="s">
        <v>3808</v>
      </c>
      <c r="I2107" t="s">
        <v>3809</v>
      </c>
      <c r="J2107" t="s">
        <v>3862</v>
      </c>
      <c r="K2107" t="s">
        <v>1218</v>
      </c>
      <c r="L2107" s="13">
        <v>41886</v>
      </c>
      <c r="M2107">
        <v>9</v>
      </c>
      <c r="N2107" t="s">
        <v>88</v>
      </c>
      <c r="O2107" t="s">
        <v>3906</v>
      </c>
      <c r="P2107" t="s">
        <v>76</v>
      </c>
      <c r="Q2107" t="s">
        <v>76</v>
      </c>
      <c r="R2107" t="s">
        <v>76</v>
      </c>
      <c r="S2107" t="s">
        <v>76</v>
      </c>
      <c r="T2107" t="s">
        <v>76</v>
      </c>
      <c r="U2107">
        <v>1</v>
      </c>
      <c r="V2107" s="13">
        <v>45175</v>
      </c>
      <c r="W2107">
        <v>1</v>
      </c>
      <c r="X2107">
        <v>1</v>
      </c>
      <c r="Y2107" t="s">
        <v>3678</v>
      </c>
      <c r="AC2107">
        <v>5763</v>
      </c>
      <c r="AD2107" t="e" vm="2097">
        <v>#VALUE!</v>
      </c>
    </row>
    <row r="2108" spans="2:30" x14ac:dyDescent="0.25">
      <c r="B2108">
        <v>5764</v>
      </c>
      <c r="C2108" t="s">
        <v>3659</v>
      </c>
      <c r="D2108" t="s">
        <v>3677</v>
      </c>
      <c r="E2108" t="s">
        <v>3823</v>
      </c>
      <c r="F2108" t="s">
        <v>87</v>
      </c>
      <c r="G2108" t="s">
        <v>86</v>
      </c>
      <c r="H2108" t="s">
        <v>3808</v>
      </c>
      <c r="I2108" t="s">
        <v>3809</v>
      </c>
      <c r="J2108" t="s">
        <v>3862</v>
      </c>
      <c r="K2108" t="s">
        <v>1218</v>
      </c>
      <c r="L2108" s="13">
        <v>41827</v>
      </c>
      <c r="M2108">
        <v>9</v>
      </c>
      <c r="N2108" t="s">
        <v>88</v>
      </c>
      <c r="O2108" t="s">
        <v>3906</v>
      </c>
      <c r="P2108" t="s">
        <v>76</v>
      </c>
      <c r="Q2108" t="s">
        <v>76</v>
      </c>
      <c r="R2108" t="s">
        <v>76</v>
      </c>
      <c r="S2108" t="s">
        <v>76</v>
      </c>
      <c r="T2108" t="s">
        <v>76</v>
      </c>
      <c r="U2108">
        <v>1</v>
      </c>
      <c r="V2108" s="13">
        <v>45175</v>
      </c>
      <c r="W2108">
        <v>1</v>
      </c>
      <c r="X2108">
        <v>1</v>
      </c>
      <c r="Y2108" t="s">
        <v>3678</v>
      </c>
      <c r="AC2108">
        <v>5764</v>
      </c>
      <c r="AD2108" t="e" vm="2098">
        <v>#VALUE!</v>
      </c>
    </row>
    <row r="2109" spans="2:30" x14ac:dyDescent="0.25">
      <c r="B2109">
        <v>5765</v>
      </c>
      <c r="C2109" t="s">
        <v>3659</v>
      </c>
      <c r="D2109" t="s">
        <v>3677</v>
      </c>
      <c r="E2109" t="s">
        <v>3823</v>
      </c>
      <c r="F2109" t="s">
        <v>87</v>
      </c>
      <c r="G2109" t="s">
        <v>86</v>
      </c>
      <c r="H2109" t="s">
        <v>3808</v>
      </c>
      <c r="I2109" t="s">
        <v>3809</v>
      </c>
      <c r="J2109" t="s">
        <v>3862</v>
      </c>
      <c r="K2109" t="s">
        <v>1218</v>
      </c>
      <c r="L2109" s="13">
        <v>41837</v>
      </c>
      <c r="M2109">
        <v>9</v>
      </c>
      <c r="N2109" t="s">
        <v>88</v>
      </c>
      <c r="O2109" t="s">
        <v>3906</v>
      </c>
      <c r="P2109" t="s">
        <v>76</v>
      </c>
      <c r="Q2109" t="s">
        <v>76</v>
      </c>
      <c r="R2109" t="s">
        <v>76</v>
      </c>
      <c r="S2109" t="s">
        <v>76</v>
      </c>
      <c r="T2109" t="s">
        <v>76</v>
      </c>
      <c r="U2109">
        <v>1</v>
      </c>
      <c r="V2109" s="13">
        <v>45175</v>
      </c>
      <c r="W2109">
        <v>1</v>
      </c>
      <c r="X2109">
        <v>1</v>
      </c>
      <c r="Y2109" t="s">
        <v>3678</v>
      </c>
      <c r="AC2109">
        <v>5765</v>
      </c>
      <c r="AD2109" t="e" vm="2099">
        <v>#VALUE!</v>
      </c>
    </row>
    <row r="2110" spans="2:30" x14ac:dyDescent="0.25">
      <c r="B2110">
        <v>5766</v>
      </c>
      <c r="C2110" t="s">
        <v>3659</v>
      </c>
      <c r="D2110" t="s">
        <v>3677</v>
      </c>
      <c r="E2110" t="s">
        <v>3823</v>
      </c>
      <c r="F2110" t="s">
        <v>87</v>
      </c>
      <c r="G2110" t="s">
        <v>86</v>
      </c>
      <c r="H2110" t="s">
        <v>3808</v>
      </c>
      <c r="I2110" t="s">
        <v>3809</v>
      </c>
      <c r="J2110" t="s">
        <v>3862</v>
      </c>
      <c r="K2110" t="s">
        <v>1218</v>
      </c>
      <c r="L2110" s="13">
        <v>41837</v>
      </c>
      <c r="M2110">
        <v>9</v>
      </c>
      <c r="N2110" t="s">
        <v>88</v>
      </c>
      <c r="O2110" t="s">
        <v>3906</v>
      </c>
      <c r="P2110" t="s">
        <v>76</v>
      </c>
      <c r="Q2110" t="s">
        <v>76</v>
      </c>
      <c r="R2110" t="s">
        <v>76</v>
      </c>
      <c r="S2110" t="s">
        <v>76</v>
      </c>
      <c r="T2110" t="s">
        <v>76</v>
      </c>
      <c r="U2110">
        <v>1</v>
      </c>
      <c r="V2110" s="13">
        <v>45175</v>
      </c>
      <c r="W2110">
        <v>1</v>
      </c>
      <c r="X2110">
        <v>1</v>
      </c>
      <c r="Y2110" t="s">
        <v>3678</v>
      </c>
      <c r="AC2110">
        <v>5766</v>
      </c>
      <c r="AD2110" t="e" vm="2100">
        <v>#VALUE!</v>
      </c>
    </row>
    <row r="2111" spans="2:30" x14ac:dyDescent="0.25">
      <c r="B2111">
        <v>5767</v>
      </c>
      <c r="C2111" t="s">
        <v>3659</v>
      </c>
      <c r="D2111" t="s">
        <v>3677</v>
      </c>
      <c r="E2111" t="s">
        <v>3823</v>
      </c>
      <c r="F2111" t="s">
        <v>87</v>
      </c>
      <c r="G2111" t="s">
        <v>86</v>
      </c>
      <c r="H2111" t="s">
        <v>3808</v>
      </c>
      <c r="I2111" t="s">
        <v>3809</v>
      </c>
      <c r="J2111" t="s">
        <v>3862</v>
      </c>
      <c r="K2111" t="s">
        <v>1218</v>
      </c>
      <c r="L2111" s="13">
        <v>41822</v>
      </c>
      <c r="M2111">
        <v>9</v>
      </c>
      <c r="N2111" t="s">
        <v>88</v>
      </c>
      <c r="O2111" t="s">
        <v>3906</v>
      </c>
      <c r="P2111" t="s">
        <v>76</v>
      </c>
      <c r="Q2111" t="s">
        <v>76</v>
      </c>
      <c r="R2111" t="s">
        <v>76</v>
      </c>
      <c r="S2111" t="s">
        <v>76</v>
      </c>
      <c r="T2111" t="s">
        <v>76</v>
      </c>
      <c r="U2111">
        <v>1</v>
      </c>
      <c r="V2111" s="13">
        <v>45175</v>
      </c>
      <c r="W2111">
        <v>1</v>
      </c>
      <c r="X2111">
        <v>1</v>
      </c>
      <c r="Y2111" t="s">
        <v>3678</v>
      </c>
      <c r="AC2111">
        <v>5767</v>
      </c>
      <c r="AD2111" t="e" vm="2101">
        <v>#VALUE!</v>
      </c>
    </row>
    <row r="2112" spans="2:30" x14ac:dyDescent="0.25">
      <c r="B2112">
        <v>5768</v>
      </c>
      <c r="C2112" t="s">
        <v>3659</v>
      </c>
      <c r="D2112" t="s">
        <v>3677</v>
      </c>
      <c r="E2112" t="s">
        <v>3823</v>
      </c>
      <c r="F2112" t="s">
        <v>87</v>
      </c>
      <c r="G2112" t="s">
        <v>86</v>
      </c>
      <c r="H2112" t="s">
        <v>3808</v>
      </c>
      <c r="I2112" t="s">
        <v>3809</v>
      </c>
      <c r="J2112" t="s">
        <v>3862</v>
      </c>
      <c r="K2112" t="s">
        <v>1218</v>
      </c>
      <c r="L2112" s="13">
        <v>41822</v>
      </c>
      <c r="M2112">
        <v>9</v>
      </c>
      <c r="N2112" t="s">
        <v>88</v>
      </c>
      <c r="O2112" t="s">
        <v>3906</v>
      </c>
      <c r="P2112" t="s">
        <v>76</v>
      </c>
      <c r="Q2112" t="s">
        <v>76</v>
      </c>
      <c r="R2112" t="s">
        <v>76</v>
      </c>
      <c r="S2112" t="s">
        <v>76</v>
      </c>
      <c r="T2112" t="s">
        <v>76</v>
      </c>
      <c r="U2112">
        <v>1</v>
      </c>
      <c r="V2112" s="13">
        <v>45175</v>
      </c>
      <c r="W2112">
        <v>1</v>
      </c>
      <c r="X2112">
        <v>1</v>
      </c>
      <c r="Y2112" t="s">
        <v>3678</v>
      </c>
      <c r="AC2112">
        <v>5768</v>
      </c>
      <c r="AD2112" t="e" vm="2102">
        <v>#VALUE!</v>
      </c>
    </row>
    <row r="2113" spans="2:30" x14ac:dyDescent="0.25">
      <c r="B2113">
        <v>5769</v>
      </c>
      <c r="C2113" t="s">
        <v>3659</v>
      </c>
      <c r="D2113" t="s">
        <v>3677</v>
      </c>
      <c r="E2113" t="s">
        <v>3823</v>
      </c>
      <c r="F2113" t="s">
        <v>87</v>
      </c>
      <c r="G2113" t="s">
        <v>86</v>
      </c>
      <c r="H2113" t="s">
        <v>3808</v>
      </c>
      <c r="I2113" t="s">
        <v>3809</v>
      </c>
      <c r="J2113" t="s">
        <v>3862</v>
      </c>
      <c r="K2113" t="s">
        <v>1218</v>
      </c>
      <c r="L2113" s="13">
        <v>41822</v>
      </c>
      <c r="M2113">
        <v>9</v>
      </c>
      <c r="N2113" t="s">
        <v>88</v>
      </c>
      <c r="O2113" t="s">
        <v>3906</v>
      </c>
      <c r="P2113" t="s">
        <v>76</v>
      </c>
      <c r="Q2113" t="s">
        <v>76</v>
      </c>
      <c r="R2113" t="s">
        <v>76</v>
      </c>
      <c r="S2113" t="s">
        <v>76</v>
      </c>
      <c r="T2113" t="s">
        <v>76</v>
      </c>
      <c r="U2113">
        <v>1</v>
      </c>
      <c r="V2113" s="13">
        <v>45175</v>
      </c>
      <c r="W2113">
        <v>1</v>
      </c>
      <c r="X2113">
        <v>1</v>
      </c>
      <c r="Y2113" t="s">
        <v>3678</v>
      </c>
      <c r="AC2113">
        <v>5769</v>
      </c>
      <c r="AD2113" t="e" vm="2103">
        <v>#VALUE!</v>
      </c>
    </row>
    <row r="2114" spans="2:30" x14ac:dyDescent="0.25">
      <c r="B2114">
        <v>5770</v>
      </c>
      <c r="C2114" t="s">
        <v>3646</v>
      </c>
      <c r="D2114" t="s">
        <v>73</v>
      </c>
      <c r="E2114" t="s">
        <v>73</v>
      </c>
      <c r="F2114" t="s">
        <v>3816</v>
      </c>
      <c r="G2114" t="s">
        <v>3816</v>
      </c>
      <c r="H2114" t="s">
        <v>3808</v>
      </c>
      <c r="I2114" t="s">
        <v>3809</v>
      </c>
      <c r="J2114" t="s">
        <v>3862</v>
      </c>
      <c r="K2114" t="s">
        <v>1218</v>
      </c>
      <c r="L2114" s="13">
        <v>41827</v>
      </c>
      <c r="M2114">
        <v>9</v>
      </c>
      <c r="N2114" t="s">
        <v>90</v>
      </c>
      <c r="O2114" t="s">
        <v>3906</v>
      </c>
      <c r="P2114" t="s">
        <v>76</v>
      </c>
      <c r="Q2114" t="s">
        <v>76</v>
      </c>
      <c r="R2114" t="s">
        <v>76</v>
      </c>
      <c r="S2114" t="s">
        <v>76</v>
      </c>
      <c r="T2114" t="s">
        <v>76</v>
      </c>
      <c r="U2114">
        <v>1</v>
      </c>
      <c r="V2114" s="13">
        <v>45175</v>
      </c>
      <c r="W2114">
        <v>1</v>
      </c>
      <c r="X2114">
        <v>1</v>
      </c>
      <c r="Y2114" t="s">
        <v>3667</v>
      </c>
      <c r="AC2114">
        <v>5770</v>
      </c>
      <c r="AD2114" t="e" vm="2104">
        <v>#VALUE!</v>
      </c>
    </row>
    <row r="2115" spans="2:30" x14ac:dyDescent="0.25">
      <c r="B2115">
        <v>5771</v>
      </c>
      <c r="C2115" t="s">
        <v>3659</v>
      </c>
      <c r="D2115" t="s">
        <v>3677</v>
      </c>
      <c r="E2115" t="s">
        <v>3823</v>
      </c>
      <c r="F2115" t="s">
        <v>87</v>
      </c>
      <c r="G2115" t="s">
        <v>86</v>
      </c>
      <c r="H2115" t="s">
        <v>3808</v>
      </c>
      <c r="I2115" t="s">
        <v>3809</v>
      </c>
      <c r="J2115" t="s">
        <v>3862</v>
      </c>
      <c r="K2115" t="s">
        <v>1218</v>
      </c>
      <c r="L2115" s="13">
        <v>41822</v>
      </c>
      <c r="M2115">
        <v>9</v>
      </c>
      <c r="N2115" t="s">
        <v>88</v>
      </c>
      <c r="O2115" t="s">
        <v>3906</v>
      </c>
      <c r="P2115" t="s">
        <v>76</v>
      </c>
      <c r="Q2115" t="s">
        <v>76</v>
      </c>
      <c r="R2115" t="s">
        <v>76</v>
      </c>
      <c r="S2115" t="s">
        <v>76</v>
      </c>
      <c r="T2115" t="s">
        <v>76</v>
      </c>
      <c r="U2115">
        <v>1</v>
      </c>
      <c r="V2115" s="13">
        <v>45175</v>
      </c>
      <c r="W2115">
        <v>1</v>
      </c>
      <c r="X2115">
        <v>1</v>
      </c>
      <c r="Y2115" t="s">
        <v>3678</v>
      </c>
      <c r="AC2115">
        <v>5771</v>
      </c>
      <c r="AD2115" t="e" vm="2105">
        <v>#VALUE!</v>
      </c>
    </row>
    <row r="2116" spans="2:30" x14ac:dyDescent="0.25">
      <c r="B2116">
        <v>5772</v>
      </c>
      <c r="C2116" t="s">
        <v>3646</v>
      </c>
      <c r="D2116" t="s">
        <v>3647</v>
      </c>
      <c r="E2116" t="s">
        <v>3807</v>
      </c>
      <c r="F2116" t="s">
        <v>105</v>
      </c>
      <c r="G2116" t="s">
        <v>108</v>
      </c>
      <c r="H2116" t="s">
        <v>3808</v>
      </c>
      <c r="I2116" t="s">
        <v>3809</v>
      </c>
      <c r="J2116" t="s">
        <v>3862</v>
      </c>
      <c r="K2116" t="s">
        <v>1218</v>
      </c>
      <c r="L2116" s="13">
        <v>41822</v>
      </c>
      <c r="M2116">
        <v>9</v>
      </c>
      <c r="N2116" t="s">
        <v>90</v>
      </c>
      <c r="O2116" t="s">
        <v>3906</v>
      </c>
      <c r="P2116" t="s">
        <v>76</v>
      </c>
      <c r="Q2116" t="s">
        <v>76</v>
      </c>
      <c r="R2116" t="s">
        <v>76</v>
      </c>
      <c r="S2116" t="s">
        <v>76</v>
      </c>
      <c r="T2116" t="s">
        <v>76</v>
      </c>
      <c r="U2116">
        <v>1</v>
      </c>
      <c r="V2116" s="13">
        <v>45175</v>
      </c>
      <c r="W2116">
        <v>1</v>
      </c>
      <c r="X2116">
        <v>1</v>
      </c>
      <c r="Y2116" t="s">
        <v>3648</v>
      </c>
      <c r="AC2116">
        <v>5772</v>
      </c>
      <c r="AD2116" t="e" vm="2106">
        <v>#VALUE!</v>
      </c>
    </row>
    <row r="2117" spans="2:30" x14ac:dyDescent="0.25">
      <c r="B2117">
        <v>5773</v>
      </c>
      <c r="C2117" t="s">
        <v>3659</v>
      </c>
      <c r="D2117" t="s">
        <v>3675</v>
      </c>
      <c r="E2117" t="s">
        <v>3820</v>
      </c>
      <c r="F2117" t="s">
        <v>85</v>
      </c>
      <c r="G2117" t="s">
        <v>107</v>
      </c>
      <c r="H2117" t="s">
        <v>3808</v>
      </c>
      <c r="I2117" t="s">
        <v>3809</v>
      </c>
      <c r="J2117" t="s">
        <v>3862</v>
      </c>
      <c r="K2117" t="s">
        <v>1218</v>
      </c>
      <c r="L2117" s="13">
        <v>41822</v>
      </c>
      <c r="M2117">
        <v>9</v>
      </c>
      <c r="N2117" t="s">
        <v>88</v>
      </c>
      <c r="O2117" t="s">
        <v>3906</v>
      </c>
      <c r="P2117" t="s">
        <v>76</v>
      </c>
      <c r="Q2117" t="s">
        <v>76</v>
      </c>
      <c r="R2117" t="s">
        <v>76</v>
      </c>
      <c r="S2117" t="s">
        <v>76</v>
      </c>
      <c r="T2117" t="s">
        <v>76</v>
      </c>
      <c r="U2117">
        <v>1</v>
      </c>
      <c r="V2117" s="13">
        <v>45175</v>
      </c>
      <c r="W2117">
        <v>1</v>
      </c>
      <c r="X2117">
        <v>1</v>
      </c>
      <c r="Y2117" t="s">
        <v>3676</v>
      </c>
      <c r="AC2117">
        <v>5773</v>
      </c>
      <c r="AD2117" t="e" vm="2107">
        <v>#VALUE!</v>
      </c>
    </row>
    <row r="2118" spans="2:30" x14ac:dyDescent="0.25">
      <c r="B2118">
        <v>5774</v>
      </c>
      <c r="C2118" t="s">
        <v>3659</v>
      </c>
      <c r="D2118" t="s">
        <v>3675</v>
      </c>
      <c r="E2118" t="s">
        <v>3820</v>
      </c>
      <c r="F2118" t="s">
        <v>85</v>
      </c>
      <c r="G2118" t="s">
        <v>107</v>
      </c>
      <c r="H2118" t="s">
        <v>3808</v>
      </c>
      <c r="I2118" t="s">
        <v>3809</v>
      </c>
      <c r="J2118" t="s">
        <v>3862</v>
      </c>
      <c r="K2118" t="s">
        <v>1218</v>
      </c>
      <c r="L2118" s="13">
        <v>41827</v>
      </c>
      <c r="M2118">
        <v>9</v>
      </c>
      <c r="N2118" t="s">
        <v>88</v>
      </c>
      <c r="O2118" t="s">
        <v>3906</v>
      </c>
      <c r="P2118" t="s">
        <v>76</v>
      </c>
      <c r="Q2118" t="s">
        <v>76</v>
      </c>
      <c r="R2118" t="s">
        <v>76</v>
      </c>
      <c r="S2118" t="s">
        <v>76</v>
      </c>
      <c r="T2118" t="s">
        <v>76</v>
      </c>
      <c r="U2118">
        <v>1</v>
      </c>
      <c r="V2118" s="13">
        <v>45175</v>
      </c>
      <c r="W2118">
        <v>1</v>
      </c>
      <c r="X2118">
        <v>1</v>
      </c>
      <c r="Y2118" t="s">
        <v>3676</v>
      </c>
      <c r="AC2118">
        <v>5774</v>
      </c>
      <c r="AD2118" t="e" vm="2108">
        <v>#VALUE!</v>
      </c>
    </row>
    <row r="2119" spans="2:30" x14ac:dyDescent="0.25">
      <c r="B2119">
        <v>5775</v>
      </c>
      <c r="C2119" t="s">
        <v>3659</v>
      </c>
      <c r="D2119" t="s">
        <v>3675</v>
      </c>
      <c r="E2119" t="s">
        <v>3820</v>
      </c>
      <c r="F2119" t="s">
        <v>85</v>
      </c>
      <c r="G2119" t="s">
        <v>107</v>
      </c>
      <c r="H2119" t="s">
        <v>3808</v>
      </c>
      <c r="I2119" t="s">
        <v>3809</v>
      </c>
      <c r="J2119" t="s">
        <v>3862</v>
      </c>
      <c r="K2119" t="s">
        <v>1218</v>
      </c>
      <c r="L2119" s="13">
        <v>41827</v>
      </c>
      <c r="M2119">
        <v>9</v>
      </c>
      <c r="N2119" t="s">
        <v>88</v>
      </c>
      <c r="O2119" t="s">
        <v>3906</v>
      </c>
      <c r="P2119" t="s">
        <v>76</v>
      </c>
      <c r="Q2119" t="s">
        <v>76</v>
      </c>
      <c r="R2119" t="s">
        <v>76</v>
      </c>
      <c r="S2119" t="s">
        <v>76</v>
      </c>
      <c r="T2119" t="s">
        <v>76</v>
      </c>
      <c r="U2119">
        <v>1</v>
      </c>
      <c r="V2119" s="13">
        <v>45175</v>
      </c>
      <c r="W2119">
        <v>1</v>
      </c>
      <c r="X2119">
        <v>1</v>
      </c>
      <c r="Y2119" t="s">
        <v>3676</v>
      </c>
      <c r="AC2119">
        <v>5775</v>
      </c>
      <c r="AD2119" t="e" vm="2109">
        <v>#VALUE!</v>
      </c>
    </row>
    <row r="2120" spans="2:30" x14ac:dyDescent="0.25">
      <c r="B2120">
        <v>5776</v>
      </c>
      <c r="C2120" t="s">
        <v>3659</v>
      </c>
      <c r="D2120" t="s">
        <v>3675</v>
      </c>
      <c r="E2120" t="s">
        <v>3820</v>
      </c>
      <c r="F2120" t="s">
        <v>85</v>
      </c>
      <c r="G2120" t="s">
        <v>107</v>
      </c>
      <c r="H2120" t="s">
        <v>3808</v>
      </c>
      <c r="I2120" t="s">
        <v>3809</v>
      </c>
      <c r="J2120" t="s">
        <v>3862</v>
      </c>
      <c r="K2120" t="s">
        <v>1218</v>
      </c>
      <c r="L2120" s="13">
        <v>41837</v>
      </c>
      <c r="M2120">
        <v>9</v>
      </c>
      <c r="N2120" t="s">
        <v>88</v>
      </c>
      <c r="O2120" t="s">
        <v>3906</v>
      </c>
      <c r="P2120" t="s">
        <v>76</v>
      </c>
      <c r="Q2120" t="s">
        <v>76</v>
      </c>
      <c r="R2120" t="s">
        <v>76</v>
      </c>
      <c r="S2120" t="s">
        <v>76</v>
      </c>
      <c r="T2120" t="s">
        <v>76</v>
      </c>
      <c r="U2120">
        <v>1</v>
      </c>
      <c r="V2120" s="13">
        <v>45175</v>
      </c>
      <c r="W2120">
        <v>1</v>
      </c>
      <c r="X2120">
        <v>1</v>
      </c>
      <c r="Y2120" t="s">
        <v>3676</v>
      </c>
      <c r="AC2120">
        <v>5776</v>
      </c>
      <c r="AD2120" t="e" vm="2110">
        <v>#VALUE!</v>
      </c>
    </row>
    <row r="2121" spans="2:30" x14ac:dyDescent="0.25">
      <c r="B2121">
        <v>5777</v>
      </c>
      <c r="C2121" t="s">
        <v>3659</v>
      </c>
      <c r="D2121" t="s">
        <v>3675</v>
      </c>
      <c r="E2121" t="s">
        <v>3820</v>
      </c>
      <c r="F2121" t="s">
        <v>85</v>
      </c>
      <c r="G2121" t="s">
        <v>107</v>
      </c>
      <c r="H2121" t="s">
        <v>3808</v>
      </c>
      <c r="I2121" t="s">
        <v>3809</v>
      </c>
      <c r="J2121" t="s">
        <v>3862</v>
      </c>
      <c r="K2121" t="s">
        <v>1218</v>
      </c>
      <c r="L2121" s="13">
        <v>41830</v>
      </c>
      <c r="M2121">
        <v>9</v>
      </c>
      <c r="N2121" t="s">
        <v>88</v>
      </c>
      <c r="O2121" t="s">
        <v>3906</v>
      </c>
      <c r="P2121" t="s">
        <v>76</v>
      </c>
      <c r="Q2121" t="s">
        <v>76</v>
      </c>
      <c r="R2121" t="s">
        <v>76</v>
      </c>
      <c r="S2121" t="s">
        <v>76</v>
      </c>
      <c r="T2121" t="s">
        <v>76</v>
      </c>
      <c r="U2121">
        <v>1</v>
      </c>
      <c r="V2121" s="13">
        <v>45175</v>
      </c>
      <c r="W2121">
        <v>1</v>
      </c>
      <c r="X2121">
        <v>1</v>
      </c>
      <c r="Y2121" t="s">
        <v>3676</v>
      </c>
      <c r="AC2121">
        <v>5777</v>
      </c>
      <c r="AD2121" t="e" vm="2111">
        <v>#VALUE!</v>
      </c>
    </row>
    <row r="2122" spans="2:30" x14ac:dyDescent="0.25">
      <c r="B2122">
        <v>5778</v>
      </c>
      <c r="C2122" t="s">
        <v>3659</v>
      </c>
      <c r="D2122" t="s">
        <v>3675</v>
      </c>
      <c r="E2122" t="s">
        <v>3820</v>
      </c>
      <c r="F2122" t="s">
        <v>85</v>
      </c>
      <c r="G2122" t="s">
        <v>107</v>
      </c>
      <c r="H2122" t="s">
        <v>3808</v>
      </c>
      <c r="I2122" t="s">
        <v>3809</v>
      </c>
      <c r="J2122" t="s">
        <v>3862</v>
      </c>
      <c r="K2122" t="s">
        <v>1218</v>
      </c>
      <c r="L2122" s="13">
        <v>41837</v>
      </c>
      <c r="M2122">
        <v>9</v>
      </c>
      <c r="N2122" t="s">
        <v>88</v>
      </c>
      <c r="O2122" t="s">
        <v>3906</v>
      </c>
      <c r="P2122" t="s">
        <v>76</v>
      </c>
      <c r="Q2122" t="s">
        <v>76</v>
      </c>
      <c r="R2122" t="s">
        <v>76</v>
      </c>
      <c r="S2122" t="s">
        <v>76</v>
      </c>
      <c r="T2122" t="s">
        <v>76</v>
      </c>
      <c r="U2122">
        <v>1</v>
      </c>
      <c r="V2122" s="13">
        <v>45175</v>
      </c>
      <c r="W2122">
        <v>1</v>
      </c>
      <c r="X2122">
        <v>1</v>
      </c>
      <c r="Y2122" t="s">
        <v>3676</v>
      </c>
      <c r="AC2122">
        <v>5778</v>
      </c>
      <c r="AD2122" t="e" vm="2112">
        <v>#VALUE!</v>
      </c>
    </row>
    <row r="2123" spans="2:30" x14ac:dyDescent="0.25">
      <c r="B2123">
        <v>5779</v>
      </c>
      <c r="C2123" t="s">
        <v>3659</v>
      </c>
      <c r="D2123" t="s">
        <v>3675</v>
      </c>
      <c r="E2123" t="s">
        <v>3820</v>
      </c>
      <c r="F2123" t="s">
        <v>85</v>
      </c>
      <c r="G2123" t="s">
        <v>107</v>
      </c>
      <c r="H2123" t="s">
        <v>3808</v>
      </c>
      <c r="I2123" t="s">
        <v>3809</v>
      </c>
      <c r="J2123" t="s">
        <v>3862</v>
      </c>
      <c r="K2123" t="s">
        <v>1218</v>
      </c>
      <c r="L2123" s="13">
        <v>41830</v>
      </c>
      <c r="M2123">
        <v>9</v>
      </c>
      <c r="N2123" t="s">
        <v>88</v>
      </c>
      <c r="O2123" t="s">
        <v>3906</v>
      </c>
      <c r="P2123" t="s">
        <v>76</v>
      </c>
      <c r="Q2123" t="s">
        <v>76</v>
      </c>
      <c r="R2123" t="s">
        <v>76</v>
      </c>
      <c r="S2123" t="s">
        <v>76</v>
      </c>
      <c r="T2123" t="s">
        <v>76</v>
      </c>
      <c r="U2123">
        <v>1</v>
      </c>
      <c r="V2123" s="13">
        <v>45175</v>
      </c>
      <c r="W2123">
        <v>1</v>
      </c>
      <c r="X2123">
        <v>1</v>
      </c>
      <c r="Y2123" t="s">
        <v>3676</v>
      </c>
      <c r="AC2123">
        <v>5779</v>
      </c>
      <c r="AD2123" t="e" vm="2113">
        <v>#VALUE!</v>
      </c>
    </row>
    <row r="2124" spans="2:30" x14ac:dyDescent="0.25">
      <c r="B2124">
        <v>5780</v>
      </c>
      <c r="C2124" t="s">
        <v>3659</v>
      </c>
      <c r="D2124" t="s">
        <v>3675</v>
      </c>
      <c r="E2124" t="s">
        <v>3820</v>
      </c>
      <c r="F2124" t="s">
        <v>85</v>
      </c>
      <c r="G2124" t="s">
        <v>107</v>
      </c>
      <c r="H2124" t="s">
        <v>3808</v>
      </c>
      <c r="I2124" t="s">
        <v>3809</v>
      </c>
      <c r="J2124" t="s">
        <v>3862</v>
      </c>
      <c r="K2124" t="s">
        <v>1218</v>
      </c>
      <c r="L2124" s="13">
        <v>41830</v>
      </c>
      <c r="M2124">
        <v>9</v>
      </c>
      <c r="N2124" t="s">
        <v>88</v>
      </c>
      <c r="O2124" t="s">
        <v>3906</v>
      </c>
      <c r="P2124" t="s">
        <v>76</v>
      </c>
      <c r="Q2124" t="s">
        <v>76</v>
      </c>
      <c r="R2124" t="s">
        <v>76</v>
      </c>
      <c r="S2124" t="s">
        <v>76</v>
      </c>
      <c r="T2124" t="s">
        <v>76</v>
      </c>
      <c r="U2124">
        <v>1</v>
      </c>
      <c r="V2124" s="13">
        <v>45175</v>
      </c>
      <c r="W2124">
        <v>1</v>
      </c>
      <c r="X2124">
        <v>1</v>
      </c>
      <c r="Y2124" t="s">
        <v>3676</v>
      </c>
      <c r="AC2124">
        <v>5780</v>
      </c>
      <c r="AD2124" t="e" vm="2114">
        <v>#VALUE!</v>
      </c>
    </row>
    <row r="2125" spans="2:30" x14ac:dyDescent="0.25">
      <c r="B2125">
        <v>5781</v>
      </c>
      <c r="C2125" t="s">
        <v>3659</v>
      </c>
      <c r="D2125" t="s">
        <v>3675</v>
      </c>
      <c r="E2125" t="s">
        <v>3820</v>
      </c>
      <c r="F2125" t="s">
        <v>85</v>
      </c>
      <c r="G2125" t="s">
        <v>107</v>
      </c>
      <c r="H2125" t="s">
        <v>3808</v>
      </c>
      <c r="I2125" t="s">
        <v>3809</v>
      </c>
      <c r="J2125" t="s">
        <v>3862</v>
      </c>
      <c r="K2125" t="s">
        <v>1218</v>
      </c>
      <c r="L2125" s="13">
        <v>41830</v>
      </c>
      <c r="M2125">
        <v>9</v>
      </c>
      <c r="N2125" t="s">
        <v>88</v>
      </c>
      <c r="O2125" t="s">
        <v>3906</v>
      </c>
      <c r="P2125" t="s">
        <v>76</v>
      </c>
      <c r="Q2125" t="s">
        <v>76</v>
      </c>
      <c r="R2125" t="s">
        <v>76</v>
      </c>
      <c r="S2125" t="s">
        <v>76</v>
      </c>
      <c r="T2125" t="s">
        <v>76</v>
      </c>
      <c r="U2125">
        <v>1</v>
      </c>
      <c r="V2125" s="13">
        <v>45175</v>
      </c>
      <c r="W2125">
        <v>1</v>
      </c>
      <c r="X2125">
        <v>1</v>
      </c>
      <c r="Y2125" t="s">
        <v>3676</v>
      </c>
      <c r="AC2125">
        <v>5781</v>
      </c>
      <c r="AD2125" t="e" vm="2115">
        <v>#VALUE!</v>
      </c>
    </row>
    <row r="2126" spans="2:30" x14ac:dyDescent="0.25">
      <c r="B2126">
        <v>5782</v>
      </c>
      <c r="C2126" t="s">
        <v>3659</v>
      </c>
      <c r="D2126" t="s">
        <v>3675</v>
      </c>
      <c r="E2126" t="s">
        <v>3820</v>
      </c>
      <c r="F2126" t="s">
        <v>85</v>
      </c>
      <c r="G2126" t="s">
        <v>107</v>
      </c>
      <c r="H2126" t="s">
        <v>3808</v>
      </c>
      <c r="I2126" t="s">
        <v>3809</v>
      </c>
      <c r="J2126" t="s">
        <v>3862</v>
      </c>
      <c r="K2126" t="s">
        <v>1218</v>
      </c>
      <c r="L2126" s="13">
        <v>41837</v>
      </c>
      <c r="M2126">
        <v>9</v>
      </c>
      <c r="N2126" t="s">
        <v>88</v>
      </c>
      <c r="O2126" t="s">
        <v>3906</v>
      </c>
      <c r="P2126" t="s">
        <v>76</v>
      </c>
      <c r="Q2126" t="s">
        <v>76</v>
      </c>
      <c r="R2126" t="s">
        <v>76</v>
      </c>
      <c r="S2126" t="s">
        <v>76</v>
      </c>
      <c r="T2126" t="s">
        <v>76</v>
      </c>
      <c r="U2126">
        <v>1</v>
      </c>
      <c r="V2126" s="13">
        <v>45175</v>
      </c>
      <c r="W2126">
        <v>1</v>
      </c>
      <c r="X2126">
        <v>1</v>
      </c>
      <c r="Y2126" t="s">
        <v>3676</v>
      </c>
      <c r="AC2126">
        <v>5782</v>
      </c>
      <c r="AD2126" t="e" vm="2116">
        <v>#VALUE!</v>
      </c>
    </row>
    <row r="2127" spans="2:30" x14ac:dyDescent="0.25">
      <c r="B2127">
        <v>5783</v>
      </c>
      <c r="C2127" t="s">
        <v>3659</v>
      </c>
      <c r="D2127" t="s">
        <v>3675</v>
      </c>
      <c r="E2127" t="s">
        <v>3820</v>
      </c>
      <c r="F2127" t="s">
        <v>85</v>
      </c>
      <c r="G2127" t="s">
        <v>107</v>
      </c>
      <c r="H2127" t="s">
        <v>3808</v>
      </c>
      <c r="I2127" t="s">
        <v>3809</v>
      </c>
      <c r="J2127" t="s">
        <v>3862</v>
      </c>
      <c r="K2127" t="s">
        <v>1218</v>
      </c>
      <c r="L2127" s="13">
        <v>41837</v>
      </c>
      <c r="M2127">
        <v>9</v>
      </c>
      <c r="N2127" t="s">
        <v>88</v>
      </c>
      <c r="O2127" t="s">
        <v>3906</v>
      </c>
      <c r="P2127" t="s">
        <v>76</v>
      </c>
      <c r="Q2127" t="s">
        <v>76</v>
      </c>
      <c r="R2127" t="s">
        <v>76</v>
      </c>
      <c r="S2127" t="s">
        <v>76</v>
      </c>
      <c r="T2127" t="s">
        <v>76</v>
      </c>
      <c r="U2127">
        <v>1</v>
      </c>
      <c r="V2127" s="13">
        <v>45175</v>
      </c>
      <c r="W2127">
        <v>1</v>
      </c>
      <c r="X2127">
        <v>1</v>
      </c>
      <c r="Y2127" t="s">
        <v>3676</v>
      </c>
      <c r="AC2127">
        <v>5783</v>
      </c>
      <c r="AD2127" t="e" vm="2117">
        <v>#VALUE!</v>
      </c>
    </row>
    <row r="2128" spans="2:30" x14ac:dyDescent="0.25">
      <c r="B2128">
        <v>5784</v>
      </c>
      <c r="C2128" t="s">
        <v>3659</v>
      </c>
      <c r="D2128" t="s">
        <v>3675</v>
      </c>
      <c r="E2128" t="s">
        <v>3820</v>
      </c>
      <c r="F2128" t="s">
        <v>85</v>
      </c>
      <c r="G2128" t="s">
        <v>107</v>
      </c>
      <c r="H2128" t="s">
        <v>3808</v>
      </c>
      <c r="I2128" t="s">
        <v>3809</v>
      </c>
      <c r="J2128" t="s">
        <v>3862</v>
      </c>
      <c r="K2128" t="s">
        <v>1218</v>
      </c>
      <c r="L2128" s="13">
        <v>41837</v>
      </c>
      <c r="M2128">
        <v>9</v>
      </c>
      <c r="N2128" t="s">
        <v>88</v>
      </c>
      <c r="O2128" t="s">
        <v>3906</v>
      </c>
      <c r="P2128" t="s">
        <v>76</v>
      </c>
      <c r="Q2128" t="s">
        <v>76</v>
      </c>
      <c r="R2128" t="s">
        <v>76</v>
      </c>
      <c r="S2128" t="s">
        <v>76</v>
      </c>
      <c r="T2128" t="s">
        <v>76</v>
      </c>
      <c r="U2128">
        <v>1</v>
      </c>
      <c r="V2128" s="13">
        <v>45175</v>
      </c>
      <c r="W2128">
        <v>1</v>
      </c>
      <c r="X2128">
        <v>1</v>
      </c>
      <c r="Y2128" t="s">
        <v>3676</v>
      </c>
      <c r="AC2128">
        <v>5784</v>
      </c>
      <c r="AD2128" t="e" vm="2118">
        <v>#VALUE!</v>
      </c>
    </row>
    <row r="2129" spans="2:30" x14ac:dyDescent="0.25">
      <c r="B2129">
        <v>5785</v>
      </c>
      <c r="C2129" t="s">
        <v>3659</v>
      </c>
      <c r="D2129" t="s">
        <v>3675</v>
      </c>
      <c r="E2129" t="s">
        <v>3820</v>
      </c>
      <c r="F2129" t="s">
        <v>85</v>
      </c>
      <c r="G2129" t="s">
        <v>107</v>
      </c>
      <c r="H2129" t="s">
        <v>3808</v>
      </c>
      <c r="I2129" t="s">
        <v>3809</v>
      </c>
      <c r="J2129" t="s">
        <v>3862</v>
      </c>
      <c r="K2129" t="s">
        <v>1218</v>
      </c>
      <c r="L2129" s="13">
        <v>41864</v>
      </c>
      <c r="M2129">
        <v>9</v>
      </c>
      <c r="N2129" t="s">
        <v>88</v>
      </c>
      <c r="O2129" t="s">
        <v>3906</v>
      </c>
      <c r="P2129" t="s">
        <v>76</v>
      </c>
      <c r="Q2129" t="s">
        <v>76</v>
      </c>
      <c r="R2129" t="s">
        <v>76</v>
      </c>
      <c r="S2129" t="s">
        <v>76</v>
      </c>
      <c r="T2129" t="s">
        <v>76</v>
      </c>
      <c r="U2129">
        <v>1</v>
      </c>
      <c r="V2129" s="13">
        <v>45175</v>
      </c>
      <c r="W2129">
        <v>1</v>
      </c>
      <c r="X2129">
        <v>1</v>
      </c>
      <c r="Y2129" t="s">
        <v>3676</v>
      </c>
      <c r="AC2129">
        <v>5785</v>
      </c>
      <c r="AD2129" t="e" vm="2119">
        <v>#VALUE!</v>
      </c>
    </row>
    <row r="2130" spans="2:30" x14ac:dyDescent="0.25">
      <c r="B2130">
        <v>5786</v>
      </c>
      <c r="C2130" t="s">
        <v>3659</v>
      </c>
      <c r="D2130" t="s">
        <v>3675</v>
      </c>
      <c r="E2130" t="s">
        <v>3820</v>
      </c>
      <c r="F2130" t="s">
        <v>85</v>
      </c>
      <c r="G2130" t="s">
        <v>107</v>
      </c>
      <c r="H2130" t="s">
        <v>3808</v>
      </c>
      <c r="I2130" t="s">
        <v>3809</v>
      </c>
      <c r="J2130" t="s">
        <v>3862</v>
      </c>
      <c r="K2130" t="s">
        <v>1218</v>
      </c>
      <c r="L2130" s="13">
        <v>41864</v>
      </c>
      <c r="M2130">
        <v>9</v>
      </c>
      <c r="N2130" t="s">
        <v>88</v>
      </c>
      <c r="O2130" t="s">
        <v>3906</v>
      </c>
      <c r="P2130" t="s">
        <v>76</v>
      </c>
      <c r="Q2130" t="s">
        <v>76</v>
      </c>
      <c r="R2130" t="s">
        <v>76</v>
      </c>
      <c r="S2130" t="s">
        <v>76</v>
      </c>
      <c r="T2130" t="s">
        <v>76</v>
      </c>
      <c r="U2130">
        <v>1</v>
      </c>
      <c r="V2130" s="13">
        <v>45175</v>
      </c>
      <c r="W2130">
        <v>1</v>
      </c>
      <c r="X2130">
        <v>1</v>
      </c>
      <c r="Y2130" t="s">
        <v>3676</v>
      </c>
      <c r="AC2130">
        <v>5786</v>
      </c>
      <c r="AD2130" t="e" vm="2120">
        <v>#VALUE!</v>
      </c>
    </row>
    <row r="2131" spans="2:30" x14ac:dyDescent="0.25">
      <c r="B2131">
        <v>5787</v>
      </c>
      <c r="C2131" t="s">
        <v>3659</v>
      </c>
      <c r="D2131" t="s">
        <v>3675</v>
      </c>
      <c r="E2131" t="s">
        <v>3820</v>
      </c>
      <c r="F2131" t="s">
        <v>85</v>
      </c>
      <c r="G2131" t="s">
        <v>107</v>
      </c>
      <c r="H2131" t="s">
        <v>3808</v>
      </c>
      <c r="I2131" t="s">
        <v>3809</v>
      </c>
      <c r="J2131" t="s">
        <v>3862</v>
      </c>
      <c r="K2131" t="s">
        <v>1218</v>
      </c>
      <c r="L2131" s="13">
        <v>41884</v>
      </c>
      <c r="M2131">
        <v>9</v>
      </c>
      <c r="N2131" t="s">
        <v>88</v>
      </c>
      <c r="O2131" t="s">
        <v>3906</v>
      </c>
      <c r="P2131" t="s">
        <v>76</v>
      </c>
      <c r="Q2131" t="s">
        <v>76</v>
      </c>
      <c r="R2131" t="s">
        <v>76</v>
      </c>
      <c r="S2131" t="s">
        <v>76</v>
      </c>
      <c r="T2131" t="s">
        <v>76</v>
      </c>
      <c r="U2131">
        <v>1</v>
      </c>
      <c r="V2131" s="13">
        <v>45175</v>
      </c>
      <c r="W2131">
        <v>1</v>
      </c>
      <c r="X2131">
        <v>1</v>
      </c>
      <c r="Y2131" t="s">
        <v>3676</v>
      </c>
      <c r="AC2131">
        <v>5787</v>
      </c>
      <c r="AD2131" t="e" vm="2121">
        <v>#VALUE!</v>
      </c>
    </row>
    <row r="2132" spans="2:30" x14ac:dyDescent="0.25">
      <c r="B2132">
        <v>5788</v>
      </c>
      <c r="C2132" t="s">
        <v>3659</v>
      </c>
      <c r="D2132" t="s">
        <v>3675</v>
      </c>
      <c r="E2132" t="s">
        <v>3820</v>
      </c>
      <c r="F2132" t="s">
        <v>85</v>
      </c>
      <c r="G2132" t="s">
        <v>107</v>
      </c>
      <c r="H2132" t="s">
        <v>3808</v>
      </c>
      <c r="I2132" t="s">
        <v>3809</v>
      </c>
      <c r="J2132" t="s">
        <v>3862</v>
      </c>
      <c r="K2132" t="s">
        <v>1218</v>
      </c>
      <c r="L2132" s="13">
        <v>41886</v>
      </c>
      <c r="M2132">
        <v>9</v>
      </c>
      <c r="N2132" t="s">
        <v>88</v>
      </c>
      <c r="O2132" t="s">
        <v>3906</v>
      </c>
      <c r="P2132" t="s">
        <v>76</v>
      </c>
      <c r="Q2132" t="s">
        <v>76</v>
      </c>
      <c r="R2132" t="s">
        <v>76</v>
      </c>
      <c r="S2132" t="s">
        <v>76</v>
      </c>
      <c r="T2132" t="s">
        <v>76</v>
      </c>
      <c r="U2132">
        <v>1</v>
      </c>
      <c r="V2132" s="13">
        <v>45175</v>
      </c>
      <c r="W2132">
        <v>1</v>
      </c>
      <c r="X2132">
        <v>1</v>
      </c>
      <c r="Y2132" t="s">
        <v>3676</v>
      </c>
      <c r="AC2132">
        <v>5788</v>
      </c>
      <c r="AD2132" t="e" vm="2122">
        <v>#VALUE!</v>
      </c>
    </row>
    <row r="2133" spans="2:30" x14ac:dyDescent="0.25">
      <c r="B2133">
        <v>5790</v>
      </c>
      <c r="C2133" t="s">
        <v>3659</v>
      </c>
      <c r="D2133" t="s">
        <v>3675</v>
      </c>
      <c r="E2133" t="s">
        <v>3820</v>
      </c>
      <c r="F2133" t="s">
        <v>85</v>
      </c>
      <c r="G2133" t="s">
        <v>107</v>
      </c>
      <c r="H2133" t="s">
        <v>3808</v>
      </c>
      <c r="I2133" t="s">
        <v>3821</v>
      </c>
      <c r="J2133" t="s">
        <v>3810</v>
      </c>
      <c r="K2133" t="s">
        <v>1218</v>
      </c>
      <c r="L2133" s="13">
        <v>41964</v>
      </c>
      <c r="M2133">
        <v>9</v>
      </c>
      <c r="N2133" t="s">
        <v>88</v>
      </c>
      <c r="O2133" t="s">
        <v>3907</v>
      </c>
      <c r="P2133" t="s">
        <v>76</v>
      </c>
      <c r="Q2133" t="s">
        <v>76</v>
      </c>
      <c r="R2133" t="s">
        <v>76</v>
      </c>
      <c r="S2133" t="s">
        <v>76</v>
      </c>
      <c r="T2133" t="s">
        <v>76</v>
      </c>
      <c r="U2133">
        <v>1</v>
      </c>
      <c r="V2133" s="13">
        <v>45175</v>
      </c>
      <c r="W2133">
        <v>1</v>
      </c>
      <c r="X2133">
        <v>1</v>
      </c>
      <c r="Y2133" t="s">
        <v>3676</v>
      </c>
      <c r="AC2133">
        <v>5790</v>
      </c>
      <c r="AD2133" t="e" vm="2123">
        <v>#VALUE!</v>
      </c>
    </row>
    <row r="2134" spans="2:30" x14ac:dyDescent="0.25">
      <c r="B2134">
        <v>5791</v>
      </c>
      <c r="C2134" t="s">
        <v>3659</v>
      </c>
      <c r="D2134" t="s">
        <v>3675</v>
      </c>
      <c r="E2134" t="s">
        <v>3820</v>
      </c>
      <c r="F2134" t="s">
        <v>85</v>
      </c>
      <c r="G2134" t="s">
        <v>107</v>
      </c>
      <c r="H2134" t="s">
        <v>3808</v>
      </c>
      <c r="I2134" t="s">
        <v>3821</v>
      </c>
      <c r="J2134" t="s">
        <v>3810</v>
      </c>
      <c r="K2134" t="s">
        <v>1218</v>
      </c>
      <c r="L2134" s="13">
        <v>41928</v>
      </c>
      <c r="M2134">
        <v>9</v>
      </c>
      <c r="N2134" t="s">
        <v>88</v>
      </c>
      <c r="O2134" t="s">
        <v>3907</v>
      </c>
      <c r="P2134" t="s">
        <v>76</v>
      </c>
      <c r="Q2134" t="s">
        <v>76</v>
      </c>
      <c r="R2134" t="s">
        <v>76</v>
      </c>
      <c r="S2134" t="s">
        <v>76</v>
      </c>
      <c r="T2134" t="s">
        <v>76</v>
      </c>
      <c r="U2134">
        <v>1</v>
      </c>
      <c r="V2134" s="13">
        <v>45175</v>
      </c>
      <c r="W2134">
        <v>1</v>
      </c>
      <c r="X2134">
        <v>1</v>
      </c>
      <c r="Y2134" t="s">
        <v>3676</v>
      </c>
      <c r="AC2134">
        <v>5791</v>
      </c>
      <c r="AD2134" t="e" vm="2124">
        <v>#VALUE!</v>
      </c>
    </row>
    <row r="2135" spans="2:30" x14ac:dyDescent="0.25">
      <c r="B2135">
        <v>5792</v>
      </c>
      <c r="C2135" t="s">
        <v>3659</v>
      </c>
      <c r="D2135" t="s">
        <v>3675</v>
      </c>
      <c r="E2135" t="s">
        <v>3820</v>
      </c>
      <c r="F2135" t="s">
        <v>85</v>
      </c>
      <c r="G2135" t="s">
        <v>107</v>
      </c>
      <c r="H2135" t="s">
        <v>3808</v>
      </c>
      <c r="I2135" t="s">
        <v>3821</v>
      </c>
      <c r="J2135" t="s">
        <v>3810</v>
      </c>
      <c r="K2135" t="s">
        <v>1218</v>
      </c>
      <c r="L2135" s="13">
        <v>41918</v>
      </c>
      <c r="M2135">
        <v>9</v>
      </c>
      <c r="N2135" t="s">
        <v>88</v>
      </c>
      <c r="O2135" t="s">
        <v>3907</v>
      </c>
      <c r="P2135" t="s">
        <v>76</v>
      </c>
      <c r="Q2135" t="s">
        <v>76</v>
      </c>
      <c r="R2135" t="s">
        <v>76</v>
      </c>
      <c r="S2135" t="s">
        <v>76</v>
      </c>
      <c r="T2135" t="s">
        <v>76</v>
      </c>
      <c r="U2135">
        <v>1</v>
      </c>
      <c r="V2135" s="13">
        <v>45175</v>
      </c>
      <c r="W2135">
        <v>1</v>
      </c>
      <c r="X2135">
        <v>1</v>
      </c>
      <c r="Y2135" t="s">
        <v>3676</v>
      </c>
      <c r="AC2135">
        <v>5792</v>
      </c>
      <c r="AD2135" t="e" vm="2125">
        <v>#VALUE!</v>
      </c>
    </row>
    <row r="2136" spans="2:30" x14ac:dyDescent="0.25">
      <c r="B2136">
        <v>5793</v>
      </c>
      <c r="C2136" t="s">
        <v>3659</v>
      </c>
      <c r="D2136" t="s">
        <v>3675</v>
      </c>
      <c r="E2136" t="s">
        <v>3820</v>
      </c>
      <c r="F2136" t="s">
        <v>85</v>
      </c>
      <c r="G2136" t="s">
        <v>107</v>
      </c>
      <c r="H2136" t="s">
        <v>3808</v>
      </c>
      <c r="I2136" t="s">
        <v>3821</v>
      </c>
      <c r="J2136" t="s">
        <v>3810</v>
      </c>
      <c r="K2136" t="s">
        <v>1218</v>
      </c>
      <c r="L2136" s="13">
        <v>41921</v>
      </c>
      <c r="M2136">
        <v>9</v>
      </c>
      <c r="N2136" t="s">
        <v>88</v>
      </c>
      <c r="O2136" t="s">
        <v>3907</v>
      </c>
      <c r="P2136" t="s">
        <v>76</v>
      </c>
      <c r="Q2136" t="s">
        <v>76</v>
      </c>
      <c r="R2136" t="s">
        <v>76</v>
      </c>
      <c r="S2136" t="s">
        <v>76</v>
      </c>
      <c r="T2136" t="s">
        <v>76</v>
      </c>
      <c r="U2136">
        <v>1</v>
      </c>
      <c r="V2136" s="13">
        <v>45175</v>
      </c>
      <c r="W2136">
        <v>1</v>
      </c>
      <c r="X2136">
        <v>1</v>
      </c>
      <c r="Y2136" t="s">
        <v>3676</v>
      </c>
      <c r="AC2136">
        <v>5793</v>
      </c>
      <c r="AD2136" t="e" vm="2126">
        <v>#VALUE!</v>
      </c>
    </row>
    <row r="2137" spans="2:30" x14ac:dyDescent="0.25">
      <c r="B2137">
        <v>5794</v>
      </c>
      <c r="C2137" t="s">
        <v>3659</v>
      </c>
      <c r="D2137" t="s">
        <v>3675</v>
      </c>
      <c r="E2137" t="s">
        <v>3820</v>
      </c>
      <c r="F2137" t="s">
        <v>85</v>
      </c>
      <c r="G2137" t="s">
        <v>107</v>
      </c>
      <c r="H2137" t="s">
        <v>3808</v>
      </c>
      <c r="I2137" t="s">
        <v>3821</v>
      </c>
      <c r="J2137" t="s">
        <v>3810</v>
      </c>
      <c r="K2137" t="s">
        <v>1218</v>
      </c>
      <c r="L2137" s="13">
        <v>41928</v>
      </c>
      <c r="M2137">
        <v>9</v>
      </c>
      <c r="N2137" t="s">
        <v>88</v>
      </c>
      <c r="O2137" t="s">
        <v>3907</v>
      </c>
      <c r="P2137" t="s">
        <v>76</v>
      </c>
      <c r="Q2137" t="s">
        <v>76</v>
      </c>
      <c r="R2137" t="s">
        <v>76</v>
      </c>
      <c r="S2137" t="s">
        <v>76</v>
      </c>
      <c r="T2137" t="s">
        <v>76</v>
      </c>
      <c r="U2137">
        <v>1</v>
      </c>
      <c r="V2137" s="13">
        <v>45175</v>
      </c>
      <c r="W2137">
        <v>1</v>
      </c>
      <c r="X2137">
        <v>1</v>
      </c>
      <c r="Y2137" t="s">
        <v>3676</v>
      </c>
      <c r="AC2137">
        <v>5794</v>
      </c>
      <c r="AD2137" t="e" vm="2127">
        <v>#VALUE!</v>
      </c>
    </row>
    <row r="2138" spans="2:30" x14ac:dyDescent="0.25">
      <c r="B2138">
        <v>5795</v>
      </c>
      <c r="C2138" t="s">
        <v>3659</v>
      </c>
      <c r="D2138" t="s">
        <v>3675</v>
      </c>
      <c r="E2138" t="s">
        <v>3820</v>
      </c>
      <c r="F2138" t="s">
        <v>85</v>
      </c>
      <c r="G2138" t="s">
        <v>107</v>
      </c>
      <c r="H2138" t="s">
        <v>3808</v>
      </c>
      <c r="I2138" t="s">
        <v>3821</v>
      </c>
      <c r="J2138" t="s">
        <v>3810</v>
      </c>
      <c r="K2138" t="s">
        <v>1218</v>
      </c>
      <c r="L2138" s="13">
        <v>41921</v>
      </c>
      <c r="M2138">
        <v>9</v>
      </c>
      <c r="N2138" t="s">
        <v>88</v>
      </c>
      <c r="O2138" t="s">
        <v>3907</v>
      </c>
      <c r="P2138" t="s">
        <v>76</v>
      </c>
      <c r="Q2138" t="s">
        <v>76</v>
      </c>
      <c r="R2138" t="s">
        <v>76</v>
      </c>
      <c r="S2138" t="s">
        <v>76</v>
      </c>
      <c r="T2138" t="s">
        <v>76</v>
      </c>
      <c r="U2138">
        <v>1</v>
      </c>
      <c r="V2138" s="13">
        <v>45175</v>
      </c>
      <c r="W2138">
        <v>1</v>
      </c>
      <c r="X2138">
        <v>1</v>
      </c>
      <c r="Y2138" t="s">
        <v>3676</v>
      </c>
      <c r="AC2138">
        <v>5795</v>
      </c>
      <c r="AD2138" t="e" vm="2128">
        <v>#VALUE!</v>
      </c>
    </row>
    <row r="2139" spans="2:30" x14ac:dyDescent="0.25">
      <c r="B2139">
        <v>5796</v>
      </c>
      <c r="C2139" t="s">
        <v>3659</v>
      </c>
      <c r="D2139" t="s">
        <v>3675</v>
      </c>
      <c r="E2139" t="s">
        <v>3820</v>
      </c>
      <c r="F2139" t="s">
        <v>85</v>
      </c>
      <c r="G2139" t="s">
        <v>107</v>
      </c>
      <c r="H2139" t="s">
        <v>3808</v>
      </c>
      <c r="I2139" t="s">
        <v>3821</v>
      </c>
      <c r="J2139" t="s">
        <v>3810</v>
      </c>
      <c r="K2139" t="s">
        <v>1218</v>
      </c>
      <c r="L2139" s="13">
        <v>41921</v>
      </c>
      <c r="M2139">
        <v>9</v>
      </c>
      <c r="N2139" t="s">
        <v>88</v>
      </c>
      <c r="O2139" t="s">
        <v>3907</v>
      </c>
      <c r="P2139" t="s">
        <v>76</v>
      </c>
      <c r="Q2139" t="s">
        <v>76</v>
      </c>
      <c r="R2139" t="s">
        <v>76</v>
      </c>
      <c r="S2139" t="s">
        <v>76</v>
      </c>
      <c r="T2139" t="s">
        <v>76</v>
      </c>
      <c r="U2139">
        <v>1</v>
      </c>
      <c r="V2139" s="13">
        <v>45175</v>
      </c>
      <c r="W2139">
        <v>1</v>
      </c>
      <c r="X2139">
        <v>1</v>
      </c>
      <c r="Y2139" t="s">
        <v>3676</v>
      </c>
      <c r="AC2139">
        <v>5796</v>
      </c>
      <c r="AD2139" t="e" vm="2129">
        <v>#VALUE!</v>
      </c>
    </row>
    <row r="2140" spans="2:30" x14ac:dyDescent="0.25">
      <c r="B2140">
        <v>5797</v>
      </c>
      <c r="C2140" t="s">
        <v>3659</v>
      </c>
      <c r="D2140" t="s">
        <v>3675</v>
      </c>
      <c r="E2140" t="s">
        <v>3820</v>
      </c>
      <c r="F2140" t="s">
        <v>85</v>
      </c>
      <c r="G2140" t="s">
        <v>107</v>
      </c>
      <c r="H2140" t="s">
        <v>3808</v>
      </c>
      <c r="I2140" t="s">
        <v>3821</v>
      </c>
      <c r="J2140" t="s">
        <v>3810</v>
      </c>
      <c r="K2140" t="s">
        <v>1218</v>
      </c>
      <c r="L2140" s="13">
        <v>42103</v>
      </c>
      <c r="M2140">
        <v>8</v>
      </c>
      <c r="N2140" t="s">
        <v>88</v>
      </c>
      <c r="O2140" t="s">
        <v>3907</v>
      </c>
      <c r="P2140" t="s">
        <v>76</v>
      </c>
      <c r="Q2140" t="s">
        <v>76</v>
      </c>
      <c r="R2140" t="s">
        <v>76</v>
      </c>
      <c r="S2140" t="s">
        <v>76</v>
      </c>
      <c r="T2140" t="s">
        <v>76</v>
      </c>
      <c r="U2140">
        <v>1</v>
      </c>
      <c r="V2140" s="13">
        <v>45175</v>
      </c>
      <c r="W2140">
        <v>1</v>
      </c>
      <c r="X2140">
        <v>1</v>
      </c>
      <c r="Y2140" t="s">
        <v>3676</v>
      </c>
      <c r="AC2140">
        <v>5797</v>
      </c>
      <c r="AD2140" t="e" vm="2130">
        <v>#VALUE!</v>
      </c>
    </row>
    <row r="2141" spans="2:30" x14ac:dyDescent="0.25">
      <c r="B2141">
        <v>5798</v>
      </c>
      <c r="C2141" t="s">
        <v>3659</v>
      </c>
      <c r="D2141" t="s">
        <v>3675</v>
      </c>
      <c r="E2141" t="s">
        <v>3820</v>
      </c>
      <c r="F2141" t="s">
        <v>85</v>
      </c>
      <c r="G2141" t="s">
        <v>107</v>
      </c>
      <c r="H2141" t="s">
        <v>3808</v>
      </c>
      <c r="I2141" t="s">
        <v>3821</v>
      </c>
      <c r="J2141" t="s">
        <v>3810</v>
      </c>
      <c r="K2141" t="s">
        <v>1218</v>
      </c>
      <c r="L2141" s="13">
        <v>41935</v>
      </c>
      <c r="M2141">
        <v>9</v>
      </c>
      <c r="N2141" t="s">
        <v>88</v>
      </c>
      <c r="O2141" t="s">
        <v>3907</v>
      </c>
      <c r="P2141" t="s">
        <v>76</v>
      </c>
      <c r="Q2141" t="s">
        <v>76</v>
      </c>
      <c r="R2141" t="s">
        <v>76</v>
      </c>
      <c r="S2141" t="s">
        <v>76</v>
      </c>
      <c r="T2141" t="s">
        <v>76</v>
      </c>
      <c r="U2141">
        <v>1</v>
      </c>
      <c r="V2141" s="13">
        <v>45175</v>
      </c>
      <c r="W2141">
        <v>1</v>
      </c>
      <c r="X2141">
        <v>1</v>
      </c>
      <c r="Y2141" t="s">
        <v>3676</v>
      </c>
      <c r="AC2141">
        <v>5798</v>
      </c>
      <c r="AD2141" t="e" vm="2131">
        <v>#VALUE!</v>
      </c>
    </row>
    <row r="2142" spans="2:30" x14ac:dyDescent="0.25">
      <c r="B2142">
        <v>5799</v>
      </c>
      <c r="C2142" t="s">
        <v>3659</v>
      </c>
      <c r="D2142" t="s">
        <v>3675</v>
      </c>
      <c r="E2142" t="s">
        <v>3820</v>
      </c>
      <c r="F2142" t="s">
        <v>85</v>
      </c>
      <c r="G2142" t="s">
        <v>107</v>
      </c>
      <c r="H2142" t="s">
        <v>3808</v>
      </c>
      <c r="I2142" t="s">
        <v>3821</v>
      </c>
      <c r="J2142" t="s">
        <v>3810</v>
      </c>
      <c r="K2142" t="s">
        <v>1218</v>
      </c>
      <c r="L2142" s="13">
        <v>41935</v>
      </c>
      <c r="M2142">
        <v>9</v>
      </c>
      <c r="N2142" t="s">
        <v>88</v>
      </c>
      <c r="O2142" t="s">
        <v>3907</v>
      </c>
      <c r="P2142" t="s">
        <v>76</v>
      </c>
      <c r="Q2142" t="s">
        <v>76</v>
      </c>
      <c r="R2142" t="s">
        <v>76</v>
      </c>
      <c r="S2142" t="s">
        <v>76</v>
      </c>
      <c r="T2142" t="s">
        <v>76</v>
      </c>
      <c r="U2142">
        <v>1</v>
      </c>
      <c r="V2142" s="13">
        <v>45175</v>
      </c>
      <c r="W2142">
        <v>1</v>
      </c>
      <c r="X2142">
        <v>1</v>
      </c>
      <c r="Y2142" t="s">
        <v>3676</v>
      </c>
      <c r="AC2142">
        <v>5799</v>
      </c>
      <c r="AD2142" t="e" vm="2132">
        <v>#VALUE!</v>
      </c>
    </row>
    <row r="2143" spans="2:30" x14ac:dyDescent="0.25">
      <c r="B2143">
        <v>5800</v>
      </c>
      <c r="C2143" t="s">
        <v>3668</v>
      </c>
      <c r="D2143" t="s">
        <v>3671</v>
      </c>
      <c r="E2143" t="s">
        <v>3818</v>
      </c>
      <c r="F2143" t="s">
        <v>83</v>
      </c>
      <c r="G2143" t="s">
        <v>77</v>
      </c>
      <c r="H2143" t="s">
        <v>3808</v>
      </c>
      <c r="I2143" t="s">
        <v>3821</v>
      </c>
      <c r="J2143" t="s">
        <v>3810</v>
      </c>
      <c r="K2143" t="s">
        <v>1218</v>
      </c>
      <c r="L2143" s="13">
        <v>41935</v>
      </c>
      <c r="M2143">
        <v>9</v>
      </c>
      <c r="N2143" t="s">
        <v>82</v>
      </c>
      <c r="O2143" t="s">
        <v>3907</v>
      </c>
      <c r="P2143" t="s">
        <v>76</v>
      </c>
      <c r="Q2143" t="s">
        <v>76</v>
      </c>
      <c r="R2143" t="s">
        <v>76</v>
      </c>
      <c r="S2143" t="s">
        <v>76</v>
      </c>
      <c r="T2143" t="s">
        <v>76</v>
      </c>
      <c r="U2143">
        <v>1</v>
      </c>
      <c r="V2143" s="13">
        <v>45175</v>
      </c>
      <c r="W2143">
        <v>1</v>
      </c>
      <c r="X2143">
        <v>1</v>
      </c>
      <c r="Y2143" t="s">
        <v>3672</v>
      </c>
      <c r="AC2143">
        <v>5800</v>
      </c>
      <c r="AD2143" t="e" vm="2133">
        <v>#VALUE!</v>
      </c>
    </row>
    <row r="2144" spans="2:30" x14ac:dyDescent="0.25">
      <c r="B2144">
        <v>5801</v>
      </c>
      <c r="C2144" t="s">
        <v>3668</v>
      </c>
      <c r="D2144" t="s">
        <v>3671</v>
      </c>
      <c r="E2144" t="s">
        <v>3818</v>
      </c>
      <c r="F2144" t="s">
        <v>83</v>
      </c>
      <c r="G2144" t="s">
        <v>77</v>
      </c>
      <c r="H2144" t="s">
        <v>3808</v>
      </c>
      <c r="I2144" t="s">
        <v>3821</v>
      </c>
      <c r="J2144" t="s">
        <v>3810</v>
      </c>
      <c r="K2144" t="s">
        <v>1218</v>
      </c>
      <c r="L2144" s="13">
        <v>41918</v>
      </c>
      <c r="M2144">
        <v>9</v>
      </c>
      <c r="N2144" t="s">
        <v>82</v>
      </c>
      <c r="O2144" t="s">
        <v>3907</v>
      </c>
      <c r="P2144" t="s">
        <v>76</v>
      </c>
      <c r="Q2144" t="s">
        <v>76</v>
      </c>
      <c r="R2144" t="s">
        <v>76</v>
      </c>
      <c r="S2144" t="s">
        <v>76</v>
      </c>
      <c r="T2144" t="s">
        <v>76</v>
      </c>
      <c r="U2144">
        <v>1</v>
      </c>
      <c r="V2144" s="13">
        <v>45175</v>
      </c>
      <c r="W2144">
        <v>1</v>
      </c>
      <c r="X2144">
        <v>1</v>
      </c>
      <c r="Y2144" t="s">
        <v>3672</v>
      </c>
      <c r="AC2144">
        <v>5801</v>
      </c>
      <c r="AD2144" t="e" vm="2134">
        <v>#VALUE!</v>
      </c>
    </row>
    <row r="2145" spans="2:30" x14ac:dyDescent="0.25">
      <c r="B2145">
        <v>5802</v>
      </c>
      <c r="C2145" t="s">
        <v>3668</v>
      </c>
      <c r="D2145" t="s">
        <v>3671</v>
      </c>
      <c r="E2145" t="s">
        <v>3818</v>
      </c>
      <c r="F2145" t="s">
        <v>83</v>
      </c>
      <c r="G2145" t="s">
        <v>77</v>
      </c>
      <c r="H2145" t="s">
        <v>3808</v>
      </c>
      <c r="I2145" t="s">
        <v>3821</v>
      </c>
      <c r="J2145" t="s">
        <v>3810</v>
      </c>
      <c r="K2145" t="s">
        <v>1218</v>
      </c>
      <c r="L2145" s="13">
        <v>41946</v>
      </c>
      <c r="M2145">
        <v>9</v>
      </c>
      <c r="N2145" t="s">
        <v>82</v>
      </c>
      <c r="O2145" t="s">
        <v>3907</v>
      </c>
      <c r="P2145" t="s">
        <v>76</v>
      </c>
      <c r="Q2145" t="s">
        <v>76</v>
      </c>
      <c r="R2145" t="s">
        <v>76</v>
      </c>
      <c r="S2145" t="s">
        <v>76</v>
      </c>
      <c r="T2145" t="s">
        <v>76</v>
      </c>
      <c r="U2145">
        <v>1</v>
      </c>
      <c r="V2145" s="13">
        <v>45175</v>
      </c>
      <c r="W2145">
        <v>1</v>
      </c>
      <c r="X2145">
        <v>1</v>
      </c>
      <c r="Y2145" t="s">
        <v>3672</v>
      </c>
      <c r="AC2145">
        <v>5802</v>
      </c>
      <c r="AD2145" t="e" vm="2135">
        <v>#VALUE!</v>
      </c>
    </row>
    <row r="2146" spans="2:30" x14ac:dyDescent="0.25">
      <c r="B2146">
        <v>5803</v>
      </c>
      <c r="C2146" t="s">
        <v>3668</v>
      </c>
      <c r="D2146" t="s">
        <v>3671</v>
      </c>
      <c r="E2146" t="s">
        <v>3818</v>
      </c>
      <c r="F2146" t="s">
        <v>83</v>
      </c>
      <c r="G2146" t="s">
        <v>77</v>
      </c>
      <c r="H2146" t="s">
        <v>3808</v>
      </c>
      <c r="I2146" t="s">
        <v>3821</v>
      </c>
      <c r="J2146" t="s">
        <v>3810</v>
      </c>
      <c r="K2146" t="s">
        <v>1218</v>
      </c>
      <c r="L2146" s="13">
        <v>41922</v>
      </c>
      <c r="M2146">
        <v>9</v>
      </c>
      <c r="N2146" t="s">
        <v>82</v>
      </c>
      <c r="O2146" t="s">
        <v>3907</v>
      </c>
      <c r="P2146" t="s">
        <v>76</v>
      </c>
      <c r="Q2146" t="s">
        <v>76</v>
      </c>
      <c r="R2146" t="s">
        <v>76</v>
      </c>
      <c r="S2146" t="s">
        <v>76</v>
      </c>
      <c r="T2146" t="s">
        <v>76</v>
      </c>
      <c r="U2146">
        <v>1</v>
      </c>
      <c r="V2146" s="13">
        <v>45175</v>
      </c>
      <c r="W2146">
        <v>1</v>
      </c>
      <c r="X2146">
        <v>1</v>
      </c>
      <c r="Y2146" t="s">
        <v>3672</v>
      </c>
      <c r="AC2146">
        <v>5803</v>
      </c>
      <c r="AD2146" t="e" vm="2136">
        <v>#VALUE!</v>
      </c>
    </row>
    <row r="2147" spans="2:30" x14ac:dyDescent="0.25">
      <c r="B2147">
        <v>5804</v>
      </c>
      <c r="C2147" t="s">
        <v>3668</v>
      </c>
      <c r="D2147" t="s">
        <v>3671</v>
      </c>
      <c r="E2147" t="s">
        <v>3818</v>
      </c>
      <c r="F2147" t="s">
        <v>83</v>
      </c>
      <c r="G2147" t="s">
        <v>77</v>
      </c>
      <c r="H2147" t="s">
        <v>3808</v>
      </c>
      <c r="I2147" t="s">
        <v>3821</v>
      </c>
      <c r="J2147" t="s">
        <v>3810</v>
      </c>
      <c r="K2147" t="s">
        <v>1218</v>
      </c>
      <c r="L2147" s="13">
        <v>41935</v>
      </c>
      <c r="M2147">
        <v>9</v>
      </c>
      <c r="N2147" t="s">
        <v>82</v>
      </c>
      <c r="O2147" t="s">
        <v>3907</v>
      </c>
      <c r="P2147" t="s">
        <v>76</v>
      </c>
      <c r="Q2147" t="s">
        <v>76</v>
      </c>
      <c r="R2147" t="s">
        <v>76</v>
      </c>
      <c r="S2147" t="s">
        <v>76</v>
      </c>
      <c r="T2147" t="s">
        <v>76</v>
      </c>
      <c r="U2147">
        <v>1</v>
      </c>
      <c r="V2147" s="13">
        <v>45175</v>
      </c>
      <c r="W2147">
        <v>1</v>
      </c>
      <c r="X2147">
        <v>1</v>
      </c>
      <c r="Y2147" t="s">
        <v>3672</v>
      </c>
      <c r="AC2147">
        <v>5804</v>
      </c>
      <c r="AD2147" t="e" vm="2137">
        <v>#VALUE!</v>
      </c>
    </row>
    <row r="2148" spans="2:30" x14ac:dyDescent="0.25">
      <c r="B2148">
        <v>5805</v>
      </c>
      <c r="C2148" t="s">
        <v>3668</v>
      </c>
      <c r="D2148" t="s">
        <v>3671</v>
      </c>
      <c r="E2148" t="s">
        <v>3818</v>
      </c>
      <c r="F2148" t="s">
        <v>83</v>
      </c>
      <c r="G2148" t="s">
        <v>77</v>
      </c>
      <c r="H2148" t="s">
        <v>3808</v>
      </c>
      <c r="I2148" t="s">
        <v>3821</v>
      </c>
      <c r="J2148" t="s">
        <v>3810</v>
      </c>
      <c r="K2148" t="s">
        <v>1218</v>
      </c>
      <c r="L2148" s="13">
        <v>41946</v>
      </c>
      <c r="M2148">
        <v>9</v>
      </c>
      <c r="N2148" t="s">
        <v>82</v>
      </c>
      <c r="O2148" t="s">
        <v>3907</v>
      </c>
      <c r="P2148" t="s">
        <v>76</v>
      </c>
      <c r="Q2148" t="s">
        <v>76</v>
      </c>
      <c r="R2148" t="s">
        <v>76</v>
      </c>
      <c r="S2148" t="s">
        <v>76</v>
      </c>
      <c r="T2148" t="s">
        <v>76</v>
      </c>
      <c r="U2148">
        <v>1</v>
      </c>
      <c r="V2148" s="13">
        <v>45175</v>
      </c>
      <c r="W2148">
        <v>1</v>
      </c>
      <c r="X2148">
        <v>1</v>
      </c>
      <c r="Y2148" t="s">
        <v>3672</v>
      </c>
      <c r="AC2148">
        <v>5805</v>
      </c>
      <c r="AD2148" t="e" vm="2138">
        <v>#VALUE!</v>
      </c>
    </row>
    <row r="2149" spans="2:30" x14ac:dyDescent="0.25">
      <c r="B2149">
        <v>5806</v>
      </c>
      <c r="C2149" t="s">
        <v>3668</v>
      </c>
      <c r="D2149" t="s">
        <v>3671</v>
      </c>
      <c r="E2149" t="s">
        <v>3818</v>
      </c>
      <c r="F2149" t="s">
        <v>83</v>
      </c>
      <c r="G2149" t="s">
        <v>77</v>
      </c>
      <c r="H2149" t="s">
        <v>3808</v>
      </c>
      <c r="I2149" t="s">
        <v>3821</v>
      </c>
      <c r="J2149" t="s">
        <v>3810</v>
      </c>
      <c r="K2149" t="s">
        <v>1218</v>
      </c>
      <c r="L2149" s="13">
        <v>41898</v>
      </c>
      <c r="M2149">
        <v>9</v>
      </c>
      <c r="N2149" t="s">
        <v>82</v>
      </c>
      <c r="O2149" t="s">
        <v>3907</v>
      </c>
      <c r="P2149" t="s">
        <v>76</v>
      </c>
      <c r="Q2149" t="s">
        <v>76</v>
      </c>
      <c r="R2149" t="s">
        <v>76</v>
      </c>
      <c r="S2149" t="s">
        <v>76</v>
      </c>
      <c r="T2149" t="s">
        <v>76</v>
      </c>
      <c r="U2149">
        <v>1</v>
      </c>
      <c r="V2149" s="13">
        <v>45175</v>
      </c>
      <c r="W2149">
        <v>1</v>
      </c>
      <c r="X2149">
        <v>1</v>
      </c>
      <c r="Y2149" t="s">
        <v>3672</v>
      </c>
      <c r="AC2149">
        <v>5806</v>
      </c>
      <c r="AD2149" t="e" vm="2139">
        <v>#VALUE!</v>
      </c>
    </row>
    <row r="2150" spans="2:30" x14ac:dyDescent="0.25">
      <c r="B2150">
        <v>5807</v>
      </c>
      <c r="C2150" t="s">
        <v>3668</v>
      </c>
      <c r="D2150" t="s">
        <v>3671</v>
      </c>
      <c r="E2150" t="s">
        <v>3818</v>
      </c>
      <c r="F2150" t="s">
        <v>83</v>
      </c>
      <c r="G2150" t="s">
        <v>77</v>
      </c>
      <c r="H2150" t="s">
        <v>3808</v>
      </c>
      <c r="I2150" t="s">
        <v>3821</v>
      </c>
      <c r="J2150" t="s">
        <v>3810</v>
      </c>
      <c r="K2150" t="s">
        <v>1218</v>
      </c>
      <c r="L2150" s="13">
        <v>41898</v>
      </c>
      <c r="M2150">
        <v>9</v>
      </c>
      <c r="N2150" t="s">
        <v>82</v>
      </c>
      <c r="O2150" t="s">
        <v>3907</v>
      </c>
      <c r="P2150" t="s">
        <v>76</v>
      </c>
      <c r="Q2150" t="s">
        <v>76</v>
      </c>
      <c r="R2150" t="s">
        <v>76</v>
      </c>
      <c r="S2150" t="s">
        <v>76</v>
      </c>
      <c r="T2150" t="s">
        <v>76</v>
      </c>
      <c r="U2150">
        <v>1</v>
      </c>
      <c r="V2150" s="13">
        <v>45175</v>
      </c>
      <c r="W2150">
        <v>1</v>
      </c>
      <c r="X2150">
        <v>1</v>
      </c>
      <c r="Y2150" t="s">
        <v>3672</v>
      </c>
      <c r="AC2150">
        <v>5807</v>
      </c>
      <c r="AD2150" t="e" vm="2140">
        <v>#VALUE!</v>
      </c>
    </row>
    <row r="2151" spans="2:30" x14ac:dyDescent="0.25">
      <c r="B2151">
        <v>5808</v>
      </c>
      <c r="C2151" t="s">
        <v>3668</v>
      </c>
      <c r="D2151" t="s">
        <v>3671</v>
      </c>
      <c r="E2151" t="s">
        <v>3818</v>
      </c>
      <c r="F2151" t="s">
        <v>83</v>
      </c>
      <c r="G2151" t="s">
        <v>77</v>
      </c>
      <c r="H2151" t="s">
        <v>3808</v>
      </c>
      <c r="I2151" t="s">
        <v>3821</v>
      </c>
      <c r="J2151" t="s">
        <v>3810</v>
      </c>
      <c r="K2151" t="s">
        <v>1218</v>
      </c>
      <c r="L2151" s="13">
        <v>41898</v>
      </c>
      <c r="M2151">
        <v>9</v>
      </c>
      <c r="N2151" t="s">
        <v>82</v>
      </c>
      <c r="O2151" t="s">
        <v>3907</v>
      </c>
      <c r="P2151" t="s">
        <v>76</v>
      </c>
      <c r="Q2151" t="s">
        <v>76</v>
      </c>
      <c r="R2151" t="s">
        <v>76</v>
      </c>
      <c r="S2151" t="s">
        <v>76</v>
      </c>
      <c r="T2151" t="s">
        <v>76</v>
      </c>
      <c r="U2151">
        <v>1</v>
      </c>
      <c r="V2151" s="13">
        <v>45175</v>
      </c>
      <c r="W2151">
        <v>1</v>
      </c>
      <c r="X2151">
        <v>1</v>
      </c>
      <c r="Y2151" t="s">
        <v>3672</v>
      </c>
      <c r="AC2151">
        <v>5808</v>
      </c>
      <c r="AD2151" t="e" vm="2141">
        <v>#VALUE!</v>
      </c>
    </row>
    <row r="2152" spans="2:30" x14ac:dyDescent="0.25">
      <c r="B2152">
        <v>5809</v>
      </c>
      <c r="C2152" t="s">
        <v>3668</v>
      </c>
      <c r="D2152" t="s">
        <v>3673</v>
      </c>
      <c r="E2152" t="s">
        <v>3819</v>
      </c>
      <c r="F2152" t="s">
        <v>87</v>
      </c>
      <c r="G2152" t="s">
        <v>84</v>
      </c>
      <c r="H2152" t="s">
        <v>3808</v>
      </c>
      <c r="I2152" t="s">
        <v>3821</v>
      </c>
      <c r="J2152" t="s">
        <v>3810</v>
      </c>
      <c r="K2152" t="s">
        <v>1218</v>
      </c>
      <c r="L2152" s="13">
        <v>41907</v>
      </c>
      <c r="M2152">
        <v>9</v>
      </c>
      <c r="N2152" t="s">
        <v>82</v>
      </c>
      <c r="O2152" t="s">
        <v>3907</v>
      </c>
      <c r="P2152" t="s">
        <v>76</v>
      </c>
      <c r="Q2152" t="s">
        <v>76</v>
      </c>
      <c r="R2152" t="s">
        <v>76</v>
      </c>
      <c r="S2152" t="s">
        <v>76</v>
      </c>
      <c r="T2152" t="s">
        <v>76</v>
      </c>
      <c r="U2152">
        <v>1</v>
      </c>
      <c r="V2152" s="13">
        <v>45175</v>
      </c>
      <c r="W2152">
        <v>1</v>
      </c>
      <c r="X2152">
        <v>1</v>
      </c>
      <c r="Y2152" t="s">
        <v>3674</v>
      </c>
      <c r="AC2152">
        <v>5809</v>
      </c>
      <c r="AD2152" t="e" vm="2142">
        <v>#VALUE!</v>
      </c>
    </row>
    <row r="2153" spans="2:30" x14ac:dyDescent="0.25">
      <c r="B2153">
        <v>5810</v>
      </c>
      <c r="C2153" t="s">
        <v>3668</v>
      </c>
      <c r="D2153" t="s">
        <v>3673</v>
      </c>
      <c r="E2153" t="s">
        <v>3819</v>
      </c>
      <c r="F2153" t="s">
        <v>87</v>
      </c>
      <c r="G2153" t="s">
        <v>84</v>
      </c>
      <c r="H2153" t="s">
        <v>3808</v>
      </c>
      <c r="I2153" t="s">
        <v>3821</v>
      </c>
      <c r="J2153" t="s">
        <v>3810</v>
      </c>
      <c r="K2153" t="s">
        <v>1218</v>
      </c>
      <c r="L2153" s="13">
        <v>41907</v>
      </c>
      <c r="M2153">
        <v>9</v>
      </c>
      <c r="N2153" t="s">
        <v>82</v>
      </c>
      <c r="O2153" t="s">
        <v>3907</v>
      </c>
      <c r="P2153" t="s">
        <v>76</v>
      </c>
      <c r="Q2153" t="s">
        <v>76</v>
      </c>
      <c r="R2153" t="s">
        <v>76</v>
      </c>
      <c r="S2153" t="s">
        <v>76</v>
      </c>
      <c r="T2153" t="s">
        <v>76</v>
      </c>
      <c r="U2153">
        <v>1</v>
      </c>
      <c r="V2153" s="13">
        <v>45175</v>
      </c>
      <c r="W2153">
        <v>1</v>
      </c>
      <c r="X2153">
        <v>1</v>
      </c>
      <c r="Y2153" t="s">
        <v>3674</v>
      </c>
      <c r="AC2153">
        <v>5810</v>
      </c>
      <c r="AD2153" t="e" vm="2143">
        <v>#VALUE!</v>
      </c>
    </row>
    <row r="2154" spans="2:30" x14ac:dyDescent="0.25">
      <c r="B2154">
        <v>5811</v>
      </c>
      <c r="C2154" t="s">
        <v>3668</v>
      </c>
      <c r="D2154" t="s">
        <v>3673</v>
      </c>
      <c r="E2154" t="s">
        <v>3819</v>
      </c>
      <c r="F2154" t="s">
        <v>87</v>
      </c>
      <c r="G2154" t="s">
        <v>84</v>
      </c>
      <c r="H2154" t="s">
        <v>3808</v>
      </c>
      <c r="I2154" t="s">
        <v>3821</v>
      </c>
      <c r="J2154" t="s">
        <v>3810</v>
      </c>
      <c r="K2154" t="s">
        <v>1218</v>
      </c>
      <c r="L2154" s="13">
        <v>41907</v>
      </c>
      <c r="M2154">
        <v>9</v>
      </c>
      <c r="N2154" t="s">
        <v>82</v>
      </c>
      <c r="O2154" t="s">
        <v>3907</v>
      </c>
      <c r="P2154" t="s">
        <v>76</v>
      </c>
      <c r="Q2154" t="s">
        <v>76</v>
      </c>
      <c r="R2154" t="s">
        <v>76</v>
      </c>
      <c r="S2154" t="s">
        <v>76</v>
      </c>
      <c r="T2154" t="s">
        <v>76</v>
      </c>
      <c r="U2154">
        <v>1</v>
      </c>
      <c r="V2154" s="13">
        <v>45175</v>
      </c>
      <c r="W2154">
        <v>1</v>
      </c>
      <c r="X2154">
        <v>1</v>
      </c>
      <c r="Y2154" t="s">
        <v>3674</v>
      </c>
      <c r="AC2154">
        <v>5811</v>
      </c>
      <c r="AD2154" t="e" vm="2144">
        <v>#VALUE!</v>
      </c>
    </row>
    <row r="2155" spans="2:30" x14ac:dyDescent="0.25">
      <c r="B2155">
        <v>5812</v>
      </c>
      <c r="C2155" t="s">
        <v>3668</v>
      </c>
      <c r="D2155" t="s">
        <v>3673</v>
      </c>
      <c r="E2155" t="s">
        <v>3819</v>
      </c>
      <c r="F2155" t="s">
        <v>87</v>
      </c>
      <c r="G2155" t="s">
        <v>84</v>
      </c>
      <c r="H2155" t="s">
        <v>3808</v>
      </c>
      <c r="I2155" t="s">
        <v>3821</v>
      </c>
      <c r="J2155" t="s">
        <v>3810</v>
      </c>
      <c r="K2155" t="s">
        <v>1218</v>
      </c>
      <c r="L2155" s="13">
        <v>41907</v>
      </c>
      <c r="M2155">
        <v>9</v>
      </c>
      <c r="N2155" t="s">
        <v>82</v>
      </c>
      <c r="O2155" t="s">
        <v>3907</v>
      </c>
      <c r="P2155" t="s">
        <v>76</v>
      </c>
      <c r="Q2155" t="s">
        <v>76</v>
      </c>
      <c r="R2155" t="s">
        <v>76</v>
      </c>
      <c r="S2155" t="s">
        <v>76</v>
      </c>
      <c r="T2155" t="s">
        <v>76</v>
      </c>
      <c r="U2155">
        <v>1</v>
      </c>
      <c r="V2155" s="13">
        <v>45175</v>
      </c>
      <c r="W2155">
        <v>1</v>
      </c>
      <c r="X2155">
        <v>1</v>
      </c>
      <c r="Y2155" t="s">
        <v>3674</v>
      </c>
      <c r="AC2155">
        <v>5812</v>
      </c>
      <c r="AD2155" t="e" vm="2145">
        <v>#VALUE!</v>
      </c>
    </row>
    <row r="2156" spans="2:30" x14ac:dyDescent="0.25">
      <c r="B2156">
        <v>5813</v>
      </c>
      <c r="C2156" t="s">
        <v>3668</v>
      </c>
      <c r="D2156" t="s">
        <v>3673</v>
      </c>
      <c r="E2156" t="s">
        <v>3819</v>
      </c>
      <c r="F2156" t="s">
        <v>87</v>
      </c>
      <c r="G2156" t="s">
        <v>84</v>
      </c>
      <c r="H2156" t="s">
        <v>3808</v>
      </c>
      <c r="I2156" t="s">
        <v>3821</v>
      </c>
      <c r="J2156" t="s">
        <v>3810</v>
      </c>
      <c r="K2156" t="s">
        <v>1218</v>
      </c>
      <c r="L2156" s="13">
        <v>41918</v>
      </c>
      <c r="M2156">
        <v>9</v>
      </c>
      <c r="N2156" t="s">
        <v>82</v>
      </c>
      <c r="O2156" t="s">
        <v>3907</v>
      </c>
      <c r="P2156" t="s">
        <v>76</v>
      </c>
      <c r="Q2156" t="s">
        <v>76</v>
      </c>
      <c r="R2156" t="s">
        <v>76</v>
      </c>
      <c r="S2156" t="s">
        <v>76</v>
      </c>
      <c r="T2156" t="s">
        <v>76</v>
      </c>
      <c r="U2156">
        <v>1</v>
      </c>
      <c r="V2156" s="13">
        <v>45175</v>
      </c>
      <c r="W2156">
        <v>1</v>
      </c>
      <c r="X2156">
        <v>1</v>
      </c>
      <c r="Y2156" t="s">
        <v>3674</v>
      </c>
      <c r="AC2156">
        <v>5813</v>
      </c>
      <c r="AD2156" t="e" vm="2146">
        <v>#VALUE!</v>
      </c>
    </row>
    <row r="2157" spans="2:30" x14ac:dyDescent="0.25">
      <c r="B2157">
        <v>5814</v>
      </c>
      <c r="C2157" t="s">
        <v>3668</v>
      </c>
      <c r="D2157" t="s">
        <v>3673</v>
      </c>
      <c r="E2157" t="s">
        <v>3819</v>
      </c>
      <c r="F2157" t="s">
        <v>87</v>
      </c>
      <c r="G2157" t="s">
        <v>84</v>
      </c>
      <c r="H2157" t="s">
        <v>3808</v>
      </c>
      <c r="I2157" t="s">
        <v>3821</v>
      </c>
      <c r="J2157" t="s">
        <v>3810</v>
      </c>
      <c r="K2157" t="s">
        <v>1218</v>
      </c>
      <c r="L2157" s="13">
        <v>41907</v>
      </c>
      <c r="M2157">
        <v>9</v>
      </c>
      <c r="N2157" t="s">
        <v>82</v>
      </c>
      <c r="O2157" t="s">
        <v>3907</v>
      </c>
      <c r="P2157" t="s">
        <v>76</v>
      </c>
      <c r="Q2157" t="s">
        <v>76</v>
      </c>
      <c r="R2157" t="s">
        <v>76</v>
      </c>
      <c r="S2157" t="s">
        <v>76</v>
      </c>
      <c r="T2157" t="s">
        <v>76</v>
      </c>
      <c r="U2157">
        <v>1</v>
      </c>
      <c r="V2157" s="13">
        <v>45175</v>
      </c>
      <c r="W2157">
        <v>1</v>
      </c>
      <c r="X2157">
        <v>1</v>
      </c>
      <c r="Y2157" t="s">
        <v>3674</v>
      </c>
      <c r="AC2157">
        <v>5814</v>
      </c>
      <c r="AD2157" t="e" vm="2147">
        <v>#VALUE!</v>
      </c>
    </row>
    <row r="2158" spans="2:30" x14ac:dyDescent="0.25">
      <c r="B2158">
        <v>5815</v>
      </c>
      <c r="C2158" t="s">
        <v>3668</v>
      </c>
      <c r="D2158" t="s">
        <v>3673</v>
      </c>
      <c r="E2158" t="s">
        <v>3819</v>
      </c>
      <c r="F2158" t="s">
        <v>87</v>
      </c>
      <c r="G2158" t="s">
        <v>84</v>
      </c>
      <c r="H2158" t="s">
        <v>3808</v>
      </c>
      <c r="I2158" t="s">
        <v>3821</v>
      </c>
      <c r="J2158" t="s">
        <v>3810</v>
      </c>
      <c r="K2158" t="s">
        <v>1218</v>
      </c>
      <c r="L2158" s="13">
        <v>41929</v>
      </c>
      <c r="M2158">
        <v>9</v>
      </c>
      <c r="N2158" t="s">
        <v>82</v>
      </c>
      <c r="O2158" t="s">
        <v>3907</v>
      </c>
      <c r="P2158" t="s">
        <v>76</v>
      </c>
      <c r="Q2158" t="s">
        <v>76</v>
      </c>
      <c r="R2158" t="s">
        <v>76</v>
      </c>
      <c r="S2158" t="s">
        <v>76</v>
      </c>
      <c r="T2158" t="s">
        <v>76</v>
      </c>
      <c r="U2158">
        <v>1</v>
      </c>
      <c r="V2158" s="13">
        <v>45175</v>
      </c>
      <c r="W2158">
        <v>1</v>
      </c>
      <c r="X2158">
        <v>1</v>
      </c>
      <c r="Y2158" t="s">
        <v>3674</v>
      </c>
      <c r="AC2158">
        <v>5815</v>
      </c>
      <c r="AD2158" t="e" vm="2148">
        <v>#VALUE!</v>
      </c>
    </row>
    <row r="2159" spans="2:30" x14ac:dyDescent="0.25">
      <c r="B2159">
        <v>5816</v>
      </c>
      <c r="C2159" t="s">
        <v>3668</v>
      </c>
      <c r="D2159" t="s">
        <v>3673</v>
      </c>
      <c r="E2159" t="s">
        <v>3819</v>
      </c>
      <c r="F2159" t="s">
        <v>87</v>
      </c>
      <c r="G2159" t="s">
        <v>84</v>
      </c>
      <c r="H2159" t="s">
        <v>3808</v>
      </c>
      <c r="I2159" t="s">
        <v>3821</v>
      </c>
      <c r="J2159" t="s">
        <v>3810</v>
      </c>
      <c r="K2159" t="s">
        <v>1218</v>
      </c>
      <c r="L2159" s="13">
        <v>41918</v>
      </c>
      <c r="M2159">
        <v>9</v>
      </c>
      <c r="N2159" t="s">
        <v>82</v>
      </c>
      <c r="O2159" t="s">
        <v>3907</v>
      </c>
      <c r="P2159" t="s">
        <v>76</v>
      </c>
      <c r="Q2159" t="s">
        <v>76</v>
      </c>
      <c r="R2159" t="s">
        <v>76</v>
      </c>
      <c r="S2159" t="s">
        <v>76</v>
      </c>
      <c r="T2159" t="s">
        <v>76</v>
      </c>
      <c r="U2159">
        <v>1</v>
      </c>
      <c r="V2159" s="13">
        <v>45175</v>
      </c>
      <c r="W2159">
        <v>1</v>
      </c>
      <c r="X2159">
        <v>1</v>
      </c>
      <c r="Y2159" t="s">
        <v>3674</v>
      </c>
      <c r="AC2159">
        <v>5816</v>
      </c>
      <c r="AD2159" t="e" vm="2149">
        <v>#VALUE!</v>
      </c>
    </row>
    <row r="2160" spans="2:30" x14ac:dyDescent="0.25">
      <c r="B2160">
        <v>5817</v>
      </c>
      <c r="C2160" t="s">
        <v>3646</v>
      </c>
      <c r="D2160" t="s">
        <v>3647</v>
      </c>
      <c r="E2160" t="s">
        <v>3807</v>
      </c>
      <c r="F2160" t="s">
        <v>105</v>
      </c>
      <c r="G2160" t="s">
        <v>108</v>
      </c>
      <c r="H2160" t="s">
        <v>3808</v>
      </c>
      <c r="I2160" t="s">
        <v>3839</v>
      </c>
      <c r="J2160" t="s">
        <v>3898</v>
      </c>
      <c r="K2160" t="s">
        <v>1218</v>
      </c>
      <c r="L2160" s="13">
        <v>41731</v>
      </c>
      <c r="M2160">
        <v>9</v>
      </c>
      <c r="N2160" t="s">
        <v>90</v>
      </c>
      <c r="O2160" t="s">
        <v>3908</v>
      </c>
      <c r="P2160" t="s">
        <v>76</v>
      </c>
      <c r="Q2160" t="s">
        <v>76</v>
      </c>
      <c r="R2160" t="s">
        <v>95</v>
      </c>
      <c r="S2160" t="s">
        <v>76</v>
      </c>
      <c r="T2160" t="s">
        <v>76</v>
      </c>
      <c r="U2160">
        <v>1</v>
      </c>
      <c r="V2160" s="13">
        <v>45175</v>
      </c>
      <c r="W2160">
        <v>1</v>
      </c>
      <c r="X2160">
        <v>1</v>
      </c>
      <c r="Y2160" t="s">
        <v>3648</v>
      </c>
      <c r="AC2160">
        <v>5817</v>
      </c>
      <c r="AD2160" t="e" vm="2150">
        <v>#VALUE!</v>
      </c>
    </row>
    <row r="2161" spans="2:30" x14ac:dyDescent="0.25">
      <c r="B2161">
        <v>5818</v>
      </c>
      <c r="C2161" t="s">
        <v>3646</v>
      </c>
      <c r="D2161" t="s">
        <v>3647</v>
      </c>
      <c r="E2161" t="s">
        <v>3807</v>
      </c>
      <c r="F2161" t="s">
        <v>105</v>
      </c>
      <c r="G2161" t="s">
        <v>108</v>
      </c>
      <c r="H2161" t="s">
        <v>3808</v>
      </c>
      <c r="I2161" t="s">
        <v>3839</v>
      </c>
      <c r="J2161" t="s">
        <v>3898</v>
      </c>
      <c r="K2161" t="s">
        <v>1218</v>
      </c>
      <c r="L2161" s="13">
        <v>41731</v>
      </c>
      <c r="M2161">
        <v>9</v>
      </c>
      <c r="N2161" t="s">
        <v>90</v>
      </c>
      <c r="O2161" t="s">
        <v>3908</v>
      </c>
      <c r="P2161" t="s">
        <v>76</v>
      </c>
      <c r="Q2161" t="s">
        <v>76</v>
      </c>
      <c r="R2161" t="s">
        <v>95</v>
      </c>
      <c r="S2161" t="s">
        <v>76</v>
      </c>
      <c r="T2161" t="s">
        <v>76</v>
      </c>
      <c r="U2161">
        <v>1</v>
      </c>
      <c r="V2161" s="13">
        <v>45175</v>
      </c>
      <c r="W2161">
        <v>1</v>
      </c>
      <c r="X2161">
        <v>1</v>
      </c>
      <c r="Y2161" t="s">
        <v>3648</v>
      </c>
      <c r="AC2161">
        <v>5818</v>
      </c>
      <c r="AD2161" t="e" vm="2151">
        <v>#VALUE!</v>
      </c>
    </row>
    <row r="2162" spans="2:30" x14ac:dyDescent="0.25">
      <c r="B2162">
        <v>5819</v>
      </c>
      <c r="C2162" t="s">
        <v>3646</v>
      </c>
      <c r="D2162" t="s">
        <v>3711</v>
      </c>
      <c r="E2162" t="s">
        <v>3849</v>
      </c>
      <c r="F2162" t="s">
        <v>83</v>
      </c>
      <c r="G2162" t="s">
        <v>103</v>
      </c>
      <c r="H2162" t="s">
        <v>3808</v>
      </c>
      <c r="I2162" t="s">
        <v>3839</v>
      </c>
      <c r="J2162" t="s">
        <v>3898</v>
      </c>
      <c r="K2162" t="s">
        <v>1218</v>
      </c>
      <c r="L2162" s="13">
        <v>41743</v>
      </c>
      <c r="M2162">
        <v>9</v>
      </c>
      <c r="N2162" t="s">
        <v>90</v>
      </c>
      <c r="O2162" t="s">
        <v>3908</v>
      </c>
      <c r="P2162" t="s">
        <v>76</v>
      </c>
      <c r="Q2162" t="s">
        <v>76</v>
      </c>
      <c r="R2162" t="s">
        <v>95</v>
      </c>
      <c r="S2162" t="s">
        <v>76</v>
      </c>
      <c r="T2162" t="s">
        <v>76</v>
      </c>
      <c r="U2162">
        <v>1</v>
      </c>
      <c r="V2162" s="13">
        <v>45175</v>
      </c>
      <c r="W2162">
        <v>1</v>
      </c>
      <c r="X2162">
        <v>1</v>
      </c>
      <c r="Y2162" t="s">
        <v>3712</v>
      </c>
      <c r="AC2162">
        <v>5819</v>
      </c>
      <c r="AD2162" t="e" vm="2152">
        <v>#VALUE!</v>
      </c>
    </row>
    <row r="2163" spans="2:30" x14ac:dyDescent="0.25">
      <c r="B2163">
        <v>5820</v>
      </c>
      <c r="C2163" t="s">
        <v>3646</v>
      </c>
      <c r="D2163" t="s">
        <v>3647</v>
      </c>
      <c r="E2163" t="s">
        <v>3807</v>
      </c>
      <c r="F2163" t="s">
        <v>105</v>
      </c>
      <c r="G2163" t="s">
        <v>108</v>
      </c>
      <c r="H2163" t="s">
        <v>3808</v>
      </c>
      <c r="I2163" t="s">
        <v>3839</v>
      </c>
      <c r="J2163" t="s">
        <v>3898</v>
      </c>
      <c r="K2163" t="s">
        <v>1218</v>
      </c>
      <c r="L2163" s="13">
        <v>41739</v>
      </c>
      <c r="M2163">
        <v>9</v>
      </c>
      <c r="N2163" t="s">
        <v>90</v>
      </c>
      <c r="O2163" t="s">
        <v>3908</v>
      </c>
      <c r="P2163" t="s">
        <v>76</v>
      </c>
      <c r="Q2163" t="s">
        <v>76</v>
      </c>
      <c r="R2163" t="s">
        <v>95</v>
      </c>
      <c r="S2163" t="s">
        <v>76</v>
      </c>
      <c r="T2163" t="s">
        <v>76</v>
      </c>
      <c r="U2163">
        <v>1</v>
      </c>
      <c r="V2163" s="13">
        <v>45175</v>
      </c>
      <c r="W2163">
        <v>1</v>
      </c>
      <c r="X2163">
        <v>1</v>
      </c>
      <c r="Y2163" t="s">
        <v>3648</v>
      </c>
      <c r="AC2163">
        <v>5820</v>
      </c>
      <c r="AD2163" t="e" vm="2153">
        <v>#VALUE!</v>
      </c>
    </row>
    <row r="2164" spans="2:30" x14ac:dyDescent="0.25">
      <c r="B2164">
        <v>5821</v>
      </c>
      <c r="C2164" t="s">
        <v>3668</v>
      </c>
      <c r="D2164" t="s">
        <v>3725</v>
      </c>
      <c r="E2164" t="s">
        <v>3866</v>
      </c>
      <c r="F2164" t="s">
        <v>105</v>
      </c>
      <c r="G2164" t="s">
        <v>104</v>
      </c>
      <c r="H2164" t="s">
        <v>3808</v>
      </c>
      <c r="I2164" t="s">
        <v>3839</v>
      </c>
      <c r="J2164" t="s">
        <v>3898</v>
      </c>
      <c r="K2164" t="s">
        <v>1218</v>
      </c>
      <c r="L2164" s="13">
        <v>41739</v>
      </c>
      <c r="M2164">
        <v>9</v>
      </c>
      <c r="N2164" t="s">
        <v>82</v>
      </c>
      <c r="O2164" t="s">
        <v>3908</v>
      </c>
      <c r="P2164" t="s">
        <v>76</v>
      </c>
      <c r="Q2164" t="s">
        <v>76</v>
      </c>
      <c r="R2164" t="s">
        <v>95</v>
      </c>
      <c r="S2164" t="s">
        <v>76</v>
      </c>
      <c r="T2164" t="s">
        <v>76</v>
      </c>
      <c r="U2164">
        <v>1</v>
      </c>
      <c r="V2164" s="13">
        <v>45175</v>
      </c>
      <c r="W2164">
        <v>1</v>
      </c>
      <c r="X2164">
        <v>1</v>
      </c>
      <c r="Y2164" t="s">
        <v>3726</v>
      </c>
      <c r="AC2164">
        <v>5821</v>
      </c>
      <c r="AD2164" t="e" vm="2154">
        <v>#VALUE!</v>
      </c>
    </row>
    <row r="2165" spans="2:30" x14ac:dyDescent="0.25">
      <c r="B2165">
        <v>5822</v>
      </c>
      <c r="C2165" t="s">
        <v>3668</v>
      </c>
      <c r="D2165" t="s">
        <v>3725</v>
      </c>
      <c r="E2165" t="s">
        <v>3866</v>
      </c>
      <c r="F2165" t="s">
        <v>105</v>
      </c>
      <c r="G2165" t="s">
        <v>104</v>
      </c>
      <c r="H2165" t="s">
        <v>3808</v>
      </c>
      <c r="I2165" t="s">
        <v>3839</v>
      </c>
      <c r="J2165" t="s">
        <v>3898</v>
      </c>
      <c r="K2165" t="s">
        <v>1218</v>
      </c>
      <c r="L2165" s="13">
        <v>41751</v>
      </c>
      <c r="M2165">
        <v>9</v>
      </c>
      <c r="N2165" t="s">
        <v>82</v>
      </c>
      <c r="O2165" t="s">
        <v>3908</v>
      </c>
      <c r="P2165" t="s">
        <v>76</v>
      </c>
      <c r="Q2165" t="s">
        <v>76</v>
      </c>
      <c r="R2165" t="s">
        <v>95</v>
      </c>
      <c r="S2165" t="s">
        <v>76</v>
      </c>
      <c r="T2165" t="s">
        <v>76</v>
      </c>
      <c r="U2165">
        <v>1</v>
      </c>
      <c r="V2165" s="13">
        <v>45175</v>
      </c>
      <c r="W2165">
        <v>1</v>
      </c>
      <c r="X2165">
        <v>1</v>
      </c>
      <c r="Y2165" t="s">
        <v>3726</v>
      </c>
      <c r="AC2165">
        <v>5822</v>
      </c>
      <c r="AD2165" t="e" vm="2155">
        <v>#VALUE!</v>
      </c>
    </row>
    <row r="2166" spans="2:30" x14ac:dyDescent="0.25">
      <c r="B2166">
        <v>5823</v>
      </c>
      <c r="C2166" t="s">
        <v>3646</v>
      </c>
      <c r="D2166" t="s">
        <v>3711</v>
      </c>
      <c r="E2166" t="s">
        <v>3849</v>
      </c>
      <c r="F2166" t="s">
        <v>83</v>
      </c>
      <c r="G2166" t="s">
        <v>103</v>
      </c>
      <c r="H2166" t="s">
        <v>3808</v>
      </c>
      <c r="I2166" t="s">
        <v>3839</v>
      </c>
      <c r="J2166" t="s">
        <v>3898</v>
      </c>
      <c r="K2166" t="s">
        <v>1218</v>
      </c>
      <c r="L2166" s="13">
        <v>41751</v>
      </c>
      <c r="M2166">
        <v>9</v>
      </c>
      <c r="N2166" t="s">
        <v>90</v>
      </c>
      <c r="O2166" t="s">
        <v>3908</v>
      </c>
      <c r="P2166" t="s">
        <v>76</v>
      </c>
      <c r="Q2166" t="s">
        <v>76</v>
      </c>
      <c r="R2166" t="s">
        <v>95</v>
      </c>
      <c r="S2166" t="s">
        <v>76</v>
      </c>
      <c r="T2166" t="s">
        <v>76</v>
      </c>
      <c r="U2166">
        <v>1</v>
      </c>
      <c r="V2166" s="13">
        <v>45175</v>
      </c>
      <c r="W2166">
        <v>1</v>
      </c>
      <c r="X2166">
        <v>1</v>
      </c>
      <c r="Y2166" t="s">
        <v>3712</v>
      </c>
      <c r="AC2166">
        <v>5823</v>
      </c>
      <c r="AD2166" t="e" vm="2156">
        <v>#VALUE!</v>
      </c>
    </row>
    <row r="2167" spans="2:30" x14ac:dyDescent="0.25">
      <c r="B2167">
        <v>5824</v>
      </c>
      <c r="C2167" t="s">
        <v>3662</v>
      </c>
      <c r="D2167" t="s">
        <v>3737</v>
      </c>
      <c r="E2167" t="s">
        <v>3876</v>
      </c>
      <c r="F2167" t="s">
        <v>89</v>
      </c>
      <c r="G2167" t="s">
        <v>100</v>
      </c>
      <c r="H2167" t="s">
        <v>3808</v>
      </c>
      <c r="I2167" t="s">
        <v>3839</v>
      </c>
      <c r="J2167" t="s">
        <v>3898</v>
      </c>
      <c r="K2167" t="s">
        <v>1218</v>
      </c>
      <c r="L2167" s="13">
        <v>41757</v>
      </c>
      <c r="M2167">
        <v>9</v>
      </c>
      <c r="N2167" t="s">
        <v>79</v>
      </c>
      <c r="O2167" t="s">
        <v>3908</v>
      </c>
      <c r="P2167" t="s">
        <v>76</v>
      </c>
      <c r="Q2167" t="s">
        <v>76</v>
      </c>
      <c r="R2167" t="s">
        <v>95</v>
      </c>
      <c r="S2167" t="s">
        <v>76</v>
      </c>
      <c r="T2167" t="s">
        <v>76</v>
      </c>
      <c r="U2167">
        <v>1</v>
      </c>
      <c r="V2167" s="13">
        <v>45175</v>
      </c>
      <c r="W2167">
        <v>1</v>
      </c>
      <c r="X2167">
        <v>1</v>
      </c>
      <c r="Y2167" t="s">
        <v>3738</v>
      </c>
      <c r="AC2167">
        <v>5824</v>
      </c>
      <c r="AD2167" t="e" vm="2157">
        <v>#VALUE!</v>
      </c>
    </row>
    <row r="2168" spans="2:30" x14ac:dyDescent="0.25">
      <c r="B2168">
        <v>5825</v>
      </c>
      <c r="C2168" t="s">
        <v>3668</v>
      </c>
      <c r="D2168" t="s">
        <v>3725</v>
      </c>
      <c r="E2168" t="s">
        <v>3866</v>
      </c>
      <c r="F2168" t="s">
        <v>105</v>
      </c>
      <c r="G2168" t="s">
        <v>104</v>
      </c>
      <c r="H2168" t="s">
        <v>3808</v>
      </c>
      <c r="I2168" t="s">
        <v>3839</v>
      </c>
      <c r="J2168" t="s">
        <v>3898</v>
      </c>
      <c r="K2168" t="s">
        <v>1218</v>
      </c>
      <c r="L2168" s="13">
        <v>41757</v>
      </c>
      <c r="M2168">
        <v>9</v>
      </c>
      <c r="N2168" t="s">
        <v>82</v>
      </c>
      <c r="O2168" t="s">
        <v>3908</v>
      </c>
      <c r="P2168" t="s">
        <v>76</v>
      </c>
      <c r="Q2168" t="s">
        <v>76</v>
      </c>
      <c r="R2168" t="s">
        <v>95</v>
      </c>
      <c r="S2168" t="s">
        <v>76</v>
      </c>
      <c r="T2168" t="s">
        <v>76</v>
      </c>
      <c r="U2168">
        <v>1</v>
      </c>
      <c r="V2168" s="13">
        <v>45175</v>
      </c>
      <c r="W2168">
        <v>1</v>
      </c>
      <c r="X2168">
        <v>1</v>
      </c>
      <c r="Y2168" t="s">
        <v>3726</v>
      </c>
      <c r="AC2168">
        <v>5825</v>
      </c>
      <c r="AD2168" t="e" vm="2158">
        <v>#VALUE!</v>
      </c>
    </row>
    <row r="2169" spans="2:30" x14ac:dyDescent="0.25">
      <c r="B2169">
        <v>5826</v>
      </c>
      <c r="C2169" t="s">
        <v>3662</v>
      </c>
      <c r="D2169" t="s">
        <v>3737</v>
      </c>
      <c r="E2169" t="s">
        <v>3876</v>
      </c>
      <c r="F2169" t="s">
        <v>89</v>
      </c>
      <c r="G2169" t="s">
        <v>100</v>
      </c>
      <c r="H2169" t="s">
        <v>3808</v>
      </c>
      <c r="I2169" t="s">
        <v>3839</v>
      </c>
      <c r="J2169" t="s">
        <v>3898</v>
      </c>
      <c r="K2169" t="s">
        <v>1218</v>
      </c>
      <c r="L2169" s="13">
        <v>41785</v>
      </c>
      <c r="M2169">
        <v>9</v>
      </c>
      <c r="N2169" t="s">
        <v>79</v>
      </c>
      <c r="O2169" t="s">
        <v>3908</v>
      </c>
      <c r="P2169" t="s">
        <v>76</v>
      </c>
      <c r="Q2169" t="s">
        <v>76</v>
      </c>
      <c r="R2169" t="s">
        <v>95</v>
      </c>
      <c r="S2169" t="s">
        <v>76</v>
      </c>
      <c r="T2169" t="s">
        <v>76</v>
      </c>
      <c r="U2169">
        <v>1</v>
      </c>
      <c r="V2169" s="13">
        <v>45175</v>
      </c>
      <c r="W2169">
        <v>1</v>
      </c>
      <c r="X2169">
        <v>1</v>
      </c>
      <c r="Y2169" t="s">
        <v>3738</v>
      </c>
      <c r="AC2169">
        <v>5826</v>
      </c>
      <c r="AD2169" t="e" vm="2159">
        <v>#VALUE!</v>
      </c>
    </row>
    <row r="2170" spans="2:30" x14ac:dyDescent="0.25">
      <c r="B2170">
        <v>5827</v>
      </c>
      <c r="C2170" t="s">
        <v>3662</v>
      </c>
      <c r="D2170" t="s">
        <v>3737</v>
      </c>
      <c r="E2170" t="s">
        <v>3876</v>
      </c>
      <c r="F2170" t="s">
        <v>89</v>
      </c>
      <c r="G2170" t="s">
        <v>100</v>
      </c>
      <c r="H2170" t="s">
        <v>3808</v>
      </c>
      <c r="I2170" t="s">
        <v>3839</v>
      </c>
      <c r="J2170" t="s">
        <v>3898</v>
      </c>
      <c r="K2170" t="s">
        <v>1218</v>
      </c>
      <c r="L2170" s="13">
        <v>41785</v>
      </c>
      <c r="M2170">
        <v>9</v>
      </c>
      <c r="N2170" t="s">
        <v>79</v>
      </c>
      <c r="O2170" t="s">
        <v>3908</v>
      </c>
      <c r="P2170" t="s">
        <v>76</v>
      </c>
      <c r="Q2170" t="s">
        <v>76</v>
      </c>
      <c r="R2170" t="s">
        <v>95</v>
      </c>
      <c r="S2170" t="s">
        <v>76</v>
      </c>
      <c r="T2170" t="s">
        <v>76</v>
      </c>
      <c r="U2170">
        <v>1</v>
      </c>
      <c r="V2170" s="13">
        <v>45175</v>
      </c>
      <c r="W2170">
        <v>1</v>
      </c>
      <c r="X2170">
        <v>1</v>
      </c>
      <c r="Y2170" t="s">
        <v>3738</v>
      </c>
      <c r="AC2170">
        <v>5827</v>
      </c>
      <c r="AD2170" t="e" vm="2160">
        <v>#VALUE!</v>
      </c>
    </row>
    <row r="2171" spans="2:30" x14ac:dyDescent="0.25">
      <c r="B2171">
        <v>5828</v>
      </c>
      <c r="C2171" t="s">
        <v>3662</v>
      </c>
      <c r="D2171" t="s">
        <v>3665</v>
      </c>
      <c r="E2171" t="s">
        <v>3815</v>
      </c>
      <c r="F2171" t="s">
        <v>92</v>
      </c>
      <c r="G2171" t="s">
        <v>96</v>
      </c>
      <c r="H2171" t="s">
        <v>3808</v>
      </c>
      <c r="I2171" t="s">
        <v>3839</v>
      </c>
      <c r="J2171" t="s">
        <v>3898</v>
      </c>
      <c r="K2171" t="s">
        <v>1218</v>
      </c>
      <c r="L2171" s="13">
        <v>41785</v>
      </c>
      <c r="M2171">
        <v>9</v>
      </c>
      <c r="N2171" t="s">
        <v>79</v>
      </c>
      <c r="O2171" t="s">
        <v>3908</v>
      </c>
      <c r="P2171" t="s">
        <v>76</v>
      </c>
      <c r="Q2171" t="s">
        <v>76</v>
      </c>
      <c r="R2171" t="s">
        <v>95</v>
      </c>
      <c r="S2171" t="s">
        <v>76</v>
      </c>
      <c r="T2171" t="s">
        <v>76</v>
      </c>
      <c r="U2171">
        <v>1</v>
      </c>
      <c r="V2171" s="13">
        <v>45175</v>
      </c>
      <c r="W2171">
        <v>1</v>
      </c>
      <c r="X2171">
        <v>1</v>
      </c>
      <c r="Y2171" t="s">
        <v>3666</v>
      </c>
      <c r="AC2171">
        <v>5828</v>
      </c>
      <c r="AD2171" t="e" vm="2161">
        <v>#VALUE!</v>
      </c>
    </row>
    <row r="2172" spans="2:30" x14ac:dyDescent="0.25">
      <c r="B2172">
        <v>5829</v>
      </c>
      <c r="C2172" t="s">
        <v>3662</v>
      </c>
      <c r="D2172" t="s">
        <v>3737</v>
      </c>
      <c r="E2172" t="s">
        <v>3876</v>
      </c>
      <c r="F2172" t="s">
        <v>89</v>
      </c>
      <c r="G2172" t="s">
        <v>100</v>
      </c>
      <c r="H2172" t="s">
        <v>3808</v>
      </c>
      <c r="I2172" t="s">
        <v>3839</v>
      </c>
      <c r="J2172" t="s">
        <v>3898</v>
      </c>
      <c r="K2172" t="s">
        <v>1218</v>
      </c>
      <c r="L2172" s="13">
        <v>41785</v>
      </c>
      <c r="M2172">
        <v>9</v>
      </c>
      <c r="N2172" t="s">
        <v>79</v>
      </c>
      <c r="O2172" t="s">
        <v>3908</v>
      </c>
      <c r="P2172" t="s">
        <v>76</v>
      </c>
      <c r="Q2172" t="s">
        <v>76</v>
      </c>
      <c r="R2172" t="s">
        <v>95</v>
      </c>
      <c r="S2172" t="s">
        <v>76</v>
      </c>
      <c r="T2172" t="s">
        <v>76</v>
      </c>
      <c r="U2172">
        <v>1</v>
      </c>
      <c r="V2172" s="13">
        <v>45175</v>
      </c>
      <c r="W2172">
        <v>1</v>
      </c>
      <c r="X2172">
        <v>1</v>
      </c>
      <c r="Y2172" t="s">
        <v>3738</v>
      </c>
      <c r="AC2172">
        <v>5829</v>
      </c>
      <c r="AD2172" t="e" vm="2162">
        <v>#VALUE!</v>
      </c>
    </row>
    <row r="2173" spans="2:30" x14ac:dyDescent="0.25">
      <c r="B2173">
        <v>5830</v>
      </c>
      <c r="C2173" t="s">
        <v>3662</v>
      </c>
      <c r="D2173" t="s">
        <v>3737</v>
      </c>
      <c r="E2173" t="s">
        <v>3876</v>
      </c>
      <c r="F2173" t="s">
        <v>89</v>
      </c>
      <c r="G2173" t="s">
        <v>100</v>
      </c>
      <c r="H2173" t="s">
        <v>3808</v>
      </c>
      <c r="I2173" t="s">
        <v>3839</v>
      </c>
      <c r="J2173" t="s">
        <v>3898</v>
      </c>
      <c r="K2173" t="s">
        <v>1218</v>
      </c>
      <c r="L2173" s="13">
        <v>41794</v>
      </c>
      <c r="M2173">
        <v>9</v>
      </c>
      <c r="N2173" t="s">
        <v>79</v>
      </c>
      <c r="O2173" t="s">
        <v>3908</v>
      </c>
      <c r="P2173" t="s">
        <v>76</v>
      </c>
      <c r="Q2173" t="s">
        <v>76</v>
      </c>
      <c r="R2173" t="s">
        <v>95</v>
      </c>
      <c r="S2173" t="s">
        <v>76</v>
      </c>
      <c r="T2173" t="s">
        <v>76</v>
      </c>
      <c r="U2173">
        <v>1</v>
      </c>
      <c r="V2173" s="13">
        <v>45175</v>
      </c>
      <c r="W2173">
        <v>1</v>
      </c>
      <c r="X2173">
        <v>1</v>
      </c>
      <c r="Y2173" t="s">
        <v>3738</v>
      </c>
      <c r="AC2173">
        <v>5830</v>
      </c>
      <c r="AD2173" t="e" vm="2163">
        <v>#VALUE!</v>
      </c>
    </row>
    <row r="2174" spans="2:30" x14ac:dyDescent="0.25">
      <c r="B2174">
        <v>5831</v>
      </c>
      <c r="C2174" t="s">
        <v>3662</v>
      </c>
      <c r="D2174" t="s">
        <v>3737</v>
      </c>
      <c r="E2174" t="s">
        <v>3876</v>
      </c>
      <c r="F2174" t="s">
        <v>89</v>
      </c>
      <c r="G2174" t="s">
        <v>100</v>
      </c>
      <c r="H2174" t="s">
        <v>3808</v>
      </c>
      <c r="I2174" t="s">
        <v>3839</v>
      </c>
      <c r="J2174" t="s">
        <v>3898</v>
      </c>
      <c r="K2174" t="s">
        <v>1218</v>
      </c>
      <c r="L2174" s="13">
        <v>41794</v>
      </c>
      <c r="M2174">
        <v>9</v>
      </c>
      <c r="N2174" t="s">
        <v>79</v>
      </c>
      <c r="O2174" t="s">
        <v>3908</v>
      </c>
      <c r="P2174" t="s">
        <v>76</v>
      </c>
      <c r="Q2174" t="s">
        <v>76</v>
      </c>
      <c r="R2174" t="s">
        <v>95</v>
      </c>
      <c r="S2174" t="s">
        <v>76</v>
      </c>
      <c r="T2174" t="s">
        <v>76</v>
      </c>
      <c r="U2174">
        <v>1</v>
      </c>
      <c r="V2174" s="13">
        <v>45175</v>
      </c>
      <c r="W2174">
        <v>1</v>
      </c>
      <c r="X2174">
        <v>1</v>
      </c>
      <c r="Y2174" t="s">
        <v>3738</v>
      </c>
      <c r="AC2174">
        <v>5831</v>
      </c>
      <c r="AD2174" t="e" vm="2164">
        <v>#VALUE!</v>
      </c>
    </row>
    <row r="2175" spans="2:30" x14ac:dyDescent="0.25">
      <c r="B2175">
        <v>5832</v>
      </c>
      <c r="C2175" t="s">
        <v>3662</v>
      </c>
      <c r="D2175" t="s">
        <v>3737</v>
      </c>
      <c r="E2175" t="s">
        <v>3876</v>
      </c>
      <c r="F2175" t="s">
        <v>89</v>
      </c>
      <c r="G2175" t="s">
        <v>100</v>
      </c>
      <c r="H2175" t="s">
        <v>3808</v>
      </c>
      <c r="I2175" t="s">
        <v>3839</v>
      </c>
      <c r="J2175" t="s">
        <v>3898</v>
      </c>
      <c r="K2175" t="s">
        <v>1218</v>
      </c>
      <c r="L2175" s="13">
        <v>41795</v>
      </c>
      <c r="M2175">
        <v>9</v>
      </c>
      <c r="N2175" t="s">
        <v>79</v>
      </c>
      <c r="O2175" t="s">
        <v>3908</v>
      </c>
      <c r="P2175" t="s">
        <v>76</v>
      </c>
      <c r="Q2175" t="s">
        <v>76</v>
      </c>
      <c r="R2175" t="s">
        <v>95</v>
      </c>
      <c r="S2175" t="s">
        <v>76</v>
      </c>
      <c r="T2175" t="s">
        <v>76</v>
      </c>
      <c r="U2175">
        <v>1</v>
      </c>
      <c r="V2175" s="13">
        <v>45175</v>
      </c>
      <c r="W2175">
        <v>1</v>
      </c>
      <c r="X2175">
        <v>1</v>
      </c>
      <c r="Y2175" t="s">
        <v>3738</v>
      </c>
      <c r="AC2175">
        <v>5832</v>
      </c>
      <c r="AD2175" t="e" vm="2165">
        <v>#VALUE!</v>
      </c>
    </row>
    <row r="2176" spans="2:30" x14ac:dyDescent="0.25">
      <c r="B2176">
        <v>5833</v>
      </c>
      <c r="C2176" t="s">
        <v>3662</v>
      </c>
      <c r="D2176" t="s">
        <v>3737</v>
      </c>
      <c r="E2176" t="s">
        <v>3876</v>
      </c>
      <c r="F2176" t="s">
        <v>89</v>
      </c>
      <c r="G2176" t="s">
        <v>100</v>
      </c>
      <c r="H2176" t="s">
        <v>3808</v>
      </c>
      <c r="I2176" t="s">
        <v>3839</v>
      </c>
      <c r="J2176" t="s">
        <v>3898</v>
      </c>
      <c r="K2176" t="s">
        <v>1218</v>
      </c>
      <c r="L2176" s="13">
        <v>41795</v>
      </c>
      <c r="M2176">
        <v>9</v>
      </c>
      <c r="N2176" t="s">
        <v>79</v>
      </c>
      <c r="O2176" t="s">
        <v>3908</v>
      </c>
      <c r="P2176" t="s">
        <v>76</v>
      </c>
      <c r="Q2176" t="s">
        <v>76</v>
      </c>
      <c r="R2176" t="s">
        <v>95</v>
      </c>
      <c r="S2176" t="s">
        <v>76</v>
      </c>
      <c r="T2176" t="s">
        <v>76</v>
      </c>
      <c r="U2176">
        <v>1</v>
      </c>
      <c r="V2176" s="13">
        <v>45175</v>
      </c>
      <c r="W2176">
        <v>1</v>
      </c>
      <c r="X2176">
        <v>1</v>
      </c>
      <c r="Y2176" t="s">
        <v>3738</v>
      </c>
      <c r="AC2176">
        <v>5833</v>
      </c>
      <c r="AD2176" t="e" vm="2166">
        <v>#VALUE!</v>
      </c>
    </row>
    <row r="2177" spans="2:30" x14ac:dyDescent="0.25">
      <c r="B2177">
        <v>5834</v>
      </c>
      <c r="C2177" t="s">
        <v>3662</v>
      </c>
      <c r="D2177" t="s">
        <v>3737</v>
      </c>
      <c r="E2177" t="s">
        <v>3876</v>
      </c>
      <c r="F2177" t="s">
        <v>89</v>
      </c>
      <c r="G2177" t="s">
        <v>100</v>
      </c>
      <c r="H2177" t="s">
        <v>3808</v>
      </c>
      <c r="I2177" t="s">
        <v>3839</v>
      </c>
      <c r="J2177" t="s">
        <v>3898</v>
      </c>
      <c r="K2177" t="s">
        <v>1218</v>
      </c>
      <c r="L2177" s="13">
        <v>41801</v>
      </c>
      <c r="M2177">
        <v>9</v>
      </c>
      <c r="N2177" t="s">
        <v>79</v>
      </c>
      <c r="O2177" t="s">
        <v>3908</v>
      </c>
      <c r="P2177" t="s">
        <v>76</v>
      </c>
      <c r="Q2177" t="s">
        <v>76</v>
      </c>
      <c r="R2177" t="s">
        <v>95</v>
      </c>
      <c r="S2177" t="s">
        <v>76</v>
      </c>
      <c r="T2177" t="s">
        <v>76</v>
      </c>
      <c r="U2177">
        <v>1</v>
      </c>
      <c r="V2177" s="13">
        <v>45175</v>
      </c>
      <c r="W2177">
        <v>1</v>
      </c>
      <c r="X2177">
        <v>1</v>
      </c>
      <c r="Y2177" t="s">
        <v>3738</v>
      </c>
      <c r="AC2177">
        <v>5834</v>
      </c>
      <c r="AD2177" t="e" vm="2167">
        <v>#VALUE!</v>
      </c>
    </row>
    <row r="2178" spans="2:30" x14ac:dyDescent="0.25">
      <c r="B2178">
        <v>5835</v>
      </c>
      <c r="C2178" t="s">
        <v>3662</v>
      </c>
      <c r="D2178" t="s">
        <v>3737</v>
      </c>
      <c r="E2178" t="s">
        <v>3876</v>
      </c>
      <c r="F2178" t="s">
        <v>89</v>
      </c>
      <c r="G2178" t="s">
        <v>100</v>
      </c>
      <c r="H2178" t="s">
        <v>3808</v>
      </c>
      <c r="I2178" t="s">
        <v>3839</v>
      </c>
      <c r="J2178" t="s">
        <v>3898</v>
      </c>
      <c r="K2178" t="s">
        <v>1218</v>
      </c>
      <c r="L2178" s="13">
        <v>41801</v>
      </c>
      <c r="M2178">
        <v>9</v>
      </c>
      <c r="N2178" t="s">
        <v>79</v>
      </c>
      <c r="O2178" t="s">
        <v>3908</v>
      </c>
      <c r="P2178" t="s">
        <v>76</v>
      </c>
      <c r="Q2178" t="s">
        <v>76</v>
      </c>
      <c r="R2178" t="s">
        <v>95</v>
      </c>
      <c r="S2178" t="s">
        <v>76</v>
      </c>
      <c r="T2178" t="s">
        <v>76</v>
      </c>
      <c r="U2178">
        <v>1</v>
      </c>
      <c r="V2178" s="13">
        <v>45175</v>
      </c>
      <c r="W2178">
        <v>1</v>
      </c>
      <c r="X2178">
        <v>1</v>
      </c>
      <c r="Y2178" t="s">
        <v>3738</v>
      </c>
      <c r="AC2178">
        <v>5835</v>
      </c>
      <c r="AD2178" t="e" vm="2168">
        <v>#VALUE!</v>
      </c>
    </row>
    <row r="2179" spans="2:30" x14ac:dyDescent="0.25">
      <c r="B2179">
        <v>5836</v>
      </c>
      <c r="C2179" t="s">
        <v>3698</v>
      </c>
      <c r="D2179" t="s">
        <v>3737</v>
      </c>
      <c r="E2179" t="s">
        <v>3876</v>
      </c>
      <c r="F2179" t="s">
        <v>89</v>
      </c>
      <c r="G2179" t="s">
        <v>100</v>
      </c>
      <c r="H2179" t="s">
        <v>3808</v>
      </c>
      <c r="I2179" t="s">
        <v>3839</v>
      </c>
      <c r="J2179" t="s">
        <v>3898</v>
      </c>
      <c r="K2179" t="s">
        <v>1218</v>
      </c>
      <c r="L2179" s="13">
        <v>41802</v>
      </c>
      <c r="M2179">
        <v>9</v>
      </c>
      <c r="N2179" t="s">
        <v>98</v>
      </c>
      <c r="O2179" t="s">
        <v>3908</v>
      </c>
      <c r="P2179" t="s">
        <v>76</v>
      </c>
      <c r="Q2179" t="s">
        <v>76</v>
      </c>
      <c r="R2179" t="s">
        <v>95</v>
      </c>
      <c r="S2179" t="s">
        <v>76</v>
      </c>
      <c r="T2179" t="s">
        <v>76</v>
      </c>
      <c r="U2179">
        <v>1</v>
      </c>
      <c r="V2179" s="13">
        <v>45175</v>
      </c>
      <c r="W2179">
        <v>2</v>
      </c>
      <c r="X2179">
        <v>1</v>
      </c>
      <c r="Y2179" t="s">
        <v>3753</v>
      </c>
      <c r="AC2179">
        <v>5836</v>
      </c>
      <c r="AD2179" t="e" vm="2169">
        <v>#VALUE!</v>
      </c>
    </row>
    <row r="2180" spans="2:30" x14ac:dyDescent="0.25">
      <c r="B2180">
        <v>5837</v>
      </c>
      <c r="C2180" t="s">
        <v>3668</v>
      </c>
      <c r="D2180" t="s">
        <v>3725</v>
      </c>
      <c r="E2180" t="s">
        <v>3866</v>
      </c>
      <c r="F2180" t="s">
        <v>105</v>
      </c>
      <c r="G2180" t="s">
        <v>104</v>
      </c>
      <c r="H2180" t="s">
        <v>3808</v>
      </c>
      <c r="I2180" t="s">
        <v>3839</v>
      </c>
      <c r="J2180" t="s">
        <v>3898</v>
      </c>
      <c r="K2180" t="s">
        <v>1218</v>
      </c>
      <c r="L2180" s="13">
        <v>41802</v>
      </c>
      <c r="M2180">
        <v>9</v>
      </c>
      <c r="N2180" t="s">
        <v>82</v>
      </c>
      <c r="O2180" t="s">
        <v>3908</v>
      </c>
      <c r="P2180" t="s">
        <v>76</v>
      </c>
      <c r="Q2180" t="s">
        <v>76</v>
      </c>
      <c r="R2180" t="s">
        <v>95</v>
      </c>
      <c r="S2180" t="s">
        <v>76</v>
      </c>
      <c r="T2180" t="s">
        <v>76</v>
      </c>
      <c r="U2180">
        <v>1</v>
      </c>
      <c r="V2180" s="13">
        <v>45175</v>
      </c>
      <c r="W2180">
        <v>1</v>
      </c>
      <c r="X2180">
        <v>1</v>
      </c>
      <c r="Y2180" t="s">
        <v>3726</v>
      </c>
      <c r="AC2180">
        <v>5837</v>
      </c>
      <c r="AD2180" t="e" vm="2170">
        <v>#VALUE!</v>
      </c>
    </row>
    <row r="2181" spans="2:30" x14ac:dyDescent="0.25">
      <c r="B2181">
        <v>5838</v>
      </c>
      <c r="C2181" t="s">
        <v>3668</v>
      </c>
      <c r="D2181" t="s">
        <v>3725</v>
      </c>
      <c r="E2181" t="s">
        <v>3866</v>
      </c>
      <c r="F2181" t="s">
        <v>105</v>
      </c>
      <c r="G2181" t="s">
        <v>104</v>
      </c>
      <c r="H2181" t="s">
        <v>3808</v>
      </c>
      <c r="I2181" t="s">
        <v>3839</v>
      </c>
      <c r="J2181" t="s">
        <v>3898</v>
      </c>
      <c r="K2181" t="s">
        <v>1218</v>
      </c>
      <c r="L2181" s="13">
        <v>41796</v>
      </c>
      <c r="M2181">
        <v>9</v>
      </c>
      <c r="N2181" t="s">
        <v>82</v>
      </c>
      <c r="O2181" t="s">
        <v>3908</v>
      </c>
      <c r="P2181" t="s">
        <v>76</v>
      </c>
      <c r="Q2181" t="s">
        <v>76</v>
      </c>
      <c r="R2181" t="s">
        <v>95</v>
      </c>
      <c r="S2181" t="s">
        <v>76</v>
      </c>
      <c r="T2181" t="s">
        <v>76</v>
      </c>
      <c r="U2181">
        <v>1</v>
      </c>
      <c r="V2181" s="13">
        <v>45175</v>
      </c>
      <c r="W2181">
        <v>1</v>
      </c>
      <c r="X2181">
        <v>1</v>
      </c>
      <c r="Y2181" t="s">
        <v>3726</v>
      </c>
      <c r="AC2181">
        <v>5838</v>
      </c>
      <c r="AD2181" t="e" vm="2171">
        <v>#VALUE!</v>
      </c>
    </row>
    <row r="2182" spans="2:30" x14ac:dyDescent="0.25">
      <c r="B2182">
        <v>5839</v>
      </c>
      <c r="C2182" t="s">
        <v>3668</v>
      </c>
      <c r="D2182" t="s">
        <v>3725</v>
      </c>
      <c r="E2182" t="s">
        <v>3866</v>
      </c>
      <c r="F2182" t="s">
        <v>105</v>
      </c>
      <c r="G2182" t="s">
        <v>104</v>
      </c>
      <c r="H2182" t="s">
        <v>3808</v>
      </c>
      <c r="I2182" t="s">
        <v>3839</v>
      </c>
      <c r="J2182" t="s">
        <v>3898</v>
      </c>
      <c r="K2182" t="s">
        <v>1218</v>
      </c>
      <c r="L2182" s="13">
        <v>41796</v>
      </c>
      <c r="M2182">
        <v>9</v>
      </c>
      <c r="N2182" t="s">
        <v>82</v>
      </c>
      <c r="O2182" t="s">
        <v>3908</v>
      </c>
      <c r="P2182" t="s">
        <v>76</v>
      </c>
      <c r="Q2182" t="s">
        <v>76</v>
      </c>
      <c r="R2182" t="s">
        <v>95</v>
      </c>
      <c r="S2182" t="s">
        <v>76</v>
      </c>
      <c r="T2182" t="s">
        <v>76</v>
      </c>
      <c r="U2182">
        <v>1</v>
      </c>
      <c r="V2182" s="13">
        <v>45175</v>
      </c>
      <c r="W2182">
        <v>1</v>
      </c>
      <c r="X2182">
        <v>1</v>
      </c>
      <c r="Y2182" t="s">
        <v>3726</v>
      </c>
      <c r="AC2182">
        <v>5839</v>
      </c>
      <c r="AD2182" t="e" vm="2172">
        <v>#VALUE!</v>
      </c>
    </row>
    <row r="2183" spans="2:30" x14ac:dyDescent="0.25">
      <c r="B2183">
        <v>5840</v>
      </c>
      <c r="C2183" t="s">
        <v>3668</v>
      </c>
      <c r="D2183" t="s">
        <v>3725</v>
      </c>
      <c r="E2183" t="s">
        <v>3866</v>
      </c>
      <c r="F2183" t="s">
        <v>105</v>
      </c>
      <c r="G2183" t="s">
        <v>104</v>
      </c>
      <c r="H2183" t="s">
        <v>3808</v>
      </c>
      <c r="I2183" t="s">
        <v>3839</v>
      </c>
      <c r="J2183" t="s">
        <v>3898</v>
      </c>
      <c r="K2183" t="s">
        <v>1218</v>
      </c>
      <c r="L2183" s="13">
        <v>41796</v>
      </c>
      <c r="M2183">
        <v>9</v>
      </c>
      <c r="N2183" t="s">
        <v>82</v>
      </c>
      <c r="O2183" t="s">
        <v>3908</v>
      </c>
      <c r="P2183" t="s">
        <v>76</v>
      </c>
      <c r="Q2183" t="s">
        <v>76</v>
      </c>
      <c r="R2183" t="s">
        <v>95</v>
      </c>
      <c r="S2183" t="s">
        <v>76</v>
      </c>
      <c r="T2183" t="s">
        <v>76</v>
      </c>
      <c r="U2183">
        <v>1</v>
      </c>
      <c r="V2183" s="13">
        <v>45175</v>
      </c>
      <c r="W2183">
        <v>1</v>
      </c>
      <c r="X2183">
        <v>1</v>
      </c>
      <c r="Y2183" t="s">
        <v>3726</v>
      </c>
      <c r="AC2183">
        <v>5840</v>
      </c>
      <c r="AD2183" t="e" vm="2173">
        <v>#VALUE!</v>
      </c>
    </row>
    <row r="2184" spans="2:30" x14ac:dyDescent="0.25">
      <c r="B2184">
        <v>5841</v>
      </c>
      <c r="C2184" t="s">
        <v>3662</v>
      </c>
      <c r="D2184" t="s">
        <v>3665</v>
      </c>
      <c r="E2184" t="s">
        <v>3815</v>
      </c>
      <c r="F2184" t="s">
        <v>92</v>
      </c>
      <c r="G2184" t="s">
        <v>96</v>
      </c>
      <c r="H2184" t="s">
        <v>3808</v>
      </c>
      <c r="I2184" t="s">
        <v>3839</v>
      </c>
      <c r="J2184" t="s">
        <v>3898</v>
      </c>
      <c r="K2184" t="s">
        <v>1218</v>
      </c>
      <c r="L2184" s="13">
        <v>41796</v>
      </c>
      <c r="M2184">
        <v>9</v>
      </c>
      <c r="N2184" t="s">
        <v>79</v>
      </c>
      <c r="O2184" t="s">
        <v>3908</v>
      </c>
      <c r="P2184" t="s">
        <v>76</v>
      </c>
      <c r="Q2184" t="s">
        <v>76</v>
      </c>
      <c r="R2184" t="s">
        <v>95</v>
      </c>
      <c r="S2184" t="s">
        <v>76</v>
      </c>
      <c r="T2184" t="s">
        <v>76</v>
      </c>
      <c r="U2184">
        <v>1</v>
      </c>
      <c r="V2184" s="13">
        <v>45175</v>
      </c>
      <c r="W2184">
        <v>1</v>
      </c>
      <c r="X2184">
        <v>1</v>
      </c>
      <c r="Y2184" t="s">
        <v>3666</v>
      </c>
      <c r="AC2184">
        <v>5841</v>
      </c>
      <c r="AD2184" t="e" vm="2174">
        <v>#VALUE!</v>
      </c>
    </row>
    <row r="2185" spans="2:30" x14ac:dyDescent="0.25">
      <c r="B2185">
        <v>5842</v>
      </c>
      <c r="C2185" t="s">
        <v>3662</v>
      </c>
      <c r="D2185" t="s">
        <v>3679</v>
      </c>
      <c r="E2185" t="s">
        <v>3824</v>
      </c>
      <c r="F2185" t="s">
        <v>110</v>
      </c>
      <c r="G2185" t="s">
        <v>109</v>
      </c>
      <c r="H2185" t="s">
        <v>3808</v>
      </c>
      <c r="I2185" t="s">
        <v>3839</v>
      </c>
      <c r="J2185" t="s">
        <v>3898</v>
      </c>
      <c r="K2185" t="s">
        <v>1218</v>
      </c>
      <c r="L2185" s="13">
        <v>41796</v>
      </c>
      <c r="M2185">
        <v>9</v>
      </c>
      <c r="N2185" t="s">
        <v>79</v>
      </c>
      <c r="O2185" t="s">
        <v>3908</v>
      </c>
      <c r="P2185" t="s">
        <v>76</v>
      </c>
      <c r="Q2185" t="s">
        <v>76</v>
      </c>
      <c r="R2185" t="s">
        <v>95</v>
      </c>
      <c r="S2185" t="s">
        <v>76</v>
      </c>
      <c r="T2185" t="s">
        <v>76</v>
      </c>
      <c r="U2185">
        <v>1</v>
      </c>
      <c r="V2185" s="13">
        <v>45175</v>
      </c>
      <c r="W2185">
        <v>1</v>
      </c>
      <c r="X2185">
        <v>1</v>
      </c>
      <c r="Y2185" t="s">
        <v>3680</v>
      </c>
      <c r="AC2185">
        <v>5842</v>
      </c>
      <c r="AD2185" t="e" vm="2175">
        <v>#VALUE!</v>
      </c>
    </row>
    <row r="2186" spans="2:30" x14ac:dyDescent="0.25">
      <c r="B2186">
        <v>5843</v>
      </c>
      <c r="C2186" t="s">
        <v>3662</v>
      </c>
      <c r="D2186" t="s">
        <v>3679</v>
      </c>
      <c r="E2186" t="s">
        <v>3824</v>
      </c>
      <c r="F2186" t="s">
        <v>110</v>
      </c>
      <c r="G2186" t="s">
        <v>109</v>
      </c>
      <c r="H2186" t="s">
        <v>3808</v>
      </c>
      <c r="I2186" t="s">
        <v>3839</v>
      </c>
      <c r="J2186" t="s">
        <v>3898</v>
      </c>
      <c r="K2186" t="s">
        <v>1218</v>
      </c>
      <c r="L2186" s="13">
        <v>41796</v>
      </c>
      <c r="M2186">
        <v>9</v>
      </c>
      <c r="N2186" t="s">
        <v>79</v>
      </c>
      <c r="O2186" t="s">
        <v>3908</v>
      </c>
      <c r="P2186" t="s">
        <v>76</v>
      </c>
      <c r="Q2186" t="s">
        <v>76</v>
      </c>
      <c r="R2186" t="s">
        <v>95</v>
      </c>
      <c r="S2186" t="s">
        <v>76</v>
      </c>
      <c r="T2186" t="s">
        <v>76</v>
      </c>
      <c r="U2186">
        <v>1</v>
      </c>
      <c r="V2186" s="13">
        <v>45175</v>
      </c>
      <c r="W2186">
        <v>1</v>
      </c>
      <c r="X2186">
        <v>1</v>
      </c>
      <c r="Y2186" t="s">
        <v>3680</v>
      </c>
      <c r="AC2186">
        <v>5843</v>
      </c>
      <c r="AD2186" t="e" vm="2176">
        <v>#VALUE!</v>
      </c>
    </row>
    <row r="2187" spans="2:30" x14ac:dyDescent="0.25">
      <c r="B2187">
        <v>5844</v>
      </c>
      <c r="C2187" t="s">
        <v>3662</v>
      </c>
      <c r="D2187" t="s">
        <v>3665</v>
      </c>
      <c r="E2187" t="s">
        <v>3815</v>
      </c>
      <c r="F2187" t="s">
        <v>92</v>
      </c>
      <c r="G2187" t="s">
        <v>96</v>
      </c>
      <c r="H2187" t="s">
        <v>3808</v>
      </c>
      <c r="I2187" t="s">
        <v>3839</v>
      </c>
      <c r="J2187" t="s">
        <v>3898</v>
      </c>
      <c r="K2187" t="s">
        <v>1218</v>
      </c>
      <c r="L2187" s="13">
        <v>41796</v>
      </c>
      <c r="M2187">
        <v>9</v>
      </c>
      <c r="N2187" t="s">
        <v>79</v>
      </c>
      <c r="O2187" t="s">
        <v>3908</v>
      </c>
      <c r="P2187" t="s">
        <v>76</v>
      </c>
      <c r="Q2187" t="s">
        <v>76</v>
      </c>
      <c r="R2187" t="s">
        <v>95</v>
      </c>
      <c r="S2187" t="s">
        <v>76</v>
      </c>
      <c r="T2187" t="s">
        <v>76</v>
      </c>
      <c r="U2187">
        <v>1</v>
      </c>
      <c r="V2187" s="13">
        <v>45175</v>
      </c>
      <c r="W2187">
        <v>1</v>
      </c>
      <c r="X2187">
        <v>1</v>
      </c>
      <c r="Y2187" t="s">
        <v>3666</v>
      </c>
      <c r="AC2187">
        <v>5844</v>
      </c>
      <c r="AD2187" t="e" vm="2177">
        <v>#VALUE!</v>
      </c>
    </row>
    <row r="2188" spans="2:30" x14ac:dyDescent="0.25">
      <c r="B2188">
        <v>5845</v>
      </c>
      <c r="C2188" t="s">
        <v>3668</v>
      </c>
      <c r="D2188" t="s">
        <v>3725</v>
      </c>
      <c r="E2188" t="s">
        <v>3866</v>
      </c>
      <c r="F2188" t="s">
        <v>105</v>
      </c>
      <c r="G2188" t="s">
        <v>104</v>
      </c>
      <c r="H2188" t="s">
        <v>3808</v>
      </c>
      <c r="I2188" t="s">
        <v>3839</v>
      </c>
      <c r="J2188" t="s">
        <v>3898</v>
      </c>
      <c r="K2188" t="s">
        <v>1218</v>
      </c>
      <c r="L2188" s="13">
        <v>41746</v>
      </c>
      <c r="M2188">
        <v>9</v>
      </c>
      <c r="N2188" t="s">
        <v>82</v>
      </c>
      <c r="O2188" t="s">
        <v>3908</v>
      </c>
      <c r="P2188" t="s">
        <v>76</v>
      </c>
      <c r="Q2188" t="s">
        <v>76</v>
      </c>
      <c r="R2188" t="s">
        <v>95</v>
      </c>
      <c r="S2188" t="s">
        <v>76</v>
      </c>
      <c r="T2188" t="s">
        <v>76</v>
      </c>
      <c r="U2188">
        <v>1</v>
      </c>
      <c r="V2188" s="13">
        <v>45175</v>
      </c>
      <c r="W2188">
        <v>1</v>
      </c>
      <c r="X2188">
        <v>1</v>
      </c>
      <c r="Y2188" t="s">
        <v>3726</v>
      </c>
      <c r="AC2188">
        <v>5845</v>
      </c>
      <c r="AD2188" t="e" vm="2178">
        <v>#VALUE!</v>
      </c>
    </row>
    <row r="2189" spans="2:30" x14ac:dyDescent="0.25">
      <c r="B2189">
        <v>5846</v>
      </c>
      <c r="C2189" t="s">
        <v>3668</v>
      </c>
      <c r="D2189" t="s">
        <v>3725</v>
      </c>
      <c r="E2189" t="s">
        <v>3866</v>
      </c>
      <c r="F2189" t="s">
        <v>105</v>
      </c>
      <c r="G2189" t="s">
        <v>104</v>
      </c>
      <c r="H2189" t="s">
        <v>3808</v>
      </c>
      <c r="I2189" t="s">
        <v>3839</v>
      </c>
      <c r="J2189" t="s">
        <v>3898</v>
      </c>
      <c r="K2189" t="s">
        <v>1218</v>
      </c>
      <c r="L2189" s="13">
        <v>41785</v>
      </c>
      <c r="M2189">
        <v>9</v>
      </c>
      <c r="N2189" t="s">
        <v>82</v>
      </c>
      <c r="O2189" t="s">
        <v>3908</v>
      </c>
      <c r="P2189" t="s">
        <v>76</v>
      </c>
      <c r="Q2189" t="s">
        <v>76</v>
      </c>
      <c r="R2189" t="s">
        <v>95</v>
      </c>
      <c r="S2189" t="s">
        <v>76</v>
      </c>
      <c r="T2189" t="s">
        <v>76</v>
      </c>
      <c r="U2189">
        <v>1</v>
      </c>
      <c r="V2189" s="13">
        <v>45175</v>
      </c>
      <c r="W2189">
        <v>1</v>
      </c>
      <c r="X2189">
        <v>1</v>
      </c>
      <c r="Y2189" t="s">
        <v>3726</v>
      </c>
      <c r="AC2189">
        <v>5846</v>
      </c>
      <c r="AD2189" t="e" vm="2179">
        <v>#VALUE!</v>
      </c>
    </row>
    <row r="2190" spans="2:30" x14ac:dyDescent="0.25">
      <c r="B2190">
        <v>5847</v>
      </c>
      <c r="C2190" t="s">
        <v>3668</v>
      </c>
      <c r="D2190" t="s">
        <v>3725</v>
      </c>
      <c r="E2190" t="s">
        <v>3866</v>
      </c>
      <c r="F2190" t="s">
        <v>105</v>
      </c>
      <c r="G2190" t="s">
        <v>104</v>
      </c>
      <c r="H2190" t="s">
        <v>3808</v>
      </c>
      <c r="I2190" t="s">
        <v>3839</v>
      </c>
      <c r="J2190" t="s">
        <v>3898</v>
      </c>
      <c r="K2190" t="s">
        <v>1218</v>
      </c>
      <c r="L2190" s="13">
        <v>41785</v>
      </c>
      <c r="M2190">
        <v>9</v>
      </c>
      <c r="N2190" t="s">
        <v>82</v>
      </c>
      <c r="O2190" t="s">
        <v>3908</v>
      </c>
      <c r="P2190" t="s">
        <v>76</v>
      </c>
      <c r="Q2190" t="s">
        <v>76</v>
      </c>
      <c r="R2190" t="s">
        <v>95</v>
      </c>
      <c r="S2190" t="s">
        <v>76</v>
      </c>
      <c r="T2190" t="s">
        <v>76</v>
      </c>
      <c r="U2190">
        <v>1</v>
      </c>
      <c r="V2190" s="13">
        <v>45175</v>
      </c>
      <c r="W2190">
        <v>1</v>
      </c>
      <c r="X2190">
        <v>1</v>
      </c>
      <c r="Y2190" t="s">
        <v>3726</v>
      </c>
      <c r="AC2190">
        <v>5847</v>
      </c>
      <c r="AD2190" t="e" vm="2180">
        <v>#VALUE!</v>
      </c>
    </row>
    <row r="2191" spans="2:30" x14ac:dyDescent="0.25">
      <c r="B2191">
        <v>5848</v>
      </c>
      <c r="C2191" t="s">
        <v>3698</v>
      </c>
      <c r="D2191" t="s">
        <v>73</v>
      </c>
      <c r="E2191" t="s">
        <v>73</v>
      </c>
      <c r="F2191" t="s">
        <v>3816</v>
      </c>
      <c r="G2191" t="s">
        <v>3816</v>
      </c>
      <c r="H2191" t="s">
        <v>3808</v>
      </c>
      <c r="I2191" t="s">
        <v>3839</v>
      </c>
      <c r="J2191" t="s">
        <v>3898</v>
      </c>
      <c r="K2191" t="s">
        <v>1218</v>
      </c>
      <c r="L2191" s="13">
        <v>41785</v>
      </c>
      <c r="M2191">
        <v>9</v>
      </c>
      <c r="N2191" t="s">
        <v>98</v>
      </c>
      <c r="O2191" t="s">
        <v>3908</v>
      </c>
      <c r="P2191" t="s">
        <v>76</v>
      </c>
      <c r="Q2191" t="s">
        <v>76</v>
      </c>
      <c r="R2191" t="s">
        <v>95</v>
      </c>
      <c r="S2191" t="s">
        <v>76</v>
      </c>
      <c r="T2191" t="s">
        <v>76</v>
      </c>
      <c r="U2191">
        <v>1</v>
      </c>
      <c r="V2191" s="13">
        <v>45175</v>
      </c>
      <c r="W2191">
        <v>2</v>
      </c>
      <c r="X2191">
        <v>1</v>
      </c>
      <c r="Y2191" t="s">
        <v>3724</v>
      </c>
      <c r="AC2191">
        <v>5848</v>
      </c>
      <c r="AD2191" t="e" vm="2181">
        <v>#VALUE!</v>
      </c>
    </row>
    <row r="2192" spans="2:30" x14ac:dyDescent="0.25">
      <c r="B2192">
        <v>5849</v>
      </c>
      <c r="C2192" t="s">
        <v>3668</v>
      </c>
      <c r="D2192" t="s">
        <v>3725</v>
      </c>
      <c r="E2192" t="s">
        <v>3866</v>
      </c>
      <c r="F2192" t="s">
        <v>105</v>
      </c>
      <c r="G2192" t="s">
        <v>104</v>
      </c>
      <c r="H2192" t="s">
        <v>3808</v>
      </c>
      <c r="I2192" t="s">
        <v>3839</v>
      </c>
      <c r="J2192" t="s">
        <v>3898</v>
      </c>
      <c r="K2192" t="s">
        <v>1218</v>
      </c>
      <c r="L2192" s="13">
        <v>41785</v>
      </c>
      <c r="M2192">
        <v>9</v>
      </c>
      <c r="N2192" t="s">
        <v>82</v>
      </c>
      <c r="O2192" t="s">
        <v>3908</v>
      </c>
      <c r="P2192" t="s">
        <v>76</v>
      </c>
      <c r="Q2192" t="s">
        <v>76</v>
      </c>
      <c r="R2192" t="s">
        <v>95</v>
      </c>
      <c r="S2192" t="s">
        <v>76</v>
      </c>
      <c r="T2192" t="s">
        <v>76</v>
      </c>
      <c r="U2192">
        <v>1</v>
      </c>
      <c r="V2192" s="13">
        <v>45175</v>
      </c>
      <c r="W2192">
        <v>1</v>
      </c>
      <c r="X2192">
        <v>1</v>
      </c>
      <c r="Y2192" t="s">
        <v>3726</v>
      </c>
      <c r="AC2192">
        <v>5849</v>
      </c>
      <c r="AD2192" t="e" vm="2182">
        <v>#VALUE!</v>
      </c>
    </row>
    <row r="2193" spans="2:30" x14ac:dyDescent="0.25">
      <c r="B2193">
        <v>5850</v>
      </c>
      <c r="C2193" t="s">
        <v>3668</v>
      </c>
      <c r="D2193" t="s">
        <v>3725</v>
      </c>
      <c r="E2193" t="s">
        <v>3866</v>
      </c>
      <c r="F2193" t="s">
        <v>105</v>
      </c>
      <c r="G2193" t="s">
        <v>104</v>
      </c>
      <c r="H2193" t="s">
        <v>3808</v>
      </c>
      <c r="I2193" t="s">
        <v>3839</v>
      </c>
      <c r="J2193" t="s">
        <v>3898</v>
      </c>
      <c r="K2193" t="s">
        <v>1218</v>
      </c>
      <c r="L2193" s="13">
        <v>41792</v>
      </c>
      <c r="M2193">
        <v>9</v>
      </c>
      <c r="N2193" t="s">
        <v>82</v>
      </c>
      <c r="O2193" t="s">
        <v>3908</v>
      </c>
      <c r="P2193" t="s">
        <v>76</v>
      </c>
      <c r="Q2193" t="s">
        <v>76</v>
      </c>
      <c r="R2193" t="s">
        <v>95</v>
      </c>
      <c r="S2193" t="s">
        <v>76</v>
      </c>
      <c r="T2193" t="s">
        <v>76</v>
      </c>
      <c r="U2193">
        <v>1</v>
      </c>
      <c r="V2193" s="13">
        <v>45175</v>
      </c>
      <c r="W2193">
        <v>1</v>
      </c>
      <c r="X2193">
        <v>1</v>
      </c>
      <c r="Y2193" t="s">
        <v>3726</v>
      </c>
      <c r="AC2193">
        <v>5850</v>
      </c>
      <c r="AD2193" t="e" vm="2183">
        <v>#VALUE!</v>
      </c>
    </row>
    <row r="2194" spans="2:30" x14ac:dyDescent="0.25">
      <c r="B2194">
        <v>5851</v>
      </c>
      <c r="C2194" t="s">
        <v>3668</v>
      </c>
      <c r="D2194" t="s">
        <v>3725</v>
      </c>
      <c r="E2194" t="s">
        <v>3866</v>
      </c>
      <c r="F2194" t="s">
        <v>105</v>
      </c>
      <c r="G2194" t="s">
        <v>104</v>
      </c>
      <c r="H2194" t="s">
        <v>3808</v>
      </c>
      <c r="I2194" t="s">
        <v>3839</v>
      </c>
      <c r="J2194" t="s">
        <v>3898</v>
      </c>
      <c r="K2194" t="s">
        <v>1218</v>
      </c>
      <c r="L2194" s="13">
        <v>41792</v>
      </c>
      <c r="M2194">
        <v>9</v>
      </c>
      <c r="N2194" t="s">
        <v>82</v>
      </c>
      <c r="O2194" t="s">
        <v>3908</v>
      </c>
      <c r="P2194" t="s">
        <v>76</v>
      </c>
      <c r="Q2194" t="s">
        <v>76</v>
      </c>
      <c r="R2194" t="s">
        <v>95</v>
      </c>
      <c r="S2194" t="s">
        <v>76</v>
      </c>
      <c r="T2194" t="s">
        <v>76</v>
      </c>
      <c r="U2194">
        <v>1</v>
      </c>
      <c r="V2194" s="13">
        <v>45175</v>
      </c>
      <c r="W2194">
        <v>1</v>
      </c>
      <c r="X2194">
        <v>1</v>
      </c>
      <c r="Y2194" t="s">
        <v>3726</v>
      </c>
      <c r="AC2194">
        <v>5851</v>
      </c>
      <c r="AD2194" t="e" vm="2184">
        <v>#VALUE!</v>
      </c>
    </row>
    <row r="2195" spans="2:30" x14ac:dyDescent="0.25">
      <c r="B2195">
        <v>5852</v>
      </c>
      <c r="C2195" t="s">
        <v>3698</v>
      </c>
      <c r="D2195" t="s">
        <v>73</v>
      </c>
      <c r="E2195" t="s">
        <v>73</v>
      </c>
      <c r="F2195" t="s">
        <v>3816</v>
      </c>
      <c r="G2195" t="s">
        <v>3816</v>
      </c>
      <c r="H2195" t="s">
        <v>3808</v>
      </c>
      <c r="I2195" t="s">
        <v>3839</v>
      </c>
      <c r="J2195" t="s">
        <v>3898</v>
      </c>
      <c r="K2195" t="s">
        <v>1218</v>
      </c>
      <c r="L2195" s="13">
        <v>41801</v>
      </c>
      <c r="M2195">
        <v>9</v>
      </c>
      <c r="N2195" t="s">
        <v>98</v>
      </c>
      <c r="O2195" t="s">
        <v>3908</v>
      </c>
      <c r="P2195" t="s">
        <v>76</v>
      </c>
      <c r="Q2195" t="s">
        <v>76</v>
      </c>
      <c r="R2195" t="s">
        <v>95</v>
      </c>
      <c r="S2195" t="s">
        <v>76</v>
      </c>
      <c r="T2195" t="s">
        <v>76</v>
      </c>
      <c r="U2195">
        <v>1</v>
      </c>
      <c r="V2195" s="13">
        <v>45175</v>
      </c>
      <c r="W2195">
        <v>2</v>
      </c>
      <c r="X2195">
        <v>1</v>
      </c>
      <c r="Y2195" t="s">
        <v>3724</v>
      </c>
      <c r="AC2195">
        <v>5852</v>
      </c>
      <c r="AD2195" t="e" vm="2185">
        <v>#VALUE!</v>
      </c>
    </row>
    <row r="2196" spans="2:30" x14ac:dyDescent="0.25">
      <c r="B2196">
        <v>5854</v>
      </c>
      <c r="C2196" t="s">
        <v>3668</v>
      </c>
      <c r="D2196" t="s">
        <v>3725</v>
      </c>
      <c r="E2196" t="s">
        <v>3866</v>
      </c>
      <c r="F2196" t="s">
        <v>105</v>
      </c>
      <c r="G2196" t="s">
        <v>104</v>
      </c>
      <c r="H2196" t="s">
        <v>3808</v>
      </c>
      <c r="I2196" t="s">
        <v>3839</v>
      </c>
      <c r="J2196" t="s">
        <v>3898</v>
      </c>
      <c r="K2196" t="s">
        <v>1218</v>
      </c>
      <c r="L2196" s="13">
        <v>41801</v>
      </c>
      <c r="M2196">
        <v>9</v>
      </c>
      <c r="N2196" t="s">
        <v>82</v>
      </c>
      <c r="O2196" t="s">
        <v>3908</v>
      </c>
      <c r="P2196" t="s">
        <v>76</v>
      </c>
      <c r="Q2196" t="s">
        <v>76</v>
      </c>
      <c r="R2196" t="s">
        <v>95</v>
      </c>
      <c r="S2196" t="s">
        <v>76</v>
      </c>
      <c r="T2196" t="s">
        <v>76</v>
      </c>
      <c r="U2196">
        <v>1</v>
      </c>
      <c r="V2196" s="13">
        <v>45175</v>
      </c>
      <c r="W2196">
        <v>1</v>
      </c>
      <c r="X2196">
        <v>1</v>
      </c>
      <c r="Y2196" t="s">
        <v>3726</v>
      </c>
      <c r="AC2196">
        <v>5854</v>
      </c>
      <c r="AD2196" t="e" vm="2186">
        <v>#VALUE!</v>
      </c>
    </row>
    <row r="2197" spans="2:30" x14ac:dyDescent="0.25">
      <c r="B2197">
        <v>5855</v>
      </c>
      <c r="C2197" t="s">
        <v>3668</v>
      </c>
      <c r="D2197" t="s">
        <v>3725</v>
      </c>
      <c r="E2197" t="s">
        <v>3866</v>
      </c>
      <c r="F2197" t="s">
        <v>105</v>
      </c>
      <c r="G2197" t="s">
        <v>104</v>
      </c>
      <c r="H2197" t="s">
        <v>3808</v>
      </c>
      <c r="I2197" t="s">
        <v>3839</v>
      </c>
      <c r="J2197" t="s">
        <v>3898</v>
      </c>
      <c r="K2197" t="s">
        <v>1218</v>
      </c>
      <c r="L2197" s="13">
        <v>41794</v>
      </c>
      <c r="M2197">
        <v>9</v>
      </c>
      <c r="N2197" t="s">
        <v>82</v>
      </c>
      <c r="O2197" t="s">
        <v>3908</v>
      </c>
      <c r="P2197" t="s">
        <v>76</v>
      </c>
      <c r="Q2197" t="s">
        <v>76</v>
      </c>
      <c r="R2197" t="s">
        <v>95</v>
      </c>
      <c r="S2197" t="s">
        <v>76</v>
      </c>
      <c r="T2197" t="s">
        <v>76</v>
      </c>
      <c r="U2197">
        <v>1</v>
      </c>
      <c r="V2197" s="13">
        <v>45175</v>
      </c>
      <c r="W2197">
        <v>1</v>
      </c>
      <c r="X2197">
        <v>1</v>
      </c>
      <c r="Y2197" t="s">
        <v>3726</v>
      </c>
      <c r="AC2197">
        <v>5855</v>
      </c>
      <c r="AD2197" t="e" vm="2187">
        <v>#VALUE!</v>
      </c>
    </row>
    <row r="2198" spans="2:30" x14ac:dyDescent="0.25">
      <c r="B2198">
        <v>5856</v>
      </c>
      <c r="C2198" t="s">
        <v>3668</v>
      </c>
      <c r="D2198" t="s">
        <v>3725</v>
      </c>
      <c r="E2198" t="s">
        <v>3866</v>
      </c>
      <c r="F2198" t="s">
        <v>105</v>
      </c>
      <c r="G2198" t="s">
        <v>104</v>
      </c>
      <c r="H2198" t="s">
        <v>3808</v>
      </c>
      <c r="I2198" t="s">
        <v>3839</v>
      </c>
      <c r="J2198" t="s">
        <v>3898</v>
      </c>
      <c r="K2198" t="s">
        <v>1218</v>
      </c>
      <c r="L2198" s="13">
        <v>41792</v>
      </c>
      <c r="M2198">
        <v>9</v>
      </c>
      <c r="N2198" t="s">
        <v>82</v>
      </c>
      <c r="O2198" t="s">
        <v>3908</v>
      </c>
      <c r="P2198" t="s">
        <v>76</v>
      </c>
      <c r="Q2198" t="s">
        <v>76</v>
      </c>
      <c r="R2198" t="s">
        <v>95</v>
      </c>
      <c r="S2198" t="s">
        <v>76</v>
      </c>
      <c r="T2198" t="s">
        <v>76</v>
      </c>
      <c r="U2198">
        <v>1</v>
      </c>
      <c r="V2198" s="13">
        <v>45175</v>
      </c>
      <c r="W2198">
        <v>1</v>
      </c>
      <c r="X2198">
        <v>1</v>
      </c>
      <c r="Y2198" t="s">
        <v>3726</v>
      </c>
      <c r="AC2198">
        <v>5856</v>
      </c>
      <c r="AD2198" t="e" vm="2188">
        <v>#VALUE!</v>
      </c>
    </row>
    <row r="2199" spans="2:30" x14ac:dyDescent="0.25">
      <c r="B2199">
        <v>5857</v>
      </c>
      <c r="C2199" t="s">
        <v>3668</v>
      </c>
      <c r="D2199" t="s">
        <v>3725</v>
      </c>
      <c r="E2199" t="s">
        <v>3866</v>
      </c>
      <c r="F2199" t="s">
        <v>105</v>
      </c>
      <c r="G2199" t="s">
        <v>104</v>
      </c>
      <c r="H2199" t="s">
        <v>3808</v>
      </c>
      <c r="I2199" t="s">
        <v>3839</v>
      </c>
      <c r="J2199" t="s">
        <v>3898</v>
      </c>
      <c r="K2199" t="s">
        <v>1218</v>
      </c>
      <c r="L2199" s="13">
        <v>41801</v>
      </c>
      <c r="M2199">
        <v>9</v>
      </c>
      <c r="N2199" t="s">
        <v>82</v>
      </c>
      <c r="O2199" t="s">
        <v>3908</v>
      </c>
      <c r="P2199" t="s">
        <v>76</v>
      </c>
      <c r="Q2199" t="s">
        <v>76</v>
      </c>
      <c r="R2199" t="s">
        <v>95</v>
      </c>
      <c r="S2199" t="s">
        <v>76</v>
      </c>
      <c r="T2199" t="s">
        <v>76</v>
      </c>
      <c r="U2199">
        <v>1</v>
      </c>
      <c r="V2199" s="13">
        <v>45175</v>
      </c>
      <c r="W2199">
        <v>1</v>
      </c>
      <c r="X2199">
        <v>1</v>
      </c>
      <c r="Y2199" t="s">
        <v>3726</v>
      </c>
      <c r="AC2199">
        <v>5857</v>
      </c>
      <c r="AD2199" t="e" vm="2189">
        <v>#VALUE!</v>
      </c>
    </row>
    <row r="2200" spans="2:30" x14ac:dyDescent="0.25">
      <c r="B2200">
        <v>5858</v>
      </c>
      <c r="C2200" t="s">
        <v>3662</v>
      </c>
      <c r="D2200" t="s">
        <v>3665</v>
      </c>
      <c r="E2200" t="s">
        <v>3815</v>
      </c>
      <c r="F2200" t="s">
        <v>92</v>
      </c>
      <c r="G2200" t="s">
        <v>96</v>
      </c>
      <c r="H2200" t="s">
        <v>3808</v>
      </c>
      <c r="I2200" t="s">
        <v>3839</v>
      </c>
      <c r="J2200" t="s">
        <v>3840</v>
      </c>
      <c r="K2200" t="s">
        <v>1218</v>
      </c>
      <c r="L2200" s="13">
        <v>42466</v>
      </c>
      <c r="M2200">
        <v>7</v>
      </c>
      <c r="N2200" t="s">
        <v>79</v>
      </c>
      <c r="O2200" t="s">
        <v>3909</v>
      </c>
      <c r="P2200" t="s">
        <v>76</v>
      </c>
      <c r="Q2200" t="s">
        <v>76</v>
      </c>
      <c r="R2200" t="s">
        <v>76</v>
      </c>
      <c r="S2200" t="s">
        <v>76</v>
      </c>
      <c r="T2200" t="s">
        <v>76</v>
      </c>
      <c r="U2200">
        <v>1</v>
      </c>
      <c r="V2200" s="13">
        <v>45175</v>
      </c>
      <c r="W2200">
        <v>1</v>
      </c>
      <c r="X2200">
        <v>1</v>
      </c>
      <c r="Y2200" t="s">
        <v>3666</v>
      </c>
      <c r="AC2200">
        <v>5858</v>
      </c>
      <c r="AD2200" t="e" vm="2190">
        <v>#VALUE!</v>
      </c>
    </row>
    <row r="2201" spans="2:30" x14ac:dyDescent="0.25">
      <c r="B2201">
        <v>5859</v>
      </c>
      <c r="C2201" t="s">
        <v>3662</v>
      </c>
      <c r="D2201" t="s">
        <v>3665</v>
      </c>
      <c r="E2201" t="s">
        <v>3815</v>
      </c>
      <c r="F2201" t="s">
        <v>92</v>
      </c>
      <c r="G2201" t="s">
        <v>96</v>
      </c>
      <c r="H2201" t="s">
        <v>3808</v>
      </c>
      <c r="I2201" t="s">
        <v>3839</v>
      </c>
      <c r="J2201" t="s">
        <v>3840</v>
      </c>
      <c r="K2201" t="s">
        <v>1218</v>
      </c>
      <c r="L2201" s="13">
        <v>42465</v>
      </c>
      <c r="M2201">
        <v>7</v>
      </c>
      <c r="N2201" t="s">
        <v>79</v>
      </c>
      <c r="O2201" t="s">
        <v>3909</v>
      </c>
      <c r="P2201" t="s">
        <v>76</v>
      </c>
      <c r="Q2201" t="s">
        <v>76</v>
      </c>
      <c r="R2201" t="s">
        <v>76</v>
      </c>
      <c r="S2201" t="s">
        <v>76</v>
      </c>
      <c r="T2201" t="s">
        <v>76</v>
      </c>
      <c r="U2201">
        <v>1</v>
      </c>
      <c r="V2201" s="13">
        <v>45175</v>
      </c>
      <c r="W2201">
        <v>1</v>
      </c>
      <c r="X2201">
        <v>1</v>
      </c>
      <c r="Y2201" t="s">
        <v>3666</v>
      </c>
      <c r="AC2201">
        <v>5859</v>
      </c>
      <c r="AD2201" t="e" vm="2191">
        <v>#VALUE!</v>
      </c>
    </row>
    <row r="2202" spans="2:30" x14ac:dyDescent="0.25">
      <c r="B2202">
        <v>5860</v>
      </c>
      <c r="C2202" t="s">
        <v>3662</v>
      </c>
      <c r="D2202" t="s">
        <v>3665</v>
      </c>
      <c r="E2202" t="s">
        <v>3815</v>
      </c>
      <c r="F2202" t="s">
        <v>92</v>
      </c>
      <c r="G2202" t="s">
        <v>96</v>
      </c>
      <c r="H2202" t="s">
        <v>3808</v>
      </c>
      <c r="I2202" t="s">
        <v>3839</v>
      </c>
      <c r="J2202" t="s">
        <v>3840</v>
      </c>
      <c r="K2202" t="s">
        <v>1218</v>
      </c>
      <c r="L2202" s="13">
        <v>42339</v>
      </c>
      <c r="M2202">
        <v>8</v>
      </c>
      <c r="N2202" t="s">
        <v>79</v>
      </c>
      <c r="O2202" t="s">
        <v>3909</v>
      </c>
      <c r="P2202" t="s">
        <v>76</v>
      </c>
      <c r="Q2202" t="s">
        <v>76</v>
      </c>
      <c r="R2202" t="s">
        <v>76</v>
      </c>
      <c r="S2202" t="s">
        <v>76</v>
      </c>
      <c r="T2202" t="s">
        <v>76</v>
      </c>
      <c r="U2202">
        <v>1</v>
      </c>
      <c r="V2202" s="13">
        <v>45175</v>
      </c>
      <c r="W2202">
        <v>1</v>
      </c>
      <c r="X2202">
        <v>1</v>
      </c>
      <c r="Y2202" t="s">
        <v>3666</v>
      </c>
      <c r="AC2202">
        <v>5860</v>
      </c>
      <c r="AD2202" t="e" vm="2192">
        <v>#VALUE!</v>
      </c>
    </row>
    <row r="2203" spans="2:30" x14ac:dyDescent="0.25">
      <c r="B2203">
        <v>5861</v>
      </c>
      <c r="C2203" t="s">
        <v>3662</v>
      </c>
      <c r="D2203" t="s">
        <v>3665</v>
      </c>
      <c r="E2203" t="s">
        <v>3815</v>
      </c>
      <c r="F2203" t="s">
        <v>92</v>
      </c>
      <c r="G2203" t="s">
        <v>96</v>
      </c>
      <c r="H2203" t="s">
        <v>3808</v>
      </c>
      <c r="I2203" t="s">
        <v>3839</v>
      </c>
      <c r="J2203" t="s">
        <v>3840</v>
      </c>
      <c r="K2203" t="s">
        <v>1218</v>
      </c>
      <c r="L2203" s="13">
        <v>42360</v>
      </c>
      <c r="M2203">
        <v>8</v>
      </c>
      <c r="N2203" t="s">
        <v>79</v>
      </c>
      <c r="O2203" t="s">
        <v>3909</v>
      </c>
      <c r="P2203" t="s">
        <v>76</v>
      </c>
      <c r="Q2203" t="s">
        <v>76</v>
      </c>
      <c r="R2203" t="s">
        <v>76</v>
      </c>
      <c r="S2203" t="s">
        <v>76</v>
      </c>
      <c r="T2203" t="s">
        <v>76</v>
      </c>
      <c r="U2203">
        <v>1</v>
      </c>
      <c r="V2203" s="13">
        <v>45175</v>
      </c>
      <c r="W2203">
        <v>1</v>
      </c>
      <c r="X2203">
        <v>1</v>
      </c>
      <c r="Y2203" t="s">
        <v>3666</v>
      </c>
      <c r="AC2203">
        <v>5861</v>
      </c>
      <c r="AD2203" t="e" vm="2193">
        <v>#VALUE!</v>
      </c>
    </row>
    <row r="2204" spans="2:30" x14ac:dyDescent="0.25">
      <c r="B2204">
        <v>5862</v>
      </c>
      <c r="C2204" t="s">
        <v>3662</v>
      </c>
      <c r="D2204" t="s">
        <v>3665</v>
      </c>
      <c r="E2204" t="s">
        <v>3815</v>
      </c>
      <c r="F2204" t="s">
        <v>92</v>
      </c>
      <c r="G2204" t="s">
        <v>96</v>
      </c>
      <c r="H2204" t="s">
        <v>3808</v>
      </c>
      <c r="I2204" t="s">
        <v>3839</v>
      </c>
      <c r="J2204" t="s">
        <v>3840</v>
      </c>
      <c r="K2204" t="s">
        <v>1218</v>
      </c>
      <c r="L2204" s="13">
        <v>42360</v>
      </c>
      <c r="M2204">
        <v>8</v>
      </c>
      <c r="N2204" t="s">
        <v>79</v>
      </c>
      <c r="O2204" t="s">
        <v>3909</v>
      </c>
      <c r="P2204" t="s">
        <v>76</v>
      </c>
      <c r="Q2204" t="s">
        <v>76</v>
      </c>
      <c r="R2204" t="s">
        <v>76</v>
      </c>
      <c r="S2204" t="s">
        <v>76</v>
      </c>
      <c r="T2204" t="s">
        <v>76</v>
      </c>
      <c r="U2204">
        <v>1</v>
      </c>
      <c r="V2204" s="13">
        <v>45175</v>
      </c>
      <c r="W2204">
        <v>1</v>
      </c>
      <c r="X2204">
        <v>1</v>
      </c>
      <c r="Y2204" t="s">
        <v>3666</v>
      </c>
      <c r="AC2204">
        <v>5862</v>
      </c>
      <c r="AD2204" t="e" vm="2194">
        <v>#VALUE!</v>
      </c>
    </row>
    <row r="2205" spans="2:30" x14ac:dyDescent="0.25">
      <c r="B2205">
        <v>5863</v>
      </c>
      <c r="C2205" t="s">
        <v>3662</v>
      </c>
      <c r="D2205" t="s">
        <v>3665</v>
      </c>
      <c r="E2205" t="s">
        <v>3815</v>
      </c>
      <c r="F2205" t="s">
        <v>92</v>
      </c>
      <c r="G2205" t="s">
        <v>96</v>
      </c>
      <c r="H2205" t="s">
        <v>3808</v>
      </c>
      <c r="I2205" t="s">
        <v>3839</v>
      </c>
      <c r="J2205" t="s">
        <v>3840</v>
      </c>
      <c r="K2205" t="s">
        <v>1218</v>
      </c>
      <c r="L2205" s="13">
        <v>42500</v>
      </c>
      <c r="M2205">
        <v>7</v>
      </c>
      <c r="N2205" t="s">
        <v>79</v>
      </c>
      <c r="O2205" t="s">
        <v>3909</v>
      </c>
      <c r="P2205" t="s">
        <v>76</v>
      </c>
      <c r="Q2205" t="s">
        <v>76</v>
      </c>
      <c r="R2205" t="s">
        <v>76</v>
      </c>
      <c r="S2205" t="s">
        <v>76</v>
      </c>
      <c r="T2205" t="s">
        <v>76</v>
      </c>
      <c r="U2205">
        <v>1</v>
      </c>
      <c r="V2205" s="13">
        <v>45175</v>
      </c>
      <c r="W2205">
        <v>1</v>
      </c>
      <c r="X2205">
        <v>1</v>
      </c>
      <c r="Y2205" t="s">
        <v>3666</v>
      </c>
      <c r="AC2205">
        <v>5863</v>
      </c>
      <c r="AD2205" t="e" vm="2195">
        <v>#VALUE!</v>
      </c>
    </row>
    <row r="2206" spans="2:30" x14ac:dyDescent="0.25">
      <c r="B2206">
        <v>5864</v>
      </c>
      <c r="C2206" t="s">
        <v>3662</v>
      </c>
      <c r="D2206" t="s">
        <v>3665</v>
      </c>
      <c r="E2206" t="s">
        <v>3815</v>
      </c>
      <c r="F2206" t="s">
        <v>92</v>
      </c>
      <c r="G2206" t="s">
        <v>96</v>
      </c>
      <c r="H2206" t="s">
        <v>3808</v>
      </c>
      <c r="I2206" t="s">
        <v>3839</v>
      </c>
      <c r="J2206" t="s">
        <v>3840</v>
      </c>
      <c r="K2206" t="s">
        <v>1218</v>
      </c>
      <c r="L2206" s="13">
        <v>42360</v>
      </c>
      <c r="M2206">
        <v>8</v>
      </c>
      <c r="N2206" t="s">
        <v>79</v>
      </c>
      <c r="O2206" t="s">
        <v>3909</v>
      </c>
      <c r="P2206" t="s">
        <v>76</v>
      </c>
      <c r="Q2206" t="s">
        <v>76</v>
      </c>
      <c r="R2206" t="s">
        <v>76</v>
      </c>
      <c r="S2206" t="s">
        <v>76</v>
      </c>
      <c r="T2206" t="s">
        <v>76</v>
      </c>
      <c r="U2206">
        <v>1</v>
      </c>
      <c r="V2206" s="13">
        <v>45175</v>
      </c>
      <c r="W2206">
        <v>1</v>
      </c>
      <c r="X2206">
        <v>1</v>
      </c>
      <c r="Y2206" t="s">
        <v>3666</v>
      </c>
      <c r="AC2206">
        <v>5864</v>
      </c>
      <c r="AD2206" t="e" vm="2196">
        <v>#VALUE!</v>
      </c>
    </row>
    <row r="2207" spans="2:30" x14ac:dyDescent="0.25">
      <c r="B2207">
        <v>5865</v>
      </c>
      <c r="C2207" t="s">
        <v>3662</v>
      </c>
      <c r="D2207" t="s">
        <v>3665</v>
      </c>
      <c r="E2207" t="s">
        <v>3815</v>
      </c>
      <c r="F2207" t="s">
        <v>92</v>
      </c>
      <c r="G2207" t="s">
        <v>96</v>
      </c>
      <c r="H2207" t="s">
        <v>3808</v>
      </c>
      <c r="I2207" t="s">
        <v>3839</v>
      </c>
      <c r="J2207" t="s">
        <v>3840</v>
      </c>
      <c r="K2207" t="s">
        <v>1218</v>
      </c>
      <c r="L2207" s="13">
        <v>42360</v>
      </c>
      <c r="M2207">
        <v>8</v>
      </c>
      <c r="N2207" t="s">
        <v>79</v>
      </c>
      <c r="O2207" t="s">
        <v>3909</v>
      </c>
      <c r="P2207" t="s">
        <v>76</v>
      </c>
      <c r="Q2207" t="s">
        <v>76</v>
      </c>
      <c r="R2207" t="s">
        <v>76</v>
      </c>
      <c r="S2207" t="s">
        <v>76</v>
      </c>
      <c r="T2207" t="s">
        <v>76</v>
      </c>
      <c r="U2207">
        <v>1</v>
      </c>
      <c r="V2207" s="13">
        <v>45175</v>
      </c>
      <c r="W2207">
        <v>1</v>
      </c>
      <c r="X2207">
        <v>1</v>
      </c>
      <c r="Y2207" t="s">
        <v>3666</v>
      </c>
      <c r="AC2207">
        <v>5865</v>
      </c>
      <c r="AD2207" t="e" vm="2197">
        <v>#VALUE!</v>
      </c>
    </row>
    <row r="2208" spans="2:30" x14ac:dyDescent="0.25">
      <c r="B2208">
        <v>5866</v>
      </c>
      <c r="C2208" t="s">
        <v>3668</v>
      </c>
      <c r="D2208" t="s">
        <v>3671</v>
      </c>
      <c r="E2208" t="s">
        <v>3818</v>
      </c>
      <c r="F2208" t="s">
        <v>83</v>
      </c>
      <c r="G2208" t="s">
        <v>77</v>
      </c>
      <c r="H2208" t="s">
        <v>3808</v>
      </c>
      <c r="I2208" t="s">
        <v>3839</v>
      </c>
      <c r="J2208" t="s">
        <v>3840</v>
      </c>
      <c r="K2208" t="s">
        <v>1218</v>
      </c>
      <c r="L2208" s="13">
        <v>42360</v>
      </c>
      <c r="M2208">
        <v>8</v>
      </c>
      <c r="N2208" t="s">
        <v>82</v>
      </c>
      <c r="O2208" t="s">
        <v>3909</v>
      </c>
      <c r="P2208" t="s">
        <v>76</v>
      </c>
      <c r="Q2208" t="s">
        <v>76</v>
      </c>
      <c r="R2208" t="s">
        <v>76</v>
      </c>
      <c r="S2208" t="s">
        <v>76</v>
      </c>
      <c r="T2208" t="s">
        <v>76</v>
      </c>
      <c r="U2208">
        <v>1</v>
      </c>
      <c r="V2208" s="13">
        <v>45175</v>
      </c>
      <c r="W2208">
        <v>1</v>
      </c>
      <c r="X2208">
        <v>1</v>
      </c>
      <c r="Y2208" t="s">
        <v>3672</v>
      </c>
      <c r="AC2208">
        <v>5866</v>
      </c>
      <c r="AD2208" t="e" vm="2198">
        <v>#VALUE!</v>
      </c>
    </row>
    <row r="2209" spans="2:30" x14ac:dyDescent="0.25">
      <c r="B2209">
        <v>5867</v>
      </c>
      <c r="C2209" t="s">
        <v>3668</v>
      </c>
      <c r="D2209" t="s">
        <v>3671</v>
      </c>
      <c r="E2209" t="s">
        <v>3818</v>
      </c>
      <c r="F2209" t="s">
        <v>83</v>
      </c>
      <c r="G2209" t="s">
        <v>77</v>
      </c>
      <c r="H2209" t="s">
        <v>3808</v>
      </c>
      <c r="I2209" t="s">
        <v>3839</v>
      </c>
      <c r="J2209" t="s">
        <v>3840</v>
      </c>
      <c r="K2209" t="s">
        <v>1218</v>
      </c>
      <c r="L2209" s="13">
        <v>42459</v>
      </c>
      <c r="M2209">
        <v>7</v>
      </c>
      <c r="N2209" t="s">
        <v>82</v>
      </c>
      <c r="O2209" t="s">
        <v>3909</v>
      </c>
      <c r="P2209" t="s">
        <v>76</v>
      </c>
      <c r="Q2209" t="s">
        <v>76</v>
      </c>
      <c r="R2209" t="s">
        <v>76</v>
      </c>
      <c r="S2209" t="s">
        <v>76</v>
      </c>
      <c r="T2209" t="s">
        <v>76</v>
      </c>
      <c r="U2209">
        <v>1</v>
      </c>
      <c r="V2209" s="13">
        <v>45175</v>
      </c>
      <c r="W2209">
        <v>1</v>
      </c>
      <c r="X2209">
        <v>1</v>
      </c>
      <c r="Y2209" t="s">
        <v>3672</v>
      </c>
      <c r="AC2209">
        <v>5867</v>
      </c>
      <c r="AD2209" t="e" vm="2199">
        <v>#VALUE!</v>
      </c>
    </row>
    <row r="2210" spans="2:30" x14ac:dyDescent="0.25">
      <c r="B2210">
        <v>5868</v>
      </c>
      <c r="C2210" t="s">
        <v>3668</v>
      </c>
      <c r="D2210" t="s">
        <v>3671</v>
      </c>
      <c r="E2210" t="s">
        <v>3818</v>
      </c>
      <c r="F2210" t="s">
        <v>83</v>
      </c>
      <c r="G2210" t="s">
        <v>77</v>
      </c>
      <c r="H2210" t="s">
        <v>3808</v>
      </c>
      <c r="I2210" t="s">
        <v>3839</v>
      </c>
      <c r="J2210" t="s">
        <v>3840</v>
      </c>
      <c r="K2210" t="s">
        <v>1218</v>
      </c>
      <c r="L2210" s="13">
        <v>42459</v>
      </c>
      <c r="M2210">
        <v>7</v>
      </c>
      <c r="N2210" t="s">
        <v>82</v>
      </c>
      <c r="O2210" t="s">
        <v>3909</v>
      </c>
      <c r="P2210" t="s">
        <v>76</v>
      </c>
      <c r="Q2210" t="s">
        <v>76</v>
      </c>
      <c r="R2210" t="s">
        <v>76</v>
      </c>
      <c r="S2210" t="s">
        <v>76</v>
      </c>
      <c r="T2210" t="s">
        <v>76</v>
      </c>
      <c r="U2210">
        <v>1</v>
      </c>
      <c r="V2210" s="13">
        <v>45175</v>
      </c>
      <c r="W2210">
        <v>1</v>
      </c>
      <c r="X2210">
        <v>1</v>
      </c>
      <c r="Y2210" t="s">
        <v>3672</v>
      </c>
      <c r="AC2210">
        <v>5868</v>
      </c>
      <c r="AD2210" t="e" vm="2200">
        <v>#VALUE!</v>
      </c>
    </row>
    <row r="2211" spans="2:30" x14ac:dyDescent="0.25">
      <c r="B2211">
        <v>5869</v>
      </c>
      <c r="C2211" t="s">
        <v>3668</v>
      </c>
      <c r="D2211" t="s">
        <v>3671</v>
      </c>
      <c r="E2211" t="s">
        <v>3818</v>
      </c>
      <c r="F2211" t="s">
        <v>83</v>
      </c>
      <c r="G2211" t="s">
        <v>77</v>
      </c>
      <c r="H2211" t="s">
        <v>3808</v>
      </c>
      <c r="I2211" t="s">
        <v>3839</v>
      </c>
      <c r="J2211" t="s">
        <v>3840</v>
      </c>
      <c r="K2211" t="s">
        <v>1218</v>
      </c>
      <c r="L2211" s="13">
        <v>42459</v>
      </c>
      <c r="M2211">
        <v>7</v>
      </c>
      <c r="N2211" t="s">
        <v>82</v>
      </c>
      <c r="O2211" t="s">
        <v>3909</v>
      </c>
      <c r="P2211" t="s">
        <v>76</v>
      </c>
      <c r="Q2211" t="s">
        <v>76</v>
      </c>
      <c r="R2211" t="s">
        <v>76</v>
      </c>
      <c r="S2211" t="s">
        <v>76</v>
      </c>
      <c r="T2211" t="s">
        <v>76</v>
      </c>
      <c r="U2211">
        <v>1</v>
      </c>
      <c r="V2211" s="13">
        <v>45175</v>
      </c>
      <c r="W2211">
        <v>1</v>
      </c>
      <c r="X2211">
        <v>1</v>
      </c>
      <c r="Y2211" t="s">
        <v>3672</v>
      </c>
      <c r="AC2211">
        <v>5869</v>
      </c>
      <c r="AD2211" t="e" vm="2201">
        <v>#VALUE!</v>
      </c>
    </row>
    <row r="2212" spans="2:30" x14ac:dyDescent="0.25">
      <c r="B2212">
        <v>5870</v>
      </c>
      <c r="C2212" t="s">
        <v>3668</v>
      </c>
      <c r="D2212" t="s">
        <v>3671</v>
      </c>
      <c r="E2212" t="s">
        <v>3818</v>
      </c>
      <c r="F2212" t="s">
        <v>83</v>
      </c>
      <c r="G2212" t="s">
        <v>77</v>
      </c>
      <c r="H2212" t="s">
        <v>3808</v>
      </c>
      <c r="I2212" t="s">
        <v>3839</v>
      </c>
      <c r="J2212" t="s">
        <v>3840</v>
      </c>
      <c r="K2212" t="s">
        <v>1218</v>
      </c>
      <c r="L2212" s="13">
        <v>42459</v>
      </c>
      <c r="M2212">
        <v>7</v>
      </c>
      <c r="N2212" t="s">
        <v>82</v>
      </c>
      <c r="O2212" t="s">
        <v>3909</v>
      </c>
      <c r="P2212" t="s">
        <v>76</v>
      </c>
      <c r="Q2212" t="s">
        <v>76</v>
      </c>
      <c r="R2212" t="s">
        <v>76</v>
      </c>
      <c r="S2212" t="s">
        <v>76</v>
      </c>
      <c r="T2212" t="s">
        <v>76</v>
      </c>
      <c r="U2212">
        <v>1</v>
      </c>
      <c r="V2212" s="13">
        <v>45175</v>
      </c>
      <c r="W2212">
        <v>1</v>
      </c>
      <c r="X2212">
        <v>1</v>
      </c>
      <c r="Y2212" t="s">
        <v>3672</v>
      </c>
      <c r="AC2212">
        <v>5870</v>
      </c>
      <c r="AD2212" t="e" vm="2202">
        <v>#VALUE!</v>
      </c>
    </row>
    <row r="2213" spans="2:30" x14ac:dyDescent="0.25">
      <c r="B2213">
        <v>5871</v>
      </c>
      <c r="C2213" t="s">
        <v>3668</v>
      </c>
      <c r="D2213" t="s">
        <v>3671</v>
      </c>
      <c r="E2213" t="s">
        <v>3818</v>
      </c>
      <c r="F2213" t="s">
        <v>83</v>
      </c>
      <c r="G2213" t="s">
        <v>77</v>
      </c>
      <c r="H2213" t="s">
        <v>3808</v>
      </c>
      <c r="I2213" t="s">
        <v>3839</v>
      </c>
      <c r="J2213" t="s">
        <v>3840</v>
      </c>
      <c r="K2213" t="s">
        <v>1218</v>
      </c>
      <c r="L2213" s="13">
        <v>42459</v>
      </c>
      <c r="M2213">
        <v>7</v>
      </c>
      <c r="N2213" t="s">
        <v>82</v>
      </c>
      <c r="O2213" t="s">
        <v>3909</v>
      </c>
      <c r="P2213" t="s">
        <v>76</v>
      </c>
      <c r="Q2213" t="s">
        <v>76</v>
      </c>
      <c r="R2213" t="s">
        <v>76</v>
      </c>
      <c r="S2213" t="s">
        <v>76</v>
      </c>
      <c r="T2213" t="s">
        <v>76</v>
      </c>
      <c r="U2213">
        <v>1</v>
      </c>
      <c r="V2213" s="13">
        <v>45175</v>
      </c>
      <c r="W2213">
        <v>1</v>
      </c>
      <c r="X2213">
        <v>1</v>
      </c>
      <c r="Y2213" t="s">
        <v>3672</v>
      </c>
      <c r="AC2213">
        <v>5871</v>
      </c>
      <c r="AD2213" t="e" vm="2203">
        <v>#VALUE!</v>
      </c>
    </row>
    <row r="2214" spans="2:30" x14ac:dyDescent="0.25">
      <c r="B2214">
        <v>5872</v>
      </c>
      <c r="C2214" t="s">
        <v>3668</v>
      </c>
      <c r="D2214" t="s">
        <v>3671</v>
      </c>
      <c r="E2214" t="s">
        <v>3818</v>
      </c>
      <c r="F2214" t="s">
        <v>83</v>
      </c>
      <c r="G2214" t="s">
        <v>77</v>
      </c>
      <c r="H2214" t="s">
        <v>3808</v>
      </c>
      <c r="I2214" t="s">
        <v>3839</v>
      </c>
      <c r="J2214" t="s">
        <v>3840</v>
      </c>
      <c r="K2214" t="s">
        <v>1218</v>
      </c>
      <c r="L2214" s="13">
        <v>42459</v>
      </c>
      <c r="M2214">
        <v>7</v>
      </c>
      <c r="N2214" t="s">
        <v>82</v>
      </c>
      <c r="O2214" t="s">
        <v>3909</v>
      </c>
      <c r="P2214" t="s">
        <v>76</v>
      </c>
      <c r="Q2214" t="s">
        <v>76</v>
      </c>
      <c r="R2214" t="s">
        <v>76</v>
      </c>
      <c r="S2214" t="s">
        <v>76</v>
      </c>
      <c r="T2214" t="s">
        <v>76</v>
      </c>
      <c r="U2214">
        <v>1</v>
      </c>
      <c r="V2214" s="13">
        <v>45175</v>
      </c>
      <c r="W2214">
        <v>1</v>
      </c>
      <c r="X2214">
        <v>1</v>
      </c>
      <c r="Y2214" t="s">
        <v>3672</v>
      </c>
      <c r="AC2214">
        <v>5872</v>
      </c>
      <c r="AD2214" t="e" vm="2204">
        <v>#VALUE!</v>
      </c>
    </row>
    <row r="2215" spans="2:30" x14ac:dyDescent="0.25">
      <c r="B2215">
        <v>5873</v>
      </c>
      <c r="C2215" t="s">
        <v>3668</v>
      </c>
      <c r="D2215" t="s">
        <v>3671</v>
      </c>
      <c r="E2215" t="s">
        <v>3818</v>
      </c>
      <c r="F2215" t="s">
        <v>83</v>
      </c>
      <c r="G2215" t="s">
        <v>77</v>
      </c>
      <c r="H2215" t="s">
        <v>3808</v>
      </c>
      <c r="I2215" t="s">
        <v>3839</v>
      </c>
      <c r="J2215" t="s">
        <v>3840</v>
      </c>
      <c r="K2215" t="s">
        <v>1218</v>
      </c>
      <c r="L2215" s="13">
        <v>42459</v>
      </c>
      <c r="M2215">
        <v>7</v>
      </c>
      <c r="N2215" t="s">
        <v>82</v>
      </c>
      <c r="O2215" t="s">
        <v>3909</v>
      </c>
      <c r="P2215" t="s">
        <v>76</v>
      </c>
      <c r="Q2215" t="s">
        <v>76</v>
      </c>
      <c r="R2215" t="s">
        <v>76</v>
      </c>
      <c r="S2215" t="s">
        <v>76</v>
      </c>
      <c r="T2215" t="s">
        <v>76</v>
      </c>
      <c r="U2215">
        <v>1</v>
      </c>
      <c r="V2215" s="13">
        <v>45175</v>
      </c>
      <c r="W2215">
        <v>1</v>
      </c>
      <c r="X2215">
        <v>1</v>
      </c>
      <c r="Y2215" t="s">
        <v>3672</v>
      </c>
      <c r="AC2215">
        <v>5873</v>
      </c>
      <c r="AD2215" t="e" vm="2205">
        <v>#VALUE!</v>
      </c>
    </row>
    <row r="2216" spans="2:30" x14ac:dyDescent="0.25">
      <c r="B2216">
        <v>5874</v>
      </c>
      <c r="C2216" t="s">
        <v>3668</v>
      </c>
      <c r="D2216" t="s">
        <v>3671</v>
      </c>
      <c r="E2216" t="s">
        <v>3818</v>
      </c>
      <c r="F2216" t="s">
        <v>83</v>
      </c>
      <c r="G2216" t="s">
        <v>77</v>
      </c>
      <c r="H2216" t="s">
        <v>3808</v>
      </c>
      <c r="I2216" t="s">
        <v>3839</v>
      </c>
      <c r="J2216" t="s">
        <v>3840</v>
      </c>
      <c r="K2216" t="s">
        <v>1218</v>
      </c>
      <c r="L2216" s="13">
        <v>42459</v>
      </c>
      <c r="M2216">
        <v>7</v>
      </c>
      <c r="N2216" t="s">
        <v>82</v>
      </c>
      <c r="O2216" t="s">
        <v>3909</v>
      </c>
      <c r="P2216" t="s">
        <v>76</v>
      </c>
      <c r="Q2216" t="s">
        <v>76</v>
      </c>
      <c r="R2216" t="s">
        <v>76</v>
      </c>
      <c r="S2216" t="s">
        <v>76</v>
      </c>
      <c r="T2216" t="s">
        <v>76</v>
      </c>
      <c r="U2216">
        <v>1</v>
      </c>
      <c r="V2216" s="13">
        <v>45175</v>
      </c>
      <c r="W2216">
        <v>1</v>
      </c>
      <c r="X2216">
        <v>1</v>
      </c>
      <c r="Y2216" t="s">
        <v>3672</v>
      </c>
      <c r="AC2216">
        <v>5874</v>
      </c>
      <c r="AD2216" t="e" vm="2206">
        <v>#VALUE!</v>
      </c>
    </row>
    <row r="2217" spans="2:30" x14ac:dyDescent="0.25">
      <c r="B2217">
        <v>5875</v>
      </c>
      <c r="C2217" t="s">
        <v>3668</v>
      </c>
      <c r="D2217" t="s">
        <v>3671</v>
      </c>
      <c r="E2217" t="s">
        <v>3818</v>
      </c>
      <c r="F2217" t="s">
        <v>83</v>
      </c>
      <c r="G2217" t="s">
        <v>77</v>
      </c>
      <c r="H2217" t="s">
        <v>3808</v>
      </c>
      <c r="I2217" t="s">
        <v>3839</v>
      </c>
      <c r="J2217" t="s">
        <v>3840</v>
      </c>
      <c r="K2217" t="s">
        <v>1218</v>
      </c>
      <c r="L2217" s="13">
        <v>42459</v>
      </c>
      <c r="M2217">
        <v>7</v>
      </c>
      <c r="N2217" t="s">
        <v>82</v>
      </c>
      <c r="O2217" t="s">
        <v>3909</v>
      </c>
      <c r="P2217" t="s">
        <v>76</v>
      </c>
      <c r="Q2217" t="s">
        <v>76</v>
      </c>
      <c r="R2217" t="s">
        <v>76</v>
      </c>
      <c r="S2217" t="s">
        <v>76</v>
      </c>
      <c r="T2217" t="s">
        <v>76</v>
      </c>
      <c r="U2217">
        <v>1</v>
      </c>
      <c r="V2217" s="13">
        <v>45175</v>
      </c>
      <c r="W2217">
        <v>1</v>
      </c>
      <c r="X2217">
        <v>1</v>
      </c>
      <c r="Y2217" t="s">
        <v>3672</v>
      </c>
      <c r="AC2217">
        <v>5875</v>
      </c>
      <c r="AD2217" t="e" vm="2207">
        <v>#VALUE!</v>
      </c>
    </row>
    <row r="2218" spans="2:30" x14ac:dyDescent="0.25">
      <c r="B2218">
        <v>5877</v>
      </c>
      <c r="C2218" t="s">
        <v>3646</v>
      </c>
      <c r="D2218" t="s">
        <v>3682</v>
      </c>
      <c r="E2218" t="s">
        <v>3826</v>
      </c>
      <c r="F2218" t="s">
        <v>81</v>
      </c>
      <c r="G2218" t="s">
        <v>100</v>
      </c>
      <c r="H2218" t="s">
        <v>3808</v>
      </c>
      <c r="I2218" t="s">
        <v>3809</v>
      </c>
      <c r="J2218" t="s">
        <v>3910</v>
      </c>
      <c r="K2218" t="s">
        <v>1218</v>
      </c>
      <c r="L2218" s="13">
        <v>42549</v>
      </c>
      <c r="M2218">
        <v>7</v>
      </c>
      <c r="N2218" t="s">
        <v>90</v>
      </c>
      <c r="O2218" t="s">
        <v>3911</v>
      </c>
      <c r="P2218" t="s">
        <v>76</v>
      </c>
      <c r="Q2218" t="s">
        <v>76</v>
      </c>
      <c r="R2218" t="s">
        <v>76</v>
      </c>
      <c r="S2218" t="s">
        <v>76</v>
      </c>
      <c r="T2218" t="s">
        <v>76</v>
      </c>
      <c r="U2218">
        <v>1</v>
      </c>
      <c r="V2218" s="13">
        <v>45175</v>
      </c>
      <c r="W2218">
        <v>1</v>
      </c>
      <c r="X2218">
        <v>1</v>
      </c>
      <c r="Y2218" t="s">
        <v>3683</v>
      </c>
      <c r="AC2218">
        <v>5877</v>
      </c>
      <c r="AD2218" t="e" vm="2208">
        <v>#VALUE!</v>
      </c>
    </row>
    <row r="2219" spans="2:30" x14ac:dyDescent="0.25">
      <c r="B2219">
        <v>5878</v>
      </c>
      <c r="C2219" t="s">
        <v>3646</v>
      </c>
      <c r="D2219" t="s">
        <v>3682</v>
      </c>
      <c r="E2219" t="s">
        <v>3826</v>
      </c>
      <c r="F2219" t="s">
        <v>81</v>
      </c>
      <c r="G2219" t="s">
        <v>100</v>
      </c>
      <c r="H2219" t="s">
        <v>3808</v>
      </c>
      <c r="I2219" t="s">
        <v>3809</v>
      </c>
      <c r="J2219" t="s">
        <v>3910</v>
      </c>
      <c r="K2219" t="s">
        <v>1218</v>
      </c>
      <c r="L2219" s="13">
        <v>42546</v>
      </c>
      <c r="M2219">
        <v>7</v>
      </c>
      <c r="N2219" t="s">
        <v>90</v>
      </c>
      <c r="O2219" t="s">
        <v>3911</v>
      </c>
      <c r="P2219" t="s">
        <v>76</v>
      </c>
      <c r="Q2219" t="s">
        <v>76</v>
      </c>
      <c r="R2219" t="s">
        <v>76</v>
      </c>
      <c r="S2219" t="s">
        <v>76</v>
      </c>
      <c r="T2219" t="s">
        <v>76</v>
      </c>
      <c r="U2219">
        <v>1</v>
      </c>
      <c r="V2219" s="13">
        <v>45175</v>
      </c>
      <c r="W2219">
        <v>1</v>
      </c>
      <c r="X2219">
        <v>1</v>
      </c>
      <c r="Y2219" t="s">
        <v>3683</v>
      </c>
      <c r="AC2219">
        <v>5878</v>
      </c>
      <c r="AD2219" t="e" vm="2209">
        <v>#VALUE!</v>
      </c>
    </row>
    <row r="2220" spans="2:30" x14ac:dyDescent="0.25">
      <c r="B2220">
        <v>5879</v>
      </c>
      <c r="C2220" t="s">
        <v>3646</v>
      </c>
      <c r="D2220" t="s">
        <v>3682</v>
      </c>
      <c r="E2220" t="s">
        <v>3826</v>
      </c>
      <c r="F2220" t="s">
        <v>81</v>
      </c>
      <c r="G2220" t="s">
        <v>100</v>
      </c>
      <c r="H2220" t="s">
        <v>3808</v>
      </c>
      <c r="I2220" t="s">
        <v>3809</v>
      </c>
      <c r="J2220" t="s">
        <v>3910</v>
      </c>
      <c r="K2220" t="s">
        <v>1218</v>
      </c>
      <c r="L2220" s="13">
        <v>42548</v>
      </c>
      <c r="M2220">
        <v>7</v>
      </c>
      <c r="N2220" t="s">
        <v>90</v>
      </c>
      <c r="O2220" t="s">
        <v>3911</v>
      </c>
      <c r="P2220" t="s">
        <v>76</v>
      </c>
      <c r="Q2220" t="s">
        <v>76</v>
      </c>
      <c r="R2220" t="s">
        <v>76</v>
      </c>
      <c r="S2220" t="s">
        <v>76</v>
      </c>
      <c r="T2220" t="s">
        <v>76</v>
      </c>
      <c r="U2220">
        <v>1</v>
      </c>
      <c r="V2220" s="13">
        <v>45175</v>
      </c>
      <c r="W2220">
        <v>1</v>
      </c>
      <c r="X2220">
        <v>1</v>
      </c>
      <c r="Y2220" t="s">
        <v>3683</v>
      </c>
      <c r="AC2220">
        <v>5879</v>
      </c>
      <c r="AD2220" t="e" vm="2210">
        <v>#VALUE!</v>
      </c>
    </row>
    <row r="2221" spans="2:30" x14ac:dyDescent="0.25">
      <c r="B2221">
        <v>5880</v>
      </c>
      <c r="C2221" t="s">
        <v>3646</v>
      </c>
      <c r="D2221" t="s">
        <v>3682</v>
      </c>
      <c r="E2221" t="s">
        <v>3826</v>
      </c>
      <c r="F2221" t="s">
        <v>81</v>
      </c>
      <c r="G2221" t="s">
        <v>100</v>
      </c>
      <c r="H2221" t="s">
        <v>3808</v>
      </c>
      <c r="I2221" t="s">
        <v>3809</v>
      </c>
      <c r="J2221" t="s">
        <v>3910</v>
      </c>
      <c r="K2221" t="s">
        <v>1218</v>
      </c>
      <c r="L2221" s="13">
        <v>42496</v>
      </c>
      <c r="M2221">
        <v>7</v>
      </c>
      <c r="N2221" t="s">
        <v>90</v>
      </c>
      <c r="O2221" t="s">
        <v>3911</v>
      </c>
      <c r="P2221" t="s">
        <v>76</v>
      </c>
      <c r="Q2221" t="s">
        <v>76</v>
      </c>
      <c r="R2221" t="s">
        <v>76</v>
      </c>
      <c r="S2221" t="s">
        <v>76</v>
      </c>
      <c r="T2221" t="s">
        <v>76</v>
      </c>
      <c r="U2221">
        <v>1</v>
      </c>
      <c r="V2221" s="13">
        <v>45175</v>
      </c>
      <c r="W2221">
        <v>1</v>
      </c>
      <c r="X2221">
        <v>1</v>
      </c>
      <c r="Y2221" t="s">
        <v>3683</v>
      </c>
      <c r="AC2221">
        <v>5880</v>
      </c>
      <c r="AD2221" t="e" vm="2211">
        <v>#VALUE!</v>
      </c>
    </row>
    <row r="2222" spans="2:30" x14ac:dyDescent="0.25">
      <c r="B2222">
        <v>5881</v>
      </c>
      <c r="C2222" t="s">
        <v>3646</v>
      </c>
      <c r="D2222" t="s">
        <v>3682</v>
      </c>
      <c r="E2222" t="s">
        <v>3826</v>
      </c>
      <c r="F2222" t="s">
        <v>81</v>
      </c>
      <c r="G2222" t="s">
        <v>100</v>
      </c>
      <c r="H2222" t="s">
        <v>3808</v>
      </c>
      <c r="I2222" t="s">
        <v>3809</v>
      </c>
      <c r="J2222" t="s">
        <v>3910</v>
      </c>
      <c r="K2222" t="s">
        <v>1218</v>
      </c>
      <c r="L2222" s="13">
        <v>42312</v>
      </c>
      <c r="M2222">
        <v>8</v>
      </c>
      <c r="N2222" t="s">
        <v>90</v>
      </c>
      <c r="O2222" t="s">
        <v>3911</v>
      </c>
      <c r="P2222" t="s">
        <v>76</v>
      </c>
      <c r="Q2222" t="s">
        <v>76</v>
      </c>
      <c r="R2222" t="s">
        <v>76</v>
      </c>
      <c r="S2222" t="s">
        <v>76</v>
      </c>
      <c r="T2222" t="s">
        <v>76</v>
      </c>
      <c r="U2222">
        <v>1</v>
      </c>
      <c r="V2222" s="13">
        <v>45175</v>
      </c>
      <c r="W2222">
        <v>1</v>
      </c>
      <c r="X2222">
        <v>1</v>
      </c>
      <c r="Y2222" t="s">
        <v>3683</v>
      </c>
      <c r="AC2222">
        <v>5881</v>
      </c>
      <c r="AD2222" t="e" vm="2212">
        <v>#VALUE!</v>
      </c>
    </row>
    <row r="2223" spans="2:30" x14ac:dyDescent="0.25">
      <c r="B2223">
        <v>5882</v>
      </c>
      <c r="C2223" t="s">
        <v>3646</v>
      </c>
      <c r="D2223" t="s">
        <v>3682</v>
      </c>
      <c r="E2223" t="s">
        <v>3826</v>
      </c>
      <c r="F2223" t="s">
        <v>81</v>
      </c>
      <c r="G2223" t="s">
        <v>100</v>
      </c>
      <c r="H2223" t="s">
        <v>3808</v>
      </c>
      <c r="I2223" t="s">
        <v>3809</v>
      </c>
      <c r="J2223" t="s">
        <v>3910</v>
      </c>
      <c r="K2223" t="s">
        <v>1218</v>
      </c>
      <c r="L2223" s="13">
        <v>42317</v>
      </c>
      <c r="M2223">
        <v>8</v>
      </c>
      <c r="N2223" t="s">
        <v>90</v>
      </c>
      <c r="O2223" t="s">
        <v>3911</v>
      </c>
      <c r="P2223" t="s">
        <v>76</v>
      </c>
      <c r="Q2223" t="s">
        <v>76</v>
      </c>
      <c r="R2223" t="s">
        <v>76</v>
      </c>
      <c r="S2223" t="s">
        <v>76</v>
      </c>
      <c r="T2223" t="s">
        <v>76</v>
      </c>
      <c r="U2223">
        <v>1</v>
      </c>
      <c r="V2223" s="13">
        <v>45175</v>
      </c>
      <c r="W2223">
        <v>1</v>
      </c>
      <c r="X2223">
        <v>1</v>
      </c>
      <c r="Y2223" t="s">
        <v>3683</v>
      </c>
      <c r="AC2223">
        <v>5882</v>
      </c>
      <c r="AD2223" t="e" vm="2213">
        <v>#VALUE!</v>
      </c>
    </row>
    <row r="2224" spans="2:30" x14ac:dyDescent="0.25">
      <c r="B2224">
        <v>5883</v>
      </c>
      <c r="C2224" t="s">
        <v>3646</v>
      </c>
      <c r="D2224" t="s">
        <v>3682</v>
      </c>
      <c r="E2224" t="s">
        <v>3826</v>
      </c>
      <c r="F2224" t="s">
        <v>81</v>
      </c>
      <c r="G2224" t="s">
        <v>100</v>
      </c>
      <c r="H2224" t="s">
        <v>3808</v>
      </c>
      <c r="I2224" t="s">
        <v>3809</v>
      </c>
      <c r="J2224" t="s">
        <v>3910</v>
      </c>
      <c r="K2224" t="s">
        <v>1218</v>
      </c>
      <c r="L2224" s="13">
        <v>42321</v>
      </c>
      <c r="M2224">
        <v>8</v>
      </c>
      <c r="N2224" t="s">
        <v>90</v>
      </c>
      <c r="O2224" t="s">
        <v>3911</v>
      </c>
      <c r="P2224" t="s">
        <v>76</v>
      </c>
      <c r="Q2224" t="s">
        <v>76</v>
      </c>
      <c r="R2224" t="s">
        <v>76</v>
      </c>
      <c r="S2224" t="s">
        <v>76</v>
      </c>
      <c r="T2224" t="s">
        <v>76</v>
      </c>
      <c r="U2224">
        <v>1</v>
      </c>
      <c r="V2224" s="13">
        <v>45175</v>
      </c>
      <c r="W2224">
        <v>1</v>
      </c>
      <c r="X2224">
        <v>1</v>
      </c>
      <c r="Y2224" t="s">
        <v>3683</v>
      </c>
      <c r="AC2224">
        <v>5883</v>
      </c>
      <c r="AD2224" t="e" vm="2214">
        <v>#VALUE!</v>
      </c>
    </row>
    <row r="2225" spans="2:30" x14ac:dyDescent="0.25">
      <c r="B2225">
        <v>5884</v>
      </c>
      <c r="C2225" t="s">
        <v>3646</v>
      </c>
      <c r="D2225" t="s">
        <v>3682</v>
      </c>
      <c r="E2225" t="s">
        <v>3826</v>
      </c>
      <c r="F2225" t="s">
        <v>81</v>
      </c>
      <c r="G2225" t="s">
        <v>100</v>
      </c>
      <c r="H2225" t="s">
        <v>3808</v>
      </c>
      <c r="I2225" t="s">
        <v>3809</v>
      </c>
      <c r="J2225" t="s">
        <v>3910</v>
      </c>
      <c r="K2225" t="s">
        <v>1218</v>
      </c>
      <c r="L2225" s="13">
        <v>42317</v>
      </c>
      <c r="M2225">
        <v>8</v>
      </c>
      <c r="N2225" t="s">
        <v>90</v>
      </c>
      <c r="O2225" t="s">
        <v>3911</v>
      </c>
      <c r="P2225" t="s">
        <v>76</v>
      </c>
      <c r="Q2225" t="s">
        <v>76</v>
      </c>
      <c r="R2225" t="s">
        <v>76</v>
      </c>
      <c r="S2225" t="s">
        <v>76</v>
      </c>
      <c r="T2225" t="s">
        <v>76</v>
      </c>
      <c r="U2225">
        <v>1</v>
      </c>
      <c r="V2225" s="13">
        <v>45175</v>
      </c>
      <c r="W2225">
        <v>1</v>
      </c>
      <c r="X2225">
        <v>1</v>
      </c>
      <c r="Y2225" t="s">
        <v>3683</v>
      </c>
      <c r="AC2225">
        <v>5884</v>
      </c>
      <c r="AD2225" t="e" vm="2215">
        <v>#VALUE!</v>
      </c>
    </row>
    <row r="2226" spans="2:30" x14ac:dyDescent="0.25">
      <c r="B2226">
        <v>5885</v>
      </c>
      <c r="C2226" t="s">
        <v>3646</v>
      </c>
      <c r="D2226" t="s">
        <v>3682</v>
      </c>
      <c r="E2226" t="s">
        <v>3826</v>
      </c>
      <c r="F2226" t="s">
        <v>81</v>
      </c>
      <c r="G2226" t="s">
        <v>100</v>
      </c>
      <c r="H2226" t="s">
        <v>3808</v>
      </c>
      <c r="I2226" t="s">
        <v>3809</v>
      </c>
      <c r="J2226" t="s">
        <v>3910</v>
      </c>
      <c r="K2226" t="s">
        <v>1218</v>
      </c>
      <c r="L2226" s="13">
        <v>42546</v>
      </c>
      <c r="M2226">
        <v>7</v>
      </c>
      <c r="N2226" t="s">
        <v>90</v>
      </c>
      <c r="O2226" t="s">
        <v>3911</v>
      </c>
      <c r="P2226" t="s">
        <v>76</v>
      </c>
      <c r="Q2226" t="s">
        <v>76</v>
      </c>
      <c r="R2226" t="s">
        <v>76</v>
      </c>
      <c r="S2226" t="s">
        <v>76</v>
      </c>
      <c r="T2226" t="s">
        <v>76</v>
      </c>
      <c r="U2226">
        <v>1</v>
      </c>
      <c r="V2226" s="13">
        <v>45175</v>
      </c>
      <c r="W2226">
        <v>1</v>
      </c>
      <c r="X2226">
        <v>1</v>
      </c>
      <c r="Y2226" t="s">
        <v>3683</v>
      </c>
      <c r="AC2226">
        <v>5885</v>
      </c>
      <c r="AD2226" t="e" vm="2216">
        <v>#VALUE!</v>
      </c>
    </row>
    <row r="2227" spans="2:30" x14ac:dyDescent="0.25">
      <c r="B2227">
        <v>5886</v>
      </c>
      <c r="C2227" t="s">
        <v>3646</v>
      </c>
      <c r="D2227" t="s">
        <v>3682</v>
      </c>
      <c r="E2227" t="s">
        <v>3826</v>
      </c>
      <c r="F2227" t="s">
        <v>81</v>
      </c>
      <c r="G2227" t="s">
        <v>100</v>
      </c>
      <c r="H2227" t="s">
        <v>3808</v>
      </c>
      <c r="I2227" t="s">
        <v>3809</v>
      </c>
      <c r="J2227" t="s">
        <v>3910</v>
      </c>
      <c r="K2227" t="s">
        <v>1218</v>
      </c>
      <c r="L2227" s="13">
        <v>42335</v>
      </c>
      <c r="M2227">
        <v>8</v>
      </c>
      <c r="N2227" t="s">
        <v>90</v>
      </c>
      <c r="O2227" t="s">
        <v>3911</v>
      </c>
      <c r="P2227" t="s">
        <v>76</v>
      </c>
      <c r="Q2227" t="s">
        <v>76</v>
      </c>
      <c r="R2227" t="s">
        <v>76</v>
      </c>
      <c r="S2227" t="s">
        <v>76</v>
      </c>
      <c r="T2227" t="s">
        <v>76</v>
      </c>
      <c r="U2227">
        <v>1</v>
      </c>
      <c r="V2227" s="13">
        <v>45175</v>
      </c>
      <c r="W2227">
        <v>1</v>
      </c>
      <c r="X2227">
        <v>1</v>
      </c>
      <c r="Y2227" t="s">
        <v>3683</v>
      </c>
      <c r="AC2227">
        <v>5886</v>
      </c>
      <c r="AD2227" t="e" vm="2217">
        <v>#VALUE!</v>
      </c>
    </row>
    <row r="2228" spans="2:30" x14ac:dyDescent="0.25">
      <c r="B2228">
        <v>5887</v>
      </c>
      <c r="C2228" t="s">
        <v>3646</v>
      </c>
      <c r="D2228" t="s">
        <v>3682</v>
      </c>
      <c r="E2228" t="s">
        <v>3826</v>
      </c>
      <c r="F2228" t="s">
        <v>81</v>
      </c>
      <c r="G2228" t="s">
        <v>100</v>
      </c>
      <c r="H2228" t="s">
        <v>3808</v>
      </c>
      <c r="I2228" t="s">
        <v>3809</v>
      </c>
      <c r="J2228" t="s">
        <v>3910</v>
      </c>
      <c r="K2228" t="s">
        <v>1218</v>
      </c>
      <c r="L2228" s="13">
        <v>42335</v>
      </c>
      <c r="M2228">
        <v>8</v>
      </c>
      <c r="N2228" t="s">
        <v>90</v>
      </c>
      <c r="O2228" t="s">
        <v>3911</v>
      </c>
      <c r="P2228" t="s">
        <v>76</v>
      </c>
      <c r="Q2228" t="s">
        <v>76</v>
      </c>
      <c r="R2228" t="s">
        <v>76</v>
      </c>
      <c r="S2228" t="s">
        <v>76</v>
      </c>
      <c r="T2228" t="s">
        <v>76</v>
      </c>
      <c r="U2228">
        <v>1</v>
      </c>
      <c r="V2228" s="13">
        <v>45175</v>
      </c>
      <c r="W2228">
        <v>1</v>
      </c>
      <c r="X2228">
        <v>1</v>
      </c>
      <c r="Y2228" t="s">
        <v>3683</v>
      </c>
      <c r="AC2228">
        <v>5887</v>
      </c>
      <c r="AD2228" t="e" vm="2218">
        <v>#VALUE!</v>
      </c>
    </row>
    <row r="2229" spans="2:30" x14ac:dyDescent="0.25">
      <c r="B2229">
        <v>5888</v>
      </c>
      <c r="C2229" t="s">
        <v>3646</v>
      </c>
      <c r="D2229" t="s">
        <v>3682</v>
      </c>
      <c r="E2229" t="s">
        <v>3826</v>
      </c>
      <c r="F2229" t="s">
        <v>81</v>
      </c>
      <c r="G2229" t="s">
        <v>100</v>
      </c>
      <c r="H2229" t="s">
        <v>3808</v>
      </c>
      <c r="I2229" t="s">
        <v>3809</v>
      </c>
      <c r="J2229" t="s">
        <v>3910</v>
      </c>
      <c r="K2229" t="s">
        <v>1218</v>
      </c>
      <c r="L2229" s="13">
        <v>42335</v>
      </c>
      <c r="M2229">
        <v>8</v>
      </c>
      <c r="N2229" t="s">
        <v>90</v>
      </c>
      <c r="O2229" t="s">
        <v>3911</v>
      </c>
      <c r="P2229" t="s">
        <v>76</v>
      </c>
      <c r="Q2229" t="s">
        <v>76</v>
      </c>
      <c r="R2229" t="s">
        <v>76</v>
      </c>
      <c r="S2229" t="s">
        <v>76</v>
      </c>
      <c r="T2229" t="s">
        <v>76</v>
      </c>
      <c r="U2229">
        <v>1</v>
      </c>
      <c r="V2229" s="13">
        <v>45175</v>
      </c>
      <c r="W2229">
        <v>1</v>
      </c>
      <c r="X2229">
        <v>1</v>
      </c>
      <c r="Y2229" t="s">
        <v>3683</v>
      </c>
      <c r="AC2229">
        <v>5888</v>
      </c>
      <c r="AD2229" t="e" vm="2219">
        <v>#VALUE!</v>
      </c>
    </row>
    <row r="2230" spans="2:30" x14ac:dyDescent="0.25">
      <c r="B2230">
        <v>5889</v>
      </c>
      <c r="C2230" t="s">
        <v>3646</v>
      </c>
      <c r="D2230" t="s">
        <v>3682</v>
      </c>
      <c r="E2230" t="s">
        <v>3826</v>
      </c>
      <c r="F2230" t="s">
        <v>81</v>
      </c>
      <c r="G2230" t="s">
        <v>100</v>
      </c>
      <c r="H2230" t="s">
        <v>3808</v>
      </c>
      <c r="I2230" t="s">
        <v>3809</v>
      </c>
      <c r="J2230" t="s">
        <v>3910</v>
      </c>
      <c r="K2230" t="s">
        <v>1218</v>
      </c>
      <c r="L2230" s="13">
        <v>42844</v>
      </c>
      <c r="M2230">
        <v>6</v>
      </c>
      <c r="N2230" t="s">
        <v>90</v>
      </c>
      <c r="O2230" t="s">
        <v>3911</v>
      </c>
      <c r="P2230" t="s">
        <v>76</v>
      </c>
      <c r="Q2230" t="s">
        <v>76</v>
      </c>
      <c r="R2230" t="s">
        <v>76</v>
      </c>
      <c r="S2230" t="s">
        <v>76</v>
      </c>
      <c r="T2230" t="s">
        <v>76</v>
      </c>
      <c r="U2230">
        <v>1</v>
      </c>
      <c r="V2230" s="13">
        <v>45175</v>
      </c>
      <c r="W2230">
        <v>1</v>
      </c>
      <c r="X2230">
        <v>1</v>
      </c>
      <c r="Y2230" t="s">
        <v>3683</v>
      </c>
      <c r="AC2230">
        <v>5889</v>
      </c>
      <c r="AD2230" t="e" vm="2220">
        <v>#VALUE!</v>
      </c>
    </row>
    <row r="2231" spans="2:30" x14ac:dyDescent="0.25">
      <c r="B2231">
        <v>5890</v>
      </c>
      <c r="C2231" t="s">
        <v>3646</v>
      </c>
      <c r="D2231" t="s">
        <v>3682</v>
      </c>
      <c r="E2231" t="s">
        <v>3826</v>
      </c>
      <c r="F2231" t="s">
        <v>81</v>
      </c>
      <c r="G2231" t="s">
        <v>100</v>
      </c>
      <c r="H2231" t="s">
        <v>3808</v>
      </c>
      <c r="I2231" t="s">
        <v>3809</v>
      </c>
      <c r="J2231" t="s">
        <v>3910</v>
      </c>
      <c r="K2231" t="s">
        <v>1218</v>
      </c>
      <c r="L2231" s="13">
        <v>42335</v>
      </c>
      <c r="M2231">
        <v>8</v>
      </c>
      <c r="N2231" t="s">
        <v>90</v>
      </c>
      <c r="O2231" t="s">
        <v>3911</v>
      </c>
      <c r="P2231" t="s">
        <v>76</v>
      </c>
      <c r="Q2231" t="s">
        <v>76</v>
      </c>
      <c r="R2231" t="s">
        <v>76</v>
      </c>
      <c r="S2231" t="s">
        <v>76</v>
      </c>
      <c r="T2231" t="s">
        <v>76</v>
      </c>
      <c r="U2231">
        <v>1</v>
      </c>
      <c r="V2231" s="13">
        <v>45175</v>
      </c>
      <c r="W2231">
        <v>1</v>
      </c>
      <c r="X2231">
        <v>1</v>
      </c>
      <c r="Y2231" t="s">
        <v>3683</v>
      </c>
      <c r="AC2231">
        <v>5890</v>
      </c>
      <c r="AD2231" t="e" vm="2221">
        <v>#VALUE!</v>
      </c>
    </row>
    <row r="2232" spans="2:30" x14ac:dyDescent="0.25">
      <c r="B2232">
        <v>5891</v>
      </c>
      <c r="C2232" t="s">
        <v>3646</v>
      </c>
      <c r="D2232" t="s">
        <v>3682</v>
      </c>
      <c r="E2232" t="s">
        <v>3826</v>
      </c>
      <c r="F2232" t="s">
        <v>81</v>
      </c>
      <c r="G2232" t="s">
        <v>100</v>
      </c>
      <c r="H2232" t="s">
        <v>3808</v>
      </c>
      <c r="I2232" t="s">
        <v>3809</v>
      </c>
      <c r="J2232" t="s">
        <v>3910</v>
      </c>
      <c r="K2232" t="s">
        <v>1218</v>
      </c>
      <c r="L2232" s="13">
        <v>42341</v>
      </c>
      <c r="M2232">
        <v>8</v>
      </c>
      <c r="N2232" t="s">
        <v>90</v>
      </c>
      <c r="O2232" t="s">
        <v>3911</v>
      </c>
      <c r="P2232" t="s">
        <v>76</v>
      </c>
      <c r="Q2232" t="s">
        <v>76</v>
      </c>
      <c r="R2232" t="s">
        <v>76</v>
      </c>
      <c r="S2232" t="s">
        <v>76</v>
      </c>
      <c r="T2232" t="s">
        <v>76</v>
      </c>
      <c r="U2232">
        <v>1</v>
      </c>
      <c r="V2232" s="13">
        <v>45175</v>
      </c>
      <c r="W2232">
        <v>1</v>
      </c>
      <c r="X2232">
        <v>1</v>
      </c>
      <c r="Y2232" t="s">
        <v>3683</v>
      </c>
      <c r="AC2232">
        <v>5891</v>
      </c>
      <c r="AD2232" t="e" vm="2222">
        <v>#VALUE!</v>
      </c>
    </row>
    <row r="2233" spans="2:30" x14ac:dyDescent="0.25">
      <c r="B2233">
        <v>5892</v>
      </c>
      <c r="C2233" t="s">
        <v>3646</v>
      </c>
      <c r="D2233" t="s">
        <v>3682</v>
      </c>
      <c r="E2233" t="s">
        <v>3826</v>
      </c>
      <c r="F2233" t="s">
        <v>81</v>
      </c>
      <c r="G2233" t="s">
        <v>100</v>
      </c>
      <c r="H2233" t="s">
        <v>3808</v>
      </c>
      <c r="I2233" t="s">
        <v>3809</v>
      </c>
      <c r="J2233" t="s">
        <v>3910</v>
      </c>
      <c r="K2233" t="s">
        <v>1218</v>
      </c>
      <c r="L2233" s="13">
        <v>42355</v>
      </c>
      <c r="M2233">
        <v>8</v>
      </c>
      <c r="N2233" t="s">
        <v>90</v>
      </c>
      <c r="O2233" t="s">
        <v>3911</v>
      </c>
      <c r="P2233" t="s">
        <v>76</v>
      </c>
      <c r="Q2233" t="s">
        <v>76</v>
      </c>
      <c r="R2233" t="s">
        <v>76</v>
      </c>
      <c r="S2233" t="s">
        <v>76</v>
      </c>
      <c r="T2233" t="s">
        <v>76</v>
      </c>
      <c r="U2233">
        <v>1</v>
      </c>
      <c r="V2233" s="13">
        <v>45175</v>
      </c>
      <c r="W2233">
        <v>1</v>
      </c>
      <c r="X2233">
        <v>1</v>
      </c>
      <c r="Y2233" t="s">
        <v>3683</v>
      </c>
      <c r="AC2233">
        <v>5892</v>
      </c>
      <c r="AD2233" t="e" vm="2223">
        <v>#VALUE!</v>
      </c>
    </row>
    <row r="2234" spans="2:30" x14ac:dyDescent="0.25">
      <c r="B2234">
        <v>5893</v>
      </c>
      <c r="C2234" t="s">
        <v>3646</v>
      </c>
      <c r="D2234" t="s">
        <v>3682</v>
      </c>
      <c r="E2234" t="s">
        <v>3826</v>
      </c>
      <c r="F2234" t="s">
        <v>81</v>
      </c>
      <c r="G2234" t="s">
        <v>100</v>
      </c>
      <c r="H2234" t="s">
        <v>3808</v>
      </c>
      <c r="I2234" t="s">
        <v>3809</v>
      </c>
      <c r="J2234" t="s">
        <v>3910</v>
      </c>
      <c r="K2234" t="s">
        <v>1218</v>
      </c>
      <c r="L2234" s="13">
        <v>42355</v>
      </c>
      <c r="M2234">
        <v>8</v>
      </c>
      <c r="N2234" t="s">
        <v>90</v>
      </c>
      <c r="O2234" t="s">
        <v>3911</v>
      </c>
      <c r="P2234" t="s">
        <v>76</v>
      </c>
      <c r="Q2234" t="s">
        <v>76</v>
      </c>
      <c r="R2234" t="s">
        <v>76</v>
      </c>
      <c r="S2234" t="s">
        <v>76</v>
      </c>
      <c r="T2234" t="s">
        <v>76</v>
      </c>
      <c r="U2234">
        <v>1</v>
      </c>
      <c r="V2234" s="13">
        <v>45175</v>
      </c>
      <c r="W2234">
        <v>1</v>
      </c>
      <c r="X2234">
        <v>1</v>
      </c>
      <c r="Y2234" t="s">
        <v>3683</v>
      </c>
      <c r="AC2234">
        <v>5893</v>
      </c>
      <c r="AD2234" t="e" vm="2224">
        <v>#VALUE!</v>
      </c>
    </row>
    <row r="2235" spans="2:30" x14ac:dyDescent="0.25">
      <c r="B2235">
        <v>5894</v>
      </c>
      <c r="C2235" t="s">
        <v>3646</v>
      </c>
      <c r="D2235" t="s">
        <v>3682</v>
      </c>
      <c r="E2235" t="s">
        <v>3826</v>
      </c>
      <c r="F2235" t="s">
        <v>81</v>
      </c>
      <c r="G2235" t="s">
        <v>100</v>
      </c>
      <c r="H2235" t="s">
        <v>3808</v>
      </c>
      <c r="I2235" t="s">
        <v>3809</v>
      </c>
      <c r="J2235" t="s">
        <v>3910</v>
      </c>
      <c r="K2235" t="s">
        <v>1218</v>
      </c>
      <c r="L2235" s="13">
        <v>42356</v>
      </c>
      <c r="M2235">
        <v>8</v>
      </c>
      <c r="N2235" t="s">
        <v>90</v>
      </c>
      <c r="O2235" t="s">
        <v>3911</v>
      </c>
      <c r="P2235" t="s">
        <v>76</v>
      </c>
      <c r="Q2235" t="s">
        <v>76</v>
      </c>
      <c r="R2235" t="s">
        <v>76</v>
      </c>
      <c r="S2235" t="s">
        <v>76</v>
      </c>
      <c r="T2235" t="s">
        <v>76</v>
      </c>
      <c r="U2235">
        <v>1</v>
      </c>
      <c r="V2235" s="13">
        <v>45175</v>
      </c>
      <c r="W2235">
        <v>1</v>
      </c>
      <c r="X2235">
        <v>1</v>
      </c>
      <c r="Y2235" t="s">
        <v>3683</v>
      </c>
      <c r="AC2235">
        <v>5894</v>
      </c>
      <c r="AD2235" t="e" vm="2225">
        <v>#VALUE!</v>
      </c>
    </row>
    <row r="2236" spans="2:30" x14ac:dyDescent="0.25">
      <c r="B2236">
        <v>5895</v>
      </c>
      <c r="C2236" t="s">
        <v>3646</v>
      </c>
      <c r="D2236" t="s">
        <v>3682</v>
      </c>
      <c r="E2236" t="s">
        <v>3826</v>
      </c>
      <c r="F2236" t="s">
        <v>81</v>
      </c>
      <c r="G2236" t="s">
        <v>100</v>
      </c>
      <c r="H2236" t="s">
        <v>3808</v>
      </c>
      <c r="I2236" t="s">
        <v>3809</v>
      </c>
      <c r="J2236" t="s">
        <v>3910</v>
      </c>
      <c r="K2236" t="s">
        <v>1218</v>
      </c>
      <c r="L2236" s="13">
        <v>42357</v>
      </c>
      <c r="M2236">
        <v>8</v>
      </c>
      <c r="N2236" t="s">
        <v>90</v>
      </c>
      <c r="O2236" t="s">
        <v>3911</v>
      </c>
      <c r="P2236" t="s">
        <v>76</v>
      </c>
      <c r="Q2236" t="s">
        <v>76</v>
      </c>
      <c r="R2236" t="s">
        <v>76</v>
      </c>
      <c r="S2236" t="s">
        <v>76</v>
      </c>
      <c r="T2236" t="s">
        <v>76</v>
      </c>
      <c r="U2236">
        <v>1</v>
      </c>
      <c r="V2236" s="13">
        <v>45175</v>
      </c>
      <c r="W2236">
        <v>1</v>
      </c>
      <c r="X2236">
        <v>1</v>
      </c>
      <c r="Y2236" t="s">
        <v>3683</v>
      </c>
      <c r="AC2236">
        <v>5895</v>
      </c>
      <c r="AD2236" t="e" vm="2226">
        <v>#VALUE!</v>
      </c>
    </row>
    <row r="2237" spans="2:30" x14ac:dyDescent="0.25">
      <c r="B2237">
        <v>5896</v>
      </c>
      <c r="C2237" t="s">
        <v>3646</v>
      </c>
      <c r="D2237" t="s">
        <v>3682</v>
      </c>
      <c r="E2237" t="s">
        <v>3826</v>
      </c>
      <c r="F2237" t="s">
        <v>81</v>
      </c>
      <c r="G2237" t="s">
        <v>100</v>
      </c>
      <c r="H2237" t="s">
        <v>3808</v>
      </c>
      <c r="I2237" t="s">
        <v>3809</v>
      </c>
      <c r="J2237" t="s">
        <v>3910</v>
      </c>
      <c r="K2237" t="s">
        <v>1218</v>
      </c>
      <c r="L2237" s="13">
        <v>42436</v>
      </c>
      <c r="M2237">
        <v>8</v>
      </c>
      <c r="N2237" t="s">
        <v>90</v>
      </c>
      <c r="O2237" t="s">
        <v>3911</v>
      </c>
      <c r="P2237" t="s">
        <v>76</v>
      </c>
      <c r="Q2237" t="s">
        <v>76</v>
      </c>
      <c r="R2237" t="s">
        <v>76</v>
      </c>
      <c r="S2237" t="s">
        <v>76</v>
      </c>
      <c r="T2237" t="s">
        <v>76</v>
      </c>
      <c r="U2237">
        <v>1</v>
      </c>
      <c r="V2237" s="13">
        <v>45175</v>
      </c>
      <c r="W2237">
        <v>1</v>
      </c>
      <c r="X2237">
        <v>1</v>
      </c>
      <c r="Y2237" t="s">
        <v>3683</v>
      </c>
      <c r="AC2237">
        <v>5896</v>
      </c>
      <c r="AD2237" t="e" vm="2227">
        <v>#VALUE!</v>
      </c>
    </row>
    <row r="2238" spans="2:30" x14ac:dyDescent="0.25">
      <c r="B2238">
        <v>5897</v>
      </c>
      <c r="C2238" t="s">
        <v>3646</v>
      </c>
      <c r="D2238" t="s">
        <v>3682</v>
      </c>
      <c r="E2238" t="s">
        <v>3826</v>
      </c>
      <c r="F2238" t="s">
        <v>81</v>
      </c>
      <c r="G2238" t="s">
        <v>100</v>
      </c>
      <c r="H2238" t="s">
        <v>3808</v>
      </c>
      <c r="I2238" t="s">
        <v>3809</v>
      </c>
      <c r="J2238" t="s">
        <v>3910</v>
      </c>
      <c r="K2238" t="s">
        <v>1218</v>
      </c>
      <c r="L2238" s="13">
        <v>42431</v>
      </c>
      <c r="M2238">
        <v>8</v>
      </c>
      <c r="N2238" t="s">
        <v>90</v>
      </c>
      <c r="O2238" t="s">
        <v>3911</v>
      </c>
      <c r="P2238" t="s">
        <v>76</v>
      </c>
      <c r="Q2238" t="s">
        <v>76</v>
      </c>
      <c r="R2238" t="s">
        <v>76</v>
      </c>
      <c r="S2238" t="s">
        <v>76</v>
      </c>
      <c r="T2238" t="s">
        <v>76</v>
      </c>
      <c r="U2238">
        <v>1</v>
      </c>
      <c r="V2238" s="13">
        <v>45175</v>
      </c>
      <c r="W2238">
        <v>1</v>
      </c>
      <c r="X2238">
        <v>1</v>
      </c>
      <c r="Y2238" t="s">
        <v>3683</v>
      </c>
      <c r="AC2238">
        <v>5897</v>
      </c>
      <c r="AD2238" t="e" vm="2228">
        <v>#VALUE!</v>
      </c>
    </row>
    <row r="2239" spans="2:30" x14ac:dyDescent="0.25">
      <c r="B2239">
        <v>5898</v>
      </c>
      <c r="C2239" t="s">
        <v>3646</v>
      </c>
      <c r="D2239" t="s">
        <v>3682</v>
      </c>
      <c r="E2239" t="s">
        <v>3826</v>
      </c>
      <c r="F2239" t="s">
        <v>81</v>
      </c>
      <c r="G2239" t="s">
        <v>100</v>
      </c>
      <c r="H2239" t="s">
        <v>3808</v>
      </c>
      <c r="I2239" t="s">
        <v>3809</v>
      </c>
      <c r="J2239" t="s">
        <v>3910</v>
      </c>
      <c r="K2239" t="s">
        <v>1218</v>
      </c>
      <c r="L2239" s="13">
        <v>42431</v>
      </c>
      <c r="M2239">
        <v>8</v>
      </c>
      <c r="N2239" t="s">
        <v>90</v>
      </c>
      <c r="O2239" t="s">
        <v>3911</v>
      </c>
      <c r="P2239" t="s">
        <v>76</v>
      </c>
      <c r="Q2239" t="s">
        <v>76</v>
      </c>
      <c r="R2239" t="s">
        <v>76</v>
      </c>
      <c r="S2239" t="s">
        <v>76</v>
      </c>
      <c r="T2239" t="s">
        <v>76</v>
      </c>
      <c r="U2239">
        <v>1</v>
      </c>
      <c r="V2239" s="13">
        <v>45175</v>
      </c>
      <c r="W2239">
        <v>1</v>
      </c>
      <c r="X2239">
        <v>1</v>
      </c>
      <c r="Y2239" t="s">
        <v>3683</v>
      </c>
      <c r="AC2239">
        <v>5898</v>
      </c>
      <c r="AD2239" t="e" vm="2229">
        <v>#VALUE!</v>
      </c>
    </row>
    <row r="2240" spans="2:30" x14ac:dyDescent="0.25">
      <c r="B2240">
        <v>5899</v>
      </c>
      <c r="C2240" t="s">
        <v>3646</v>
      </c>
      <c r="D2240" t="s">
        <v>3682</v>
      </c>
      <c r="E2240" t="s">
        <v>3826</v>
      </c>
      <c r="F2240" t="s">
        <v>81</v>
      </c>
      <c r="G2240" t="s">
        <v>100</v>
      </c>
      <c r="H2240" t="s">
        <v>3808</v>
      </c>
      <c r="I2240" t="s">
        <v>3809</v>
      </c>
      <c r="J2240" t="s">
        <v>3910</v>
      </c>
      <c r="K2240" t="s">
        <v>1218</v>
      </c>
      <c r="L2240" s="13">
        <v>42431</v>
      </c>
      <c r="M2240">
        <v>8</v>
      </c>
      <c r="N2240" t="s">
        <v>90</v>
      </c>
      <c r="O2240" t="s">
        <v>3911</v>
      </c>
      <c r="P2240" t="s">
        <v>76</v>
      </c>
      <c r="Q2240" t="s">
        <v>76</v>
      </c>
      <c r="R2240" t="s">
        <v>76</v>
      </c>
      <c r="S2240" t="s">
        <v>76</v>
      </c>
      <c r="T2240" t="s">
        <v>76</v>
      </c>
      <c r="U2240">
        <v>1</v>
      </c>
      <c r="V2240" s="13">
        <v>45175</v>
      </c>
      <c r="W2240">
        <v>1</v>
      </c>
      <c r="X2240">
        <v>1</v>
      </c>
      <c r="Y2240" t="s">
        <v>3683</v>
      </c>
      <c r="AC2240">
        <v>5899</v>
      </c>
      <c r="AD2240" t="e" vm="2230">
        <v>#VALUE!</v>
      </c>
    </row>
    <row r="2241" spans="2:30" x14ac:dyDescent="0.25">
      <c r="B2241">
        <v>5900</v>
      </c>
      <c r="C2241" t="s">
        <v>3646</v>
      </c>
      <c r="D2241" t="s">
        <v>3682</v>
      </c>
      <c r="E2241" t="s">
        <v>3826</v>
      </c>
      <c r="F2241" t="s">
        <v>81</v>
      </c>
      <c r="G2241" t="s">
        <v>100</v>
      </c>
      <c r="H2241" t="s">
        <v>3808</v>
      </c>
      <c r="I2241" t="s">
        <v>3809</v>
      </c>
      <c r="J2241" t="s">
        <v>3910</v>
      </c>
      <c r="K2241" t="s">
        <v>1218</v>
      </c>
      <c r="L2241" s="13">
        <v>42475</v>
      </c>
      <c r="M2241">
        <v>7</v>
      </c>
      <c r="N2241" t="s">
        <v>90</v>
      </c>
      <c r="O2241" t="s">
        <v>3911</v>
      </c>
      <c r="P2241" t="s">
        <v>76</v>
      </c>
      <c r="Q2241" t="s">
        <v>76</v>
      </c>
      <c r="R2241" t="s">
        <v>76</v>
      </c>
      <c r="S2241" t="s">
        <v>76</v>
      </c>
      <c r="T2241" t="s">
        <v>76</v>
      </c>
      <c r="U2241">
        <v>1</v>
      </c>
      <c r="V2241" s="13">
        <v>45175</v>
      </c>
      <c r="W2241">
        <v>1</v>
      </c>
      <c r="X2241">
        <v>1</v>
      </c>
      <c r="Y2241" t="s">
        <v>3683</v>
      </c>
      <c r="AC2241">
        <v>5900</v>
      </c>
      <c r="AD2241" t="e" vm="2231">
        <v>#VALUE!</v>
      </c>
    </row>
    <row r="2242" spans="2:30" x14ac:dyDescent="0.25">
      <c r="B2242">
        <v>5901</v>
      </c>
      <c r="C2242" t="s">
        <v>3646</v>
      </c>
      <c r="D2242" t="s">
        <v>3682</v>
      </c>
      <c r="E2242" t="s">
        <v>3826</v>
      </c>
      <c r="F2242" t="s">
        <v>81</v>
      </c>
      <c r="G2242" t="s">
        <v>100</v>
      </c>
      <c r="H2242" t="s">
        <v>3808</v>
      </c>
      <c r="I2242" t="s">
        <v>3809</v>
      </c>
      <c r="J2242" t="s">
        <v>3910</v>
      </c>
      <c r="K2242" t="s">
        <v>1218</v>
      </c>
      <c r="L2242" s="13">
        <v>42321</v>
      </c>
      <c r="M2242">
        <v>8</v>
      </c>
      <c r="N2242" t="s">
        <v>90</v>
      </c>
      <c r="O2242" t="s">
        <v>3911</v>
      </c>
      <c r="P2242" t="s">
        <v>76</v>
      </c>
      <c r="Q2242" t="s">
        <v>76</v>
      </c>
      <c r="R2242" t="s">
        <v>76</v>
      </c>
      <c r="S2242" t="s">
        <v>76</v>
      </c>
      <c r="T2242" t="s">
        <v>76</v>
      </c>
      <c r="U2242">
        <v>1</v>
      </c>
      <c r="V2242" s="13">
        <v>45175</v>
      </c>
      <c r="W2242">
        <v>1</v>
      </c>
      <c r="X2242">
        <v>1</v>
      </c>
      <c r="Y2242" t="s">
        <v>3683</v>
      </c>
      <c r="AC2242">
        <v>5901</v>
      </c>
      <c r="AD2242" t="e" vm="2232">
        <v>#VALUE!</v>
      </c>
    </row>
    <row r="2243" spans="2:30" x14ac:dyDescent="0.25">
      <c r="B2243">
        <v>5902</v>
      </c>
      <c r="C2243" t="s">
        <v>3646</v>
      </c>
      <c r="D2243" t="s">
        <v>3682</v>
      </c>
      <c r="E2243" t="s">
        <v>3826</v>
      </c>
      <c r="F2243" t="s">
        <v>81</v>
      </c>
      <c r="G2243" t="s">
        <v>100</v>
      </c>
      <c r="H2243" t="s">
        <v>3808</v>
      </c>
      <c r="I2243" t="s">
        <v>3809</v>
      </c>
      <c r="J2243" t="s">
        <v>3910</v>
      </c>
      <c r="K2243" t="s">
        <v>1218</v>
      </c>
      <c r="L2243" s="13">
        <v>42474</v>
      </c>
      <c r="M2243">
        <v>7</v>
      </c>
      <c r="N2243" t="s">
        <v>90</v>
      </c>
      <c r="O2243" t="s">
        <v>3911</v>
      </c>
      <c r="P2243" t="s">
        <v>76</v>
      </c>
      <c r="Q2243" t="s">
        <v>76</v>
      </c>
      <c r="R2243" t="s">
        <v>76</v>
      </c>
      <c r="S2243" t="s">
        <v>76</v>
      </c>
      <c r="T2243" t="s">
        <v>76</v>
      </c>
      <c r="U2243">
        <v>1</v>
      </c>
      <c r="V2243" s="13">
        <v>45175</v>
      </c>
      <c r="W2243">
        <v>1</v>
      </c>
      <c r="X2243">
        <v>1</v>
      </c>
      <c r="Y2243" t="s">
        <v>3683</v>
      </c>
      <c r="AC2243">
        <v>5902</v>
      </c>
      <c r="AD2243" t="e" vm="2233">
        <v>#VALUE!</v>
      </c>
    </row>
    <row r="2244" spans="2:30" x14ac:dyDescent="0.25">
      <c r="B2244">
        <v>5903</v>
      </c>
      <c r="C2244" t="s">
        <v>3646</v>
      </c>
      <c r="D2244" t="s">
        <v>3682</v>
      </c>
      <c r="E2244" t="s">
        <v>3826</v>
      </c>
      <c r="F2244" t="s">
        <v>81</v>
      </c>
      <c r="G2244" t="s">
        <v>100</v>
      </c>
      <c r="H2244" t="s">
        <v>3808</v>
      </c>
      <c r="I2244" t="s">
        <v>3809</v>
      </c>
      <c r="J2244" t="s">
        <v>3910</v>
      </c>
      <c r="K2244" t="s">
        <v>1218</v>
      </c>
      <c r="L2244" s="13">
        <v>42431</v>
      </c>
      <c r="M2244">
        <v>8</v>
      </c>
      <c r="N2244" t="s">
        <v>90</v>
      </c>
      <c r="O2244" t="s">
        <v>3911</v>
      </c>
      <c r="P2244" t="s">
        <v>76</v>
      </c>
      <c r="Q2244" t="s">
        <v>76</v>
      </c>
      <c r="R2244" t="s">
        <v>76</v>
      </c>
      <c r="S2244" t="s">
        <v>76</v>
      </c>
      <c r="T2244" t="s">
        <v>76</v>
      </c>
      <c r="U2244">
        <v>1</v>
      </c>
      <c r="V2244" s="13">
        <v>45175</v>
      </c>
      <c r="W2244">
        <v>1</v>
      </c>
      <c r="X2244">
        <v>1</v>
      </c>
      <c r="Y2244" t="s">
        <v>3683</v>
      </c>
      <c r="AC2244">
        <v>5903</v>
      </c>
      <c r="AD2244" t="e" vm="2234">
        <v>#VALUE!</v>
      </c>
    </row>
    <row r="2245" spans="2:30" x14ac:dyDescent="0.25">
      <c r="B2245">
        <v>5904</v>
      </c>
      <c r="C2245" t="s">
        <v>3646</v>
      </c>
      <c r="D2245" t="s">
        <v>3682</v>
      </c>
      <c r="E2245" t="s">
        <v>3826</v>
      </c>
      <c r="F2245" t="s">
        <v>81</v>
      </c>
      <c r="G2245" t="s">
        <v>100</v>
      </c>
      <c r="H2245" t="s">
        <v>3808</v>
      </c>
      <c r="I2245" t="s">
        <v>3809</v>
      </c>
      <c r="J2245" t="s">
        <v>3910</v>
      </c>
      <c r="K2245" t="s">
        <v>1218</v>
      </c>
      <c r="L2245" s="13">
        <v>42432</v>
      </c>
      <c r="M2245">
        <v>8</v>
      </c>
      <c r="N2245" t="s">
        <v>90</v>
      </c>
      <c r="O2245" t="s">
        <v>3911</v>
      </c>
      <c r="P2245" t="s">
        <v>76</v>
      </c>
      <c r="Q2245" t="s">
        <v>76</v>
      </c>
      <c r="R2245" t="s">
        <v>76</v>
      </c>
      <c r="S2245" t="s">
        <v>76</v>
      </c>
      <c r="T2245" t="s">
        <v>76</v>
      </c>
      <c r="U2245">
        <v>1</v>
      </c>
      <c r="V2245" s="13">
        <v>45175</v>
      </c>
      <c r="W2245">
        <v>1</v>
      </c>
      <c r="X2245">
        <v>1</v>
      </c>
      <c r="Y2245" t="s">
        <v>3683</v>
      </c>
      <c r="AC2245">
        <v>5904</v>
      </c>
      <c r="AD2245" t="e" vm="2235">
        <v>#VALUE!</v>
      </c>
    </row>
    <row r="2246" spans="2:30" x14ac:dyDescent="0.25">
      <c r="B2246">
        <v>5905</v>
      </c>
      <c r="C2246" t="s">
        <v>3646</v>
      </c>
      <c r="D2246" t="s">
        <v>3682</v>
      </c>
      <c r="E2246" t="s">
        <v>3826</v>
      </c>
      <c r="F2246" t="s">
        <v>81</v>
      </c>
      <c r="G2246" t="s">
        <v>100</v>
      </c>
      <c r="H2246" t="s">
        <v>3808</v>
      </c>
      <c r="I2246" t="s">
        <v>3809</v>
      </c>
      <c r="J2246" t="s">
        <v>3910</v>
      </c>
      <c r="K2246" t="s">
        <v>1218</v>
      </c>
      <c r="L2246" s="13">
        <v>42341</v>
      </c>
      <c r="M2246">
        <v>8</v>
      </c>
      <c r="N2246" t="s">
        <v>90</v>
      </c>
      <c r="O2246" t="s">
        <v>3911</v>
      </c>
      <c r="P2246" t="s">
        <v>76</v>
      </c>
      <c r="Q2246" t="s">
        <v>76</v>
      </c>
      <c r="R2246" t="s">
        <v>76</v>
      </c>
      <c r="S2246" t="s">
        <v>76</v>
      </c>
      <c r="T2246" t="s">
        <v>76</v>
      </c>
      <c r="U2246">
        <v>1</v>
      </c>
      <c r="V2246" s="13">
        <v>45175</v>
      </c>
      <c r="W2246">
        <v>1</v>
      </c>
      <c r="X2246">
        <v>1</v>
      </c>
      <c r="Y2246" t="s">
        <v>3683</v>
      </c>
      <c r="AC2246">
        <v>5905</v>
      </c>
      <c r="AD2246" t="e" vm="2236">
        <v>#VALUE!</v>
      </c>
    </row>
    <row r="2247" spans="2:30" x14ac:dyDescent="0.25">
      <c r="B2247">
        <v>5906</v>
      </c>
      <c r="C2247" t="s">
        <v>3646</v>
      </c>
      <c r="D2247" t="s">
        <v>3682</v>
      </c>
      <c r="E2247" t="s">
        <v>3826</v>
      </c>
      <c r="F2247" t="s">
        <v>81</v>
      </c>
      <c r="G2247" t="s">
        <v>100</v>
      </c>
      <c r="H2247" t="s">
        <v>3808</v>
      </c>
      <c r="I2247" t="s">
        <v>3809</v>
      </c>
      <c r="J2247" t="s">
        <v>3910</v>
      </c>
      <c r="K2247" t="s">
        <v>1218</v>
      </c>
      <c r="L2247" s="13">
        <v>42321</v>
      </c>
      <c r="M2247">
        <v>8</v>
      </c>
      <c r="N2247" t="s">
        <v>90</v>
      </c>
      <c r="O2247" t="s">
        <v>3911</v>
      </c>
      <c r="P2247" t="s">
        <v>76</v>
      </c>
      <c r="Q2247" t="s">
        <v>76</v>
      </c>
      <c r="R2247" t="s">
        <v>76</v>
      </c>
      <c r="S2247" t="s">
        <v>76</v>
      </c>
      <c r="T2247" t="s">
        <v>76</v>
      </c>
      <c r="U2247">
        <v>1</v>
      </c>
      <c r="V2247" s="13">
        <v>45175</v>
      </c>
      <c r="W2247">
        <v>1</v>
      </c>
      <c r="X2247">
        <v>1</v>
      </c>
      <c r="Y2247" t="s">
        <v>3683</v>
      </c>
      <c r="AC2247">
        <v>5906</v>
      </c>
      <c r="AD2247" t="e" vm="2237">
        <v>#VALUE!</v>
      </c>
    </row>
    <row r="2248" spans="2:30" x14ac:dyDescent="0.25">
      <c r="B2248">
        <v>5907</v>
      </c>
      <c r="C2248" t="s">
        <v>3646</v>
      </c>
      <c r="D2248" t="s">
        <v>3682</v>
      </c>
      <c r="E2248" t="s">
        <v>3826</v>
      </c>
      <c r="F2248" t="s">
        <v>81</v>
      </c>
      <c r="G2248" t="s">
        <v>100</v>
      </c>
      <c r="H2248" t="s">
        <v>3808</v>
      </c>
      <c r="I2248" t="s">
        <v>3809</v>
      </c>
      <c r="J2248" t="s">
        <v>3910</v>
      </c>
      <c r="K2248" t="s">
        <v>1218</v>
      </c>
      <c r="L2248" s="13">
        <v>42321</v>
      </c>
      <c r="M2248">
        <v>8</v>
      </c>
      <c r="N2248" t="s">
        <v>90</v>
      </c>
      <c r="O2248" t="s">
        <v>3911</v>
      </c>
      <c r="P2248" t="s">
        <v>76</v>
      </c>
      <c r="Q2248" t="s">
        <v>76</v>
      </c>
      <c r="R2248" t="s">
        <v>76</v>
      </c>
      <c r="S2248" t="s">
        <v>76</v>
      </c>
      <c r="T2248" t="s">
        <v>76</v>
      </c>
      <c r="U2248">
        <v>1</v>
      </c>
      <c r="V2248" s="13">
        <v>45175</v>
      </c>
      <c r="W2248">
        <v>1</v>
      </c>
      <c r="X2248">
        <v>1</v>
      </c>
      <c r="Y2248" t="s">
        <v>3683</v>
      </c>
      <c r="AC2248">
        <v>5907</v>
      </c>
      <c r="AD2248" t="e" vm="2238">
        <v>#VALUE!</v>
      </c>
    </row>
    <row r="2249" spans="2:30" x14ac:dyDescent="0.25">
      <c r="B2249">
        <v>5908</v>
      </c>
      <c r="C2249" t="s">
        <v>3646</v>
      </c>
      <c r="D2249" t="s">
        <v>3682</v>
      </c>
      <c r="E2249" t="s">
        <v>3826</v>
      </c>
      <c r="F2249" t="s">
        <v>81</v>
      </c>
      <c r="G2249" t="s">
        <v>100</v>
      </c>
      <c r="H2249" t="s">
        <v>3808</v>
      </c>
      <c r="I2249" t="s">
        <v>3809</v>
      </c>
      <c r="J2249" t="s">
        <v>3910</v>
      </c>
      <c r="K2249" t="s">
        <v>1218</v>
      </c>
      <c r="L2249" s="13">
        <v>42321</v>
      </c>
      <c r="M2249">
        <v>8</v>
      </c>
      <c r="N2249" t="s">
        <v>90</v>
      </c>
      <c r="O2249" t="s">
        <v>3911</v>
      </c>
      <c r="P2249" t="s">
        <v>76</v>
      </c>
      <c r="Q2249" t="s">
        <v>76</v>
      </c>
      <c r="R2249" t="s">
        <v>76</v>
      </c>
      <c r="S2249" t="s">
        <v>76</v>
      </c>
      <c r="T2249" t="s">
        <v>76</v>
      </c>
      <c r="U2249">
        <v>1</v>
      </c>
      <c r="V2249" s="13">
        <v>45175</v>
      </c>
      <c r="W2249">
        <v>1</v>
      </c>
      <c r="X2249">
        <v>1</v>
      </c>
      <c r="Y2249" t="s">
        <v>3683</v>
      </c>
      <c r="AC2249">
        <v>5908</v>
      </c>
      <c r="AD2249" t="e" vm="2239">
        <v>#VALUE!</v>
      </c>
    </row>
    <row r="2250" spans="2:30" x14ac:dyDescent="0.25">
      <c r="B2250">
        <v>5909</v>
      </c>
      <c r="C2250" t="s">
        <v>3646</v>
      </c>
      <c r="D2250" t="s">
        <v>3647</v>
      </c>
      <c r="E2250" t="s">
        <v>3807</v>
      </c>
      <c r="F2250" t="s">
        <v>105</v>
      </c>
      <c r="G2250" t="s">
        <v>108</v>
      </c>
      <c r="H2250" t="s">
        <v>3808</v>
      </c>
      <c r="I2250" t="s">
        <v>3809</v>
      </c>
      <c r="J2250" t="s">
        <v>3910</v>
      </c>
      <c r="K2250" t="s">
        <v>1218</v>
      </c>
      <c r="L2250" s="13">
        <v>43070</v>
      </c>
      <c r="M2250">
        <v>6</v>
      </c>
      <c r="N2250" t="s">
        <v>90</v>
      </c>
      <c r="O2250" t="s">
        <v>3911</v>
      </c>
      <c r="P2250" t="s">
        <v>76</v>
      </c>
      <c r="Q2250" t="s">
        <v>76</v>
      </c>
      <c r="R2250" t="s">
        <v>76</v>
      </c>
      <c r="S2250" t="s">
        <v>76</v>
      </c>
      <c r="T2250" t="s">
        <v>76</v>
      </c>
      <c r="U2250">
        <v>1</v>
      </c>
      <c r="V2250" s="13">
        <v>45175</v>
      </c>
      <c r="W2250">
        <v>1</v>
      </c>
      <c r="X2250">
        <v>1</v>
      </c>
      <c r="Y2250" t="s">
        <v>3648</v>
      </c>
      <c r="AC2250">
        <v>5909</v>
      </c>
      <c r="AD2250" t="e" vm="2240">
        <v>#VALUE!</v>
      </c>
    </row>
    <row r="2251" spans="2:30" x14ac:dyDescent="0.25">
      <c r="B2251">
        <v>5910</v>
      </c>
      <c r="C2251" t="s">
        <v>3659</v>
      </c>
      <c r="D2251" t="s">
        <v>73</v>
      </c>
      <c r="E2251" t="s">
        <v>73</v>
      </c>
      <c r="F2251" t="s">
        <v>3816</v>
      </c>
      <c r="G2251" t="s">
        <v>3816</v>
      </c>
      <c r="H2251" t="s">
        <v>3808</v>
      </c>
      <c r="I2251" t="s">
        <v>3809</v>
      </c>
      <c r="J2251" t="s">
        <v>3910</v>
      </c>
      <c r="K2251" t="s">
        <v>1218</v>
      </c>
      <c r="L2251" s="13">
        <v>42128</v>
      </c>
      <c r="M2251">
        <v>8</v>
      </c>
      <c r="N2251" t="s">
        <v>88</v>
      </c>
      <c r="O2251" t="s">
        <v>3911</v>
      </c>
      <c r="P2251" t="s">
        <v>76</v>
      </c>
      <c r="Q2251" t="s">
        <v>76</v>
      </c>
      <c r="R2251" t="s">
        <v>76</v>
      </c>
      <c r="S2251" t="s">
        <v>76</v>
      </c>
      <c r="T2251" t="s">
        <v>76</v>
      </c>
      <c r="U2251">
        <v>1</v>
      </c>
      <c r="V2251" s="13">
        <v>45175</v>
      </c>
      <c r="W2251">
        <v>1</v>
      </c>
      <c r="X2251">
        <v>1</v>
      </c>
      <c r="Y2251" t="s">
        <v>3719</v>
      </c>
      <c r="AC2251">
        <v>5910</v>
      </c>
      <c r="AD2251" t="e" vm="2241">
        <v>#VALUE!</v>
      </c>
    </row>
    <row r="2252" spans="2:30" x14ac:dyDescent="0.25">
      <c r="B2252">
        <v>5911</v>
      </c>
      <c r="C2252" t="s">
        <v>3659</v>
      </c>
      <c r="D2252" t="s">
        <v>73</v>
      </c>
      <c r="E2252" t="s">
        <v>73</v>
      </c>
      <c r="F2252" t="s">
        <v>3816</v>
      </c>
      <c r="G2252" t="s">
        <v>3816</v>
      </c>
      <c r="H2252" t="s">
        <v>3808</v>
      </c>
      <c r="I2252" t="s">
        <v>3809</v>
      </c>
      <c r="J2252" t="s">
        <v>3910</v>
      </c>
      <c r="K2252" t="s">
        <v>1218</v>
      </c>
      <c r="L2252" s="13">
        <v>42348</v>
      </c>
      <c r="M2252">
        <v>8</v>
      </c>
      <c r="N2252" t="s">
        <v>88</v>
      </c>
      <c r="O2252" t="s">
        <v>3911</v>
      </c>
      <c r="P2252" t="s">
        <v>76</v>
      </c>
      <c r="Q2252" t="s">
        <v>76</v>
      </c>
      <c r="R2252" t="s">
        <v>76</v>
      </c>
      <c r="S2252" t="s">
        <v>76</v>
      </c>
      <c r="T2252" t="s">
        <v>76</v>
      </c>
      <c r="U2252">
        <v>1</v>
      </c>
      <c r="V2252" s="13">
        <v>45175</v>
      </c>
      <c r="W2252">
        <v>1</v>
      </c>
      <c r="X2252">
        <v>1</v>
      </c>
      <c r="Y2252" t="s">
        <v>3719</v>
      </c>
      <c r="AC2252">
        <v>5911</v>
      </c>
      <c r="AD2252" t="e" vm="2242">
        <v>#VALUE!</v>
      </c>
    </row>
    <row r="2253" spans="2:30" x14ac:dyDescent="0.25">
      <c r="B2253">
        <v>5912</v>
      </c>
      <c r="C2253" t="s">
        <v>3659</v>
      </c>
      <c r="D2253" t="s">
        <v>3677</v>
      </c>
      <c r="E2253" t="s">
        <v>3823</v>
      </c>
      <c r="F2253" t="s">
        <v>87</v>
      </c>
      <c r="G2253" t="s">
        <v>86</v>
      </c>
      <c r="H2253" t="s">
        <v>3808</v>
      </c>
      <c r="I2253" t="s">
        <v>3809</v>
      </c>
      <c r="J2253" t="s">
        <v>3910</v>
      </c>
      <c r="K2253" t="s">
        <v>1218</v>
      </c>
      <c r="L2253" s="13">
        <v>42459</v>
      </c>
      <c r="M2253">
        <v>7</v>
      </c>
      <c r="N2253" t="s">
        <v>88</v>
      </c>
      <c r="O2253" t="s">
        <v>3911</v>
      </c>
      <c r="P2253" t="s">
        <v>76</v>
      </c>
      <c r="Q2253" t="s">
        <v>76</v>
      </c>
      <c r="R2253" t="s">
        <v>76</v>
      </c>
      <c r="S2253" t="s">
        <v>76</v>
      </c>
      <c r="T2253" t="s">
        <v>76</v>
      </c>
      <c r="U2253">
        <v>1</v>
      </c>
      <c r="V2253" s="13">
        <v>45175</v>
      </c>
      <c r="W2253">
        <v>1</v>
      </c>
      <c r="X2253">
        <v>1</v>
      </c>
      <c r="Y2253" t="s">
        <v>3678</v>
      </c>
      <c r="AC2253">
        <v>5912</v>
      </c>
      <c r="AD2253" t="e" vm="2243">
        <v>#VALUE!</v>
      </c>
    </row>
    <row r="2254" spans="2:30" x14ac:dyDescent="0.25">
      <c r="B2254">
        <v>5913</v>
      </c>
      <c r="C2254" t="s">
        <v>3659</v>
      </c>
      <c r="D2254" t="s">
        <v>3677</v>
      </c>
      <c r="E2254" t="s">
        <v>3823</v>
      </c>
      <c r="F2254" t="s">
        <v>87</v>
      </c>
      <c r="G2254" t="s">
        <v>86</v>
      </c>
      <c r="H2254" t="s">
        <v>3808</v>
      </c>
      <c r="I2254" t="s">
        <v>3809</v>
      </c>
      <c r="J2254" t="s">
        <v>3910</v>
      </c>
      <c r="K2254" t="s">
        <v>1218</v>
      </c>
      <c r="L2254" s="13">
        <v>42452</v>
      </c>
      <c r="M2254">
        <v>7</v>
      </c>
      <c r="N2254" t="s">
        <v>88</v>
      </c>
      <c r="O2254" t="s">
        <v>3911</v>
      </c>
      <c r="P2254" t="s">
        <v>76</v>
      </c>
      <c r="Q2254" t="s">
        <v>76</v>
      </c>
      <c r="R2254" t="s">
        <v>76</v>
      </c>
      <c r="S2254" t="s">
        <v>76</v>
      </c>
      <c r="T2254" t="s">
        <v>76</v>
      </c>
      <c r="U2254">
        <v>1</v>
      </c>
      <c r="V2254" s="13">
        <v>45175</v>
      </c>
      <c r="W2254">
        <v>1</v>
      </c>
      <c r="X2254">
        <v>1</v>
      </c>
      <c r="Y2254" t="s">
        <v>3678</v>
      </c>
      <c r="AC2254">
        <v>5913</v>
      </c>
      <c r="AD2254" t="e" vm="2244">
        <v>#VALUE!</v>
      </c>
    </row>
    <row r="2255" spans="2:30" x14ac:dyDescent="0.25">
      <c r="B2255">
        <v>5914</v>
      </c>
      <c r="C2255" t="s">
        <v>3659</v>
      </c>
      <c r="D2255" t="s">
        <v>3677</v>
      </c>
      <c r="E2255" t="s">
        <v>3823</v>
      </c>
      <c r="F2255" t="s">
        <v>87</v>
      </c>
      <c r="G2255" t="s">
        <v>86</v>
      </c>
      <c r="H2255" t="s">
        <v>3808</v>
      </c>
      <c r="I2255" t="s">
        <v>3809</v>
      </c>
      <c r="J2255" t="s">
        <v>3910</v>
      </c>
      <c r="K2255" t="s">
        <v>1218</v>
      </c>
      <c r="L2255" s="13">
        <v>42452</v>
      </c>
      <c r="M2255">
        <v>7</v>
      </c>
      <c r="N2255" t="s">
        <v>88</v>
      </c>
      <c r="O2255" t="s">
        <v>3911</v>
      </c>
      <c r="P2255" t="s">
        <v>76</v>
      </c>
      <c r="Q2255" t="s">
        <v>76</v>
      </c>
      <c r="R2255" t="s">
        <v>76</v>
      </c>
      <c r="S2255" t="s">
        <v>76</v>
      </c>
      <c r="T2255" t="s">
        <v>76</v>
      </c>
      <c r="U2255">
        <v>1</v>
      </c>
      <c r="V2255" s="13">
        <v>45175</v>
      </c>
      <c r="W2255">
        <v>1</v>
      </c>
      <c r="X2255">
        <v>1</v>
      </c>
      <c r="Y2255" t="s">
        <v>3678</v>
      </c>
      <c r="AC2255">
        <v>5914</v>
      </c>
      <c r="AD2255" t="e" vm="2245">
        <v>#VALUE!</v>
      </c>
    </row>
    <row r="2256" spans="2:30" x14ac:dyDescent="0.25">
      <c r="B2256">
        <v>5915</v>
      </c>
      <c r="C2256" t="s">
        <v>3659</v>
      </c>
      <c r="D2256" t="s">
        <v>3677</v>
      </c>
      <c r="E2256" t="s">
        <v>3823</v>
      </c>
      <c r="F2256" t="s">
        <v>87</v>
      </c>
      <c r="G2256" t="s">
        <v>86</v>
      </c>
      <c r="H2256" t="s">
        <v>3808</v>
      </c>
      <c r="I2256" t="s">
        <v>3809</v>
      </c>
      <c r="J2256" t="s">
        <v>3910</v>
      </c>
      <c r="K2256" t="s">
        <v>1218</v>
      </c>
      <c r="L2256" s="13">
        <v>42459</v>
      </c>
      <c r="M2256">
        <v>7</v>
      </c>
      <c r="N2256" t="s">
        <v>88</v>
      </c>
      <c r="O2256" t="s">
        <v>3911</v>
      </c>
      <c r="P2256" t="s">
        <v>76</v>
      </c>
      <c r="Q2256" t="s">
        <v>76</v>
      </c>
      <c r="R2256" t="s">
        <v>76</v>
      </c>
      <c r="S2256" t="s">
        <v>76</v>
      </c>
      <c r="T2256" t="s">
        <v>76</v>
      </c>
      <c r="U2256">
        <v>1</v>
      </c>
      <c r="V2256" s="13">
        <v>45175</v>
      </c>
      <c r="W2256">
        <v>1</v>
      </c>
      <c r="X2256">
        <v>1</v>
      </c>
      <c r="Y2256" t="s">
        <v>3678</v>
      </c>
      <c r="AC2256">
        <v>5915</v>
      </c>
      <c r="AD2256" t="e" vm="2246">
        <v>#VALUE!</v>
      </c>
    </row>
    <row r="2257" spans="2:30" x14ac:dyDescent="0.25">
      <c r="B2257">
        <v>5916</v>
      </c>
      <c r="C2257" t="s">
        <v>3659</v>
      </c>
      <c r="D2257" t="s">
        <v>3677</v>
      </c>
      <c r="E2257" t="s">
        <v>3823</v>
      </c>
      <c r="F2257" t="s">
        <v>87</v>
      </c>
      <c r="G2257" t="s">
        <v>86</v>
      </c>
      <c r="H2257" t="s">
        <v>3808</v>
      </c>
      <c r="I2257" t="s">
        <v>3809</v>
      </c>
      <c r="J2257" t="s">
        <v>3910</v>
      </c>
      <c r="K2257" t="s">
        <v>1218</v>
      </c>
      <c r="L2257" s="13">
        <v>42452</v>
      </c>
      <c r="M2257">
        <v>7</v>
      </c>
      <c r="N2257" t="s">
        <v>88</v>
      </c>
      <c r="O2257" t="s">
        <v>3911</v>
      </c>
      <c r="P2257" t="s">
        <v>76</v>
      </c>
      <c r="Q2257" t="s">
        <v>76</v>
      </c>
      <c r="R2257" t="s">
        <v>76</v>
      </c>
      <c r="S2257" t="s">
        <v>76</v>
      </c>
      <c r="T2257" t="s">
        <v>76</v>
      </c>
      <c r="U2257">
        <v>1</v>
      </c>
      <c r="V2257" s="13">
        <v>45175</v>
      </c>
      <c r="W2257">
        <v>1</v>
      </c>
      <c r="X2257">
        <v>1</v>
      </c>
      <c r="Y2257" t="s">
        <v>3678</v>
      </c>
      <c r="AC2257">
        <v>5916</v>
      </c>
      <c r="AD2257" t="e" vm="2247">
        <v>#VALUE!</v>
      </c>
    </row>
    <row r="2258" spans="2:30" x14ac:dyDescent="0.25">
      <c r="B2258">
        <v>5917</v>
      </c>
      <c r="C2258" t="s">
        <v>3659</v>
      </c>
      <c r="D2258" t="s">
        <v>3677</v>
      </c>
      <c r="E2258" t="s">
        <v>3823</v>
      </c>
      <c r="F2258" t="s">
        <v>87</v>
      </c>
      <c r="G2258" t="s">
        <v>86</v>
      </c>
      <c r="H2258" t="s">
        <v>3808</v>
      </c>
      <c r="I2258" t="s">
        <v>3809</v>
      </c>
      <c r="J2258" t="s">
        <v>3910</v>
      </c>
      <c r="K2258" t="s">
        <v>1218</v>
      </c>
      <c r="L2258" s="13">
        <v>42459</v>
      </c>
      <c r="M2258">
        <v>7</v>
      </c>
      <c r="N2258" t="s">
        <v>88</v>
      </c>
      <c r="O2258" t="s">
        <v>3911</v>
      </c>
      <c r="P2258" t="s">
        <v>76</v>
      </c>
      <c r="Q2258" t="s">
        <v>76</v>
      </c>
      <c r="R2258" t="s">
        <v>76</v>
      </c>
      <c r="S2258" t="s">
        <v>76</v>
      </c>
      <c r="T2258" t="s">
        <v>76</v>
      </c>
      <c r="U2258">
        <v>1</v>
      </c>
      <c r="V2258" s="13">
        <v>45175</v>
      </c>
      <c r="W2258">
        <v>1</v>
      </c>
      <c r="X2258">
        <v>1</v>
      </c>
      <c r="Y2258" t="s">
        <v>3678</v>
      </c>
      <c r="AC2258">
        <v>5917</v>
      </c>
      <c r="AD2258" t="e" vm="2248">
        <v>#VALUE!</v>
      </c>
    </row>
    <row r="2259" spans="2:30" x14ac:dyDescent="0.25">
      <c r="B2259">
        <v>5918</v>
      </c>
      <c r="C2259" t="s">
        <v>3659</v>
      </c>
      <c r="D2259" t="s">
        <v>3677</v>
      </c>
      <c r="E2259" t="s">
        <v>3823</v>
      </c>
      <c r="F2259" t="s">
        <v>87</v>
      </c>
      <c r="G2259" t="s">
        <v>86</v>
      </c>
      <c r="H2259" t="s">
        <v>3808</v>
      </c>
      <c r="I2259" t="s">
        <v>3809</v>
      </c>
      <c r="J2259" t="s">
        <v>3910</v>
      </c>
      <c r="K2259" t="s">
        <v>1218</v>
      </c>
      <c r="L2259" s="13">
        <v>42452</v>
      </c>
      <c r="M2259">
        <v>7</v>
      </c>
      <c r="N2259" t="s">
        <v>88</v>
      </c>
      <c r="O2259" t="s">
        <v>3911</v>
      </c>
      <c r="P2259" t="s">
        <v>76</v>
      </c>
      <c r="Q2259" t="s">
        <v>76</v>
      </c>
      <c r="R2259" t="s">
        <v>76</v>
      </c>
      <c r="S2259" t="s">
        <v>76</v>
      </c>
      <c r="T2259" t="s">
        <v>76</v>
      </c>
      <c r="U2259">
        <v>1</v>
      </c>
      <c r="V2259" s="13">
        <v>45175</v>
      </c>
      <c r="W2259">
        <v>1</v>
      </c>
      <c r="X2259">
        <v>1</v>
      </c>
      <c r="Y2259" t="s">
        <v>3678</v>
      </c>
      <c r="AC2259">
        <v>5918</v>
      </c>
      <c r="AD2259" t="e" vm="2249">
        <v>#VALUE!</v>
      </c>
    </row>
    <row r="2260" spans="2:30" x14ac:dyDescent="0.25">
      <c r="B2260">
        <v>5919</v>
      </c>
      <c r="C2260" t="s">
        <v>3659</v>
      </c>
      <c r="D2260" t="s">
        <v>3677</v>
      </c>
      <c r="E2260" t="s">
        <v>3823</v>
      </c>
      <c r="F2260" t="s">
        <v>87</v>
      </c>
      <c r="G2260" t="s">
        <v>86</v>
      </c>
      <c r="H2260" t="s">
        <v>3808</v>
      </c>
      <c r="I2260" t="s">
        <v>3809</v>
      </c>
      <c r="J2260" t="s">
        <v>3910</v>
      </c>
      <c r="K2260" t="s">
        <v>1218</v>
      </c>
      <c r="L2260" s="13">
        <v>42476</v>
      </c>
      <c r="M2260">
        <v>7</v>
      </c>
      <c r="N2260" t="s">
        <v>88</v>
      </c>
      <c r="O2260" t="s">
        <v>3911</v>
      </c>
      <c r="P2260" t="s">
        <v>76</v>
      </c>
      <c r="Q2260" t="s">
        <v>76</v>
      </c>
      <c r="R2260" t="s">
        <v>76</v>
      </c>
      <c r="S2260" t="s">
        <v>76</v>
      </c>
      <c r="T2260" t="s">
        <v>76</v>
      </c>
      <c r="U2260">
        <v>1</v>
      </c>
      <c r="V2260" s="13">
        <v>45175</v>
      </c>
      <c r="W2260">
        <v>1</v>
      </c>
      <c r="X2260">
        <v>1</v>
      </c>
      <c r="Y2260" t="s">
        <v>3678</v>
      </c>
      <c r="AC2260">
        <v>5919</v>
      </c>
      <c r="AD2260" t="e" vm="2250">
        <v>#VALUE!</v>
      </c>
    </row>
    <row r="2261" spans="2:30" x14ac:dyDescent="0.25">
      <c r="B2261">
        <v>5920</v>
      </c>
      <c r="C2261" t="s">
        <v>3659</v>
      </c>
      <c r="D2261" t="s">
        <v>3677</v>
      </c>
      <c r="E2261" t="s">
        <v>3823</v>
      </c>
      <c r="F2261" t="s">
        <v>87</v>
      </c>
      <c r="G2261" t="s">
        <v>86</v>
      </c>
      <c r="H2261" t="s">
        <v>3808</v>
      </c>
      <c r="I2261" t="s">
        <v>3809</v>
      </c>
      <c r="J2261" t="s">
        <v>3910</v>
      </c>
      <c r="K2261" t="s">
        <v>1218</v>
      </c>
      <c r="L2261" s="13">
        <v>42487</v>
      </c>
      <c r="M2261">
        <v>7</v>
      </c>
      <c r="N2261" t="s">
        <v>88</v>
      </c>
      <c r="O2261" t="s">
        <v>3911</v>
      </c>
      <c r="P2261" t="s">
        <v>76</v>
      </c>
      <c r="Q2261" t="s">
        <v>76</v>
      </c>
      <c r="R2261" t="s">
        <v>76</v>
      </c>
      <c r="S2261" t="s">
        <v>76</v>
      </c>
      <c r="T2261" t="s">
        <v>76</v>
      </c>
      <c r="U2261">
        <v>1</v>
      </c>
      <c r="V2261" s="13">
        <v>45175</v>
      </c>
      <c r="W2261">
        <v>1</v>
      </c>
      <c r="X2261">
        <v>1</v>
      </c>
      <c r="Y2261" t="s">
        <v>3678</v>
      </c>
      <c r="AC2261">
        <v>5920</v>
      </c>
      <c r="AD2261" t="e" vm="2251">
        <v>#VALUE!</v>
      </c>
    </row>
    <row r="2262" spans="2:30" x14ac:dyDescent="0.25">
      <c r="B2262">
        <v>5921</v>
      </c>
      <c r="C2262" t="s">
        <v>3659</v>
      </c>
      <c r="D2262" t="s">
        <v>3677</v>
      </c>
      <c r="E2262" t="s">
        <v>3823</v>
      </c>
      <c r="F2262" t="s">
        <v>87</v>
      </c>
      <c r="G2262" t="s">
        <v>86</v>
      </c>
      <c r="H2262" t="s">
        <v>3808</v>
      </c>
      <c r="I2262" t="s">
        <v>3809</v>
      </c>
      <c r="J2262" t="s">
        <v>3910</v>
      </c>
      <c r="K2262" t="s">
        <v>1218</v>
      </c>
      <c r="L2262" s="13">
        <v>42353</v>
      </c>
      <c r="M2262">
        <v>8</v>
      </c>
      <c r="N2262" t="s">
        <v>88</v>
      </c>
      <c r="O2262" t="s">
        <v>3911</v>
      </c>
      <c r="P2262" t="s">
        <v>76</v>
      </c>
      <c r="Q2262" t="s">
        <v>76</v>
      </c>
      <c r="R2262" t="s">
        <v>76</v>
      </c>
      <c r="S2262" t="s">
        <v>76</v>
      </c>
      <c r="T2262" t="s">
        <v>76</v>
      </c>
      <c r="U2262">
        <v>1</v>
      </c>
      <c r="V2262" s="13">
        <v>45175</v>
      </c>
      <c r="W2262">
        <v>1</v>
      </c>
      <c r="X2262">
        <v>1</v>
      </c>
      <c r="Y2262" t="s">
        <v>3678</v>
      </c>
      <c r="AC2262">
        <v>5921</v>
      </c>
      <c r="AD2262" t="e" vm="2252">
        <v>#VALUE!</v>
      </c>
    </row>
    <row r="2263" spans="2:30" x14ac:dyDescent="0.25">
      <c r="B2263">
        <v>5922</v>
      </c>
      <c r="C2263" t="s">
        <v>3659</v>
      </c>
      <c r="D2263" t="s">
        <v>3677</v>
      </c>
      <c r="E2263" t="s">
        <v>3823</v>
      </c>
      <c r="F2263" t="s">
        <v>87</v>
      </c>
      <c r="G2263" t="s">
        <v>86</v>
      </c>
      <c r="H2263" t="s">
        <v>3808</v>
      </c>
      <c r="I2263" t="s">
        <v>3809</v>
      </c>
      <c r="J2263" t="s">
        <v>3910</v>
      </c>
      <c r="K2263" t="s">
        <v>1218</v>
      </c>
      <c r="L2263" s="13">
        <v>42479</v>
      </c>
      <c r="M2263">
        <v>7</v>
      </c>
      <c r="N2263" t="s">
        <v>88</v>
      </c>
      <c r="O2263" t="s">
        <v>3911</v>
      </c>
      <c r="P2263" t="s">
        <v>76</v>
      </c>
      <c r="Q2263" t="s">
        <v>76</v>
      </c>
      <c r="R2263" t="s">
        <v>76</v>
      </c>
      <c r="S2263" t="s">
        <v>76</v>
      </c>
      <c r="T2263" t="s">
        <v>76</v>
      </c>
      <c r="U2263">
        <v>1</v>
      </c>
      <c r="V2263" s="13">
        <v>45175</v>
      </c>
      <c r="W2263">
        <v>1</v>
      </c>
      <c r="X2263">
        <v>1</v>
      </c>
      <c r="Y2263" t="s">
        <v>3678</v>
      </c>
      <c r="AC2263">
        <v>5922</v>
      </c>
      <c r="AD2263" t="e" vm="2253">
        <v>#VALUE!</v>
      </c>
    </row>
    <row r="2264" spans="2:30" x14ac:dyDescent="0.25">
      <c r="B2264">
        <v>5923</v>
      </c>
      <c r="C2264" t="s">
        <v>3659</v>
      </c>
      <c r="D2264" t="s">
        <v>3677</v>
      </c>
      <c r="E2264" t="s">
        <v>3823</v>
      </c>
      <c r="F2264" t="s">
        <v>87</v>
      </c>
      <c r="G2264" t="s">
        <v>86</v>
      </c>
      <c r="H2264" t="s">
        <v>3808</v>
      </c>
      <c r="I2264" t="s">
        <v>3809</v>
      </c>
      <c r="J2264" t="s">
        <v>3910</v>
      </c>
      <c r="K2264" t="s">
        <v>1218</v>
      </c>
      <c r="L2264" s="13">
        <v>42493</v>
      </c>
      <c r="M2264">
        <v>7</v>
      </c>
      <c r="N2264" t="s">
        <v>88</v>
      </c>
      <c r="O2264" t="s">
        <v>3911</v>
      </c>
      <c r="P2264" t="s">
        <v>76</v>
      </c>
      <c r="Q2264" t="s">
        <v>76</v>
      </c>
      <c r="R2264" t="s">
        <v>76</v>
      </c>
      <c r="S2264" t="s">
        <v>76</v>
      </c>
      <c r="T2264" t="s">
        <v>76</v>
      </c>
      <c r="U2264">
        <v>1</v>
      </c>
      <c r="V2264" s="13">
        <v>45175</v>
      </c>
      <c r="W2264">
        <v>1</v>
      </c>
      <c r="X2264">
        <v>1</v>
      </c>
      <c r="Y2264" t="s">
        <v>3678</v>
      </c>
      <c r="AC2264">
        <v>5923</v>
      </c>
      <c r="AD2264" t="e" vm="2254">
        <v>#VALUE!</v>
      </c>
    </row>
    <row r="2265" spans="2:30" x14ac:dyDescent="0.25">
      <c r="B2265">
        <v>5924</v>
      </c>
      <c r="C2265" t="s">
        <v>3659</v>
      </c>
      <c r="D2265" t="s">
        <v>3677</v>
      </c>
      <c r="E2265" t="s">
        <v>3823</v>
      </c>
      <c r="F2265" t="s">
        <v>87</v>
      </c>
      <c r="G2265" t="s">
        <v>86</v>
      </c>
      <c r="H2265" t="s">
        <v>3808</v>
      </c>
      <c r="I2265" t="s">
        <v>3809</v>
      </c>
      <c r="J2265" t="s">
        <v>3910</v>
      </c>
      <c r="K2265" t="s">
        <v>1218</v>
      </c>
      <c r="L2265" s="13">
        <v>42278</v>
      </c>
      <c r="M2265">
        <v>8</v>
      </c>
      <c r="N2265" t="s">
        <v>88</v>
      </c>
      <c r="O2265" t="s">
        <v>3911</v>
      </c>
      <c r="P2265" t="s">
        <v>76</v>
      </c>
      <c r="Q2265" t="s">
        <v>76</v>
      </c>
      <c r="R2265" t="s">
        <v>76</v>
      </c>
      <c r="S2265" t="s">
        <v>76</v>
      </c>
      <c r="T2265" t="s">
        <v>76</v>
      </c>
      <c r="U2265">
        <v>1</v>
      </c>
      <c r="V2265" s="13">
        <v>45175</v>
      </c>
      <c r="W2265">
        <v>1</v>
      </c>
      <c r="X2265">
        <v>1</v>
      </c>
      <c r="Y2265" t="s">
        <v>3678</v>
      </c>
      <c r="AC2265">
        <v>5924</v>
      </c>
      <c r="AD2265" t="e" vm="2255">
        <v>#VALUE!</v>
      </c>
    </row>
    <row r="2266" spans="2:30" x14ac:dyDescent="0.25">
      <c r="B2266">
        <v>5925</v>
      </c>
      <c r="C2266" t="s">
        <v>3659</v>
      </c>
      <c r="D2266" t="s">
        <v>3677</v>
      </c>
      <c r="E2266" t="s">
        <v>3823</v>
      </c>
      <c r="F2266" t="s">
        <v>87</v>
      </c>
      <c r="G2266" t="s">
        <v>86</v>
      </c>
      <c r="H2266" t="s">
        <v>3808</v>
      </c>
      <c r="I2266" t="s">
        <v>3809</v>
      </c>
      <c r="J2266" t="s">
        <v>3910</v>
      </c>
      <c r="K2266" t="s">
        <v>1218</v>
      </c>
      <c r="L2266" s="13">
        <v>42278</v>
      </c>
      <c r="M2266">
        <v>8</v>
      </c>
      <c r="N2266" t="s">
        <v>88</v>
      </c>
      <c r="O2266" t="s">
        <v>3911</v>
      </c>
      <c r="P2266" t="s">
        <v>76</v>
      </c>
      <c r="Q2266" t="s">
        <v>76</v>
      </c>
      <c r="R2266" t="s">
        <v>76</v>
      </c>
      <c r="S2266" t="s">
        <v>76</v>
      </c>
      <c r="T2266" t="s">
        <v>76</v>
      </c>
      <c r="U2266">
        <v>1</v>
      </c>
      <c r="V2266" s="13">
        <v>45175</v>
      </c>
      <c r="W2266">
        <v>1</v>
      </c>
      <c r="X2266">
        <v>1</v>
      </c>
      <c r="Y2266" t="s">
        <v>3678</v>
      </c>
      <c r="AC2266">
        <v>5925</v>
      </c>
      <c r="AD2266" t="e" vm="2256">
        <v>#VALUE!</v>
      </c>
    </row>
    <row r="2267" spans="2:30" x14ac:dyDescent="0.25">
      <c r="B2267">
        <v>5926</v>
      </c>
      <c r="C2267" t="s">
        <v>3659</v>
      </c>
      <c r="D2267" t="s">
        <v>3677</v>
      </c>
      <c r="E2267" t="s">
        <v>3823</v>
      </c>
      <c r="F2267" t="s">
        <v>87</v>
      </c>
      <c r="G2267" t="s">
        <v>86</v>
      </c>
      <c r="H2267" t="s">
        <v>3808</v>
      </c>
      <c r="I2267" t="s">
        <v>3809</v>
      </c>
      <c r="J2267" t="s">
        <v>3910</v>
      </c>
      <c r="K2267" t="s">
        <v>1218</v>
      </c>
      <c r="L2267" s="13">
        <v>42278</v>
      </c>
      <c r="M2267">
        <v>8</v>
      </c>
      <c r="N2267" t="s">
        <v>88</v>
      </c>
      <c r="O2267" t="s">
        <v>3911</v>
      </c>
      <c r="P2267" t="s">
        <v>76</v>
      </c>
      <c r="Q2267" t="s">
        <v>76</v>
      </c>
      <c r="R2267" t="s">
        <v>76</v>
      </c>
      <c r="S2267" t="s">
        <v>76</v>
      </c>
      <c r="T2267" t="s">
        <v>76</v>
      </c>
      <c r="U2267">
        <v>1</v>
      </c>
      <c r="V2267" s="13">
        <v>45175</v>
      </c>
      <c r="W2267">
        <v>1</v>
      </c>
      <c r="X2267">
        <v>1</v>
      </c>
      <c r="Y2267" t="s">
        <v>3678</v>
      </c>
      <c r="AC2267">
        <v>5926</v>
      </c>
      <c r="AD2267" t="e" vm="2257">
        <v>#VALUE!</v>
      </c>
    </row>
    <row r="2268" spans="2:30" x14ac:dyDescent="0.25">
      <c r="B2268">
        <v>5927</v>
      </c>
      <c r="C2268" t="s">
        <v>3659</v>
      </c>
      <c r="D2268" t="s">
        <v>3677</v>
      </c>
      <c r="E2268" t="s">
        <v>3823</v>
      </c>
      <c r="F2268" t="s">
        <v>87</v>
      </c>
      <c r="G2268" t="s">
        <v>86</v>
      </c>
      <c r="H2268" t="s">
        <v>3808</v>
      </c>
      <c r="I2268" t="s">
        <v>3809</v>
      </c>
      <c r="J2268" t="s">
        <v>3910</v>
      </c>
      <c r="K2268" t="s">
        <v>1218</v>
      </c>
      <c r="L2268" s="13">
        <v>42278</v>
      </c>
      <c r="M2268">
        <v>8</v>
      </c>
      <c r="N2268" t="s">
        <v>88</v>
      </c>
      <c r="O2268" t="s">
        <v>3911</v>
      </c>
      <c r="P2268" t="s">
        <v>76</v>
      </c>
      <c r="Q2268" t="s">
        <v>76</v>
      </c>
      <c r="R2268" t="s">
        <v>76</v>
      </c>
      <c r="S2268" t="s">
        <v>76</v>
      </c>
      <c r="T2268" t="s">
        <v>76</v>
      </c>
      <c r="U2268">
        <v>1</v>
      </c>
      <c r="V2268" s="13">
        <v>45175</v>
      </c>
      <c r="W2268">
        <v>1</v>
      </c>
      <c r="X2268">
        <v>1</v>
      </c>
      <c r="Y2268" t="s">
        <v>3678</v>
      </c>
      <c r="AC2268">
        <v>5927</v>
      </c>
      <c r="AD2268" t="e" vm="2258">
        <v>#VALUE!</v>
      </c>
    </row>
    <row r="2269" spans="2:30" x14ac:dyDescent="0.25">
      <c r="B2269">
        <v>5928</v>
      </c>
      <c r="C2269" t="s">
        <v>3659</v>
      </c>
      <c r="D2269" t="s">
        <v>3677</v>
      </c>
      <c r="E2269" t="s">
        <v>3823</v>
      </c>
      <c r="F2269" t="s">
        <v>87</v>
      </c>
      <c r="G2269" t="s">
        <v>86</v>
      </c>
      <c r="H2269" t="s">
        <v>3808</v>
      </c>
      <c r="I2269" t="s">
        <v>3809</v>
      </c>
      <c r="J2269" t="s">
        <v>3910</v>
      </c>
      <c r="K2269" t="s">
        <v>1218</v>
      </c>
      <c r="L2269" s="13">
        <v>42278</v>
      </c>
      <c r="M2269">
        <v>8</v>
      </c>
      <c r="N2269" t="s">
        <v>88</v>
      </c>
      <c r="O2269" t="s">
        <v>3911</v>
      </c>
      <c r="P2269" t="s">
        <v>76</v>
      </c>
      <c r="Q2269" t="s">
        <v>76</v>
      </c>
      <c r="R2269" t="s">
        <v>76</v>
      </c>
      <c r="S2269" t="s">
        <v>76</v>
      </c>
      <c r="T2269" t="s">
        <v>76</v>
      </c>
      <c r="U2269">
        <v>1</v>
      </c>
      <c r="V2269" s="13">
        <v>45175</v>
      </c>
      <c r="W2269">
        <v>1</v>
      </c>
      <c r="X2269">
        <v>1</v>
      </c>
      <c r="Y2269" t="s">
        <v>3678</v>
      </c>
      <c r="AC2269">
        <v>5928</v>
      </c>
      <c r="AD2269" t="e" vm="2259">
        <v>#VALUE!</v>
      </c>
    </row>
    <row r="2270" spans="2:30" x14ac:dyDescent="0.25">
      <c r="B2270">
        <v>5929</v>
      </c>
      <c r="C2270" t="s">
        <v>3659</v>
      </c>
      <c r="D2270" t="s">
        <v>3677</v>
      </c>
      <c r="E2270" t="s">
        <v>3823</v>
      </c>
      <c r="F2270" t="s">
        <v>87</v>
      </c>
      <c r="G2270" t="s">
        <v>86</v>
      </c>
      <c r="H2270" t="s">
        <v>3808</v>
      </c>
      <c r="I2270" t="s">
        <v>3809</v>
      </c>
      <c r="J2270" t="s">
        <v>3910</v>
      </c>
      <c r="K2270" t="s">
        <v>1218</v>
      </c>
      <c r="L2270" s="13">
        <v>42269</v>
      </c>
      <c r="M2270">
        <v>8</v>
      </c>
      <c r="N2270" t="s">
        <v>88</v>
      </c>
      <c r="O2270" t="s">
        <v>3911</v>
      </c>
      <c r="P2270" t="s">
        <v>76</v>
      </c>
      <c r="Q2270" t="s">
        <v>76</v>
      </c>
      <c r="R2270" t="s">
        <v>76</v>
      </c>
      <c r="S2270" t="s">
        <v>76</v>
      </c>
      <c r="T2270" t="s">
        <v>76</v>
      </c>
      <c r="U2270">
        <v>1</v>
      </c>
      <c r="V2270" s="13">
        <v>45175</v>
      </c>
      <c r="W2270">
        <v>1</v>
      </c>
      <c r="X2270">
        <v>1</v>
      </c>
      <c r="Y2270" t="s">
        <v>3678</v>
      </c>
      <c r="AC2270">
        <v>5929</v>
      </c>
      <c r="AD2270" t="e" vm="2260">
        <v>#VALUE!</v>
      </c>
    </row>
    <row r="2271" spans="2:30" x14ac:dyDescent="0.25">
      <c r="B2271">
        <v>5930</v>
      </c>
      <c r="C2271" t="s">
        <v>3659</v>
      </c>
      <c r="D2271" t="s">
        <v>3677</v>
      </c>
      <c r="E2271" t="s">
        <v>3823</v>
      </c>
      <c r="F2271" t="s">
        <v>87</v>
      </c>
      <c r="G2271" t="s">
        <v>86</v>
      </c>
      <c r="H2271" t="s">
        <v>3808</v>
      </c>
      <c r="I2271" t="s">
        <v>3809</v>
      </c>
      <c r="J2271" t="s">
        <v>3910</v>
      </c>
      <c r="K2271" t="s">
        <v>1218</v>
      </c>
      <c r="L2271" s="13">
        <v>42537</v>
      </c>
      <c r="M2271">
        <v>7</v>
      </c>
      <c r="N2271" t="s">
        <v>88</v>
      </c>
      <c r="O2271" t="s">
        <v>3911</v>
      </c>
      <c r="P2271" t="s">
        <v>76</v>
      </c>
      <c r="Q2271" t="s">
        <v>76</v>
      </c>
      <c r="R2271" t="s">
        <v>76</v>
      </c>
      <c r="S2271" t="s">
        <v>76</v>
      </c>
      <c r="T2271" t="s">
        <v>76</v>
      </c>
      <c r="U2271">
        <v>1</v>
      </c>
      <c r="V2271" s="13">
        <v>45175</v>
      </c>
      <c r="W2271">
        <v>1</v>
      </c>
      <c r="X2271">
        <v>1</v>
      </c>
      <c r="Y2271" t="s">
        <v>3678</v>
      </c>
      <c r="AC2271">
        <v>5930</v>
      </c>
      <c r="AD2271" t="e" vm="2261">
        <v>#VALUE!</v>
      </c>
    </row>
    <row r="2272" spans="2:30" x14ac:dyDescent="0.25">
      <c r="B2272">
        <v>5931</v>
      </c>
      <c r="C2272" t="s">
        <v>3659</v>
      </c>
      <c r="D2272" t="s">
        <v>3677</v>
      </c>
      <c r="E2272" t="s">
        <v>3823</v>
      </c>
      <c r="F2272" t="s">
        <v>87</v>
      </c>
      <c r="G2272" t="s">
        <v>86</v>
      </c>
      <c r="H2272" t="s">
        <v>3808</v>
      </c>
      <c r="I2272" t="s">
        <v>3809</v>
      </c>
      <c r="J2272" t="s">
        <v>3910</v>
      </c>
      <c r="K2272" t="s">
        <v>1218</v>
      </c>
      <c r="L2272" s="13">
        <v>42247</v>
      </c>
      <c r="M2272">
        <v>8</v>
      </c>
      <c r="N2272" t="s">
        <v>88</v>
      </c>
      <c r="O2272" t="s">
        <v>3911</v>
      </c>
      <c r="P2272" t="s">
        <v>76</v>
      </c>
      <c r="Q2272" t="s">
        <v>76</v>
      </c>
      <c r="R2272" t="s">
        <v>76</v>
      </c>
      <c r="S2272" t="s">
        <v>76</v>
      </c>
      <c r="T2272" t="s">
        <v>76</v>
      </c>
      <c r="U2272">
        <v>1</v>
      </c>
      <c r="V2272" s="13">
        <v>45175</v>
      </c>
      <c r="W2272">
        <v>1</v>
      </c>
      <c r="X2272">
        <v>1</v>
      </c>
      <c r="Y2272" t="s">
        <v>3678</v>
      </c>
      <c r="AC2272">
        <v>5931</v>
      </c>
      <c r="AD2272" t="e" vm="2262">
        <v>#VALUE!</v>
      </c>
    </row>
    <row r="2273" spans="2:30" x14ac:dyDescent="0.25">
      <c r="B2273">
        <v>5932</v>
      </c>
      <c r="C2273" t="s">
        <v>3659</v>
      </c>
      <c r="D2273" t="s">
        <v>3677</v>
      </c>
      <c r="E2273" t="s">
        <v>3823</v>
      </c>
      <c r="F2273" t="s">
        <v>87</v>
      </c>
      <c r="G2273" t="s">
        <v>86</v>
      </c>
      <c r="H2273" t="s">
        <v>3808</v>
      </c>
      <c r="I2273" t="s">
        <v>3809</v>
      </c>
      <c r="J2273" t="s">
        <v>3910</v>
      </c>
      <c r="K2273" t="s">
        <v>1218</v>
      </c>
      <c r="L2273" s="13">
        <v>42236</v>
      </c>
      <c r="M2273">
        <v>8</v>
      </c>
      <c r="N2273" t="s">
        <v>88</v>
      </c>
      <c r="O2273" t="s">
        <v>3911</v>
      </c>
      <c r="P2273" t="s">
        <v>76</v>
      </c>
      <c r="Q2273" t="s">
        <v>76</v>
      </c>
      <c r="R2273" t="s">
        <v>76</v>
      </c>
      <c r="S2273" t="s">
        <v>76</v>
      </c>
      <c r="T2273" t="s">
        <v>76</v>
      </c>
      <c r="U2273">
        <v>1</v>
      </c>
      <c r="V2273" s="13">
        <v>45175</v>
      </c>
      <c r="W2273">
        <v>1</v>
      </c>
      <c r="X2273">
        <v>1</v>
      </c>
      <c r="Y2273" t="s">
        <v>3678</v>
      </c>
      <c r="AC2273">
        <v>5932</v>
      </c>
      <c r="AD2273" t="e" vm="2263">
        <v>#VALUE!</v>
      </c>
    </row>
    <row r="2274" spans="2:30" x14ac:dyDescent="0.25">
      <c r="B2274">
        <v>5933</v>
      </c>
      <c r="C2274" t="s">
        <v>3659</v>
      </c>
      <c r="D2274" t="s">
        <v>3677</v>
      </c>
      <c r="E2274" t="s">
        <v>3823</v>
      </c>
      <c r="F2274" t="s">
        <v>87</v>
      </c>
      <c r="G2274" t="s">
        <v>86</v>
      </c>
      <c r="H2274" t="s">
        <v>3808</v>
      </c>
      <c r="I2274" t="s">
        <v>3809</v>
      </c>
      <c r="J2274" t="s">
        <v>3910</v>
      </c>
      <c r="K2274" t="s">
        <v>1218</v>
      </c>
      <c r="L2274" s="13">
        <v>42236</v>
      </c>
      <c r="M2274">
        <v>8</v>
      </c>
      <c r="N2274" t="s">
        <v>88</v>
      </c>
      <c r="O2274" t="s">
        <v>3911</v>
      </c>
      <c r="P2274" t="s">
        <v>76</v>
      </c>
      <c r="Q2274" t="s">
        <v>76</v>
      </c>
      <c r="R2274" t="s">
        <v>76</v>
      </c>
      <c r="S2274" t="s">
        <v>76</v>
      </c>
      <c r="T2274" t="s">
        <v>76</v>
      </c>
      <c r="U2274">
        <v>1</v>
      </c>
      <c r="V2274" s="13">
        <v>45175</v>
      </c>
      <c r="W2274">
        <v>1</v>
      </c>
      <c r="X2274">
        <v>1</v>
      </c>
      <c r="Y2274" t="s">
        <v>3678</v>
      </c>
      <c r="AC2274">
        <v>5933</v>
      </c>
      <c r="AD2274" t="e" vm="2264">
        <v>#VALUE!</v>
      </c>
    </row>
    <row r="2275" spans="2:30" x14ac:dyDescent="0.25">
      <c r="B2275">
        <v>5934</v>
      </c>
      <c r="C2275" t="s">
        <v>3659</v>
      </c>
      <c r="D2275" t="s">
        <v>3677</v>
      </c>
      <c r="E2275" t="s">
        <v>3823</v>
      </c>
      <c r="F2275" t="s">
        <v>87</v>
      </c>
      <c r="G2275" t="s">
        <v>86</v>
      </c>
      <c r="H2275" t="s">
        <v>3808</v>
      </c>
      <c r="I2275" t="s">
        <v>3809</v>
      </c>
      <c r="J2275" t="s">
        <v>3910</v>
      </c>
      <c r="K2275" t="s">
        <v>1218</v>
      </c>
      <c r="L2275" s="13">
        <v>42236</v>
      </c>
      <c r="M2275">
        <v>8</v>
      </c>
      <c r="N2275" t="s">
        <v>88</v>
      </c>
      <c r="O2275" t="s">
        <v>3911</v>
      </c>
      <c r="P2275" t="s">
        <v>76</v>
      </c>
      <c r="Q2275" t="s">
        <v>76</v>
      </c>
      <c r="R2275" t="s">
        <v>76</v>
      </c>
      <c r="S2275" t="s">
        <v>76</v>
      </c>
      <c r="T2275" t="s">
        <v>76</v>
      </c>
      <c r="U2275">
        <v>1</v>
      </c>
      <c r="V2275" s="13">
        <v>45175</v>
      </c>
      <c r="W2275">
        <v>1</v>
      </c>
      <c r="X2275">
        <v>1</v>
      </c>
      <c r="Y2275" t="s">
        <v>3678</v>
      </c>
      <c r="AC2275">
        <v>5934</v>
      </c>
      <c r="AD2275" t="e" vm="2265">
        <v>#VALUE!</v>
      </c>
    </row>
    <row r="2276" spans="2:30" x14ac:dyDescent="0.25">
      <c r="B2276">
        <v>5935</v>
      </c>
      <c r="C2276" t="s">
        <v>3659</v>
      </c>
      <c r="D2276" t="s">
        <v>3677</v>
      </c>
      <c r="E2276" t="s">
        <v>3823</v>
      </c>
      <c r="F2276" t="s">
        <v>87</v>
      </c>
      <c r="G2276" t="s">
        <v>86</v>
      </c>
      <c r="H2276" t="s">
        <v>3808</v>
      </c>
      <c r="I2276" t="s">
        <v>3809</v>
      </c>
      <c r="J2276" t="s">
        <v>3910</v>
      </c>
      <c r="K2276" t="s">
        <v>1218</v>
      </c>
      <c r="L2276" s="13">
        <v>42263</v>
      </c>
      <c r="M2276">
        <v>8</v>
      </c>
      <c r="N2276" t="s">
        <v>88</v>
      </c>
      <c r="O2276" t="s">
        <v>3911</v>
      </c>
      <c r="P2276" t="s">
        <v>76</v>
      </c>
      <c r="Q2276" t="s">
        <v>76</v>
      </c>
      <c r="R2276" t="s">
        <v>76</v>
      </c>
      <c r="S2276" t="s">
        <v>76</v>
      </c>
      <c r="T2276" t="s">
        <v>76</v>
      </c>
      <c r="U2276">
        <v>1</v>
      </c>
      <c r="V2276" s="13">
        <v>45175</v>
      </c>
      <c r="W2276">
        <v>1</v>
      </c>
      <c r="X2276">
        <v>1</v>
      </c>
      <c r="Y2276" t="s">
        <v>3678</v>
      </c>
      <c r="AC2276">
        <v>5935</v>
      </c>
      <c r="AD2276" t="e" vm="2266">
        <v>#VALUE!</v>
      </c>
    </row>
    <row r="2277" spans="2:30" x14ac:dyDescent="0.25">
      <c r="B2277">
        <v>5936</v>
      </c>
      <c r="C2277" t="s">
        <v>3659</v>
      </c>
      <c r="D2277" t="s">
        <v>3677</v>
      </c>
      <c r="E2277" t="s">
        <v>3823</v>
      </c>
      <c r="F2277" t="s">
        <v>87</v>
      </c>
      <c r="G2277" t="s">
        <v>86</v>
      </c>
      <c r="H2277" t="s">
        <v>3808</v>
      </c>
      <c r="I2277" t="s">
        <v>3809</v>
      </c>
      <c r="J2277" t="s">
        <v>3910</v>
      </c>
      <c r="K2277" t="s">
        <v>1218</v>
      </c>
      <c r="L2277" s="13">
        <v>42124</v>
      </c>
      <c r="M2277">
        <v>8</v>
      </c>
      <c r="N2277" t="s">
        <v>88</v>
      </c>
      <c r="O2277" t="s">
        <v>3911</v>
      </c>
      <c r="P2277" t="s">
        <v>76</v>
      </c>
      <c r="Q2277" t="s">
        <v>76</v>
      </c>
      <c r="R2277" t="s">
        <v>76</v>
      </c>
      <c r="S2277" t="s">
        <v>76</v>
      </c>
      <c r="T2277" t="s">
        <v>76</v>
      </c>
      <c r="U2277">
        <v>1</v>
      </c>
      <c r="V2277" s="13">
        <v>45175</v>
      </c>
      <c r="W2277">
        <v>1</v>
      </c>
      <c r="X2277">
        <v>1</v>
      </c>
      <c r="Y2277" t="s">
        <v>3678</v>
      </c>
      <c r="AC2277">
        <v>5936</v>
      </c>
      <c r="AD2277" t="e" vm="2267">
        <v>#VALUE!</v>
      </c>
    </row>
    <row r="2278" spans="2:30" x14ac:dyDescent="0.25">
      <c r="B2278">
        <v>5937</v>
      </c>
      <c r="C2278" t="s">
        <v>3659</v>
      </c>
      <c r="D2278" t="s">
        <v>3677</v>
      </c>
      <c r="E2278" t="s">
        <v>3823</v>
      </c>
      <c r="F2278" t="s">
        <v>87</v>
      </c>
      <c r="G2278" t="s">
        <v>86</v>
      </c>
      <c r="H2278" t="s">
        <v>3808</v>
      </c>
      <c r="I2278" t="s">
        <v>3809</v>
      </c>
      <c r="J2278" t="s">
        <v>3910</v>
      </c>
      <c r="K2278" t="s">
        <v>1218</v>
      </c>
      <c r="L2278" s="13">
        <v>42130</v>
      </c>
      <c r="M2278">
        <v>8</v>
      </c>
      <c r="N2278" t="s">
        <v>88</v>
      </c>
      <c r="O2278" t="s">
        <v>3911</v>
      </c>
      <c r="P2278" t="s">
        <v>76</v>
      </c>
      <c r="Q2278" t="s">
        <v>76</v>
      </c>
      <c r="R2278" t="s">
        <v>76</v>
      </c>
      <c r="S2278" t="s">
        <v>76</v>
      </c>
      <c r="T2278" t="s">
        <v>76</v>
      </c>
      <c r="U2278">
        <v>1</v>
      </c>
      <c r="V2278" s="13">
        <v>45175</v>
      </c>
      <c r="W2278">
        <v>1</v>
      </c>
      <c r="X2278">
        <v>1</v>
      </c>
      <c r="Y2278" t="s">
        <v>3678</v>
      </c>
      <c r="AC2278">
        <v>5937</v>
      </c>
      <c r="AD2278" t="e" vm="2268">
        <v>#VALUE!</v>
      </c>
    </row>
    <row r="2279" spans="2:30" x14ac:dyDescent="0.25">
      <c r="B2279">
        <v>5938</v>
      </c>
      <c r="C2279" t="s">
        <v>3659</v>
      </c>
      <c r="D2279" t="s">
        <v>3677</v>
      </c>
      <c r="E2279" t="s">
        <v>3823</v>
      </c>
      <c r="F2279" t="s">
        <v>87</v>
      </c>
      <c r="G2279" t="s">
        <v>86</v>
      </c>
      <c r="H2279" t="s">
        <v>3808</v>
      </c>
      <c r="I2279" t="s">
        <v>3809</v>
      </c>
      <c r="J2279" t="s">
        <v>3910</v>
      </c>
      <c r="K2279" t="s">
        <v>1218</v>
      </c>
      <c r="L2279" s="13">
        <v>42131</v>
      </c>
      <c r="M2279">
        <v>8</v>
      </c>
      <c r="N2279" t="s">
        <v>88</v>
      </c>
      <c r="O2279" t="s">
        <v>3911</v>
      </c>
      <c r="P2279" t="s">
        <v>76</v>
      </c>
      <c r="Q2279" t="s">
        <v>76</v>
      </c>
      <c r="R2279" t="s">
        <v>76</v>
      </c>
      <c r="S2279" t="s">
        <v>76</v>
      </c>
      <c r="T2279" t="s">
        <v>76</v>
      </c>
      <c r="U2279">
        <v>1</v>
      </c>
      <c r="V2279" s="13">
        <v>45175</v>
      </c>
      <c r="W2279">
        <v>1</v>
      </c>
      <c r="X2279">
        <v>1</v>
      </c>
      <c r="Y2279" t="s">
        <v>3678</v>
      </c>
      <c r="AC2279">
        <v>5938</v>
      </c>
      <c r="AD2279" t="e" vm="2269">
        <v>#VALUE!</v>
      </c>
    </row>
    <row r="2280" spans="2:30" x14ac:dyDescent="0.25">
      <c r="B2280">
        <v>5939</v>
      </c>
      <c r="C2280" t="s">
        <v>3646</v>
      </c>
      <c r="D2280" t="s">
        <v>3682</v>
      </c>
      <c r="E2280" t="s">
        <v>3826</v>
      </c>
      <c r="F2280" t="s">
        <v>81</v>
      </c>
      <c r="G2280" t="s">
        <v>100</v>
      </c>
      <c r="H2280" t="s">
        <v>3808</v>
      </c>
      <c r="I2280" t="s">
        <v>3809</v>
      </c>
      <c r="J2280" t="s">
        <v>3910</v>
      </c>
      <c r="K2280" t="s">
        <v>1218</v>
      </c>
      <c r="L2280" s="13">
        <v>42135</v>
      </c>
      <c r="M2280">
        <v>8</v>
      </c>
      <c r="N2280" t="s">
        <v>90</v>
      </c>
      <c r="O2280" t="s">
        <v>3911</v>
      </c>
      <c r="P2280" t="s">
        <v>76</v>
      </c>
      <c r="Q2280" t="s">
        <v>76</v>
      </c>
      <c r="R2280" t="s">
        <v>76</v>
      </c>
      <c r="S2280" t="s">
        <v>76</v>
      </c>
      <c r="T2280" t="s">
        <v>76</v>
      </c>
      <c r="U2280">
        <v>1</v>
      </c>
      <c r="V2280" s="13">
        <v>45175</v>
      </c>
      <c r="W2280">
        <v>1</v>
      </c>
      <c r="X2280">
        <v>1</v>
      </c>
      <c r="Y2280" t="s">
        <v>3683</v>
      </c>
      <c r="AC2280">
        <v>5939</v>
      </c>
      <c r="AD2280" t="e" vm="2270">
        <v>#VALUE!</v>
      </c>
    </row>
    <row r="2281" spans="2:30" x14ac:dyDescent="0.25">
      <c r="B2281">
        <v>5940</v>
      </c>
      <c r="C2281" t="s">
        <v>3646</v>
      </c>
      <c r="D2281" t="s">
        <v>3682</v>
      </c>
      <c r="E2281" t="s">
        <v>3826</v>
      </c>
      <c r="F2281" t="s">
        <v>81</v>
      </c>
      <c r="G2281" t="s">
        <v>100</v>
      </c>
      <c r="H2281" t="s">
        <v>3808</v>
      </c>
      <c r="I2281" t="s">
        <v>3809</v>
      </c>
      <c r="J2281" t="s">
        <v>3910</v>
      </c>
      <c r="K2281" t="s">
        <v>1218</v>
      </c>
      <c r="L2281" s="13">
        <v>42135</v>
      </c>
      <c r="M2281">
        <v>8</v>
      </c>
      <c r="N2281" t="s">
        <v>90</v>
      </c>
      <c r="O2281" t="s">
        <v>3911</v>
      </c>
      <c r="P2281" t="s">
        <v>76</v>
      </c>
      <c r="Q2281" t="s">
        <v>76</v>
      </c>
      <c r="R2281" t="s">
        <v>76</v>
      </c>
      <c r="S2281" t="s">
        <v>76</v>
      </c>
      <c r="T2281" t="s">
        <v>76</v>
      </c>
      <c r="U2281">
        <v>1</v>
      </c>
      <c r="V2281" s="13">
        <v>45175</v>
      </c>
      <c r="W2281">
        <v>1</v>
      </c>
      <c r="X2281">
        <v>1</v>
      </c>
      <c r="Y2281" t="s">
        <v>3683</v>
      </c>
      <c r="AC2281">
        <v>5940</v>
      </c>
      <c r="AD2281" t="e" vm="2271">
        <v>#VALUE!</v>
      </c>
    </row>
    <row r="2282" spans="2:30" x14ac:dyDescent="0.25">
      <c r="B2282">
        <v>5941</v>
      </c>
      <c r="C2282" t="s">
        <v>3646</v>
      </c>
      <c r="D2282" t="s">
        <v>3682</v>
      </c>
      <c r="E2282" t="s">
        <v>3826</v>
      </c>
      <c r="F2282" t="s">
        <v>81</v>
      </c>
      <c r="G2282" t="s">
        <v>100</v>
      </c>
      <c r="H2282" t="s">
        <v>3808</v>
      </c>
      <c r="I2282" t="s">
        <v>3809</v>
      </c>
      <c r="J2282" t="s">
        <v>3910</v>
      </c>
      <c r="K2282" t="s">
        <v>1218</v>
      </c>
      <c r="L2282" s="13">
        <v>42135</v>
      </c>
      <c r="M2282">
        <v>8</v>
      </c>
      <c r="N2282" t="s">
        <v>90</v>
      </c>
      <c r="O2282" t="s">
        <v>3911</v>
      </c>
      <c r="P2282" t="s">
        <v>76</v>
      </c>
      <c r="Q2282" t="s">
        <v>76</v>
      </c>
      <c r="R2282" t="s">
        <v>76</v>
      </c>
      <c r="S2282" t="s">
        <v>76</v>
      </c>
      <c r="T2282" t="s">
        <v>76</v>
      </c>
      <c r="U2282">
        <v>1</v>
      </c>
      <c r="V2282" s="13">
        <v>45175</v>
      </c>
      <c r="W2282">
        <v>1</v>
      </c>
      <c r="X2282">
        <v>1</v>
      </c>
      <c r="Y2282" t="s">
        <v>3683</v>
      </c>
      <c r="AC2282">
        <v>5941</v>
      </c>
      <c r="AD2282" t="e" vm="2272">
        <v>#VALUE!</v>
      </c>
    </row>
    <row r="2283" spans="2:30" x14ac:dyDescent="0.25">
      <c r="B2283">
        <v>5942</v>
      </c>
      <c r="C2283" t="s">
        <v>3646</v>
      </c>
      <c r="D2283" t="s">
        <v>3682</v>
      </c>
      <c r="E2283" t="s">
        <v>3826</v>
      </c>
      <c r="F2283" t="s">
        <v>81</v>
      </c>
      <c r="G2283" t="s">
        <v>100</v>
      </c>
      <c r="H2283" t="s">
        <v>3808</v>
      </c>
      <c r="I2283" t="s">
        <v>3809</v>
      </c>
      <c r="J2283" t="s">
        <v>3910</v>
      </c>
      <c r="K2283" t="s">
        <v>1218</v>
      </c>
      <c r="L2283" s="13">
        <v>42137</v>
      </c>
      <c r="M2283">
        <v>8</v>
      </c>
      <c r="N2283" t="s">
        <v>90</v>
      </c>
      <c r="O2283" t="s">
        <v>3911</v>
      </c>
      <c r="P2283" t="s">
        <v>76</v>
      </c>
      <c r="Q2283" t="s">
        <v>76</v>
      </c>
      <c r="R2283" t="s">
        <v>76</v>
      </c>
      <c r="S2283" t="s">
        <v>76</v>
      </c>
      <c r="T2283" t="s">
        <v>76</v>
      </c>
      <c r="U2283">
        <v>1</v>
      </c>
      <c r="V2283" s="13">
        <v>45175</v>
      </c>
      <c r="W2283">
        <v>1</v>
      </c>
      <c r="X2283">
        <v>1</v>
      </c>
      <c r="Y2283" t="s">
        <v>3683</v>
      </c>
      <c r="AC2283">
        <v>5942</v>
      </c>
      <c r="AD2283" t="e" vm="2273">
        <v>#VALUE!</v>
      </c>
    </row>
    <row r="2284" spans="2:30" x14ac:dyDescent="0.25">
      <c r="B2284">
        <v>5943</v>
      </c>
      <c r="C2284" t="s">
        <v>3646</v>
      </c>
      <c r="D2284" t="s">
        <v>3682</v>
      </c>
      <c r="E2284" t="s">
        <v>3826</v>
      </c>
      <c r="F2284" t="s">
        <v>81</v>
      </c>
      <c r="G2284" t="s">
        <v>100</v>
      </c>
      <c r="H2284" t="s">
        <v>3808</v>
      </c>
      <c r="I2284" t="s">
        <v>3809</v>
      </c>
      <c r="J2284" t="s">
        <v>3910</v>
      </c>
      <c r="K2284" t="s">
        <v>1218</v>
      </c>
      <c r="L2284" s="13">
        <v>42143</v>
      </c>
      <c r="M2284">
        <v>8</v>
      </c>
      <c r="N2284" t="s">
        <v>90</v>
      </c>
      <c r="O2284" t="s">
        <v>3911</v>
      </c>
      <c r="P2284" t="s">
        <v>76</v>
      </c>
      <c r="Q2284" t="s">
        <v>76</v>
      </c>
      <c r="R2284" t="s">
        <v>76</v>
      </c>
      <c r="S2284" t="s">
        <v>76</v>
      </c>
      <c r="T2284" t="s">
        <v>76</v>
      </c>
      <c r="U2284">
        <v>1</v>
      </c>
      <c r="V2284" s="13">
        <v>45175</v>
      </c>
      <c r="W2284">
        <v>1</v>
      </c>
      <c r="X2284">
        <v>1</v>
      </c>
      <c r="Y2284" t="s">
        <v>3683</v>
      </c>
      <c r="AC2284">
        <v>5943</v>
      </c>
      <c r="AD2284" t="e" vm="2274">
        <v>#VALUE!</v>
      </c>
    </row>
    <row r="2285" spans="2:30" x14ac:dyDescent="0.25">
      <c r="B2285">
        <v>5944</v>
      </c>
      <c r="C2285" t="s">
        <v>3646</v>
      </c>
      <c r="D2285" t="s">
        <v>3682</v>
      </c>
      <c r="E2285" t="s">
        <v>3826</v>
      </c>
      <c r="F2285" t="s">
        <v>81</v>
      </c>
      <c r="G2285" t="s">
        <v>100</v>
      </c>
      <c r="H2285" t="s">
        <v>3808</v>
      </c>
      <c r="I2285" t="s">
        <v>3809</v>
      </c>
      <c r="J2285" t="s">
        <v>3910</v>
      </c>
      <c r="K2285" t="s">
        <v>1218</v>
      </c>
      <c r="L2285" s="13">
        <v>42158</v>
      </c>
      <c r="M2285">
        <v>8</v>
      </c>
      <c r="N2285" t="s">
        <v>90</v>
      </c>
      <c r="O2285" t="s">
        <v>3911</v>
      </c>
      <c r="P2285" t="s">
        <v>76</v>
      </c>
      <c r="Q2285" t="s">
        <v>76</v>
      </c>
      <c r="R2285" t="s">
        <v>76</v>
      </c>
      <c r="S2285" t="s">
        <v>76</v>
      </c>
      <c r="T2285" t="s">
        <v>76</v>
      </c>
      <c r="U2285">
        <v>1</v>
      </c>
      <c r="V2285" s="13">
        <v>45175</v>
      </c>
      <c r="W2285">
        <v>1</v>
      </c>
      <c r="X2285">
        <v>1</v>
      </c>
      <c r="Y2285" t="s">
        <v>3683</v>
      </c>
      <c r="AC2285">
        <v>5944</v>
      </c>
      <c r="AD2285" t="e" vm="2275">
        <v>#VALUE!</v>
      </c>
    </row>
    <row r="2286" spans="2:30" x14ac:dyDescent="0.25">
      <c r="B2286">
        <v>5945</v>
      </c>
      <c r="C2286" t="s">
        <v>3646</v>
      </c>
      <c r="D2286" t="s">
        <v>3682</v>
      </c>
      <c r="E2286" t="s">
        <v>3826</v>
      </c>
      <c r="F2286" t="s">
        <v>81</v>
      </c>
      <c r="G2286" t="s">
        <v>100</v>
      </c>
      <c r="H2286" t="s">
        <v>3808</v>
      </c>
      <c r="I2286" t="s">
        <v>3809</v>
      </c>
      <c r="J2286" t="s">
        <v>3910</v>
      </c>
      <c r="K2286" t="s">
        <v>1218</v>
      </c>
      <c r="L2286" s="13">
        <v>42143</v>
      </c>
      <c r="M2286">
        <v>8</v>
      </c>
      <c r="N2286" t="s">
        <v>90</v>
      </c>
      <c r="O2286" t="s">
        <v>3911</v>
      </c>
      <c r="P2286" t="s">
        <v>76</v>
      </c>
      <c r="Q2286" t="s">
        <v>76</v>
      </c>
      <c r="R2286" t="s">
        <v>76</v>
      </c>
      <c r="S2286" t="s">
        <v>76</v>
      </c>
      <c r="T2286" t="s">
        <v>76</v>
      </c>
      <c r="U2286">
        <v>1</v>
      </c>
      <c r="V2286" s="13">
        <v>45175</v>
      </c>
      <c r="W2286">
        <v>1</v>
      </c>
      <c r="X2286">
        <v>1</v>
      </c>
      <c r="Y2286" t="s">
        <v>3683</v>
      </c>
      <c r="AC2286">
        <v>5945</v>
      </c>
      <c r="AD2286" t="e" vm="2276">
        <v>#VALUE!</v>
      </c>
    </row>
    <row r="2287" spans="2:30" x14ac:dyDescent="0.25">
      <c r="B2287">
        <v>5946</v>
      </c>
      <c r="C2287" t="s">
        <v>3646</v>
      </c>
      <c r="D2287" t="s">
        <v>3682</v>
      </c>
      <c r="E2287" t="s">
        <v>3826</v>
      </c>
      <c r="F2287" t="s">
        <v>81</v>
      </c>
      <c r="G2287" t="s">
        <v>100</v>
      </c>
      <c r="H2287" t="s">
        <v>3808</v>
      </c>
      <c r="I2287" t="s">
        <v>3809</v>
      </c>
      <c r="J2287" t="s">
        <v>3910</v>
      </c>
      <c r="K2287" t="s">
        <v>1218</v>
      </c>
      <c r="L2287" s="13">
        <v>42158</v>
      </c>
      <c r="M2287">
        <v>8</v>
      </c>
      <c r="N2287" t="s">
        <v>90</v>
      </c>
      <c r="O2287" t="s">
        <v>3911</v>
      </c>
      <c r="P2287" t="s">
        <v>76</v>
      </c>
      <c r="Q2287" t="s">
        <v>76</v>
      </c>
      <c r="R2287" t="s">
        <v>76</v>
      </c>
      <c r="S2287" t="s">
        <v>76</v>
      </c>
      <c r="T2287" t="s">
        <v>76</v>
      </c>
      <c r="U2287">
        <v>1</v>
      </c>
      <c r="V2287" s="13">
        <v>45175</v>
      </c>
      <c r="W2287">
        <v>1</v>
      </c>
      <c r="X2287">
        <v>1</v>
      </c>
      <c r="Y2287" t="s">
        <v>3683</v>
      </c>
      <c r="AC2287">
        <v>5946</v>
      </c>
      <c r="AD2287" t="e" vm="2277">
        <v>#VALUE!</v>
      </c>
    </row>
    <row r="2288" spans="2:30" x14ac:dyDescent="0.25">
      <c r="B2288">
        <v>5947</v>
      </c>
      <c r="C2288" t="s">
        <v>3646</v>
      </c>
      <c r="D2288" t="s">
        <v>3682</v>
      </c>
      <c r="E2288" t="s">
        <v>3826</v>
      </c>
      <c r="F2288" t="s">
        <v>81</v>
      </c>
      <c r="G2288" t="s">
        <v>100</v>
      </c>
      <c r="H2288" t="s">
        <v>3808</v>
      </c>
      <c r="I2288" t="s">
        <v>3809</v>
      </c>
      <c r="J2288" t="s">
        <v>3910</v>
      </c>
      <c r="K2288" t="s">
        <v>1218</v>
      </c>
      <c r="L2288" s="13">
        <v>42160</v>
      </c>
      <c r="M2288">
        <v>8</v>
      </c>
      <c r="N2288" t="s">
        <v>90</v>
      </c>
      <c r="O2288" t="s">
        <v>3911</v>
      </c>
      <c r="P2288" t="s">
        <v>76</v>
      </c>
      <c r="Q2288" t="s">
        <v>76</v>
      </c>
      <c r="R2288" t="s">
        <v>76</v>
      </c>
      <c r="S2288" t="s">
        <v>76</v>
      </c>
      <c r="T2288" t="s">
        <v>76</v>
      </c>
      <c r="U2288">
        <v>1</v>
      </c>
      <c r="V2288" s="13">
        <v>45175</v>
      </c>
      <c r="W2288">
        <v>1</v>
      </c>
      <c r="X2288">
        <v>1</v>
      </c>
      <c r="Y2288" t="s">
        <v>3683</v>
      </c>
      <c r="AC2288">
        <v>5947</v>
      </c>
      <c r="AD2288" t="e" vm="2278">
        <v>#VALUE!</v>
      </c>
    </row>
    <row r="2289" spans="2:30" x14ac:dyDescent="0.25">
      <c r="B2289">
        <v>5948</v>
      </c>
      <c r="C2289" t="s">
        <v>3646</v>
      </c>
      <c r="D2289" t="s">
        <v>3682</v>
      </c>
      <c r="E2289" t="s">
        <v>3826</v>
      </c>
      <c r="F2289" t="s">
        <v>81</v>
      </c>
      <c r="G2289" t="s">
        <v>100</v>
      </c>
      <c r="H2289" t="s">
        <v>3808</v>
      </c>
      <c r="I2289" t="s">
        <v>3809</v>
      </c>
      <c r="J2289" t="s">
        <v>3910</v>
      </c>
      <c r="K2289" t="s">
        <v>1218</v>
      </c>
      <c r="L2289" s="13">
        <v>42160</v>
      </c>
      <c r="M2289">
        <v>8</v>
      </c>
      <c r="N2289" t="s">
        <v>90</v>
      </c>
      <c r="O2289" t="s">
        <v>3911</v>
      </c>
      <c r="P2289" t="s">
        <v>76</v>
      </c>
      <c r="Q2289" t="s">
        <v>76</v>
      </c>
      <c r="R2289" t="s">
        <v>76</v>
      </c>
      <c r="S2289" t="s">
        <v>76</v>
      </c>
      <c r="T2289" t="s">
        <v>76</v>
      </c>
      <c r="U2289">
        <v>1</v>
      </c>
      <c r="V2289" s="13">
        <v>45175</v>
      </c>
      <c r="W2289">
        <v>1</v>
      </c>
      <c r="X2289">
        <v>1</v>
      </c>
      <c r="Y2289" t="s">
        <v>3683</v>
      </c>
      <c r="AC2289">
        <v>5948</v>
      </c>
      <c r="AD2289" t="e" vm="2279">
        <v>#VALUE!</v>
      </c>
    </row>
    <row r="2290" spans="2:30" x14ac:dyDescent="0.25">
      <c r="B2290">
        <v>5949</v>
      </c>
      <c r="C2290" t="s">
        <v>3684</v>
      </c>
      <c r="D2290" t="s">
        <v>3695</v>
      </c>
      <c r="E2290" t="s">
        <v>3838</v>
      </c>
      <c r="F2290" t="s">
        <v>97</v>
      </c>
      <c r="G2290" t="s">
        <v>102</v>
      </c>
      <c r="H2290" t="s">
        <v>3808</v>
      </c>
      <c r="I2290" t="s">
        <v>3809</v>
      </c>
      <c r="J2290" t="s">
        <v>3910</v>
      </c>
      <c r="K2290" t="s">
        <v>1218</v>
      </c>
      <c r="L2290" s="13">
        <v>42430</v>
      </c>
      <c r="M2290">
        <v>8</v>
      </c>
      <c r="N2290" t="s">
        <v>101</v>
      </c>
      <c r="O2290" t="s">
        <v>3911</v>
      </c>
      <c r="P2290" t="s">
        <v>76</v>
      </c>
      <c r="Q2290" t="s">
        <v>76</v>
      </c>
      <c r="R2290" t="s">
        <v>76</v>
      </c>
      <c r="S2290" t="s">
        <v>76</v>
      </c>
      <c r="T2290" t="s">
        <v>76</v>
      </c>
      <c r="U2290">
        <v>1</v>
      </c>
      <c r="V2290" s="13">
        <v>45175</v>
      </c>
      <c r="W2290">
        <v>1</v>
      </c>
      <c r="X2290">
        <v>1</v>
      </c>
      <c r="Y2290" t="s">
        <v>3696</v>
      </c>
      <c r="AC2290">
        <v>5949</v>
      </c>
      <c r="AD2290" t="e" vm="2280">
        <v>#VALUE!</v>
      </c>
    </row>
    <row r="2291" spans="2:30" x14ac:dyDescent="0.25">
      <c r="B2291">
        <v>5950</v>
      </c>
      <c r="C2291" t="s">
        <v>3684</v>
      </c>
      <c r="D2291" t="s">
        <v>3695</v>
      </c>
      <c r="E2291" t="s">
        <v>3838</v>
      </c>
      <c r="F2291" t="s">
        <v>97</v>
      </c>
      <c r="G2291" t="s">
        <v>102</v>
      </c>
      <c r="H2291" t="s">
        <v>3808</v>
      </c>
      <c r="I2291" t="s">
        <v>3809</v>
      </c>
      <c r="J2291" t="s">
        <v>3910</v>
      </c>
      <c r="K2291" t="s">
        <v>1218</v>
      </c>
      <c r="L2291" s="13">
        <v>42347</v>
      </c>
      <c r="M2291">
        <v>8</v>
      </c>
      <c r="N2291" t="s">
        <v>101</v>
      </c>
      <c r="O2291" t="s">
        <v>3911</v>
      </c>
      <c r="P2291" t="s">
        <v>76</v>
      </c>
      <c r="Q2291" t="s">
        <v>76</v>
      </c>
      <c r="R2291" t="s">
        <v>76</v>
      </c>
      <c r="S2291" t="s">
        <v>76</v>
      </c>
      <c r="T2291" t="s">
        <v>76</v>
      </c>
      <c r="U2291">
        <v>1</v>
      </c>
      <c r="V2291" s="13">
        <v>45175</v>
      </c>
      <c r="W2291">
        <v>1</v>
      </c>
      <c r="X2291">
        <v>1</v>
      </c>
      <c r="Y2291" t="s">
        <v>3696</v>
      </c>
      <c r="AC2291">
        <v>5950</v>
      </c>
      <c r="AD2291" t="e" vm="2281">
        <v>#VALUE!</v>
      </c>
    </row>
    <row r="2292" spans="2:30" x14ac:dyDescent="0.25">
      <c r="B2292">
        <v>5951</v>
      </c>
      <c r="C2292" t="s">
        <v>3684</v>
      </c>
      <c r="D2292" t="s">
        <v>3695</v>
      </c>
      <c r="E2292" t="s">
        <v>3838</v>
      </c>
      <c r="F2292" t="s">
        <v>97</v>
      </c>
      <c r="G2292" t="s">
        <v>102</v>
      </c>
      <c r="H2292" t="s">
        <v>3808</v>
      </c>
      <c r="I2292" t="s">
        <v>3809</v>
      </c>
      <c r="J2292" t="s">
        <v>3910</v>
      </c>
      <c r="K2292" t="s">
        <v>1218</v>
      </c>
      <c r="L2292" s="13">
        <v>42334</v>
      </c>
      <c r="M2292">
        <v>8</v>
      </c>
      <c r="N2292" t="s">
        <v>101</v>
      </c>
      <c r="O2292" t="s">
        <v>3911</v>
      </c>
      <c r="P2292" t="s">
        <v>76</v>
      </c>
      <c r="Q2292" t="s">
        <v>76</v>
      </c>
      <c r="R2292" t="s">
        <v>76</v>
      </c>
      <c r="S2292" t="s">
        <v>76</v>
      </c>
      <c r="T2292" t="s">
        <v>76</v>
      </c>
      <c r="U2292">
        <v>1</v>
      </c>
      <c r="V2292" s="13">
        <v>45175</v>
      </c>
      <c r="W2292">
        <v>1</v>
      </c>
      <c r="X2292">
        <v>1</v>
      </c>
      <c r="Y2292" t="s">
        <v>3696</v>
      </c>
      <c r="AC2292">
        <v>5951</v>
      </c>
      <c r="AD2292" t="e" vm="2282">
        <v>#VALUE!</v>
      </c>
    </row>
    <row r="2293" spans="2:30" x14ac:dyDescent="0.25">
      <c r="B2293">
        <v>5952</v>
      </c>
      <c r="C2293" t="s">
        <v>3684</v>
      </c>
      <c r="D2293" t="s">
        <v>3695</v>
      </c>
      <c r="E2293" t="s">
        <v>3838</v>
      </c>
      <c r="F2293" t="s">
        <v>97</v>
      </c>
      <c r="G2293" t="s">
        <v>102</v>
      </c>
      <c r="H2293" t="s">
        <v>3808</v>
      </c>
      <c r="I2293" t="s">
        <v>3809</v>
      </c>
      <c r="J2293" t="s">
        <v>3910</v>
      </c>
      <c r="K2293" t="s">
        <v>1218</v>
      </c>
      <c r="L2293" s="13">
        <v>42445</v>
      </c>
      <c r="M2293">
        <v>8</v>
      </c>
      <c r="N2293" t="s">
        <v>101</v>
      </c>
      <c r="O2293" t="s">
        <v>3911</v>
      </c>
      <c r="P2293" t="s">
        <v>76</v>
      </c>
      <c r="Q2293" t="s">
        <v>76</v>
      </c>
      <c r="R2293" t="s">
        <v>76</v>
      </c>
      <c r="S2293" t="s">
        <v>76</v>
      </c>
      <c r="T2293" t="s">
        <v>76</v>
      </c>
      <c r="U2293">
        <v>1</v>
      </c>
      <c r="V2293" s="13">
        <v>45175</v>
      </c>
      <c r="W2293">
        <v>1</v>
      </c>
      <c r="X2293">
        <v>1</v>
      </c>
      <c r="Y2293" t="s">
        <v>3696</v>
      </c>
      <c r="AC2293">
        <v>5952</v>
      </c>
      <c r="AD2293" t="e" vm="2283">
        <v>#VALUE!</v>
      </c>
    </row>
    <row r="2294" spans="2:30" x14ac:dyDescent="0.25">
      <c r="B2294">
        <v>5953</v>
      </c>
      <c r="C2294" t="s">
        <v>3684</v>
      </c>
      <c r="D2294" t="s">
        <v>3695</v>
      </c>
      <c r="E2294" t="s">
        <v>3838</v>
      </c>
      <c r="F2294" t="s">
        <v>97</v>
      </c>
      <c r="G2294" t="s">
        <v>102</v>
      </c>
      <c r="H2294" t="s">
        <v>3808</v>
      </c>
      <c r="I2294" t="s">
        <v>3809</v>
      </c>
      <c r="J2294" t="s">
        <v>3910</v>
      </c>
      <c r="K2294" t="s">
        <v>1218</v>
      </c>
      <c r="L2294" s="13">
        <v>42479</v>
      </c>
      <c r="M2294">
        <v>7</v>
      </c>
      <c r="N2294" t="s">
        <v>101</v>
      </c>
      <c r="O2294" t="s">
        <v>3911</v>
      </c>
      <c r="P2294" t="s">
        <v>76</v>
      </c>
      <c r="Q2294" t="s">
        <v>76</v>
      </c>
      <c r="R2294" t="s">
        <v>76</v>
      </c>
      <c r="S2294" t="s">
        <v>76</v>
      </c>
      <c r="T2294" t="s">
        <v>76</v>
      </c>
      <c r="U2294">
        <v>1</v>
      </c>
      <c r="V2294" s="13">
        <v>45175</v>
      </c>
      <c r="W2294">
        <v>1</v>
      </c>
      <c r="X2294">
        <v>1</v>
      </c>
      <c r="Y2294" t="s">
        <v>3696</v>
      </c>
      <c r="AC2294">
        <v>5953</v>
      </c>
      <c r="AD2294" t="e" vm="2284">
        <v>#VALUE!</v>
      </c>
    </row>
    <row r="2295" spans="2:30" x14ac:dyDescent="0.25">
      <c r="B2295">
        <v>5954</v>
      </c>
      <c r="C2295" t="s">
        <v>3684</v>
      </c>
      <c r="D2295" t="s">
        <v>3695</v>
      </c>
      <c r="E2295" t="s">
        <v>3838</v>
      </c>
      <c r="F2295" t="s">
        <v>97</v>
      </c>
      <c r="G2295" t="s">
        <v>102</v>
      </c>
      <c r="H2295" t="s">
        <v>3808</v>
      </c>
      <c r="I2295" t="s">
        <v>3809</v>
      </c>
      <c r="J2295" t="s">
        <v>3910</v>
      </c>
      <c r="K2295" t="s">
        <v>1218</v>
      </c>
      <c r="L2295" s="13">
        <v>42236</v>
      </c>
      <c r="M2295">
        <v>8</v>
      </c>
      <c r="N2295" t="s">
        <v>101</v>
      </c>
      <c r="O2295" t="s">
        <v>3911</v>
      </c>
      <c r="P2295" t="s">
        <v>76</v>
      </c>
      <c r="Q2295" t="s">
        <v>76</v>
      </c>
      <c r="R2295" t="s">
        <v>76</v>
      </c>
      <c r="S2295" t="s">
        <v>76</v>
      </c>
      <c r="T2295" t="s">
        <v>76</v>
      </c>
      <c r="U2295">
        <v>1</v>
      </c>
      <c r="V2295" s="13">
        <v>45175</v>
      </c>
      <c r="W2295">
        <v>1</v>
      </c>
      <c r="X2295">
        <v>1</v>
      </c>
      <c r="Y2295" t="s">
        <v>3696</v>
      </c>
      <c r="AC2295">
        <v>5954</v>
      </c>
      <c r="AD2295" t="e" vm="2285">
        <v>#VALUE!</v>
      </c>
    </row>
    <row r="2296" spans="2:30" x14ac:dyDescent="0.25">
      <c r="B2296">
        <v>5955</v>
      </c>
      <c r="C2296" t="s">
        <v>3684</v>
      </c>
      <c r="D2296" t="s">
        <v>3695</v>
      </c>
      <c r="E2296" t="s">
        <v>3838</v>
      </c>
      <c r="F2296" t="s">
        <v>97</v>
      </c>
      <c r="G2296" t="s">
        <v>102</v>
      </c>
      <c r="H2296" t="s">
        <v>3808</v>
      </c>
      <c r="I2296" t="s">
        <v>3809</v>
      </c>
      <c r="J2296" t="s">
        <v>3910</v>
      </c>
      <c r="K2296" t="s">
        <v>1218</v>
      </c>
      <c r="L2296" s="13">
        <v>42236</v>
      </c>
      <c r="M2296">
        <v>8</v>
      </c>
      <c r="N2296" t="s">
        <v>101</v>
      </c>
      <c r="O2296" t="s">
        <v>3911</v>
      </c>
      <c r="P2296" t="s">
        <v>76</v>
      </c>
      <c r="Q2296" t="s">
        <v>76</v>
      </c>
      <c r="R2296" t="s">
        <v>76</v>
      </c>
      <c r="S2296" t="s">
        <v>76</v>
      </c>
      <c r="T2296" t="s">
        <v>76</v>
      </c>
      <c r="U2296">
        <v>1</v>
      </c>
      <c r="V2296" s="13">
        <v>45175</v>
      </c>
      <c r="W2296">
        <v>1</v>
      </c>
      <c r="X2296">
        <v>1</v>
      </c>
      <c r="Y2296" t="s">
        <v>3696</v>
      </c>
      <c r="AC2296">
        <v>5955</v>
      </c>
      <c r="AD2296" t="e" vm="2286">
        <v>#VALUE!</v>
      </c>
    </row>
    <row r="2297" spans="2:30" x14ac:dyDescent="0.25">
      <c r="B2297">
        <v>5956</v>
      </c>
      <c r="C2297" t="s">
        <v>3684</v>
      </c>
      <c r="D2297" t="s">
        <v>3695</v>
      </c>
      <c r="E2297" t="s">
        <v>3838</v>
      </c>
      <c r="F2297" t="s">
        <v>97</v>
      </c>
      <c r="G2297" t="s">
        <v>102</v>
      </c>
      <c r="H2297" t="s">
        <v>3808</v>
      </c>
      <c r="I2297" t="s">
        <v>3809</v>
      </c>
      <c r="J2297" t="s">
        <v>3910</v>
      </c>
      <c r="K2297" t="s">
        <v>1218</v>
      </c>
      <c r="L2297" s="13">
        <v>42445</v>
      </c>
      <c r="M2297">
        <v>8</v>
      </c>
      <c r="N2297" t="s">
        <v>101</v>
      </c>
      <c r="O2297" t="s">
        <v>3911</v>
      </c>
      <c r="P2297" t="s">
        <v>76</v>
      </c>
      <c r="Q2297" t="s">
        <v>76</v>
      </c>
      <c r="R2297" t="s">
        <v>76</v>
      </c>
      <c r="S2297" t="s">
        <v>76</v>
      </c>
      <c r="T2297" t="s">
        <v>76</v>
      </c>
      <c r="U2297">
        <v>1</v>
      </c>
      <c r="V2297" s="13">
        <v>45175</v>
      </c>
      <c r="W2297">
        <v>1</v>
      </c>
      <c r="X2297">
        <v>1</v>
      </c>
      <c r="Y2297" t="s">
        <v>3696</v>
      </c>
      <c r="AC2297">
        <v>5956</v>
      </c>
      <c r="AD2297" t="e" vm="2287">
        <v>#VALUE!</v>
      </c>
    </row>
    <row r="2298" spans="2:30" x14ac:dyDescent="0.25">
      <c r="B2298">
        <v>5957</v>
      </c>
      <c r="C2298" t="s">
        <v>3684</v>
      </c>
      <c r="D2298" t="s">
        <v>3695</v>
      </c>
      <c r="E2298" t="s">
        <v>3838</v>
      </c>
      <c r="F2298" t="s">
        <v>97</v>
      </c>
      <c r="G2298" t="s">
        <v>102</v>
      </c>
      <c r="H2298" t="s">
        <v>3808</v>
      </c>
      <c r="I2298" t="s">
        <v>3809</v>
      </c>
      <c r="J2298" t="s">
        <v>3910</v>
      </c>
      <c r="K2298" t="s">
        <v>1218</v>
      </c>
      <c r="L2298" s="13">
        <v>42430</v>
      </c>
      <c r="M2298">
        <v>8</v>
      </c>
      <c r="N2298" t="s">
        <v>101</v>
      </c>
      <c r="O2298" t="s">
        <v>3911</v>
      </c>
      <c r="P2298" t="s">
        <v>76</v>
      </c>
      <c r="Q2298" t="s">
        <v>76</v>
      </c>
      <c r="R2298" t="s">
        <v>76</v>
      </c>
      <c r="S2298" t="s">
        <v>76</v>
      </c>
      <c r="T2298" t="s">
        <v>76</v>
      </c>
      <c r="U2298">
        <v>1</v>
      </c>
      <c r="V2298" s="13">
        <v>45175</v>
      </c>
      <c r="W2298">
        <v>1</v>
      </c>
      <c r="X2298">
        <v>1</v>
      </c>
      <c r="Y2298" t="s">
        <v>3696</v>
      </c>
      <c r="AC2298">
        <v>5957</v>
      </c>
      <c r="AD2298" t="e" vm="2288">
        <v>#VALUE!</v>
      </c>
    </row>
    <row r="2299" spans="2:30" x14ac:dyDescent="0.25">
      <c r="B2299">
        <v>5958</v>
      </c>
      <c r="C2299" t="s">
        <v>3684</v>
      </c>
      <c r="D2299" t="s">
        <v>3695</v>
      </c>
      <c r="E2299" t="s">
        <v>3838</v>
      </c>
      <c r="F2299" t="s">
        <v>97</v>
      </c>
      <c r="G2299" t="s">
        <v>102</v>
      </c>
      <c r="H2299" t="s">
        <v>3808</v>
      </c>
      <c r="I2299" t="s">
        <v>3809</v>
      </c>
      <c r="J2299" t="s">
        <v>3910</v>
      </c>
      <c r="K2299" t="s">
        <v>1218</v>
      </c>
      <c r="L2299" s="13">
        <v>42354</v>
      </c>
      <c r="M2299">
        <v>8</v>
      </c>
      <c r="N2299" t="s">
        <v>101</v>
      </c>
      <c r="O2299" t="s">
        <v>3911</v>
      </c>
      <c r="P2299" t="s">
        <v>76</v>
      </c>
      <c r="Q2299" t="s">
        <v>76</v>
      </c>
      <c r="R2299" t="s">
        <v>76</v>
      </c>
      <c r="S2299" t="s">
        <v>76</v>
      </c>
      <c r="T2299" t="s">
        <v>76</v>
      </c>
      <c r="U2299">
        <v>1</v>
      </c>
      <c r="V2299" s="13">
        <v>45175</v>
      </c>
      <c r="W2299">
        <v>1</v>
      </c>
      <c r="X2299">
        <v>1</v>
      </c>
      <c r="Y2299" t="s">
        <v>3696</v>
      </c>
      <c r="AC2299">
        <v>5958</v>
      </c>
      <c r="AD2299" t="e" vm="2289">
        <v>#VALUE!</v>
      </c>
    </row>
    <row r="2300" spans="2:30" x14ac:dyDescent="0.25">
      <c r="B2300">
        <v>5959</v>
      </c>
      <c r="C2300" t="s">
        <v>3684</v>
      </c>
      <c r="D2300" t="s">
        <v>3695</v>
      </c>
      <c r="E2300" t="s">
        <v>3838</v>
      </c>
      <c r="F2300" t="s">
        <v>97</v>
      </c>
      <c r="G2300" t="s">
        <v>102</v>
      </c>
      <c r="H2300" t="s">
        <v>3808</v>
      </c>
      <c r="I2300" t="s">
        <v>3809</v>
      </c>
      <c r="J2300" t="s">
        <v>3910</v>
      </c>
      <c r="K2300" t="s">
        <v>1218</v>
      </c>
      <c r="L2300" s="13">
        <v>43066</v>
      </c>
      <c r="M2300">
        <v>6</v>
      </c>
      <c r="N2300" t="s">
        <v>101</v>
      </c>
      <c r="O2300" t="s">
        <v>3911</v>
      </c>
      <c r="P2300" t="s">
        <v>76</v>
      </c>
      <c r="Q2300" t="s">
        <v>76</v>
      </c>
      <c r="R2300" t="s">
        <v>76</v>
      </c>
      <c r="S2300" t="s">
        <v>76</v>
      </c>
      <c r="T2300" t="s">
        <v>76</v>
      </c>
      <c r="U2300">
        <v>1</v>
      </c>
      <c r="V2300" s="13">
        <v>45175</v>
      </c>
      <c r="W2300">
        <v>1</v>
      </c>
      <c r="X2300">
        <v>1</v>
      </c>
      <c r="Y2300" t="s">
        <v>3696</v>
      </c>
      <c r="AC2300">
        <v>5959</v>
      </c>
      <c r="AD2300" t="e" vm="2290">
        <v>#VALUE!</v>
      </c>
    </row>
    <row r="2301" spans="2:30" x14ac:dyDescent="0.25">
      <c r="B2301">
        <v>5960</v>
      </c>
      <c r="C2301" t="s">
        <v>3684</v>
      </c>
      <c r="D2301" t="s">
        <v>3695</v>
      </c>
      <c r="E2301" t="s">
        <v>3838</v>
      </c>
      <c r="F2301" t="s">
        <v>97</v>
      </c>
      <c r="G2301" t="s">
        <v>102</v>
      </c>
      <c r="H2301" t="s">
        <v>3808</v>
      </c>
      <c r="I2301" t="s">
        <v>3809</v>
      </c>
      <c r="J2301" t="s">
        <v>3910</v>
      </c>
      <c r="K2301" t="s">
        <v>1218</v>
      </c>
      <c r="L2301" s="13">
        <v>42469</v>
      </c>
      <c r="M2301">
        <v>7</v>
      </c>
      <c r="N2301" t="s">
        <v>101</v>
      </c>
      <c r="O2301" t="s">
        <v>3911</v>
      </c>
      <c r="P2301" t="s">
        <v>76</v>
      </c>
      <c r="Q2301" t="s">
        <v>76</v>
      </c>
      <c r="R2301" t="s">
        <v>76</v>
      </c>
      <c r="S2301" t="s">
        <v>76</v>
      </c>
      <c r="T2301" t="s">
        <v>76</v>
      </c>
      <c r="U2301">
        <v>1</v>
      </c>
      <c r="V2301" s="13">
        <v>45175</v>
      </c>
      <c r="W2301">
        <v>1</v>
      </c>
      <c r="X2301">
        <v>1</v>
      </c>
      <c r="Y2301" t="s">
        <v>3696</v>
      </c>
      <c r="AC2301">
        <v>5960</v>
      </c>
      <c r="AD2301" t="e" vm="2291">
        <v>#VALUE!</v>
      </c>
    </row>
    <row r="2302" spans="2:30" x14ac:dyDescent="0.25">
      <c r="B2302">
        <v>5961</v>
      </c>
      <c r="C2302" t="s">
        <v>3684</v>
      </c>
      <c r="D2302" t="s">
        <v>3695</v>
      </c>
      <c r="E2302" t="s">
        <v>3838</v>
      </c>
      <c r="F2302" t="s">
        <v>97</v>
      </c>
      <c r="G2302" t="s">
        <v>102</v>
      </c>
      <c r="H2302" t="s">
        <v>3808</v>
      </c>
      <c r="I2302" t="s">
        <v>3809</v>
      </c>
      <c r="J2302" t="s">
        <v>3910</v>
      </c>
      <c r="K2302" t="s">
        <v>1218</v>
      </c>
      <c r="L2302" s="13">
        <v>42236</v>
      </c>
      <c r="M2302">
        <v>8</v>
      </c>
      <c r="N2302" t="s">
        <v>101</v>
      </c>
      <c r="O2302" t="s">
        <v>3911</v>
      </c>
      <c r="P2302" t="s">
        <v>76</v>
      </c>
      <c r="Q2302" t="s">
        <v>76</v>
      </c>
      <c r="R2302" t="s">
        <v>76</v>
      </c>
      <c r="S2302" t="s">
        <v>76</v>
      </c>
      <c r="T2302" t="s">
        <v>76</v>
      </c>
      <c r="U2302">
        <v>1</v>
      </c>
      <c r="V2302" s="13">
        <v>45175</v>
      </c>
      <c r="W2302">
        <v>1</v>
      </c>
      <c r="X2302">
        <v>1</v>
      </c>
      <c r="Y2302" t="s">
        <v>3696</v>
      </c>
      <c r="AC2302">
        <v>5961</v>
      </c>
      <c r="AD2302" t="e" vm="2292">
        <v>#VALUE!</v>
      </c>
    </row>
    <row r="2303" spans="2:30" x14ac:dyDescent="0.25">
      <c r="B2303">
        <v>5962</v>
      </c>
      <c r="C2303" t="s">
        <v>3684</v>
      </c>
      <c r="D2303" t="s">
        <v>3695</v>
      </c>
      <c r="E2303" t="s">
        <v>3838</v>
      </c>
      <c r="F2303" t="s">
        <v>97</v>
      </c>
      <c r="G2303" t="s">
        <v>102</v>
      </c>
      <c r="H2303" t="s">
        <v>3808</v>
      </c>
      <c r="I2303" t="s">
        <v>3809</v>
      </c>
      <c r="J2303" t="s">
        <v>3910</v>
      </c>
      <c r="K2303" t="s">
        <v>1218</v>
      </c>
      <c r="L2303" s="13">
        <v>42265</v>
      </c>
      <c r="M2303">
        <v>8</v>
      </c>
      <c r="N2303" t="s">
        <v>101</v>
      </c>
      <c r="O2303" t="s">
        <v>3911</v>
      </c>
      <c r="P2303" t="s">
        <v>76</v>
      </c>
      <c r="Q2303" t="s">
        <v>76</v>
      </c>
      <c r="R2303" t="s">
        <v>76</v>
      </c>
      <c r="S2303" t="s">
        <v>76</v>
      </c>
      <c r="T2303" t="s">
        <v>76</v>
      </c>
      <c r="U2303">
        <v>1</v>
      </c>
      <c r="V2303" s="13">
        <v>45175</v>
      </c>
      <c r="W2303">
        <v>1</v>
      </c>
      <c r="X2303">
        <v>1</v>
      </c>
      <c r="Y2303" t="s">
        <v>3696</v>
      </c>
      <c r="AC2303">
        <v>5962</v>
      </c>
      <c r="AD2303" t="e" vm="2293">
        <v>#VALUE!</v>
      </c>
    </row>
    <row r="2304" spans="2:30" x14ac:dyDescent="0.25">
      <c r="B2304">
        <v>5963</v>
      </c>
      <c r="C2304" t="s">
        <v>3684</v>
      </c>
      <c r="D2304" t="s">
        <v>3695</v>
      </c>
      <c r="E2304" t="s">
        <v>3838</v>
      </c>
      <c r="F2304" t="s">
        <v>97</v>
      </c>
      <c r="G2304" t="s">
        <v>102</v>
      </c>
      <c r="H2304" t="s">
        <v>3808</v>
      </c>
      <c r="I2304" t="s">
        <v>3809</v>
      </c>
      <c r="J2304" t="s">
        <v>3910</v>
      </c>
      <c r="K2304" t="s">
        <v>1218</v>
      </c>
      <c r="L2304" s="13">
        <v>42496</v>
      </c>
      <c r="M2304">
        <v>7</v>
      </c>
      <c r="N2304" t="s">
        <v>101</v>
      </c>
      <c r="O2304" t="s">
        <v>3911</v>
      </c>
      <c r="P2304" t="s">
        <v>76</v>
      </c>
      <c r="Q2304" t="s">
        <v>76</v>
      </c>
      <c r="R2304" t="s">
        <v>76</v>
      </c>
      <c r="S2304" t="s">
        <v>76</v>
      </c>
      <c r="T2304" t="s">
        <v>76</v>
      </c>
      <c r="U2304">
        <v>1</v>
      </c>
      <c r="V2304" s="13">
        <v>45175</v>
      </c>
      <c r="W2304">
        <v>1</v>
      </c>
      <c r="X2304">
        <v>1</v>
      </c>
      <c r="Y2304" t="s">
        <v>3696</v>
      </c>
      <c r="AC2304">
        <v>5963</v>
      </c>
      <c r="AD2304" t="e" vm="2294">
        <v>#VALUE!</v>
      </c>
    </row>
    <row r="2305" spans="2:30" x14ac:dyDescent="0.25">
      <c r="B2305">
        <v>5964</v>
      </c>
      <c r="C2305" t="s">
        <v>3684</v>
      </c>
      <c r="D2305" t="s">
        <v>3695</v>
      </c>
      <c r="E2305" t="s">
        <v>3838</v>
      </c>
      <c r="F2305" t="s">
        <v>97</v>
      </c>
      <c r="G2305" t="s">
        <v>102</v>
      </c>
      <c r="H2305" t="s">
        <v>3808</v>
      </c>
      <c r="I2305" t="s">
        <v>3809</v>
      </c>
      <c r="J2305" t="s">
        <v>3910</v>
      </c>
      <c r="K2305" t="s">
        <v>1218</v>
      </c>
      <c r="L2305" s="13">
        <v>42252</v>
      </c>
      <c r="M2305">
        <v>8</v>
      </c>
      <c r="N2305" t="s">
        <v>101</v>
      </c>
      <c r="O2305" t="s">
        <v>3911</v>
      </c>
      <c r="P2305" t="s">
        <v>76</v>
      </c>
      <c r="Q2305" t="s">
        <v>76</v>
      </c>
      <c r="R2305" t="s">
        <v>76</v>
      </c>
      <c r="S2305" t="s">
        <v>76</v>
      </c>
      <c r="T2305" t="s">
        <v>76</v>
      </c>
      <c r="U2305">
        <v>1</v>
      </c>
      <c r="V2305" s="13">
        <v>45175</v>
      </c>
      <c r="W2305">
        <v>1</v>
      </c>
      <c r="X2305">
        <v>1</v>
      </c>
      <c r="Y2305" t="s">
        <v>3696</v>
      </c>
      <c r="AC2305">
        <v>5964</v>
      </c>
      <c r="AD2305" t="e" vm="2295">
        <v>#VALUE!</v>
      </c>
    </row>
    <row r="2306" spans="2:30" x14ac:dyDescent="0.25">
      <c r="B2306">
        <v>5965</v>
      </c>
      <c r="C2306" t="s">
        <v>3684</v>
      </c>
      <c r="D2306" t="s">
        <v>3695</v>
      </c>
      <c r="E2306" t="s">
        <v>3838</v>
      </c>
      <c r="F2306" t="s">
        <v>97</v>
      </c>
      <c r="G2306" t="s">
        <v>102</v>
      </c>
      <c r="H2306" t="s">
        <v>3808</v>
      </c>
      <c r="I2306" t="s">
        <v>3809</v>
      </c>
      <c r="J2306" t="s">
        <v>3910</v>
      </c>
      <c r="K2306" t="s">
        <v>1218</v>
      </c>
      <c r="L2306" s="13">
        <v>42543</v>
      </c>
      <c r="M2306">
        <v>7</v>
      </c>
      <c r="N2306" t="s">
        <v>101</v>
      </c>
      <c r="O2306" t="s">
        <v>3911</v>
      </c>
      <c r="P2306" t="s">
        <v>76</v>
      </c>
      <c r="Q2306" t="s">
        <v>76</v>
      </c>
      <c r="R2306" t="s">
        <v>76</v>
      </c>
      <c r="S2306" t="s">
        <v>76</v>
      </c>
      <c r="T2306" t="s">
        <v>76</v>
      </c>
      <c r="U2306">
        <v>1</v>
      </c>
      <c r="V2306" s="13">
        <v>45175</v>
      </c>
      <c r="W2306">
        <v>1</v>
      </c>
      <c r="X2306">
        <v>1</v>
      </c>
      <c r="Y2306" t="s">
        <v>3696</v>
      </c>
      <c r="AC2306">
        <v>5965</v>
      </c>
      <c r="AD2306" t="e" vm="2296">
        <v>#VALUE!</v>
      </c>
    </row>
    <row r="2307" spans="2:30" x14ac:dyDescent="0.25">
      <c r="B2307">
        <v>5966</v>
      </c>
      <c r="C2307" t="s">
        <v>3684</v>
      </c>
      <c r="D2307" t="s">
        <v>3695</v>
      </c>
      <c r="E2307" t="s">
        <v>3838</v>
      </c>
      <c r="F2307" t="s">
        <v>97</v>
      </c>
      <c r="G2307" t="s">
        <v>102</v>
      </c>
      <c r="H2307" t="s">
        <v>3808</v>
      </c>
      <c r="I2307" t="s">
        <v>3809</v>
      </c>
      <c r="J2307" t="s">
        <v>3910</v>
      </c>
      <c r="K2307" t="s">
        <v>1218</v>
      </c>
      <c r="L2307" s="13">
        <v>42320</v>
      </c>
      <c r="M2307">
        <v>8</v>
      </c>
      <c r="N2307" t="s">
        <v>101</v>
      </c>
      <c r="O2307" t="s">
        <v>3911</v>
      </c>
      <c r="P2307" t="s">
        <v>76</v>
      </c>
      <c r="Q2307" t="s">
        <v>76</v>
      </c>
      <c r="R2307" t="s">
        <v>76</v>
      </c>
      <c r="S2307" t="s">
        <v>76</v>
      </c>
      <c r="T2307" t="s">
        <v>76</v>
      </c>
      <c r="U2307">
        <v>1</v>
      </c>
      <c r="V2307" s="13">
        <v>45175</v>
      </c>
      <c r="W2307">
        <v>1</v>
      </c>
      <c r="X2307">
        <v>1</v>
      </c>
      <c r="Y2307" t="s">
        <v>3696</v>
      </c>
      <c r="AC2307">
        <v>5966</v>
      </c>
      <c r="AD2307" t="e" vm="2297">
        <v>#VALUE!</v>
      </c>
    </row>
    <row r="2308" spans="2:30" x14ac:dyDescent="0.25">
      <c r="B2308">
        <v>5967</v>
      </c>
      <c r="C2308" t="s">
        <v>3684</v>
      </c>
      <c r="D2308" t="s">
        <v>3695</v>
      </c>
      <c r="E2308" t="s">
        <v>3838</v>
      </c>
      <c r="F2308" t="s">
        <v>97</v>
      </c>
      <c r="G2308" t="s">
        <v>102</v>
      </c>
      <c r="H2308" t="s">
        <v>3808</v>
      </c>
      <c r="I2308" t="s">
        <v>3809</v>
      </c>
      <c r="J2308" t="s">
        <v>3910</v>
      </c>
      <c r="K2308" t="s">
        <v>1218</v>
      </c>
      <c r="L2308" s="13">
        <v>42252</v>
      </c>
      <c r="M2308">
        <v>8</v>
      </c>
      <c r="N2308" t="s">
        <v>101</v>
      </c>
      <c r="O2308" t="s">
        <v>3911</v>
      </c>
      <c r="P2308" t="s">
        <v>76</v>
      </c>
      <c r="Q2308" t="s">
        <v>76</v>
      </c>
      <c r="R2308" t="s">
        <v>76</v>
      </c>
      <c r="S2308" t="s">
        <v>76</v>
      </c>
      <c r="T2308" t="s">
        <v>76</v>
      </c>
      <c r="U2308">
        <v>1</v>
      </c>
      <c r="V2308" s="13">
        <v>45175</v>
      </c>
      <c r="W2308">
        <v>1</v>
      </c>
      <c r="X2308">
        <v>1</v>
      </c>
      <c r="Y2308" t="s">
        <v>3696</v>
      </c>
      <c r="AC2308">
        <v>5967</v>
      </c>
      <c r="AD2308" t="e" vm="2298">
        <v>#VALUE!</v>
      </c>
    </row>
    <row r="2309" spans="2:30" x14ac:dyDescent="0.25">
      <c r="B2309">
        <v>5968</v>
      </c>
      <c r="C2309" t="s">
        <v>3684</v>
      </c>
      <c r="D2309" t="s">
        <v>3695</v>
      </c>
      <c r="E2309" t="s">
        <v>3838</v>
      </c>
      <c r="F2309" t="s">
        <v>97</v>
      </c>
      <c r="G2309" t="s">
        <v>102</v>
      </c>
      <c r="H2309" t="s">
        <v>3808</v>
      </c>
      <c r="I2309" t="s">
        <v>3809</v>
      </c>
      <c r="J2309" t="s">
        <v>3910</v>
      </c>
      <c r="K2309" t="s">
        <v>1218</v>
      </c>
      <c r="L2309" s="13">
        <v>42354</v>
      </c>
      <c r="M2309">
        <v>8</v>
      </c>
      <c r="N2309" t="s">
        <v>101</v>
      </c>
      <c r="O2309" t="s">
        <v>3911</v>
      </c>
      <c r="P2309" t="s">
        <v>76</v>
      </c>
      <c r="Q2309" t="s">
        <v>76</v>
      </c>
      <c r="R2309" t="s">
        <v>76</v>
      </c>
      <c r="S2309" t="s">
        <v>76</v>
      </c>
      <c r="T2309" t="s">
        <v>76</v>
      </c>
      <c r="U2309">
        <v>1</v>
      </c>
      <c r="V2309" s="13">
        <v>45175</v>
      </c>
      <c r="W2309">
        <v>1</v>
      </c>
      <c r="X2309">
        <v>1</v>
      </c>
      <c r="Y2309" t="s">
        <v>3696</v>
      </c>
      <c r="AC2309">
        <v>5968</v>
      </c>
      <c r="AD2309" t="e" vm="2299">
        <v>#VALUE!</v>
      </c>
    </row>
    <row r="2310" spans="2:30" x14ac:dyDescent="0.25">
      <c r="B2310">
        <v>5969</v>
      </c>
      <c r="C2310" t="s">
        <v>3684</v>
      </c>
      <c r="D2310" t="s">
        <v>3695</v>
      </c>
      <c r="E2310" t="s">
        <v>3838</v>
      </c>
      <c r="F2310" t="s">
        <v>97</v>
      </c>
      <c r="G2310" t="s">
        <v>102</v>
      </c>
      <c r="H2310" t="s">
        <v>3808</v>
      </c>
      <c r="I2310" t="s">
        <v>3809</v>
      </c>
      <c r="J2310" t="s">
        <v>3910</v>
      </c>
      <c r="K2310" t="s">
        <v>1218</v>
      </c>
      <c r="L2310" s="13">
        <v>42480</v>
      </c>
      <c r="M2310">
        <v>7</v>
      </c>
      <c r="N2310" t="s">
        <v>101</v>
      </c>
      <c r="O2310" t="s">
        <v>3911</v>
      </c>
      <c r="P2310" t="s">
        <v>76</v>
      </c>
      <c r="Q2310" t="s">
        <v>76</v>
      </c>
      <c r="R2310" t="s">
        <v>76</v>
      </c>
      <c r="S2310" t="s">
        <v>76</v>
      </c>
      <c r="T2310" t="s">
        <v>76</v>
      </c>
      <c r="U2310">
        <v>1</v>
      </c>
      <c r="V2310" s="13">
        <v>45175</v>
      </c>
      <c r="W2310">
        <v>1</v>
      </c>
      <c r="X2310">
        <v>1</v>
      </c>
      <c r="Y2310" t="s">
        <v>3696</v>
      </c>
      <c r="AC2310">
        <v>5969</v>
      </c>
      <c r="AD2310" t="e" vm="2300">
        <v>#VALUE!</v>
      </c>
    </row>
    <row r="2311" spans="2:30" x14ac:dyDescent="0.25">
      <c r="B2311">
        <v>5970</v>
      </c>
      <c r="C2311" t="s">
        <v>3684</v>
      </c>
      <c r="D2311" t="s">
        <v>3695</v>
      </c>
      <c r="E2311" t="s">
        <v>3838</v>
      </c>
      <c r="F2311" t="s">
        <v>97</v>
      </c>
      <c r="G2311" t="s">
        <v>102</v>
      </c>
      <c r="H2311" t="s">
        <v>3808</v>
      </c>
      <c r="I2311" t="s">
        <v>3809</v>
      </c>
      <c r="J2311" t="s">
        <v>3910</v>
      </c>
      <c r="K2311" t="s">
        <v>1218</v>
      </c>
      <c r="L2311" s="13">
        <v>42479</v>
      </c>
      <c r="M2311">
        <v>7</v>
      </c>
      <c r="N2311" t="s">
        <v>101</v>
      </c>
      <c r="O2311" t="s">
        <v>3911</v>
      </c>
      <c r="P2311" t="s">
        <v>76</v>
      </c>
      <c r="Q2311" t="s">
        <v>76</v>
      </c>
      <c r="R2311" t="s">
        <v>76</v>
      </c>
      <c r="S2311" t="s">
        <v>76</v>
      </c>
      <c r="T2311" t="s">
        <v>76</v>
      </c>
      <c r="U2311">
        <v>1</v>
      </c>
      <c r="V2311" s="13">
        <v>45175</v>
      </c>
      <c r="W2311">
        <v>1</v>
      </c>
      <c r="X2311">
        <v>1</v>
      </c>
      <c r="Y2311" t="s">
        <v>3696</v>
      </c>
      <c r="AC2311">
        <v>5970</v>
      </c>
      <c r="AD2311" t="e" vm="2301">
        <v>#VALUE!</v>
      </c>
    </row>
    <row r="2312" spans="2:30" x14ac:dyDescent="0.25">
      <c r="B2312">
        <v>5971</v>
      </c>
      <c r="C2312" t="s">
        <v>3684</v>
      </c>
      <c r="D2312" t="s">
        <v>3695</v>
      </c>
      <c r="E2312" t="s">
        <v>3838</v>
      </c>
      <c r="F2312" t="s">
        <v>97</v>
      </c>
      <c r="G2312" t="s">
        <v>102</v>
      </c>
      <c r="H2312" t="s">
        <v>3808</v>
      </c>
      <c r="I2312" t="s">
        <v>3809</v>
      </c>
      <c r="J2312" t="s">
        <v>3910</v>
      </c>
      <c r="K2312" t="s">
        <v>1218</v>
      </c>
      <c r="L2312" s="13">
        <v>42317</v>
      </c>
      <c r="M2312">
        <v>8</v>
      </c>
      <c r="N2312" t="s">
        <v>101</v>
      </c>
      <c r="O2312" t="s">
        <v>3911</v>
      </c>
      <c r="P2312" t="s">
        <v>76</v>
      </c>
      <c r="Q2312" t="s">
        <v>76</v>
      </c>
      <c r="R2312" t="s">
        <v>76</v>
      </c>
      <c r="S2312" t="s">
        <v>76</v>
      </c>
      <c r="T2312" t="s">
        <v>76</v>
      </c>
      <c r="U2312">
        <v>1</v>
      </c>
      <c r="V2312" s="13">
        <v>45175</v>
      </c>
      <c r="W2312">
        <v>1</v>
      </c>
      <c r="X2312">
        <v>1</v>
      </c>
      <c r="Y2312" t="s">
        <v>3696</v>
      </c>
      <c r="AC2312">
        <v>5971</v>
      </c>
      <c r="AD2312" t="e" vm="2302">
        <v>#VALUE!</v>
      </c>
    </row>
    <row r="2313" spans="2:30" x14ac:dyDescent="0.25">
      <c r="B2313">
        <v>5972</v>
      </c>
      <c r="C2313" t="s">
        <v>3684</v>
      </c>
      <c r="D2313" t="s">
        <v>3695</v>
      </c>
      <c r="E2313" t="s">
        <v>3838</v>
      </c>
      <c r="F2313" t="s">
        <v>97</v>
      </c>
      <c r="G2313" t="s">
        <v>102</v>
      </c>
      <c r="H2313" t="s">
        <v>3808</v>
      </c>
      <c r="I2313" t="s">
        <v>3809</v>
      </c>
      <c r="J2313" t="s">
        <v>3910</v>
      </c>
      <c r="K2313" t="s">
        <v>1218</v>
      </c>
      <c r="L2313" s="13">
        <v>42334</v>
      </c>
      <c r="M2313">
        <v>8</v>
      </c>
      <c r="N2313" t="s">
        <v>101</v>
      </c>
      <c r="O2313" t="s">
        <v>3911</v>
      </c>
      <c r="P2313" t="s">
        <v>76</v>
      </c>
      <c r="Q2313" t="s">
        <v>76</v>
      </c>
      <c r="R2313" t="s">
        <v>76</v>
      </c>
      <c r="S2313" t="s">
        <v>76</v>
      </c>
      <c r="T2313" t="s">
        <v>76</v>
      </c>
      <c r="U2313">
        <v>1</v>
      </c>
      <c r="V2313" s="13">
        <v>45175</v>
      </c>
      <c r="W2313">
        <v>1</v>
      </c>
      <c r="X2313">
        <v>1</v>
      </c>
      <c r="Y2313" t="s">
        <v>3696</v>
      </c>
      <c r="AC2313">
        <v>5972</v>
      </c>
      <c r="AD2313" t="e" vm="2303">
        <v>#VALUE!</v>
      </c>
    </row>
    <row r="2314" spans="2:30" x14ac:dyDescent="0.25">
      <c r="B2314">
        <v>5973</v>
      </c>
      <c r="C2314" t="s">
        <v>3684</v>
      </c>
      <c r="D2314" t="s">
        <v>3695</v>
      </c>
      <c r="E2314" t="s">
        <v>3838</v>
      </c>
      <c r="F2314" t="s">
        <v>97</v>
      </c>
      <c r="G2314" t="s">
        <v>102</v>
      </c>
      <c r="H2314" t="s">
        <v>3808</v>
      </c>
      <c r="I2314" t="s">
        <v>3809</v>
      </c>
      <c r="J2314" t="s">
        <v>3910</v>
      </c>
      <c r="K2314" t="s">
        <v>1218</v>
      </c>
      <c r="L2314" s="13">
        <v>42479</v>
      </c>
      <c r="M2314">
        <v>7</v>
      </c>
      <c r="N2314" t="s">
        <v>101</v>
      </c>
      <c r="O2314" t="s">
        <v>3911</v>
      </c>
      <c r="P2314" t="s">
        <v>76</v>
      </c>
      <c r="Q2314" t="s">
        <v>76</v>
      </c>
      <c r="R2314" t="s">
        <v>76</v>
      </c>
      <c r="S2314" t="s">
        <v>76</v>
      </c>
      <c r="T2314" t="s">
        <v>76</v>
      </c>
      <c r="U2314">
        <v>1</v>
      </c>
      <c r="V2314" s="13">
        <v>45175</v>
      </c>
      <c r="W2314">
        <v>1</v>
      </c>
      <c r="X2314">
        <v>1</v>
      </c>
      <c r="Y2314" t="s">
        <v>3696</v>
      </c>
      <c r="AC2314">
        <v>5973</v>
      </c>
      <c r="AD2314" t="e" vm="2304">
        <v>#VALUE!</v>
      </c>
    </row>
    <row r="2315" spans="2:30" x14ac:dyDescent="0.25">
      <c r="B2315">
        <v>5974</v>
      </c>
      <c r="C2315" t="s">
        <v>3668</v>
      </c>
      <c r="D2315" t="s">
        <v>3673</v>
      </c>
      <c r="E2315" t="s">
        <v>3819</v>
      </c>
      <c r="F2315" t="s">
        <v>87</v>
      </c>
      <c r="G2315" t="s">
        <v>84</v>
      </c>
      <c r="H2315" t="s">
        <v>3808</v>
      </c>
      <c r="I2315" t="s">
        <v>3809</v>
      </c>
      <c r="J2315" t="s">
        <v>3910</v>
      </c>
      <c r="K2315" t="s">
        <v>1218</v>
      </c>
      <c r="L2315" s="13">
        <v>43098</v>
      </c>
      <c r="M2315">
        <v>6</v>
      </c>
      <c r="N2315" t="s">
        <v>82</v>
      </c>
      <c r="O2315" t="s">
        <v>3911</v>
      </c>
      <c r="P2315" t="s">
        <v>76</v>
      </c>
      <c r="Q2315" t="s">
        <v>76</v>
      </c>
      <c r="R2315" t="s">
        <v>76</v>
      </c>
      <c r="S2315" t="s">
        <v>76</v>
      </c>
      <c r="T2315" t="s">
        <v>76</v>
      </c>
      <c r="U2315">
        <v>1</v>
      </c>
      <c r="V2315" s="13">
        <v>45175</v>
      </c>
      <c r="W2315">
        <v>1</v>
      </c>
      <c r="X2315">
        <v>1</v>
      </c>
      <c r="Y2315" t="s">
        <v>3674</v>
      </c>
      <c r="AC2315">
        <v>5974</v>
      </c>
      <c r="AD2315" t="e" vm="2305">
        <v>#VALUE!</v>
      </c>
    </row>
    <row r="2316" spans="2:30" x14ac:dyDescent="0.25">
      <c r="B2316">
        <v>5975</v>
      </c>
      <c r="C2316" t="s">
        <v>3668</v>
      </c>
      <c r="D2316" t="s">
        <v>3673</v>
      </c>
      <c r="E2316" t="s">
        <v>3819</v>
      </c>
      <c r="F2316" t="s">
        <v>87</v>
      </c>
      <c r="G2316" t="s">
        <v>84</v>
      </c>
      <c r="H2316" t="s">
        <v>3808</v>
      </c>
      <c r="I2316" t="s">
        <v>3809</v>
      </c>
      <c r="J2316" t="s">
        <v>3910</v>
      </c>
      <c r="K2316" t="s">
        <v>1218</v>
      </c>
      <c r="L2316" s="13">
        <v>42153</v>
      </c>
      <c r="M2316">
        <v>8</v>
      </c>
      <c r="N2316" t="s">
        <v>82</v>
      </c>
      <c r="O2316" t="s">
        <v>3911</v>
      </c>
      <c r="P2316" t="s">
        <v>76</v>
      </c>
      <c r="Q2316" t="s">
        <v>76</v>
      </c>
      <c r="R2316" t="s">
        <v>76</v>
      </c>
      <c r="S2316" t="s">
        <v>76</v>
      </c>
      <c r="T2316" t="s">
        <v>76</v>
      </c>
      <c r="U2316">
        <v>1</v>
      </c>
      <c r="V2316" s="13">
        <v>45175</v>
      </c>
      <c r="W2316">
        <v>1</v>
      </c>
      <c r="X2316">
        <v>1</v>
      </c>
      <c r="Y2316" t="s">
        <v>3674</v>
      </c>
      <c r="AC2316">
        <v>5975</v>
      </c>
      <c r="AD2316" t="e" vm="2306">
        <v>#VALUE!</v>
      </c>
    </row>
    <row r="2317" spans="2:30" x14ac:dyDescent="0.25">
      <c r="B2317">
        <v>5976</v>
      </c>
      <c r="C2317" t="s">
        <v>3668</v>
      </c>
      <c r="D2317" t="s">
        <v>3673</v>
      </c>
      <c r="E2317" t="s">
        <v>3819</v>
      </c>
      <c r="F2317" t="s">
        <v>87</v>
      </c>
      <c r="G2317" t="s">
        <v>84</v>
      </c>
      <c r="H2317" t="s">
        <v>3808</v>
      </c>
      <c r="I2317" t="s">
        <v>3809</v>
      </c>
      <c r="J2317" t="s">
        <v>3910</v>
      </c>
      <c r="K2317" t="s">
        <v>1218</v>
      </c>
      <c r="L2317" s="13">
        <v>42153</v>
      </c>
      <c r="M2317">
        <v>8</v>
      </c>
      <c r="N2317" t="s">
        <v>82</v>
      </c>
      <c r="O2317" t="s">
        <v>3911</v>
      </c>
      <c r="P2317" t="s">
        <v>76</v>
      </c>
      <c r="Q2317" t="s">
        <v>76</v>
      </c>
      <c r="R2317" t="s">
        <v>76</v>
      </c>
      <c r="S2317" t="s">
        <v>76</v>
      </c>
      <c r="T2317" t="s">
        <v>76</v>
      </c>
      <c r="U2317">
        <v>1</v>
      </c>
      <c r="V2317" s="13">
        <v>45175</v>
      </c>
      <c r="W2317">
        <v>1</v>
      </c>
      <c r="X2317">
        <v>1</v>
      </c>
      <c r="Y2317" t="s">
        <v>3674</v>
      </c>
      <c r="AC2317">
        <v>5976</v>
      </c>
      <c r="AD2317" t="e" vm="2307">
        <v>#VALUE!</v>
      </c>
    </row>
    <row r="2318" spans="2:30" x14ac:dyDescent="0.25">
      <c r="B2318">
        <v>5977</v>
      </c>
      <c r="C2318" t="s">
        <v>3668</v>
      </c>
      <c r="D2318" t="s">
        <v>3673</v>
      </c>
      <c r="E2318" t="s">
        <v>3819</v>
      </c>
      <c r="F2318" t="s">
        <v>87</v>
      </c>
      <c r="G2318" t="s">
        <v>84</v>
      </c>
      <c r="H2318" t="s">
        <v>3808</v>
      </c>
      <c r="I2318" t="s">
        <v>3809</v>
      </c>
      <c r="J2318" t="s">
        <v>3910</v>
      </c>
      <c r="K2318" t="s">
        <v>1218</v>
      </c>
      <c r="L2318" s="13">
        <v>42202</v>
      </c>
      <c r="M2318">
        <v>8</v>
      </c>
      <c r="N2318" t="s">
        <v>82</v>
      </c>
      <c r="O2318" t="s">
        <v>3911</v>
      </c>
      <c r="P2318" t="s">
        <v>76</v>
      </c>
      <c r="Q2318" t="s">
        <v>76</v>
      </c>
      <c r="R2318" t="s">
        <v>76</v>
      </c>
      <c r="S2318" t="s">
        <v>76</v>
      </c>
      <c r="T2318" t="s">
        <v>76</v>
      </c>
      <c r="U2318">
        <v>1</v>
      </c>
      <c r="V2318" s="13">
        <v>45175</v>
      </c>
      <c r="W2318">
        <v>1</v>
      </c>
      <c r="X2318">
        <v>1</v>
      </c>
      <c r="Y2318" t="s">
        <v>3674</v>
      </c>
      <c r="AC2318">
        <v>5977</v>
      </c>
      <c r="AD2318" t="e" vm="2308">
        <v>#VALUE!</v>
      </c>
    </row>
    <row r="2319" spans="2:30" x14ac:dyDescent="0.25">
      <c r="B2319">
        <v>5978</v>
      </c>
      <c r="C2319" t="s">
        <v>3668</v>
      </c>
      <c r="D2319" t="s">
        <v>3673</v>
      </c>
      <c r="E2319" t="s">
        <v>3819</v>
      </c>
      <c r="F2319" t="s">
        <v>87</v>
      </c>
      <c r="G2319" t="s">
        <v>84</v>
      </c>
      <c r="H2319" t="s">
        <v>3808</v>
      </c>
      <c r="I2319" t="s">
        <v>3809</v>
      </c>
      <c r="J2319" t="s">
        <v>3910</v>
      </c>
      <c r="K2319" t="s">
        <v>1218</v>
      </c>
      <c r="L2319" s="13">
        <v>42202</v>
      </c>
      <c r="M2319">
        <v>8</v>
      </c>
      <c r="N2319" t="s">
        <v>82</v>
      </c>
      <c r="O2319" t="s">
        <v>3911</v>
      </c>
      <c r="P2319" t="s">
        <v>76</v>
      </c>
      <c r="Q2319" t="s">
        <v>76</v>
      </c>
      <c r="R2319" t="s">
        <v>76</v>
      </c>
      <c r="S2319" t="s">
        <v>76</v>
      </c>
      <c r="T2319" t="s">
        <v>76</v>
      </c>
      <c r="U2319">
        <v>1</v>
      </c>
      <c r="V2319" s="13">
        <v>45175</v>
      </c>
      <c r="W2319">
        <v>1</v>
      </c>
      <c r="X2319">
        <v>1</v>
      </c>
      <c r="Y2319" t="s">
        <v>3674</v>
      </c>
      <c r="AC2319">
        <v>5978</v>
      </c>
      <c r="AD2319" t="e" vm="2309">
        <v>#VALUE!</v>
      </c>
    </row>
    <row r="2320" spans="2:30" x14ac:dyDescent="0.25">
      <c r="B2320">
        <v>5979</v>
      </c>
      <c r="C2320" t="s">
        <v>3668</v>
      </c>
      <c r="D2320" t="s">
        <v>3673</v>
      </c>
      <c r="E2320" t="s">
        <v>3819</v>
      </c>
      <c r="F2320" t="s">
        <v>87</v>
      </c>
      <c r="G2320" t="s">
        <v>84</v>
      </c>
      <c r="H2320" t="s">
        <v>3808</v>
      </c>
      <c r="I2320" t="s">
        <v>3809</v>
      </c>
      <c r="J2320" t="s">
        <v>3910</v>
      </c>
      <c r="K2320" t="s">
        <v>1218</v>
      </c>
      <c r="L2320" s="13">
        <v>42174</v>
      </c>
      <c r="M2320">
        <v>8</v>
      </c>
      <c r="N2320" t="s">
        <v>82</v>
      </c>
      <c r="O2320" t="s">
        <v>3911</v>
      </c>
      <c r="P2320" t="s">
        <v>76</v>
      </c>
      <c r="Q2320" t="s">
        <v>76</v>
      </c>
      <c r="R2320" t="s">
        <v>76</v>
      </c>
      <c r="S2320" t="s">
        <v>76</v>
      </c>
      <c r="T2320" t="s">
        <v>76</v>
      </c>
      <c r="U2320">
        <v>1</v>
      </c>
      <c r="V2320" s="13">
        <v>45175</v>
      </c>
      <c r="W2320">
        <v>1</v>
      </c>
      <c r="X2320">
        <v>1</v>
      </c>
      <c r="Y2320" t="s">
        <v>3674</v>
      </c>
      <c r="AC2320">
        <v>5979</v>
      </c>
      <c r="AD2320" t="e" vm="2310">
        <v>#VALUE!</v>
      </c>
    </row>
    <row r="2321" spans="2:30" x14ac:dyDescent="0.25">
      <c r="B2321">
        <v>5980</v>
      </c>
      <c r="C2321" t="s">
        <v>3668</v>
      </c>
      <c r="D2321" t="s">
        <v>3673</v>
      </c>
      <c r="E2321" t="s">
        <v>3819</v>
      </c>
      <c r="F2321" t="s">
        <v>87</v>
      </c>
      <c r="G2321" t="s">
        <v>84</v>
      </c>
      <c r="H2321" t="s">
        <v>3808</v>
      </c>
      <c r="I2321" t="s">
        <v>3809</v>
      </c>
      <c r="J2321" t="s">
        <v>3910</v>
      </c>
      <c r="K2321" t="s">
        <v>1218</v>
      </c>
      <c r="L2321" s="13">
        <v>42444</v>
      </c>
      <c r="M2321">
        <v>8</v>
      </c>
      <c r="N2321" t="s">
        <v>82</v>
      </c>
      <c r="O2321" t="s">
        <v>3911</v>
      </c>
      <c r="P2321" t="s">
        <v>76</v>
      </c>
      <c r="Q2321" t="s">
        <v>76</v>
      </c>
      <c r="R2321" t="s">
        <v>76</v>
      </c>
      <c r="S2321" t="s">
        <v>76</v>
      </c>
      <c r="T2321" t="s">
        <v>76</v>
      </c>
      <c r="U2321">
        <v>1</v>
      </c>
      <c r="V2321" s="13">
        <v>45175</v>
      </c>
      <c r="W2321">
        <v>1</v>
      </c>
      <c r="X2321">
        <v>1</v>
      </c>
      <c r="Y2321" t="s">
        <v>3674</v>
      </c>
      <c r="AC2321">
        <v>5980</v>
      </c>
      <c r="AD2321" t="e" vm="2311">
        <v>#VALUE!</v>
      </c>
    </row>
    <row r="2322" spans="2:30" x14ac:dyDescent="0.25">
      <c r="B2322">
        <v>5981</v>
      </c>
      <c r="C2322" t="s">
        <v>3668</v>
      </c>
      <c r="D2322" t="s">
        <v>3673</v>
      </c>
      <c r="E2322" t="s">
        <v>3819</v>
      </c>
      <c r="F2322" t="s">
        <v>87</v>
      </c>
      <c r="G2322" t="s">
        <v>84</v>
      </c>
      <c r="H2322" t="s">
        <v>3808</v>
      </c>
      <c r="I2322" t="s">
        <v>3809</v>
      </c>
      <c r="J2322" t="s">
        <v>3910</v>
      </c>
      <c r="K2322" t="s">
        <v>1218</v>
      </c>
      <c r="L2322" s="13">
        <v>42493</v>
      </c>
      <c r="M2322">
        <v>7</v>
      </c>
      <c r="N2322" t="s">
        <v>82</v>
      </c>
      <c r="O2322" t="s">
        <v>3911</v>
      </c>
      <c r="P2322" t="s">
        <v>76</v>
      </c>
      <c r="Q2322" t="s">
        <v>76</v>
      </c>
      <c r="R2322" t="s">
        <v>76</v>
      </c>
      <c r="S2322" t="s">
        <v>76</v>
      </c>
      <c r="T2322" t="s">
        <v>76</v>
      </c>
      <c r="U2322">
        <v>1</v>
      </c>
      <c r="V2322" s="13">
        <v>45175</v>
      </c>
      <c r="W2322">
        <v>1</v>
      </c>
      <c r="X2322">
        <v>1</v>
      </c>
      <c r="Y2322" t="s">
        <v>3674</v>
      </c>
      <c r="AC2322">
        <v>5981</v>
      </c>
      <c r="AD2322" t="e" vm="2312">
        <v>#VALUE!</v>
      </c>
    </row>
    <row r="2323" spans="2:30" x14ac:dyDescent="0.25">
      <c r="B2323">
        <v>5982</v>
      </c>
      <c r="C2323" t="s">
        <v>3668</v>
      </c>
      <c r="D2323" t="s">
        <v>3673</v>
      </c>
      <c r="E2323" t="s">
        <v>3819</v>
      </c>
      <c r="F2323" t="s">
        <v>87</v>
      </c>
      <c r="G2323" t="s">
        <v>84</v>
      </c>
      <c r="H2323" t="s">
        <v>3808</v>
      </c>
      <c r="I2323" t="s">
        <v>3809</v>
      </c>
      <c r="J2323" t="s">
        <v>3910</v>
      </c>
      <c r="K2323" t="s">
        <v>1218</v>
      </c>
      <c r="L2323" s="13">
        <v>42462</v>
      </c>
      <c r="M2323">
        <v>7</v>
      </c>
      <c r="N2323" t="s">
        <v>82</v>
      </c>
      <c r="O2323" t="s">
        <v>3911</v>
      </c>
      <c r="P2323" t="s">
        <v>76</v>
      </c>
      <c r="Q2323" t="s">
        <v>76</v>
      </c>
      <c r="R2323" t="s">
        <v>76</v>
      </c>
      <c r="S2323" t="s">
        <v>76</v>
      </c>
      <c r="T2323" t="s">
        <v>76</v>
      </c>
      <c r="U2323">
        <v>1</v>
      </c>
      <c r="V2323" s="13">
        <v>45175</v>
      </c>
      <c r="W2323">
        <v>1</v>
      </c>
      <c r="X2323">
        <v>1</v>
      </c>
      <c r="Y2323" t="s">
        <v>3674</v>
      </c>
      <c r="AC2323">
        <v>5982</v>
      </c>
      <c r="AD2323" t="e" vm="2313">
        <v>#VALUE!</v>
      </c>
    </row>
    <row r="2324" spans="2:30" x14ac:dyDescent="0.25">
      <c r="B2324">
        <v>5983</v>
      </c>
      <c r="C2324" t="s">
        <v>3668</v>
      </c>
      <c r="D2324" t="s">
        <v>3673</v>
      </c>
      <c r="E2324" t="s">
        <v>3819</v>
      </c>
      <c r="F2324" t="s">
        <v>87</v>
      </c>
      <c r="G2324" t="s">
        <v>84</v>
      </c>
      <c r="H2324" t="s">
        <v>3808</v>
      </c>
      <c r="I2324" t="s">
        <v>3809</v>
      </c>
      <c r="J2324" t="s">
        <v>3910</v>
      </c>
      <c r="K2324" t="s">
        <v>1218</v>
      </c>
      <c r="L2324" s="13">
        <v>42493</v>
      </c>
      <c r="M2324">
        <v>7</v>
      </c>
      <c r="N2324" t="s">
        <v>82</v>
      </c>
      <c r="O2324" t="s">
        <v>3911</v>
      </c>
      <c r="P2324" t="s">
        <v>76</v>
      </c>
      <c r="Q2324" t="s">
        <v>76</v>
      </c>
      <c r="R2324" t="s">
        <v>76</v>
      </c>
      <c r="S2324" t="s">
        <v>76</v>
      </c>
      <c r="T2324" t="s">
        <v>76</v>
      </c>
      <c r="U2324">
        <v>1</v>
      </c>
      <c r="V2324" s="13">
        <v>45175</v>
      </c>
      <c r="W2324">
        <v>1</v>
      </c>
      <c r="X2324">
        <v>1</v>
      </c>
      <c r="Y2324" t="s">
        <v>3674</v>
      </c>
      <c r="AC2324">
        <v>5983</v>
      </c>
      <c r="AD2324" t="e" vm="2314">
        <v>#VALUE!</v>
      </c>
    </row>
    <row r="2325" spans="2:30" x14ac:dyDescent="0.25">
      <c r="B2325">
        <v>5984</v>
      </c>
      <c r="C2325" t="s">
        <v>3668</v>
      </c>
      <c r="D2325" t="s">
        <v>3673</v>
      </c>
      <c r="E2325" t="s">
        <v>3819</v>
      </c>
      <c r="F2325" t="s">
        <v>87</v>
      </c>
      <c r="G2325" t="s">
        <v>84</v>
      </c>
      <c r="H2325" t="s">
        <v>3808</v>
      </c>
      <c r="I2325" t="s">
        <v>3809</v>
      </c>
      <c r="J2325" t="s">
        <v>3910</v>
      </c>
      <c r="K2325" t="s">
        <v>1218</v>
      </c>
      <c r="L2325" s="13">
        <v>42444</v>
      </c>
      <c r="M2325">
        <v>8</v>
      </c>
      <c r="N2325" t="s">
        <v>82</v>
      </c>
      <c r="O2325" t="s">
        <v>3911</v>
      </c>
      <c r="P2325" t="s">
        <v>76</v>
      </c>
      <c r="Q2325" t="s">
        <v>76</v>
      </c>
      <c r="R2325" t="s">
        <v>76</v>
      </c>
      <c r="S2325" t="s">
        <v>76</v>
      </c>
      <c r="T2325" t="s">
        <v>76</v>
      </c>
      <c r="U2325">
        <v>1</v>
      </c>
      <c r="V2325" s="13">
        <v>45175</v>
      </c>
      <c r="W2325">
        <v>1</v>
      </c>
      <c r="X2325">
        <v>1</v>
      </c>
      <c r="Y2325" t="s">
        <v>3674</v>
      </c>
      <c r="AC2325">
        <v>5984</v>
      </c>
      <c r="AD2325" t="e" vm="2315">
        <v>#VALUE!</v>
      </c>
    </row>
    <row r="2326" spans="2:30" x14ac:dyDescent="0.25">
      <c r="B2326">
        <v>5985</v>
      </c>
      <c r="C2326" t="s">
        <v>3668</v>
      </c>
      <c r="D2326" t="s">
        <v>3673</v>
      </c>
      <c r="E2326" t="s">
        <v>3819</v>
      </c>
      <c r="F2326" t="s">
        <v>87</v>
      </c>
      <c r="G2326" t="s">
        <v>84</v>
      </c>
      <c r="H2326" t="s">
        <v>3808</v>
      </c>
      <c r="I2326" t="s">
        <v>3809</v>
      </c>
      <c r="J2326" t="s">
        <v>3910</v>
      </c>
      <c r="K2326" t="s">
        <v>1218</v>
      </c>
      <c r="L2326" s="13">
        <v>42446</v>
      </c>
      <c r="M2326">
        <v>8</v>
      </c>
      <c r="N2326" t="s">
        <v>82</v>
      </c>
      <c r="O2326" t="s">
        <v>3911</v>
      </c>
      <c r="P2326" t="s">
        <v>76</v>
      </c>
      <c r="Q2326" t="s">
        <v>76</v>
      </c>
      <c r="R2326" t="s">
        <v>76</v>
      </c>
      <c r="S2326" t="s">
        <v>76</v>
      </c>
      <c r="T2326" t="s">
        <v>76</v>
      </c>
      <c r="U2326">
        <v>1</v>
      </c>
      <c r="V2326" s="13">
        <v>45175</v>
      </c>
      <c r="W2326">
        <v>1</v>
      </c>
      <c r="X2326">
        <v>1</v>
      </c>
      <c r="Y2326" t="s">
        <v>3674</v>
      </c>
      <c r="AC2326">
        <v>5985</v>
      </c>
      <c r="AD2326" t="e" vm="2316">
        <v>#VALUE!</v>
      </c>
    </row>
    <row r="2327" spans="2:30" x14ac:dyDescent="0.25">
      <c r="B2327">
        <v>5986</v>
      </c>
      <c r="C2327" t="s">
        <v>3668</v>
      </c>
      <c r="D2327" t="s">
        <v>3673</v>
      </c>
      <c r="E2327" t="s">
        <v>3819</v>
      </c>
      <c r="F2327" t="s">
        <v>87</v>
      </c>
      <c r="G2327" t="s">
        <v>84</v>
      </c>
      <c r="H2327" t="s">
        <v>3808</v>
      </c>
      <c r="I2327" t="s">
        <v>3809</v>
      </c>
      <c r="J2327" t="s">
        <v>3910</v>
      </c>
      <c r="K2327" t="s">
        <v>1218</v>
      </c>
      <c r="L2327" s="13">
        <v>42446</v>
      </c>
      <c r="M2327">
        <v>8</v>
      </c>
      <c r="N2327" t="s">
        <v>82</v>
      </c>
      <c r="O2327" t="s">
        <v>3911</v>
      </c>
      <c r="P2327" t="s">
        <v>76</v>
      </c>
      <c r="Q2327" t="s">
        <v>76</v>
      </c>
      <c r="R2327" t="s">
        <v>76</v>
      </c>
      <c r="S2327" t="s">
        <v>76</v>
      </c>
      <c r="T2327" t="s">
        <v>76</v>
      </c>
      <c r="U2327">
        <v>1</v>
      </c>
      <c r="V2327" s="13">
        <v>45175</v>
      </c>
      <c r="W2327">
        <v>1</v>
      </c>
      <c r="X2327">
        <v>1</v>
      </c>
      <c r="Y2327" t="s">
        <v>3674</v>
      </c>
      <c r="AC2327">
        <v>5986</v>
      </c>
      <c r="AD2327" t="e" vm="2317">
        <v>#VALUE!</v>
      </c>
    </row>
    <row r="2328" spans="2:30" x14ac:dyDescent="0.25">
      <c r="B2328">
        <v>5987</v>
      </c>
      <c r="C2328" t="s">
        <v>3668</v>
      </c>
      <c r="D2328" t="s">
        <v>3673</v>
      </c>
      <c r="E2328" t="s">
        <v>3819</v>
      </c>
      <c r="F2328" t="s">
        <v>87</v>
      </c>
      <c r="G2328" t="s">
        <v>84</v>
      </c>
      <c r="H2328" t="s">
        <v>3808</v>
      </c>
      <c r="I2328" t="s">
        <v>3809</v>
      </c>
      <c r="J2328" t="s">
        <v>3910</v>
      </c>
      <c r="K2328" t="s">
        <v>1218</v>
      </c>
      <c r="L2328" s="13">
        <v>42462</v>
      </c>
      <c r="M2328">
        <v>7</v>
      </c>
      <c r="N2328" t="s">
        <v>82</v>
      </c>
      <c r="O2328" t="s">
        <v>3911</v>
      </c>
      <c r="P2328" t="s">
        <v>76</v>
      </c>
      <c r="Q2328" t="s">
        <v>76</v>
      </c>
      <c r="R2328" t="s">
        <v>76</v>
      </c>
      <c r="S2328" t="s">
        <v>76</v>
      </c>
      <c r="T2328" t="s">
        <v>76</v>
      </c>
      <c r="U2328">
        <v>1</v>
      </c>
      <c r="V2328" s="13">
        <v>45175</v>
      </c>
      <c r="W2328">
        <v>1</v>
      </c>
      <c r="X2328">
        <v>1</v>
      </c>
      <c r="Y2328" t="s">
        <v>3674</v>
      </c>
      <c r="AC2328">
        <v>5987</v>
      </c>
      <c r="AD2328" t="e" vm="2318">
        <v>#VALUE!</v>
      </c>
    </row>
    <row r="2329" spans="2:30" x14ac:dyDescent="0.25">
      <c r="B2329">
        <v>5988</v>
      </c>
      <c r="C2329" t="s">
        <v>3668</v>
      </c>
      <c r="D2329" t="s">
        <v>3673</v>
      </c>
      <c r="E2329" t="s">
        <v>3819</v>
      </c>
      <c r="F2329" t="s">
        <v>87</v>
      </c>
      <c r="G2329" t="s">
        <v>84</v>
      </c>
      <c r="H2329" t="s">
        <v>3808</v>
      </c>
      <c r="I2329" t="s">
        <v>3809</v>
      </c>
      <c r="J2329" t="s">
        <v>3910</v>
      </c>
      <c r="K2329" t="s">
        <v>1218</v>
      </c>
      <c r="L2329" s="13">
        <v>42462</v>
      </c>
      <c r="M2329">
        <v>7</v>
      </c>
      <c r="N2329" t="s">
        <v>82</v>
      </c>
      <c r="O2329" t="s">
        <v>3911</v>
      </c>
      <c r="P2329" t="s">
        <v>76</v>
      </c>
      <c r="Q2329" t="s">
        <v>76</v>
      </c>
      <c r="R2329" t="s">
        <v>76</v>
      </c>
      <c r="S2329" t="s">
        <v>76</v>
      </c>
      <c r="T2329" t="s">
        <v>76</v>
      </c>
      <c r="U2329">
        <v>1</v>
      </c>
      <c r="V2329" s="13">
        <v>45175</v>
      </c>
      <c r="W2329">
        <v>1</v>
      </c>
      <c r="X2329">
        <v>1</v>
      </c>
      <c r="Y2329" t="s">
        <v>3674</v>
      </c>
      <c r="AC2329">
        <v>5988</v>
      </c>
      <c r="AD2329" t="e" vm="2319">
        <v>#VALUE!</v>
      </c>
    </row>
    <row r="2330" spans="2:30" x14ac:dyDescent="0.25">
      <c r="B2330">
        <v>5989</v>
      </c>
      <c r="C2330" t="s">
        <v>3668</v>
      </c>
      <c r="D2330" t="s">
        <v>3673</v>
      </c>
      <c r="E2330" t="s">
        <v>3819</v>
      </c>
      <c r="F2330" t="s">
        <v>87</v>
      </c>
      <c r="G2330" t="s">
        <v>84</v>
      </c>
      <c r="H2330" t="s">
        <v>3808</v>
      </c>
      <c r="I2330" t="s">
        <v>3809</v>
      </c>
      <c r="J2330" t="s">
        <v>3910</v>
      </c>
      <c r="K2330" t="s">
        <v>1218</v>
      </c>
      <c r="L2330" s="13">
        <v>42542</v>
      </c>
      <c r="M2330">
        <v>7</v>
      </c>
      <c r="N2330" t="s">
        <v>82</v>
      </c>
      <c r="O2330" t="s">
        <v>3911</v>
      </c>
      <c r="P2330" t="s">
        <v>76</v>
      </c>
      <c r="Q2330" t="s">
        <v>76</v>
      </c>
      <c r="R2330" t="s">
        <v>76</v>
      </c>
      <c r="S2330" t="s">
        <v>76</v>
      </c>
      <c r="T2330" t="s">
        <v>76</v>
      </c>
      <c r="U2330">
        <v>1</v>
      </c>
      <c r="V2330" s="13">
        <v>45175</v>
      </c>
      <c r="W2330">
        <v>1</v>
      </c>
      <c r="X2330">
        <v>1</v>
      </c>
      <c r="Y2330" t="s">
        <v>3674</v>
      </c>
      <c r="AC2330">
        <v>5989</v>
      </c>
      <c r="AD2330" t="e" vm="2320">
        <v>#VALUE!</v>
      </c>
    </row>
    <row r="2331" spans="2:30" x14ac:dyDescent="0.25">
      <c r="B2331">
        <v>5990</v>
      </c>
      <c r="C2331" t="s">
        <v>3668</v>
      </c>
      <c r="D2331" t="s">
        <v>3669</v>
      </c>
      <c r="E2331" t="s">
        <v>3817</v>
      </c>
      <c r="F2331" t="s">
        <v>81</v>
      </c>
      <c r="G2331" t="s">
        <v>80</v>
      </c>
      <c r="H2331" t="s">
        <v>3808</v>
      </c>
      <c r="I2331" t="s">
        <v>3809</v>
      </c>
      <c r="J2331" t="s">
        <v>3910</v>
      </c>
      <c r="K2331" t="s">
        <v>1218</v>
      </c>
      <c r="L2331" s="13">
        <v>43217</v>
      </c>
      <c r="M2331">
        <v>5</v>
      </c>
      <c r="N2331" t="s">
        <v>82</v>
      </c>
      <c r="O2331" t="s">
        <v>3911</v>
      </c>
      <c r="P2331" t="s">
        <v>76</v>
      </c>
      <c r="Q2331" t="s">
        <v>76</v>
      </c>
      <c r="R2331" t="s">
        <v>76</v>
      </c>
      <c r="S2331" t="s">
        <v>76</v>
      </c>
      <c r="T2331" t="s">
        <v>76</v>
      </c>
      <c r="U2331">
        <v>1</v>
      </c>
      <c r="V2331" s="13">
        <v>45175</v>
      </c>
      <c r="W2331">
        <v>1</v>
      </c>
      <c r="X2331">
        <v>1</v>
      </c>
      <c r="Y2331" t="s">
        <v>3670</v>
      </c>
      <c r="AC2331">
        <v>5990</v>
      </c>
      <c r="AD2331" t="e" vm="2321">
        <v>#VALUE!</v>
      </c>
    </row>
    <row r="2332" spans="2:30" x14ac:dyDescent="0.25">
      <c r="B2332">
        <v>5991</v>
      </c>
      <c r="C2332" t="s">
        <v>3668</v>
      </c>
      <c r="D2332" t="s">
        <v>3673</v>
      </c>
      <c r="E2332" t="s">
        <v>3819</v>
      </c>
      <c r="F2332" t="s">
        <v>87</v>
      </c>
      <c r="G2332" t="s">
        <v>84</v>
      </c>
      <c r="H2332" t="s">
        <v>3808</v>
      </c>
      <c r="I2332" t="s">
        <v>3809</v>
      </c>
      <c r="J2332" t="s">
        <v>3910</v>
      </c>
      <c r="K2332" t="s">
        <v>1218</v>
      </c>
      <c r="L2332" s="13">
        <v>42432</v>
      </c>
      <c r="M2332">
        <v>8</v>
      </c>
      <c r="N2332" t="s">
        <v>82</v>
      </c>
      <c r="O2332" t="s">
        <v>3911</v>
      </c>
      <c r="P2332" t="s">
        <v>76</v>
      </c>
      <c r="Q2332" t="s">
        <v>76</v>
      </c>
      <c r="R2332" t="s">
        <v>76</v>
      </c>
      <c r="S2332" t="s">
        <v>76</v>
      </c>
      <c r="T2332" t="s">
        <v>76</v>
      </c>
      <c r="U2332">
        <v>1</v>
      </c>
      <c r="V2332" s="13">
        <v>45175</v>
      </c>
      <c r="W2332">
        <v>1</v>
      </c>
      <c r="X2332">
        <v>1</v>
      </c>
      <c r="Y2332" t="s">
        <v>3674</v>
      </c>
      <c r="AC2332">
        <v>5991</v>
      </c>
      <c r="AD2332" t="e" vm="2322">
        <v>#VALUE!</v>
      </c>
    </row>
    <row r="2333" spans="2:30" x14ac:dyDescent="0.25">
      <c r="B2333">
        <v>5992</v>
      </c>
      <c r="C2333" t="s">
        <v>3668</v>
      </c>
      <c r="D2333" t="s">
        <v>3669</v>
      </c>
      <c r="E2333" t="s">
        <v>3817</v>
      </c>
      <c r="F2333" t="s">
        <v>81</v>
      </c>
      <c r="G2333" t="s">
        <v>80</v>
      </c>
      <c r="H2333" t="s">
        <v>3808</v>
      </c>
      <c r="I2333" t="s">
        <v>3809</v>
      </c>
      <c r="J2333" t="s">
        <v>3910</v>
      </c>
      <c r="K2333" t="s">
        <v>1218</v>
      </c>
      <c r="L2333" s="13">
        <v>42516</v>
      </c>
      <c r="M2333">
        <v>7</v>
      </c>
      <c r="N2333" t="s">
        <v>82</v>
      </c>
      <c r="O2333" t="s">
        <v>3911</v>
      </c>
      <c r="P2333" t="s">
        <v>76</v>
      </c>
      <c r="Q2333" t="s">
        <v>76</v>
      </c>
      <c r="R2333" t="s">
        <v>76</v>
      </c>
      <c r="S2333" t="s">
        <v>76</v>
      </c>
      <c r="T2333" t="s">
        <v>76</v>
      </c>
      <c r="U2333">
        <v>1</v>
      </c>
      <c r="V2333" s="13">
        <v>45175</v>
      </c>
      <c r="W2333">
        <v>1</v>
      </c>
      <c r="X2333">
        <v>1</v>
      </c>
      <c r="Y2333" t="s">
        <v>3670</v>
      </c>
      <c r="AC2333">
        <v>5992</v>
      </c>
      <c r="AD2333" t="e" vm="2323">
        <v>#VALUE!</v>
      </c>
    </row>
    <row r="2334" spans="2:30" x14ac:dyDescent="0.25">
      <c r="B2334">
        <v>5993</v>
      </c>
      <c r="C2334" t="s">
        <v>3668</v>
      </c>
      <c r="D2334" t="s">
        <v>3669</v>
      </c>
      <c r="E2334" t="s">
        <v>3817</v>
      </c>
      <c r="F2334" t="s">
        <v>81</v>
      </c>
      <c r="G2334" t="s">
        <v>80</v>
      </c>
      <c r="H2334" t="s">
        <v>3808</v>
      </c>
      <c r="I2334" t="s">
        <v>3809</v>
      </c>
      <c r="J2334" t="s">
        <v>3910</v>
      </c>
      <c r="K2334" t="s">
        <v>1218</v>
      </c>
      <c r="L2334" s="13">
        <v>42542</v>
      </c>
      <c r="M2334">
        <v>7</v>
      </c>
      <c r="N2334" t="s">
        <v>82</v>
      </c>
      <c r="O2334" t="s">
        <v>3911</v>
      </c>
      <c r="P2334" t="s">
        <v>76</v>
      </c>
      <c r="Q2334" t="s">
        <v>76</v>
      </c>
      <c r="R2334" t="s">
        <v>76</v>
      </c>
      <c r="S2334" t="s">
        <v>76</v>
      </c>
      <c r="T2334" t="s">
        <v>76</v>
      </c>
      <c r="U2334">
        <v>1</v>
      </c>
      <c r="V2334" s="13">
        <v>45175</v>
      </c>
      <c r="W2334">
        <v>1</v>
      </c>
      <c r="X2334">
        <v>1</v>
      </c>
      <c r="Y2334" t="s">
        <v>3670</v>
      </c>
      <c r="AC2334">
        <v>5993</v>
      </c>
      <c r="AD2334" t="e" vm="2324">
        <v>#VALUE!</v>
      </c>
    </row>
    <row r="2335" spans="2:30" x14ac:dyDescent="0.25">
      <c r="B2335">
        <v>5994</v>
      </c>
      <c r="C2335" t="s">
        <v>3668</v>
      </c>
      <c r="D2335" t="s">
        <v>3669</v>
      </c>
      <c r="E2335" t="s">
        <v>3817</v>
      </c>
      <c r="F2335" t="s">
        <v>81</v>
      </c>
      <c r="G2335" t="s">
        <v>80</v>
      </c>
      <c r="H2335" t="s">
        <v>3808</v>
      </c>
      <c r="I2335" t="s">
        <v>3809</v>
      </c>
      <c r="J2335" t="s">
        <v>3910</v>
      </c>
      <c r="K2335" t="s">
        <v>1218</v>
      </c>
      <c r="L2335" s="13">
        <v>42493</v>
      </c>
      <c r="M2335">
        <v>7</v>
      </c>
      <c r="N2335" t="s">
        <v>82</v>
      </c>
      <c r="O2335" t="s">
        <v>3911</v>
      </c>
      <c r="P2335" t="s">
        <v>76</v>
      </c>
      <c r="Q2335" t="s">
        <v>76</v>
      </c>
      <c r="R2335" t="s">
        <v>76</v>
      </c>
      <c r="S2335" t="s">
        <v>76</v>
      </c>
      <c r="T2335" t="s">
        <v>76</v>
      </c>
      <c r="U2335">
        <v>1</v>
      </c>
      <c r="V2335" s="13">
        <v>45175</v>
      </c>
      <c r="W2335">
        <v>1</v>
      </c>
      <c r="X2335">
        <v>1</v>
      </c>
      <c r="Y2335" t="s">
        <v>3670</v>
      </c>
      <c r="AC2335">
        <v>5994</v>
      </c>
      <c r="AD2335" t="e" vm="2325">
        <v>#VALUE!</v>
      </c>
    </row>
    <row r="2336" spans="2:30" x14ac:dyDescent="0.25">
      <c r="B2336">
        <v>5995</v>
      </c>
      <c r="C2336" t="s">
        <v>3668</v>
      </c>
      <c r="D2336" t="s">
        <v>3669</v>
      </c>
      <c r="E2336" t="s">
        <v>3817</v>
      </c>
      <c r="F2336" t="s">
        <v>81</v>
      </c>
      <c r="G2336" t="s">
        <v>80</v>
      </c>
      <c r="H2336" t="s">
        <v>3808</v>
      </c>
      <c r="I2336" t="s">
        <v>3809</v>
      </c>
      <c r="J2336" t="s">
        <v>3910</v>
      </c>
      <c r="K2336" t="s">
        <v>1218</v>
      </c>
      <c r="L2336" s="13">
        <v>42850</v>
      </c>
      <c r="M2336">
        <v>6</v>
      </c>
      <c r="N2336" t="s">
        <v>82</v>
      </c>
      <c r="O2336" t="s">
        <v>3911</v>
      </c>
      <c r="P2336" t="s">
        <v>76</v>
      </c>
      <c r="Q2336" t="s">
        <v>76</v>
      </c>
      <c r="R2336" t="s">
        <v>76</v>
      </c>
      <c r="S2336" t="s">
        <v>76</v>
      </c>
      <c r="T2336" t="s">
        <v>76</v>
      </c>
      <c r="U2336">
        <v>1</v>
      </c>
      <c r="V2336" s="13">
        <v>45175</v>
      </c>
      <c r="W2336">
        <v>1</v>
      </c>
      <c r="X2336">
        <v>1</v>
      </c>
      <c r="Y2336" t="s">
        <v>3670</v>
      </c>
      <c r="AC2336">
        <v>5995</v>
      </c>
      <c r="AD2336" t="e" vm="2326">
        <v>#VALUE!</v>
      </c>
    </row>
    <row r="2337" spans="2:30" x14ac:dyDescent="0.25">
      <c r="B2337">
        <v>5996</v>
      </c>
      <c r="C2337" t="s">
        <v>3668</v>
      </c>
      <c r="D2337" t="s">
        <v>3669</v>
      </c>
      <c r="E2337" t="s">
        <v>3817</v>
      </c>
      <c r="F2337" t="s">
        <v>81</v>
      </c>
      <c r="G2337" t="s">
        <v>80</v>
      </c>
      <c r="H2337" t="s">
        <v>3808</v>
      </c>
      <c r="I2337" t="s">
        <v>3809</v>
      </c>
      <c r="J2337" t="s">
        <v>3910</v>
      </c>
      <c r="K2337" t="s">
        <v>1218</v>
      </c>
      <c r="L2337" s="13">
        <v>42507</v>
      </c>
      <c r="M2337">
        <v>7</v>
      </c>
      <c r="N2337" t="s">
        <v>82</v>
      </c>
      <c r="O2337" t="s">
        <v>3911</v>
      </c>
      <c r="P2337" t="s">
        <v>76</v>
      </c>
      <c r="Q2337" t="s">
        <v>76</v>
      </c>
      <c r="R2337" t="s">
        <v>76</v>
      </c>
      <c r="S2337" t="s">
        <v>76</v>
      </c>
      <c r="T2337" t="s">
        <v>76</v>
      </c>
      <c r="U2337">
        <v>1</v>
      </c>
      <c r="V2337" s="13">
        <v>45175</v>
      </c>
      <c r="W2337">
        <v>1</v>
      </c>
      <c r="X2337">
        <v>1</v>
      </c>
      <c r="Y2337" t="s">
        <v>3670</v>
      </c>
      <c r="AC2337">
        <v>5996</v>
      </c>
      <c r="AD2337" t="e" vm="2327">
        <v>#VALUE!</v>
      </c>
    </row>
    <row r="2338" spans="2:30" x14ac:dyDescent="0.25">
      <c r="B2338">
        <v>6002</v>
      </c>
      <c r="C2338" t="s">
        <v>3668</v>
      </c>
      <c r="D2338" t="s">
        <v>3754</v>
      </c>
      <c r="E2338" t="s">
        <v>3912</v>
      </c>
      <c r="F2338" t="s">
        <v>85</v>
      </c>
      <c r="G2338" t="s">
        <v>94</v>
      </c>
      <c r="H2338" t="s">
        <v>3913</v>
      </c>
      <c r="I2338" t="s">
        <v>3913</v>
      </c>
      <c r="J2338" t="s">
        <v>3914</v>
      </c>
      <c r="K2338" t="s">
        <v>3915</v>
      </c>
      <c r="L2338" s="13">
        <v>30201</v>
      </c>
      <c r="M2338">
        <v>41</v>
      </c>
      <c r="N2338" t="s">
        <v>82</v>
      </c>
      <c r="O2338" t="s">
        <v>3916</v>
      </c>
      <c r="P2338" t="s">
        <v>76</v>
      </c>
      <c r="Q2338" t="s">
        <v>905</v>
      </c>
      <c r="R2338" t="s">
        <v>76</v>
      </c>
      <c r="S2338" t="s">
        <v>76</v>
      </c>
      <c r="T2338" t="s">
        <v>76</v>
      </c>
      <c r="U2338">
        <v>1</v>
      </c>
      <c r="V2338" s="13">
        <v>45175</v>
      </c>
      <c r="W2338">
        <v>1</v>
      </c>
      <c r="X2338">
        <v>1</v>
      </c>
      <c r="Y2338" t="s">
        <v>3755</v>
      </c>
      <c r="AC2338">
        <v>6002</v>
      </c>
      <c r="AD2338" t="e" vm="2328">
        <v>#VALUE!</v>
      </c>
    </row>
    <row r="2339" spans="2:30" x14ac:dyDescent="0.25">
      <c r="B2339">
        <v>6003</v>
      </c>
      <c r="C2339" t="s">
        <v>3668</v>
      </c>
      <c r="D2339" t="s">
        <v>3754</v>
      </c>
      <c r="E2339" t="s">
        <v>3912</v>
      </c>
      <c r="F2339" t="s">
        <v>85</v>
      </c>
      <c r="G2339" t="s">
        <v>94</v>
      </c>
      <c r="H2339" t="s">
        <v>3913</v>
      </c>
      <c r="I2339" t="s">
        <v>3913</v>
      </c>
      <c r="J2339" t="s">
        <v>3914</v>
      </c>
      <c r="K2339" t="s">
        <v>3915</v>
      </c>
      <c r="L2339" s="13">
        <v>30203</v>
      </c>
      <c r="M2339">
        <v>41</v>
      </c>
      <c r="N2339" t="s">
        <v>82</v>
      </c>
      <c r="O2339" t="s">
        <v>3916</v>
      </c>
      <c r="P2339" t="s">
        <v>76</v>
      </c>
      <c r="Q2339" t="s">
        <v>905</v>
      </c>
      <c r="R2339" t="s">
        <v>76</v>
      </c>
      <c r="S2339" t="s">
        <v>76</v>
      </c>
      <c r="T2339" t="s">
        <v>76</v>
      </c>
      <c r="U2339">
        <v>1</v>
      </c>
      <c r="V2339" s="13">
        <v>45175</v>
      </c>
      <c r="W2339">
        <v>1</v>
      </c>
      <c r="X2339">
        <v>1</v>
      </c>
      <c r="Y2339" t="s">
        <v>3755</v>
      </c>
      <c r="AC2339">
        <v>6003</v>
      </c>
      <c r="AD2339" t="e" vm="2329">
        <v>#VALUE!</v>
      </c>
    </row>
    <row r="2340" spans="2:30" x14ac:dyDescent="0.25">
      <c r="B2340">
        <v>6007</v>
      </c>
      <c r="C2340" t="s">
        <v>3668</v>
      </c>
      <c r="D2340" t="s">
        <v>3754</v>
      </c>
      <c r="E2340" t="s">
        <v>3912</v>
      </c>
      <c r="F2340" t="s">
        <v>85</v>
      </c>
      <c r="G2340" t="s">
        <v>94</v>
      </c>
      <c r="H2340" t="s">
        <v>3913</v>
      </c>
      <c r="I2340" t="s">
        <v>3913</v>
      </c>
      <c r="J2340" t="s">
        <v>3914</v>
      </c>
      <c r="K2340" t="s">
        <v>3915</v>
      </c>
      <c r="L2340" s="13">
        <v>30216</v>
      </c>
      <c r="M2340">
        <v>41</v>
      </c>
      <c r="N2340" t="s">
        <v>82</v>
      </c>
      <c r="O2340" t="s">
        <v>3916</v>
      </c>
      <c r="P2340" t="s">
        <v>76</v>
      </c>
      <c r="Q2340" t="s">
        <v>905</v>
      </c>
      <c r="R2340" t="s">
        <v>76</v>
      </c>
      <c r="S2340" t="s">
        <v>76</v>
      </c>
      <c r="T2340" t="s">
        <v>76</v>
      </c>
      <c r="U2340">
        <v>1</v>
      </c>
      <c r="V2340" s="13">
        <v>45175</v>
      </c>
      <c r="W2340">
        <v>1</v>
      </c>
      <c r="X2340">
        <v>1</v>
      </c>
      <c r="Y2340" t="s">
        <v>3755</v>
      </c>
      <c r="AC2340">
        <v>6007</v>
      </c>
      <c r="AD2340" t="e" vm="2330">
        <v>#VALUE!</v>
      </c>
    </row>
    <row r="2341" spans="2:30" x14ac:dyDescent="0.25">
      <c r="B2341">
        <v>6008</v>
      </c>
      <c r="C2341" t="s">
        <v>3668</v>
      </c>
      <c r="D2341" t="s">
        <v>3754</v>
      </c>
      <c r="E2341" t="s">
        <v>3912</v>
      </c>
      <c r="F2341" t="s">
        <v>85</v>
      </c>
      <c r="G2341" t="s">
        <v>94</v>
      </c>
      <c r="H2341" t="s">
        <v>3913</v>
      </c>
      <c r="I2341" t="s">
        <v>3913</v>
      </c>
      <c r="J2341" t="s">
        <v>3914</v>
      </c>
      <c r="K2341" t="s">
        <v>3915</v>
      </c>
      <c r="L2341" s="13">
        <v>30222</v>
      </c>
      <c r="M2341">
        <v>41</v>
      </c>
      <c r="N2341" t="s">
        <v>82</v>
      </c>
      <c r="O2341" t="s">
        <v>3916</v>
      </c>
      <c r="P2341" t="s">
        <v>76</v>
      </c>
      <c r="Q2341" t="s">
        <v>905</v>
      </c>
      <c r="R2341" t="s">
        <v>76</v>
      </c>
      <c r="S2341" t="s">
        <v>76</v>
      </c>
      <c r="T2341" t="s">
        <v>76</v>
      </c>
      <c r="U2341">
        <v>1</v>
      </c>
      <c r="V2341" s="13">
        <v>45175</v>
      </c>
      <c r="W2341">
        <v>1</v>
      </c>
      <c r="X2341">
        <v>1</v>
      </c>
      <c r="Y2341" t="s">
        <v>3755</v>
      </c>
      <c r="AC2341">
        <v>6008</v>
      </c>
      <c r="AD2341" t="e" vm="2331">
        <v>#VALUE!</v>
      </c>
    </row>
    <row r="2342" spans="2:30" x14ac:dyDescent="0.25">
      <c r="B2342">
        <v>6012</v>
      </c>
      <c r="C2342" t="s">
        <v>3668</v>
      </c>
      <c r="D2342" t="s">
        <v>3754</v>
      </c>
      <c r="E2342" t="s">
        <v>3912</v>
      </c>
      <c r="F2342" t="s">
        <v>85</v>
      </c>
      <c r="G2342" t="s">
        <v>94</v>
      </c>
      <c r="H2342" t="s">
        <v>3913</v>
      </c>
      <c r="I2342" t="s">
        <v>3913</v>
      </c>
      <c r="J2342" t="s">
        <v>3914</v>
      </c>
      <c r="K2342" t="s">
        <v>3915</v>
      </c>
      <c r="L2342" s="13">
        <v>30243</v>
      </c>
      <c r="M2342">
        <v>41</v>
      </c>
      <c r="N2342" t="s">
        <v>82</v>
      </c>
      <c r="O2342" t="s">
        <v>3916</v>
      </c>
      <c r="P2342" t="s">
        <v>76</v>
      </c>
      <c r="Q2342" t="s">
        <v>905</v>
      </c>
      <c r="R2342" t="s">
        <v>76</v>
      </c>
      <c r="S2342" t="s">
        <v>76</v>
      </c>
      <c r="T2342" t="s">
        <v>76</v>
      </c>
      <c r="U2342">
        <v>1</v>
      </c>
      <c r="V2342" s="13">
        <v>45175</v>
      </c>
      <c r="W2342">
        <v>1</v>
      </c>
      <c r="X2342">
        <v>1</v>
      </c>
      <c r="Y2342" t="s">
        <v>3755</v>
      </c>
      <c r="AC2342">
        <v>6012</v>
      </c>
      <c r="AD2342" t="e" vm="2332">
        <v>#VALUE!</v>
      </c>
    </row>
    <row r="2343" spans="2:30" x14ac:dyDescent="0.25">
      <c r="B2343">
        <v>6013</v>
      </c>
      <c r="C2343" t="s">
        <v>3668</v>
      </c>
      <c r="D2343" t="s">
        <v>3754</v>
      </c>
      <c r="E2343" t="s">
        <v>3912</v>
      </c>
      <c r="F2343" t="s">
        <v>85</v>
      </c>
      <c r="G2343" t="s">
        <v>94</v>
      </c>
      <c r="H2343" t="s">
        <v>3913</v>
      </c>
      <c r="I2343" t="s">
        <v>3913</v>
      </c>
      <c r="J2343" t="s">
        <v>3914</v>
      </c>
      <c r="K2343" t="s">
        <v>3915</v>
      </c>
      <c r="L2343" s="13">
        <v>30252</v>
      </c>
      <c r="M2343">
        <v>41</v>
      </c>
      <c r="N2343" t="s">
        <v>82</v>
      </c>
      <c r="O2343" t="s">
        <v>3916</v>
      </c>
      <c r="P2343" t="s">
        <v>76</v>
      </c>
      <c r="Q2343" t="s">
        <v>905</v>
      </c>
      <c r="R2343" t="s">
        <v>76</v>
      </c>
      <c r="S2343" t="s">
        <v>76</v>
      </c>
      <c r="T2343" t="s">
        <v>76</v>
      </c>
      <c r="U2343">
        <v>1</v>
      </c>
      <c r="V2343" s="13">
        <v>45175</v>
      </c>
      <c r="W2343">
        <v>1</v>
      </c>
      <c r="X2343">
        <v>1</v>
      </c>
      <c r="Y2343" t="s">
        <v>3755</v>
      </c>
      <c r="AC2343">
        <v>6013</v>
      </c>
      <c r="AD2343" t="e" vm="2333">
        <v>#VALUE!</v>
      </c>
    </row>
    <row r="2344" spans="2:30" x14ac:dyDescent="0.25">
      <c r="B2344">
        <v>6016</v>
      </c>
      <c r="C2344" t="s">
        <v>3668</v>
      </c>
      <c r="D2344" t="s">
        <v>3754</v>
      </c>
      <c r="E2344" t="s">
        <v>3912</v>
      </c>
      <c r="F2344" t="s">
        <v>85</v>
      </c>
      <c r="G2344" t="s">
        <v>94</v>
      </c>
      <c r="H2344" t="s">
        <v>3913</v>
      </c>
      <c r="I2344" t="s">
        <v>3913</v>
      </c>
      <c r="J2344" t="s">
        <v>3914</v>
      </c>
      <c r="K2344" t="s">
        <v>3915</v>
      </c>
      <c r="L2344" s="13">
        <v>30277</v>
      </c>
      <c r="M2344">
        <v>41</v>
      </c>
      <c r="N2344" t="s">
        <v>82</v>
      </c>
      <c r="O2344" t="s">
        <v>3916</v>
      </c>
      <c r="P2344" t="s">
        <v>76</v>
      </c>
      <c r="Q2344" t="s">
        <v>905</v>
      </c>
      <c r="R2344" t="s">
        <v>76</v>
      </c>
      <c r="S2344" t="s">
        <v>76</v>
      </c>
      <c r="T2344" t="s">
        <v>76</v>
      </c>
      <c r="U2344">
        <v>1</v>
      </c>
      <c r="V2344" s="13">
        <v>45175</v>
      </c>
      <c r="W2344">
        <v>1</v>
      </c>
      <c r="X2344">
        <v>1</v>
      </c>
      <c r="Y2344" t="s">
        <v>3755</v>
      </c>
      <c r="AC2344">
        <v>6016</v>
      </c>
      <c r="AD2344" t="e" vm="2334">
        <v>#VALUE!</v>
      </c>
    </row>
    <row r="2345" spans="2:30" x14ac:dyDescent="0.25">
      <c r="B2345">
        <v>6017</v>
      </c>
      <c r="C2345" t="s">
        <v>3668</v>
      </c>
      <c r="D2345" t="s">
        <v>3754</v>
      </c>
      <c r="E2345" t="s">
        <v>3912</v>
      </c>
      <c r="F2345" t="s">
        <v>85</v>
      </c>
      <c r="G2345" t="s">
        <v>94</v>
      </c>
      <c r="H2345" t="s">
        <v>3913</v>
      </c>
      <c r="I2345" t="s">
        <v>3913</v>
      </c>
      <c r="J2345" t="s">
        <v>3914</v>
      </c>
      <c r="K2345" t="s">
        <v>3915</v>
      </c>
      <c r="L2345" s="13">
        <v>30279</v>
      </c>
      <c r="M2345">
        <v>41</v>
      </c>
      <c r="N2345" t="s">
        <v>82</v>
      </c>
      <c r="O2345" t="s">
        <v>3916</v>
      </c>
      <c r="P2345" t="s">
        <v>76</v>
      </c>
      <c r="Q2345" t="s">
        <v>905</v>
      </c>
      <c r="R2345" t="s">
        <v>76</v>
      </c>
      <c r="S2345" t="s">
        <v>76</v>
      </c>
      <c r="T2345" t="s">
        <v>76</v>
      </c>
      <c r="U2345">
        <v>1</v>
      </c>
      <c r="V2345" s="13">
        <v>45175</v>
      </c>
      <c r="W2345">
        <v>1</v>
      </c>
      <c r="X2345">
        <v>1</v>
      </c>
      <c r="Y2345" t="s">
        <v>3755</v>
      </c>
      <c r="AC2345">
        <v>6017</v>
      </c>
      <c r="AD2345" t="e" vm="2335">
        <v>#VALUE!</v>
      </c>
    </row>
    <row r="2346" spans="2:30" x14ac:dyDescent="0.25">
      <c r="B2346">
        <v>6018</v>
      </c>
      <c r="C2346" t="s">
        <v>3668</v>
      </c>
      <c r="D2346" t="s">
        <v>3754</v>
      </c>
      <c r="E2346" t="s">
        <v>3912</v>
      </c>
      <c r="F2346" t="s">
        <v>85</v>
      </c>
      <c r="G2346" t="s">
        <v>94</v>
      </c>
      <c r="H2346" t="s">
        <v>3913</v>
      </c>
      <c r="I2346" t="s">
        <v>3913</v>
      </c>
      <c r="J2346" t="s">
        <v>3914</v>
      </c>
      <c r="K2346" t="s">
        <v>3915</v>
      </c>
      <c r="L2346" s="13">
        <v>30298</v>
      </c>
      <c r="M2346">
        <v>41</v>
      </c>
      <c r="N2346" t="s">
        <v>82</v>
      </c>
      <c r="O2346" t="s">
        <v>3916</v>
      </c>
      <c r="P2346" t="s">
        <v>76</v>
      </c>
      <c r="Q2346" t="s">
        <v>905</v>
      </c>
      <c r="R2346" t="s">
        <v>76</v>
      </c>
      <c r="S2346" t="s">
        <v>76</v>
      </c>
      <c r="T2346" t="s">
        <v>76</v>
      </c>
      <c r="U2346">
        <v>1</v>
      </c>
      <c r="V2346" s="13">
        <v>45175</v>
      </c>
      <c r="W2346">
        <v>1</v>
      </c>
      <c r="X2346">
        <v>1</v>
      </c>
      <c r="Y2346" t="s">
        <v>3755</v>
      </c>
      <c r="AC2346">
        <v>6018</v>
      </c>
      <c r="AD2346" t="e" vm="2336">
        <v>#VALUE!</v>
      </c>
    </row>
    <row r="2347" spans="2:30" x14ac:dyDescent="0.25">
      <c r="B2347">
        <v>6019</v>
      </c>
      <c r="C2347" t="s">
        <v>3668</v>
      </c>
      <c r="D2347" t="s">
        <v>3754</v>
      </c>
      <c r="E2347" t="s">
        <v>3912</v>
      </c>
      <c r="F2347" t="s">
        <v>85</v>
      </c>
      <c r="G2347" t="s">
        <v>94</v>
      </c>
      <c r="H2347" t="s">
        <v>3913</v>
      </c>
      <c r="I2347" t="s">
        <v>3913</v>
      </c>
      <c r="J2347" t="s">
        <v>3914</v>
      </c>
      <c r="K2347" t="s">
        <v>3915</v>
      </c>
      <c r="L2347" s="13">
        <v>30300</v>
      </c>
      <c r="M2347">
        <v>41</v>
      </c>
      <c r="N2347" t="s">
        <v>82</v>
      </c>
      <c r="O2347" t="s">
        <v>3916</v>
      </c>
      <c r="P2347" t="s">
        <v>76</v>
      </c>
      <c r="Q2347" t="s">
        <v>905</v>
      </c>
      <c r="R2347" t="s">
        <v>76</v>
      </c>
      <c r="S2347" t="s">
        <v>76</v>
      </c>
      <c r="T2347" t="s">
        <v>76</v>
      </c>
      <c r="U2347">
        <v>1</v>
      </c>
      <c r="V2347" s="13">
        <v>45175</v>
      </c>
      <c r="W2347">
        <v>1</v>
      </c>
      <c r="X2347">
        <v>1</v>
      </c>
      <c r="Y2347" t="s">
        <v>3755</v>
      </c>
      <c r="AC2347">
        <v>6019</v>
      </c>
      <c r="AD2347" t="e" vm="2337">
        <v>#VALUE!</v>
      </c>
    </row>
    <row r="2348" spans="2:30" x14ac:dyDescent="0.25">
      <c r="B2348">
        <v>6025</v>
      </c>
      <c r="C2348" t="s">
        <v>3698</v>
      </c>
      <c r="D2348" t="s">
        <v>73</v>
      </c>
      <c r="E2348" t="s">
        <v>73</v>
      </c>
      <c r="F2348" t="s">
        <v>3816</v>
      </c>
      <c r="G2348" t="s">
        <v>3816</v>
      </c>
      <c r="H2348" t="s">
        <v>3913</v>
      </c>
      <c r="I2348" t="s">
        <v>3913</v>
      </c>
      <c r="J2348" t="s">
        <v>3914</v>
      </c>
      <c r="K2348" t="s">
        <v>3915</v>
      </c>
      <c r="L2348" s="13">
        <v>30356</v>
      </c>
      <c r="M2348">
        <v>41</v>
      </c>
      <c r="N2348" t="s">
        <v>98</v>
      </c>
      <c r="O2348" t="s">
        <v>3916</v>
      </c>
      <c r="P2348" t="s">
        <v>76</v>
      </c>
      <c r="Q2348" t="s">
        <v>905</v>
      </c>
      <c r="R2348" t="s">
        <v>76</v>
      </c>
      <c r="S2348" t="s">
        <v>76</v>
      </c>
      <c r="T2348" t="s">
        <v>76</v>
      </c>
      <c r="U2348">
        <v>1</v>
      </c>
      <c r="V2348" s="13">
        <v>45175</v>
      </c>
      <c r="W2348">
        <v>2</v>
      </c>
      <c r="X2348">
        <v>1</v>
      </c>
      <c r="Y2348" t="s">
        <v>3724</v>
      </c>
      <c r="AC2348">
        <v>6025</v>
      </c>
      <c r="AD2348" t="e" vm="2338">
        <v>#VALUE!</v>
      </c>
    </row>
    <row r="2349" spans="2:30" x14ac:dyDescent="0.25">
      <c r="B2349">
        <v>6034</v>
      </c>
      <c r="C2349" t="s">
        <v>3668</v>
      </c>
      <c r="D2349" t="s">
        <v>73</v>
      </c>
      <c r="E2349" t="s">
        <v>73</v>
      </c>
      <c r="F2349" t="s">
        <v>3816</v>
      </c>
      <c r="G2349" t="s">
        <v>3816</v>
      </c>
      <c r="H2349" t="s">
        <v>3913</v>
      </c>
      <c r="I2349" t="s">
        <v>3913</v>
      </c>
      <c r="J2349" t="s">
        <v>3914</v>
      </c>
      <c r="K2349" t="s">
        <v>3915</v>
      </c>
      <c r="L2349" s="13">
        <v>30419</v>
      </c>
      <c r="M2349">
        <v>40</v>
      </c>
      <c r="N2349" t="s">
        <v>82</v>
      </c>
      <c r="O2349" t="s">
        <v>3916</v>
      </c>
      <c r="P2349" t="s">
        <v>76</v>
      </c>
      <c r="Q2349" t="s">
        <v>905</v>
      </c>
      <c r="R2349" t="s">
        <v>76</v>
      </c>
      <c r="S2349" t="s">
        <v>76</v>
      </c>
      <c r="T2349" t="s">
        <v>76</v>
      </c>
      <c r="U2349">
        <v>1</v>
      </c>
      <c r="V2349" s="13">
        <v>45175</v>
      </c>
      <c r="W2349">
        <v>1</v>
      </c>
      <c r="X2349">
        <v>1</v>
      </c>
      <c r="Y2349" t="s">
        <v>3721</v>
      </c>
      <c r="AC2349">
        <v>6034</v>
      </c>
      <c r="AD2349" t="e" vm="2339">
        <v>#VALUE!</v>
      </c>
    </row>
    <row r="2350" spans="2:30" x14ac:dyDescent="0.25">
      <c r="B2350">
        <v>6039</v>
      </c>
      <c r="C2350" t="s">
        <v>3668</v>
      </c>
      <c r="D2350" t="s">
        <v>3754</v>
      </c>
      <c r="E2350" t="s">
        <v>3912</v>
      </c>
      <c r="F2350" t="s">
        <v>85</v>
      </c>
      <c r="G2350" t="s">
        <v>94</v>
      </c>
      <c r="H2350" t="s">
        <v>3913</v>
      </c>
      <c r="I2350" t="s">
        <v>3913</v>
      </c>
      <c r="J2350" t="s">
        <v>3914</v>
      </c>
      <c r="K2350" t="s">
        <v>3915</v>
      </c>
      <c r="L2350" s="13">
        <v>30474</v>
      </c>
      <c r="M2350">
        <v>40</v>
      </c>
      <c r="N2350" t="s">
        <v>82</v>
      </c>
      <c r="O2350" t="s">
        <v>3916</v>
      </c>
      <c r="P2350" t="s">
        <v>76</v>
      </c>
      <c r="Q2350" t="s">
        <v>905</v>
      </c>
      <c r="R2350" t="s">
        <v>76</v>
      </c>
      <c r="S2350" t="s">
        <v>76</v>
      </c>
      <c r="T2350" t="s">
        <v>76</v>
      </c>
      <c r="U2350">
        <v>1</v>
      </c>
      <c r="V2350" s="13">
        <v>45175</v>
      </c>
      <c r="W2350">
        <v>1</v>
      </c>
      <c r="X2350">
        <v>1</v>
      </c>
      <c r="Y2350" t="s">
        <v>3755</v>
      </c>
      <c r="AC2350">
        <v>6039</v>
      </c>
      <c r="AD2350" t="e" vm="2340">
        <v>#VALUE!</v>
      </c>
    </row>
    <row r="2351" spans="2:30" x14ac:dyDescent="0.25">
      <c r="B2351">
        <v>6102</v>
      </c>
      <c r="C2351" t="s">
        <v>3668</v>
      </c>
      <c r="D2351" t="s">
        <v>3754</v>
      </c>
      <c r="E2351" t="s">
        <v>3912</v>
      </c>
      <c r="F2351" t="s">
        <v>85</v>
      </c>
      <c r="G2351" t="s">
        <v>94</v>
      </c>
      <c r="H2351" t="s">
        <v>3913</v>
      </c>
      <c r="I2351" t="s">
        <v>3913</v>
      </c>
      <c r="J2351" t="s">
        <v>3914</v>
      </c>
      <c r="K2351" t="s">
        <v>3915</v>
      </c>
      <c r="L2351" s="13">
        <v>29671</v>
      </c>
      <c r="M2351">
        <v>43</v>
      </c>
      <c r="N2351" t="s">
        <v>82</v>
      </c>
      <c r="O2351" t="s">
        <v>3916</v>
      </c>
      <c r="P2351" t="s">
        <v>76</v>
      </c>
      <c r="Q2351" t="s">
        <v>905</v>
      </c>
      <c r="R2351" t="s">
        <v>76</v>
      </c>
      <c r="S2351" t="s">
        <v>76</v>
      </c>
      <c r="T2351" t="s">
        <v>76</v>
      </c>
      <c r="U2351">
        <v>1</v>
      </c>
      <c r="V2351" s="13">
        <v>45175</v>
      </c>
      <c r="W2351">
        <v>1</v>
      </c>
      <c r="X2351">
        <v>1</v>
      </c>
      <c r="Y2351" t="s">
        <v>3755</v>
      </c>
      <c r="AC2351">
        <v>6102</v>
      </c>
      <c r="AD2351" t="e" vm="2341">
        <v>#VALUE!</v>
      </c>
    </row>
    <row r="2352" spans="2:30" x14ac:dyDescent="0.25">
      <c r="B2352">
        <v>6111</v>
      </c>
      <c r="C2352" t="s">
        <v>3668</v>
      </c>
      <c r="D2352" t="s">
        <v>3673</v>
      </c>
      <c r="E2352" t="s">
        <v>3912</v>
      </c>
      <c r="F2352" t="s">
        <v>85</v>
      </c>
      <c r="G2352" t="s">
        <v>84</v>
      </c>
      <c r="H2352" t="s">
        <v>3913</v>
      </c>
      <c r="I2352" t="s">
        <v>3913</v>
      </c>
      <c r="J2352" t="s">
        <v>3917</v>
      </c>
      <c r="K2352" t="s">
        <v>905</v>
      </c>
      <c r="L2352" s="13">
        <v>44293</v>
      </c>
      <c r="M2352">
        <v>2</v>
      </c>
      <c r="N2352" t="s">
        <v>82</v>
      </c>
      <c r="O2352" t="s">
        <v>3918</v>
      </c>
      <c r="P2352" t="s">
        <v>76</v>
      </c>
      <c r="Q2352" t="s">
        <v>905</v>
      </c>
      <c r="R2352" t="s">
        <v>76</v>
      </c>
      <c r="S2352" t="s">
        <v>76</v>
      </c>
      <c r="T2352" t="s">
        <v>76</v>
      </c>
      <c r="U2352">
        <v>1</v>
      </c>
      <c r="V2352" s="13">
        <v>45175</v>
      </c>
      <c r="W2352">
        <v>1</v>
      </c>
      <c r="X2352">
        <v>1</v>
      </c>
      <c r="Y2352" t="s">
        <v>3674</v>
      </c>
      <c r="AC2352">
        <v>6111</v>
      </c>
      <c r="AD2352" t="e" vm="2342">
        <v>#VALUE!</v>
      </c>
    </row>
    <row r="2353" spans="2:30" x14ac:dyDescent="0.25">
      <c r="B2353">
        <v>6112</v>
      </c>
      <c r="C2353" t="s">
        <v>3668</v>
      </c>
      <c r="D2353" t="s">
        <v>3673</v>
      </c>
      <c r="E2353" t="s">
        <v>3912</v>
      </c>
      <c r="F2353" t="s">
        <v>85</v>
      </c>
      <c r="G2353" t="s">
        <v>84</v>
      </c>
      <c r="H2353" t="s">
        <v>3913</v>
      </c>
      <c r="I2353" t="s">
        <v>3913</v>
      </c>
      <c r="J2353" t="s">
        <v>3917</v>
      </c>
      <c r="K2353" t="s">
        <v>905</v>
      </c>
      <c r="L2353" s="13">
        <v>44109</v>
      </c>
      <c r="M2353">
        <v>3</v>
      </c>
      <c r="N2353" t="s">
        <v>82</v>
      </c>
      <c r="O2353" t="s">
        <v>3918</v>
      </c>
      <c r="P2353" t="s">
        <v>76</v>
      </c>
      <c r="Q2353" t="s">
        <v>905</v>
      </c>
      <c r="R2353" t="s">
        <v>76</v>
      </c>
      <c r="S2353" t="s">
        <v>76</v>
      </c>
      <c r="T2353" t="s">
        <v>76</v>
      </c>
      <c r="U2353">
        <v>1</v>
      </c>
      <c r="V2353" s="13">
        <v>45175</v>
      </c>
      <c r="W2353">
        <v>1</v>
      </c>
      <c r="X2353">
        <v>1</v>
      </c>
      <c r="Y2353" t="s">
        <v>3674</v>
      </c>
      <c r="AC2353">
        <v>6112</v>
      </c>
      <c r="AD2353" t="e" vm="2343">
        <v>#VALUE!</v>
      </c>
    </row>
    <row r="2354" spans="2:30" x14ac:dyDescent="0.25">
      <c r="B2354">
        <v>6113</v>
      </c>
      <c r="C2354" t="s">
        <v>3668</v>
      </c>
      <c r="D2354" t="s">
        <v>3673</v>
      </c>
      <c r="E2354" t="s">
        <v>3912</v>
      </c>
      <c r="F2354" t="s">
        <v>85</v>
      </c>
      <c r="G2354" t="s">
        <v>84</v>
      </c>
      <c r="H2354" t="s">
        <v>3913</v>
      </c>
      <c r="I2354" t="s">
        <v>3913</v>
      </c>
      <c r="J2354" t="s">
        <v>3917</v>
      </c>
      <c r="K2354" t="s">
        <v>905</v>
      </c>
      <c r="L2354" s="13">
        <v>44113</v>
      </c>
      <c r="M2354">
        <v>3</v>
      </c>
      <c r="N2354" t="s">
        <v>82</v>
      </c>
      <c r="O2354" t="s">
        <v>3918</v>
      </c>
      <c r="P2354" t="s">
        <v>76</v>
      </c>
      <c r="Q2354" t="s">
        <v>905</v>
      </c>
      <c r="R2354" t="s">
        <v>76</v>
      </c>
      <c r="S2354" t="s">
        <v>76</v>
      </c>
      <c r="T2354" t="s">
        <v>76</v>
      </c>
      <c r="U2354">
        <v>1</v>
      </c>
      <c r="V2354" s="13">
        <v>45175</v>
      </c>
      <c r="W2354">
        <v>1</v>
      </c>
      <c r="X2354">
        <v>1</v>
      </c>
      <c r="Y2354" t="s">
        <v>3674</v>
      </c>
      <c r="AC2354">
        <v>6113</v>
      </c>
      <c r="AD2354" t="e" vm="2344">
        <v>#VALUE!</v>
      </c>
    </row>
    <row r="2355" spans="2:30" x14ac:dyDescent="0.25">
      <c r="B2355">
        <v>6114</v>
      </c>
      <c r="C2355" t="s">
        <v>3668</v>
      </c>
      <c r="D2355" t="s">
        <v>3673</v>
      </c>
      <c r="E2355" t="s">
        <v>3912</v>
      </c>
      <c r="F2355" t="s">
        <v>85</v>
      </c>
      <c r="G2355" t="s">
        <v>84</v>
      </c>
      <c r="H2355" t="s">
        <v>3913</v>
      </c>
      <c r="I2355" t="s">
        <v>3913</v>
      </c>
      <c r="J2355" t="s">
        <v>3917</v>
      </c>
      <c r="K2355" t="s">
        <v>905</v>
      </c>
      <c r="L2355" s="13">
        <v>44096</v>
      </c>
      <c r="M2355">
        <v>3</v>
      </c>
      <c r="N2355" t="s">
        <v>82</v>
      </c>
      <c r="O2355" t="s">
        <v>3918</v>
      </c>
      <c r="P2355" t="s">
        <v>76</v>
      </c>
      <c r="Q2355" t="s">
        <v>905</v>
      </c>
      <c r="R2355" t="s">
        <v>76</v>
      </c>
      <c r="S2355" t="s">
        <v>76</v>
      </c>
      <c r="T2355" t="s">
        <v>76</v>
      </c>
      <c r="U2355">
        <v>1</v>
      </c>
      <c r="V2355" s="13">
        <v>45175</v>
      </c>
      <c r="W2355">
        <v>1</v>
      </c>
      <c r="X2355">
        <v>1</v>
      </c>
      <c r="Y2355" t="s">
        <v>3674</v>
      </c>
      <c r="AC2355">
        <v>6114</v>
      </c>
      <c r="AD2355" t="e" vm="2345">
        <v>#VALUE!</v>
      </c>
    </row>
    <row r="2356" spans="2:30" x14ac:dyDescent="0.25">
      <c r="B2356">
        <v>6115</v>
      </c>
      <c r="C2356" t="s">
        <v>3668</v>
      </c>
      <c r="D2356" t="s">
        <v>3673</v>
      </c>
      <c r="E2356" t="s">
        <v>3912</v>
      </c>
      <c r="F2356" t="s">
        <v>85</v>
      </c>
      <c r="G2356" t="s">
        <v>84</v>
      </c>
      <c r="H2356" t="s">
        <v>3913</v>
      </c>
      <c r="I2356" t="s">
        <v>3913</v>
      </c>
      <c r="J2356" t="s">
        <v>3917</v>
      </c>
      <c r="K2356" t="s">
        <v>905</v>
      </c>
      <c r="L2356" s="13">
        <v>44123</v>
      </c>
      <c r="M2356">
        <v>3</v>
      </c>
      <c r="N2356" t="s">
        <v>82</v>
      </c>
      <c r="O2356" t="s">
        <v>3918</v>
      </c>
      <c r="P2356" t="s">
        <v>76</v>
      </c>
      <c r="Q2356" t="s">
        <v>905</v>
      </c>
      <c r="R2356" t="s">
        <v>76</v>
      </c>
      <c r="S2356" t="s">
        <v>76</v>
      </c>
      <c r="T2356" t="s">
        <v>76</v>
      </c>
      <c r="U2356">
        <v>1</v>
      </c>
      <c r="V2356" s="13">
        <v>45175</v>
      </c>
      <c r="W2356">
        <v>1</v>
      </c>
      <c r="X2356">
        <v>1</v>
      </c>
      <c r="Y2356" t="s">
        <v>3674</v>
      </c>
      <c r="AC2356">
        <v>6115</v>
      </c>
      <c r="AD2356" t="e" vm="2346">
        <v>#VALUE!</v>
      </c>
    </row>
    <row r="2357" spans="2:30" x14ac:dyDescent="0.25">
      <c r="B2357">
        <v>6116</v>
      </c>
      <c r="C2357" t="s">
        <v>3668</v>
      </c>
      <c r="D2357" t="s">
        <v>3673</v>
      </c>
      <c r="E2357" t="s">
        <v>3912</v>
      </c>
      <c r="F2357" t="s">
        <v>85</v>
      </c>
      <c r="G2357" t="s">
        <v>84</v>
      </c>
      <c r="H2357" t="s">
        <v>3913</v>
      </c>
      <c r="I2357" t="s">
        <v>3913</v>
      </c>
      <c r="J2357" t="s">
        <v>3917</v>
      </c>
      <c r="K2357" t="s">
        <v>905</v>
      </c>
      <c r="L2357" s="13">
        <v>44130</v>
      </c>
      <c r="M2357">
        <v>3</v>
      </c>
      <c r="N2357" t="s">
        <v>82</v>
      </c>
      <c r="O2357" t="s">
        <v>3918</v>
      </c>
      <c r="P2357" t="s">
        <v>76</v>
      </c>
      <c r="Q2357" t="s">
        <v>905</v>
      </c>
      <c r="R2357" t="s">
        <v>76</v>
      </c>
      <c r="S2357" t="s">
        <v>76</v>
      </c>
      <c r="T2357" t="s">
        <v>76</v>
      </c>
      <c r="U2357">
        <v>1</v>
      </c>
      <c r="V2357" s="13">
        <v>45175</v>
      </c>
      <c r="W2357">
        <v>1</v>
      </c>
      <c r="X2357">
        <v>1</v>
      </c>
      <c r="Y2357" t="s">
        <v>3674</v>
      </c>
      <c r="AC2357">
        <v>6116</v>
      </c>
      <c r="AD2357" t="e" vm="2347">
        <v>#VALUE!</v>
      </c>
    </row>
    <row r="2358" spans="2:30" x14ac:dyDescent="0.25">
      <c r="B2358">
        <v>6117</v>
      </c>
      <c r="C2358" t="s">
        <v>3668</v>
      </c>
      <c r="D2358" t="s">
        <v>3673</v>
      </c>
      <c r="E2358" t="s">
        <v>3912</v>
      </c>
      <c r="F2358" t="s">
        <v>85</v>
      </c>
      <c r="G2358" t="s">
        <v>84</v>
      </c>
      <c r="H2358" t="s">
        <v>3913</v>
      </c>
      <c r="I2358" t="s">
        <v>3913</v>
      </c>
      <c r="J2358" t="s">
        <v>3917</v>
      </c>
      <c r="K2358" t="s">
        <v>905</v>
      </c>
      <c r="L2358" s="13">
        <v>44202</v>
      </c>
      <c r="M2358">
        <v>3</v>
      </c>
      <c r="N2358" t="s">
        <v>82</v>
      </c>
      <c r="O2358" t="s">
        <v>3918</v>
      </c>
      <c r="P2358" t="s">
        <v>76</v>
      </c>
      <c r="Q2358" t="s">
        <v>905</v>
      </c>
      <c r="R2358" t="s">
        <v>76</v>
      </c>
      <c r="S2358" t="s">
        <v>76</v>
      </c>
      <c r="T2358" t="s">
        <v>76</v>
      </c>
      <c r="U2358">
        <v>1</v>
      </c>
      <c r="V2358" s="13">
        <v>45175</v>
      </c>
      <c r="W2358">
        <v>1</v>
      </c>
      <c r="X2358">
        <v>1</v>
      </c>
      <c r="Y2358" t="s">
        <v>3674</v>
      </c>
      <c r="AC2358">
        <v>6117</v>
      </c>
      <c r="AD2358" t="e" vm="2348">
        <v>#VALUE!</v>
      </c>
    </row>
    <row r="2359" spans="2:30" x14ac:dyDescent="0.25">
      <c r="B2359">
        <v>6118</v>
      </c>
      <c r="C2359" t="s">
        <v>3668</v>
      </c>
      <c r="D2359" t="s">
        <v>3673</v>
      </c>
      <c r="E2359" t="s">
        <v>3912</v>
      </c>
      <c r="F2359" t="s">
        <v>85</v>
      </c>
      <c r="G2359" t="s">
        <v>84</v>
      </c>
      <c r="H2359" t="s">
        <v>3913</v>
      </c>
      <c r="I2359" t="s">
        <v>3913</v>
      </c>
      <c r="J2359" t="s">
        <v>3917</v>
      </c>
      <c r="K2359" t="s">
        <v>905</v>
      </c>
      <c r="L2359" s="13">
        <v>44134</v>
      </c>
      <c r="M2359">
        <v>3</v>
      </c>
      <c r="N2359" t="s">
        <v>82</v>
      </c>
      <c r="O2359" t="s">
        <v>3918</v>
      </c>
      <c r="P2359" t="s">
        <v>76</v>
      </c>
      <c r="Q2359" t="s">
        <v>905</v>
      </c>
      <c r="R2359" t="s">
        <v>76</v>
      </c>
      <c r="S2359" t="s">
        <v>76</v>
      </c>
      <c r="T2359" t="s">
        <v>76</v>
      </c>
      <c r="U2359">
        <v>1</v>
      </c>
      <c r="V2359" s="13">
        <v>45175</v>
      </c>
      <c r="W2359">
        <v>1</v>
      </c>
      <c r="X2359">
        <v>1</v>
      </c>
      <c r="Y2359" t="s">
        <v>3674</v>
      </c>
      <c r="AC2359">
        <v>6118</v>
      </c>
      <c r="AD2359" t="e" vm="2349">
        <v>#VALUE!</v>
      </c>
    </row>
    <row r="2360" spans="2:30" x14ac:dyDescent="0.25">
      <c r="B2360">
        <v>6119</v>
      </c>
      <c r="C2360" t="s">
        <v>3668</v>
      </c>
      <c r="D2360" t="s">
        <v>3673</v>
      </c>
      <c r="E2360" t="s">
        <v>3912</v>
      </c>
      <c r="F2360" t="s">
        <v>85</v>
      </c>
      <c r="G2360" t="s">
        <v>84</v>
      </c>
      <c r="H2360" t="s">
        <v>3913</v>
      </c>
      <c r="I2360" t="s">
        <v>3913</v>
      </c>
      <c r="J2360" t="s">
        <v>3917</v>
      </c>
      <c r="K2360" t="s">
        <v>905</v>
      </c>
      <c r="L2360" s="13">
        <v>44151</v>
      </c>
      <c r="M2360">
        <v>3</v>
      </c>
      <c r="N2360" t="s">
        <v>82</v>
      </c>
      <c r="O2360" t="s">
        <v>3918</v>
      </c>
      <c r="P2360" t="s">
        <v>76</v>
      </c>
      <c r="Q2360" t="s">
        <v>905</v>
      </c>
      <c r="R2360" t="s">
        <v>76</v>
      </c>
      <c r="S2360" t="s">
        <v>76</v>
      </c>
      <c r="T2360" t="s">
        <v>76</v>
      </c>
      <c r="U2360">
        <v>1</v>
      </c>
      <c r="V2360" s="13">
        <v>45175</v>
      </c>
      <c r="W2360">
        <v>1</v>
      </c>
      <c r="X2360">
        <v>1</v>
      </c>
      <c r="Y2360" t="s">
        <v>3674</v>
      </c>
      <c r="AC2360">
        <v>6119</v>
      </c>
      <c r="AD2360" t="e" vm="2350">
        <v>#VALUE!</v>
      </c>
    </row>
    <row r="2361" spans="2:30" x14ac:dyDescent="0.25">
      <c r="B2361">
        <v>6120</v>
      </c>
      <c r="C2361" t="s">
        <v>3668</v>
      </c>
      <c r="D2361" t="s">
        <v>3673</v>
      </c>
      <c r="E2361" t="s">
        <v>3912</v>
      </c>
      <c r="F2361" t="s">
        <v>85</v>
      </c>
      <c r="G2361" t="s">
        <v>84</v>
      </c>
      <c r="H2361" t="s">
        <v>3913</v>
      </c>
      <c r="I2361" t="s">
        <v>3913</v>
      </c>
      <c r="J2361" t="s">
        <v>3917</v>
      </c>
      <c r="K2361" t="s">
        <v>905</v>
      </c>
      <c r="L2361" s="13">
        <v>44160</v>
      </c>
      <c r="M2361">
        <v>3</v>
      </c>
      <c r="N2361" t="s">
        <v>82</v>
      </c>
      <c r="O2361" t="s">
        <v>3918</v>
      </c>
      <c r="P2361" t="s">
        <v>76</v>
      </c>
      <c r="Q2361" t="s">
        <v>905</v>
      </c>
      <c r="R2361" t="s">
        <v>76</v>
      </c>
      <c r="S2361" t="s">
        <v>76</v>
      </c>
      <c r="T2361" t="s">
        <v>76</v>
      </c>
      <c r="U2361">
        <v>1</v>
      </c>
      <c r="V2361" s="13">
        <v>45175</v>
      </c>
      <c r="W2361">
        <v>1</v>
      </c>
      <c r="X2361">
        <v>1</v>
      </c>
      <c r="Y2361" t="s">
        <v>3674</v>
      </c>
      <c r="AC2361">
        <v>6120</v>
      </c>
      <c r="AD2361" t="e" vm="2351">
        <v>#VALUE!</v>
      </c>
    </row>
    <row r="2362" spans="2:30" x14ac:dyDescent="0.25">
      <c r="B2362">
        <v>6121</v>
      </c>
      <c r="C2362" t="s">
        <v>3668</v>
      </c>
      <c r="D2362" t="s">
        <v>3673</v>
      </c>
      <c r="E2362" t="s">
        <v>3912</v>
      </c>
      <c r="F2362" t="s">
        <v>85</v>
      </c>
      <c r="G2362" t="s">
        <v>84</v>
      </c>
      <c r="H2362" t="s">
        <v>3913</v>
      </c>
      <c r="I2362" t="s">
        <v>3913</v>
      </c>
      <c r="J2362" t="s">
        <v>3917</v>
      </c>
      <c r="K2362" t="s">
        <v>905</v>
      </c>
      <c r="L2362" s="13">
        <v>44172</v>
      </c>
      <c r="M2362">
        <v>3</v>
      </c>
      <c r="N2362" t="s">
        <v>82</v>
      </c>
      <c r="O2362" t="s">
        <v>3918</v>
      </c>
      <c r="P2362" t="s">
        <v>76</v>
      </c>
      <c r="Q2362" t="s">
        <v>905</v>
      </c>
      <c r="R2362" t="s">
        <v>76</v>
      </c>
      <c r="S2362" t="s">
        <v>76</v>
      </c>
      <c r="T2362" t="s">
        <v>76</v>
      </c>
      <c r="U2362">
        <v>1</v>
      </c>
      <c r="V2362" s="13">
        <v>45175</v>
      </c>
      <c r="W2362">
        <v>1</v>
      </c>
      <c r="X2362">
        <v>1</v>
      </c>
      <c r="Y2362" t="s">
        <v>3674</v>
      </c>
      <c r="AC2362">
        <v>6121</v>
      </c>
      <c r="AD2362" t="e" vm="2352">
        <v>#VALUE!</v>
      </c>
    </row>
    <row r="2363" spans="2:30" x14ac:dyDescent="0.25">
      <c r="B2363">
        <v>6122</v>
      </c>
      <c r="C2363" t="s">
        <v>3668</v>
      </c>
      <c r="D2363" t="s">
        <v>3673</v>
      </c>
      <c r="E2363" t="s">
        <v>3912</v>
      </c>
      <c r="F2363" t="s">
        <v>85</v>
      </c>
      <c r="G2363" t="s">
        <v>84</v>
      </c>
      <c r="H2363" t="s">
        <v>3913</v>
      </c>
      <c r="I2363" t="s">
        <v>3913</v>
      </c>
      <c r="J2363" t="s">
        <v>3917</v>
      </c>
      <c r="K2363" t="s">
        <v>905</v>
      </c>
      <c r="L2363" s="13">
        <v>44182</v>
      </c>
      <c r="M2363">
        <v>3</v>
      </c>
      <c r="N2363" t="s">
        <v>82</v>
      </c>
      <c r="O2363" t="s">
        <v>3918</v>
      </c>
      <c r="P2363" t="s">
        <v>76</v>
      </c>
      <c r="Q2363" t="s">
        <v>905</v>
      </c>
      <c r="R2363" t="s">
        <v>76</v>
      </c>
      <c r="S2363" t="s">
        <v>76</v>
      </c>
      <c r="T2363" t="s">
        <v>76</v>
      </c>
      <c r="U2363">
        <v>1</v>
      </c>
      <c r="V2363" s="13">
        <v>45175</v>
      </c>
      <c r="W2363">
        <v>1</v>
      </c>
      <c r="X2363">
        <v>1</v>
      </c>
      <c r="Y2363" t="s">
        <v>3674</v>
      </c>
      <c r="AC2363">
        <v>6122</v>
      </c>
      <c r="AD2363" t="e" vm="2353">
        <v>#VALUE!</v>
      </c>
    </row>
    <row r="2364" spans="2:30" x14ac:dyDescent="0.25">
      <c r="B2364">
        <v>6123</v>
      </c>
      <c r="C2364" t="s">
        <v>3668</v>
      </c>
      <c r="D2364" t="s">
        <v>3673</v>
      </c>
      <c r="E2364" t="s">
        <v>3912</v>
      </c>
      <c r="F2364" t="s">
        <v>85</v>
      </c>
      <c r="G2364" t="s">
        <v>84</v>
      </c>
      <c r="H2364" t="s">
        <v>3913</v>
      </c>
      <c r="I2364" t="s">
        <v>3913</v>
      </c>
      <c r="J2364" t="s">
        <v>3917</v>
      </c>
      <c r="K2364" t="s">
        <v>905</v>
      </c>
      <c r="L2364" s="13">
        <v>44214</v>
      </c>
      <c r="M2364">
        <v>3</v>
      </c>
      <c r="N2364" t="s">
        <v>82</v>
      </c>
      <c r="O2364" t="s">
        <v>3918</v>
      </c>
      <c r="P2364" t="s">
        <v>76</v>
      </c>
      <c r="Q2364" t="s">
        <v>905</v>
      </c>
      <c r="R2364" t="s">
        <v>76</v>
      </c>
      <c r="S2364" t="s">
        <v>76</v>
      </c>
      <c r="T2364" t="s">
        <v>76</v>
      </c>
      <c r="U2364">
        <v>1</v>
      </c>
      <c r="V2364" s="13">
        <v>45175</v>
      </c>
      <c r="W2364">
        <v>1</v>
      </c>
      <c r="X2364">
        <v>1</v>
      </c>
      <c r="Y2364" t="s">
        <v>3674</v>
      </c>
      <c r="AC2364">
        <v>6123</v>
      </c>
      <c r="AD2364" t="e" vm="2354">
        <v>#VALUE!</v>
      </c>
    </row>
    <row r="2365" spans="2:30" x14ac:dyDescent="0.25">
      <c r="B2365">
        <v>6124</v>
      </c>
      <c r="C2365" t="s">
        <v>3668</v>
      </c>
      <c r="D2365" t="s">
        <v>3673</v>
      </c>
      <c r="E2365" t="s">
        <v>3912</v>
      </c>
      <c r="F2365" t="s">
        <v>85</v>
      </c>
      <c r="G2365" t="s">
        <v>84</v>
      </c>
      <c r="H2365" t="s">
        <v>3913</v>
      </c>
      <c r="I2365" t="s">
        <v>3913</v>
      </c>
      <c r="J2365" t="s">
        <v>3917</v>
      </c>
      <c r="K2365" t="s">
        <v>905</v>
      </c>
      <c r="L2365" s="13">
        <v>44230</v>
      </c>
      <c r="M2365">
        <v>3</v>
      </c>
      <c r="N2365" t="s">
        <v>82</v>
      </c>
      <c r="O2365" t="s">
        <v>3918</v>
      </c>
      <c r="P2365" t="s">
        <v>76</v>
      </c>
      <c r="Q2365" t="s">
        <v>905</v>
      </c>
      <c r="R2365" t="s">
        <v>76</v>
      </c>
      <c r="S2365" t="s">
        <v>76</v>
      </c>
      <c r="T2365" t="s">
        <v>76</v>
      </c>
      <c r="U2365">
        <v>1</v>
      </c>
      <c r="V2365" s="13">
        <v>45175</v>
      </c>
      <c r="W2365">
        <v>1</v>
      </c>
      <c r="X2365">
        <v>1</v>
      </c>
      <c r="Y2365" t="s">
        <v>3674</v>
      </c>
      <c r="AC2365">
        <v>6124</v>
      </c>
      <c r="AD2365" t="e" vm="2355">
        <v>#VALUE!</v>
      </c>
    </row>
    <row r="2366" spans="2:30" x14ac:dyDescent="0.25">
      <c r="B2366">
        <v>6125</v>
      </c>
      <c r="C2366" t="s">
        <v>3668</v>
      </c>
      <c r="D2366" t="s">
        <v>3673</v>
      </c>
      <c r="E2366" t="s">
        <v>3912</v>
      </c>
      <c r="F2366" t="s">
        <v>85</v>
      </c>
      <c r="G2366" t="s">
        <v>84</v>
      </c>
      <c r="H2366" t="s">
        <v>3913</v>
      </c>
      <c r="I2366" t="s">
        <v>3913</v>
      </c>
      <c r="J2366" t="s">
        <v>3917</v>
      </c>
      <c r="K2366" t="s">
        <v>905</v>
      </c>
      <c r="L2366" s="13">
        <v>44225</v>
      </c>
      <c r="M2366">
        <v>3</v>
      </c>
      <c r="N2366" t="s">
        <v>82</v>
      </c>
      <c r="O2366" t="s">
        <v>3918</v>
      </c>
      <c r="P2366" t="s">
        <v>76</v>
      </c>
      <c r="Q2366" t="s">
        <v>905</v>
      </c>
      <c r="R2366" t="s">
        <v>76</v>
      </c>
      <c r="S2366" t="s">
        <v>76</v>
      </c>
      <c r="T2366" t="s">
        <v>76</v>
      </c>
      <c r="U2366">
        <v>1</v>
      </c>
      <c r="V2366" s="13">
        <v>45175</v>
      </c>
      <c r="W2366">
        <v>1</v>
      </c>
      <c r="X2366">
        <v>1</v>
      </c>
      <c r="Y2366" t="s">
        <v>3674</v>
      </c>
      <c r="AC2366">
        <v>6125</v>
      </c>
      <c r="AD2366" t="e" vm="2356">
        <v>#VALUE!</v>
      </c>
    </row>
    <row r="2367" spans="2:30" x14ac:dyDescent="0.25">
      <c r="B2367">
        <v>6126</v>
      </c>
      <c r="C2367" t="s">
        <v>3668</v>
      </c>
      <c r="D2367" t="s">
        <v>3673</v>
      </c>
      <c r="E2367" t="s">
        <v>3912</v>
      </c>
      <c r="F2367" t="s">
        <v>85</v>
      </c>
      <c r="G2367" t="s">
        <v>84</v>
      </c>
      <c r="H2367" t="s">
        <v>3913</v>
      </c>
      <c r="I2367" t="s">
        <v>3913</v>
      </c>
      <c r="J2367" t="s">
        <v>3917</v>
      </c>
      <c r="K2367" t="s">
        <v>905</v>
      </c>
      <c r="L2367" s="13">
        <v>44239</v>
      </c>
      <c r="M2367">
        <v>3</v>
      </c>
      <c r="N2367" t="s">
        <v>82</v>
      </c>
      <c r="O2367" t="s">
        <v>3918</v>
      </c>
      <c r="P2367" t="s">
        <v>76</v>
      </c>
      <c r="Q2367" t="s">
        <v>905</v>
      </c>
      <c r="R2367" t="s">
        <v>76</v>
      </c>
      <c r="S2367" t="s">
        <v>76</v>
      </c>
      <c r="T2367" t="s">
        <v>76</v>
      </c>
      <c r="U2367">
        <v>1</v>
      </c>
      <c r="V2367" s="13">
        <v>45175</v>
      </c>
      <c r="W2367">
        <v>1</v>
      </c>
      <c r="X2367">
        <v>1</v>
      </c>
      <c r="Y2367" t="s">
        <v>3674</v>
      </c>
      <c r="AC2367">
        <v>6126</v>
      </c>
      <c r="AD2367" t="e" vm="2357">
        <v>#VALUE!</v>
      </c>
    </row>
    <row r="2368" spans="2:30" x14ac:dyDescent="0.25">
      <c r="B2368">
        <v>6127</v>
      </c>
      <c r="C2368" t="s">
        <v>3668</v>
      </c>
      <c r="D2368" t="s">
        <v>3673</v>
      </c>
      <c r="E2368" t="s">
        <v>3912</v>
      </c>
      <c r="F2368" t="s">
        <v>85</v>
      </c>
      <c r="G2368" t="s">
        <v>84</v>
      </c>
      <c r="H2368" t="s">
        <v>3913</v>
      </c>
      <c r="I2368" t="s">
        <v>3913</v>
      </c>
      <c r="J2368" t="s">
        <v>3917</v>
      </c>
      <c r="K2368" t="s">
        <v>905</v>
      </c>
      <c r="L2368" s="13">
        <v>44249</v>
      </c>
      <c r="M2368">
        <v>3</v>
      </c>
      <c r="N2368" t="s">
        <v>82</v>
      </c>
      <c r="O2368" t="s">
        <v>3918</v>
      </c>
      <c r="P2368" t="s">
        <v>76</v>
      </c>
      <c r="Q2368" t="s">
        <v>905</v>
      </c>
      <c r="R2368" t="s">
        <v>76</v>
      </c>
      <c r="S2368" t="s">
        <v>76</v>
      </c>
      <c r="T2368" t="s">
        <v>76</v>
      </c>
      <c r="U2368">
        <v>1</v>
      </c>
      <c r="V2368" s="13">
        <v>45175</v>
      </c>
      <c r="W2368">
        <v>1</v>
      </c>
      <c r="X2368">
        <v>1</v>
      </c>
      <c r="Y2368" t="s">
        <v>3674</v>
      </c>
      <c r="AC2368">
        <v>6127</v>
      </c>
      <c r="AD2368" t="e" vm="2358">
        <v>#VALUE!</v>
      </c>
    </row>
    <row r="2369" spans="2:30" x14ac:dyDescent="0.25">
      <c r="B2369">
        <v>6128</v>
      </c>
      <c r="C2369" t="s">
        <v>3668</v>
      </c>
      <c r="D2369" t="s">
        <v>3673</v>
      </c>
      <c r="E2369" t="s">
        <v>3912</v>
      </c>
      <c r="F2369" t="s">
        <v>85</v>
      </c>
      <c r="G2369" t="s">
        <v>84</v>
      </c>
      <c r="H2369" t="s">
        <v>3913</v>
      </c>
      <c r="I2369" t="s">
        <v>3913</v>
      </c>
      <c r="J2369" t="s">
        <v>3917</v>
      </c>
      <c r="K2369" t="s">
        <v>905</v>
      </c>
      <c r="L2369" s="13">
        <v>44260</v>
      </c>
      <c r="M2369">
        <v>3</v>
      </c>
      <c r="N2369" t="s">
        <v>82</v>
      </c>
      <c r="O2369" t="s">
        <v>3918</v>
      </c>
      <c r="P2369" t="s">
        <v>76</v>
      </c>
      <c r="Q2369" t="s">
        <v>905</v>
      </c>
      <c r="R2369" t="s">
        <v>76</v>
      </c>
      <c r="S2369" t="s">
        <v>76</v>
      </c>
      <c r="T2369" t="s">
        <v>76</v>
      </c>
      <c r="U2369">
        <v>1</v>
      </c>
      <c r="V2369" s="13">
        <v>45175</v>
      </c>
      <c r="W2369">
        <v>1</v>
      </c>
      <c r="X2369">
        <v>1</v>
      </c>
      <c r="Y2369" t="s">
        <v>3674</v>
      </c>
      <c r="AC2369">
        <v>6128</v>
      </c>
      <c r="AD2369" t="e" vm="2359">
        <v>#VALUE!</v>
      </c>
    </row>
    <row r="2370" spans="2:30" x14ac:dyDescent="0.25">
      <c r="B2370">
        <v>6129</v>
      </c>
      <c r="C2370" t="s">
        <v>3668</v>
      </c>
      <c r="D2370" t="s">
        <v>3673</v>
      </c>
      <c r="E2370" t="s">
        <v>3912</v>
      </c>
      <c r="F2370" t="s">
        <v>85</v>
      </c>
      <c r="G2370" t="s">
        <v>84</v>
      </c>
      <c r="H2370" t="s">
        <v>3913</v>
      </c>
      <c r="I2370" t="s">
        <v>3913</v>
      </c>
      <c r="J2370" t="s">
        <v>3917</v>
      </c>
      <c r="K2370" t="s">
        <v>905</v>
      </c>
      <c r="L2370" s="13">
        <v>44266</v>
      </c>
      <c r="M2370">
        <v>3</v>
      </c>
      <c r="N2370" t="s">
        <v>82</v>
      </c>
      <c r="O2370" t="s">
        <v>3918</v>
      </c>
      <c r="P2370" t="s">
        <v>76</v>
      </c>
      <c r="Q2370" t="s">
        <v>905</v>
      </c>
      <c r="R2370" t="s">
        <v>76</v>
      </c>
      <c r="S2370" t="s">
        <v>76</v>
      </c>
      <c r="T2370" t="s">
        <v>76</v>
      </c>
      <c r="U2370">
        <v>1</v>
      </c>
      <c r="V2370" s="13">
        <v>45175</v>
      </c>
      <c r="W2370">
        <v>1</v>
      </c>
      <c r="X2370">
        <v>1</v>
      </c>
      <c r="Y2370" t="s">
        <v>3674</v>
      </c>
      <c r="AC2370">
        <v>6129</v>
      </c>
      <c r="AD2370" t="e" vm="2360">
        <v>#VALUE!</v>
      </c>
    </row>
    <row r="2371" spans="2:30" x14ac:dyDescent="0.25">
      <c r="B2371">
        <v>6130</v>
      </c>
      <c r="C2371" t="s">
        <v>3668</v>
      </c>
      <c r="D2371" t="s">
        <v>3673</v>
      </c>
      <c r="E2371" t="s">
        <v>3912</v>
      </c>
      <c r="F2371" t="s">
        <v>85</v>
      </c>
      <c r="G2371" t="s">
        <v>84</v>
      </c>
      <c r="H2371" t="s">
        <v>3913</v>
      </c>
      <c r="I2371" t="s">
        <v>3913</v>
      </c>
      <c r="J2371" t="s">
        <v>3917</v>
      </c>
      <c r="K2371" t="s">
        <v>905</v>
      </c>
      <c r="L2371" s="13">
        <v>44284</v>
      </c>
      <c r="M2371">
        <v>2</v>
      </c>
      <c r="N2371" t="s">
        <v>82</v>
      </c>
      <c r="O2371" t="s">
        <v>3918</v>
      </c>
      <c r="P2371" t="s">
        <v>76</v>
      </c>
      <c r="Q2371" t="s">
        <v>905</v>
      </c>
      <c r="R2371" t="s">
        <v>76</v>
      </c>
      <c r="S2371" t="s">
        <v>76</v>
      </c>
      <c r="T2371" t="s">
        <v>76</v>
      </c>
      <c r="U2371">
        <v>1</v>
      </c>
      <c r="V2371" s="13">
        <v>45175</v>
      </c>
      <c r="W2371">
        <v>1</v>
      </c>
      <c r="X2371">
        <v>1</v>
      </c>
      <c r="Y2371" t="s">
        <v>3674</v>
      </c>
      <c r="AC2371">
        <v>6130</v>
      </c>
      <c r="AD2371" t="e" vm="2361">
        <v>#VALUE!</v>
      </c>
    </row>
    <row r="2372" spans="2:30" x14ac:dyDescent="0.25">
      <c r="B2372">
        <v>6131</v>
      </c>
      <c r="C2372" t="s">
        <v>3668</v>
      </c>
      <c r="D2372" t="s">
        <v>3673</v>
      </c>
      <c r="E2372" t="s">
        <v>3912</v>
      </c>
      <c r="F2372" t="s">
        <v>85</v>
      </c>
      <c r="G2372" t="s">
        <v>84</v>
      </c>
      <c r="H2372" t="s">
        <v>3913</v>
      </c>
      <c r="I2372" t="s">
        <v>3913</v>
      </c>
      <c r="J2372" t="s">
        <v>3917</v>
      </c>
      <c r="K2372" t="s">
        <v>905</v>
      </c>
      <c r="L2372" s="13">
        <v>44294</v>
      </c>
      <c r="M2372">
        <v>2</v>
      </c>
      <c r="N2372" t="s">
        <v>82</v>
      </c>
      <c r="O2372" t="s">
        <v>3918</v>
      </c>
      <c r="P2372" t="s">
        <v>76</v>
      </c>
      <c r="Q2372" t="s">
        <v>905</v>
      </c>
      <c r="R2372" t="s">
        <v>76</v>
      </c>
      <c r="S2372" t="s">
        <v>76</v>
      </c>
      <c r="T2372" t="s">
        <v>76</v>
      </c>
      <c r="U2372">
        <v>1</v>
      </c>
      <c r="V2372" s="13">
        <v>45175</v>
      </c>
      <c r="W2372">
        <v>1</v>
      </c>
      <c r="X2372">
        <v>1</v>
      </c>
      <c r="Y2372" t="s">
        <v>3674</v>
      </c>
      <c r="AC2372">
        <v>6131</v>
      </c>
      <c r="AD2372" t="e" vm="2362">
        <v>#VALUE!</v>
      </c>
    </row>
    <row r="2373" spans="2:30" x14ac:dyDescent="0.25">
      <c r="B2373">
        <v>6132</v>
      </c>
      <c r="C2373" t="s">
        <v>3668</v>
      </c>
      <c r="D2373" t="s">
        <v>3673</v>
      </c>
      <c r="E2373" t="s">
        <v>3912</v>
      </c>
      <c r="F2373" t="s">
        <v>85</v>
      </c>
      <c r="G2373" t="s">
        <v>84</v>
      </c>
      <c r="H2373" t="s">
        <v>3913</v>
      </c>
      <c r="I2373" t="s">
        <v>3913</v>
      </c>
      <c r="J2373" t="s">
        <v>3917</v>
      </c>
      <c r="K2373" t="s">
        <v>905</v>
      </c>
      <c r="L2373" s="13">
        <v>44279</v>
      </c>
      <c r="M2373">
        <v>2</v>
      </c>
      <c r="N2373" t="s">
        <v>82</v>
      </c>
      <c r="O2373" t="s">
        <v>3918</v>
      </c>
      <c r="P2373" t="s">
        <v>76</v>
      </c>
      <c r="Q2373" t="s">
        <v>905</v>
      </c>
      <c r="R2373" t="s">
        <v>76</v>
      </c>
      <c r="S2373" t="s">
        <v>76</v>
      </c>
      <c r="T2373" t="s">
        <v>76</v>
      </c>
      <c r="U2373">
        <v>1</v>
      </c>
      <c r="V2373" s="13">
        <v>45175</v>
      </c>
      <c r="W2373">
        <v>1</v>
      </c>
      <c r="X2373">
        <v>1</v>
      </c>
      <c r="Y2373" t="s">
        <v>3674</v>
      </c>
      <c r="AC2373">
        <v>6132</v>
      </c>
      <c r="AD2373" t="e" vm="2363">
        <v>#VALUE!</v>
      </c>
    </row>
    <row r="2374" spans="2:30" x14ac:dyDescent="0.25">
      <c r="B2374">
        <v>6133</v>
      </c>
      <c r="C2374" t="s">
        <v>3668</v>
      </c>
      <c r="D2374" t="s">
        <v>3673</v>
      </c>
      <c r="E2374" t="s">
        <v>3912</v>
      </c>
      <c r="F2374" t="s">
        <v>85</v>
      </c>
      <c r="G2374" t="s">
        <v>84</v>
      </c>
      <c r="H2374" t="s">
        <v>3913</v>
      </c>
      <c r="I2374" t="s">
        <v>3913</v>
      </c>
      <c r="J2374" t="s">
        <v>3917</v>
      </c>
      <c r="K2374" t="s">
        <v>905</v>
      </c>
      <c r="L2374" s="13">
        <v>44326</v>
      </c>
      <c r="M2374">
        <v>2</v>
      </c>
      <c r="N2374" t="s">
        <v>82</v>
      </c>
      <c r="O2374" t="s">
        <v>3918</v>
      </c>
      <c r="P2374" t="s">
        <v>76</v>
      </c>
      <c r="Q2374" t="s">
        <v>905</v>
      </c>
      <c r="R2374" t="s">
        <v>76</v>
      </c>
      <c r="S2374" t="s">
        <v>76</v>
      </c>
      <c r="T2374" t="s">
        <v>76</v>
      </c>
      <c r="U2374">
        <v>1</v>
      </c>
      <c r="V2374" s="13">
        <v>45175</v>
      </c>
      <c r="W2374">
        <v>1</v>
      </c>
      <c r="X2374">
        <v>1</v>
      </c>
      <c r="Y2374" t="s">
        <v>3674</v>
      </c>
      <c r="AC2374">
        <v>6133</v>
      </c>
      <c r="AD2374" t="e" vm="2364">
        <v>#VALUE!</v>
      </c>
    </row>
    <row r="2375" spans="2:30" x14ac:dyDescent="0.25">
      <c r="B2375">
        <v>6134</v>
      </c>
      <c r="C2375" t="s">
        <v>3668</v>
      </c>
      <c r="D2375" t="s">
        <v>3673</v>
      </c>
      <c r="E2375" t="s">
        <v>3912</v>
      </c>
      <c r="F2375" t="s">
        <v>85</v>
      </c>
      <c r="G2375" t="s">
        <v>84</v>
      </c>
      <c r="H2375" t="s">
        <v>3913</v>
      </c>
      <c r="I2375" t="s">
        <v>3913</v>
      </c>
      <c r="J2375" t="s">
        <v>3917</v>
      </c>
      <c r="K2375" t="s">
        <v>905</v>
      </c>
      <c r="L2375" s="13">
        <v>44341</v>
      </c>
      <c r="M2375">
        <v>2</v>
      </c>
      <c r="N2375" t="s">
        <v>82</v>
      </c>
      <c r="O2375" t="s">
        <v>3918</v>
      </c>
      <c r="P2375" t="s">
        <v>76</v>
      </c>
      <c r="Q2375" t="s">
        <v>905</v>
      </c>
      <c r="R2375" t="s">
        <v>76</v>
      </c>
      <c r="S2375" t="s">
        <v>76</v>
      </c>
      <c r="T2375" t="s">
        <v>76</v>
      </c>
      <c r="U2375">
        <v>1</v>
      </c>
      <c r="V2375" s="13">
        <v>45175</v>
      </c>
      <c r="W2375">
        <v>1</v>
      </c>
      <c r="X2375">
        <v>1</v>
      </c>
      <c r="Y2375" t="s">
        <v>3674</v>
      </c>
      <c r="AC2375">
        <v>6134</v>
      </c>
      <c r="AD2375" t="e" vm="2365">
        <v>#VALUE!</v>
      </c>
    </row>
    <row r="2376" spans="2:30" x14ac:dyDescent="0.25">
      <c r="B2376">
        <v>6135</v>
      </c>
      <c r="C2376" t="s">
        <v>3668</v>
      </c>
      <c r="D2376" t="s">
        <v>3673</v>
      </c>
      <c r="E2376" t="s">
        <v>3912</v>
      </c>
      <c r="F2376" t="s">
        <v>85</v>
      </c>
      <c r="G2376" t="s">
        <v>84</v>
      </c>
      <c r="H2376" t="s">
        <v>3913</v>
      </c>
      <c r="I2376" t="s">
        <v>3913</v>
      </c>
      <c r="J2376" t="s">
        <v>3917</v>
      </c>
      <c r="K2376" t="s">
        <v>905</v>
      </c>
      <c r="L2376" s="13">
        <v>44341</v>
      </c>
      <c r="M2376">
        <v>2</v>
      </c>
      <c r="N2376" t="s">
        <v>82</v>
      </c>
      <c r="O2376" t="s">
        <v>3918</v>
      </c>
      <c r="P2376" t="s">
        <v>76</v>
      </c>
      <c r="Q2376" t="s">
        <v>905</v>
      </c>
      <c r="R2376" t="s">
        <v>76</v>
      </c>
      <c r="S2376" t="s">
        <v>76</v>
      </c>
      <c r="T2376" t="s">
        <v>76</v>
      </c>
      <c r="U2376">
        <v>1</v>
      </c>
      <c r="V2376" s="13">
        <v>45175</v>
      </c>
      <c r="W2376">
        <v>1</v>
      </c>
      <c r="X2376">
        <v>1</v>
      </c>
      <c r="Y2376" t="s">
        <v>3674</v>
      </c>
      <c r="AC2376">
        <v>6135</v>
      </c>
      <c r="AD2376" t="e" vm="2366">
        <v>#VALUE!</v>
      </c>
    </row>
    <row r="2377" spans="2:30" x14ac:dyDescent="0.25">
      <c r="B2377">
        <v>6136</v>
      </c>
      <c r="C2377" t="s">
        <v>3668</v>
      </c>
      <c r="D2377" t="s">
        <v>3673</v>
      </c>
      <c r="E2377" t="s">
        <v>3912</v>
      </c>
      <c r="F2377" t="s">
        <v>85</v>
      </c>
      <c r="G2377" t="s">
        <v>84</v>
      </c>
      <c r="H2377" t="s">
        <v>3913</v>
      </c>
      <c r="I2377" t="s">
        <v>3913</v>
      </c>
      <c r="J2377" t="s">
        <v>3917</v>
      </c>
      <c r="K2377" t="s">
        <v>905</v>
      </c>
      <c r="L2377" s="13">
        <v>44351</v>
      </c>
      <c r="M2377">
        <v>2</v>
      </c>
      <c r="N2377" t="s">
        <v>82</v>
      </c>
      <c r="O2377" t="s">
        <v>3918</v>
      </c>
      <c r="P2377" t="s">
        <v>76</v>
      </c>
      <c r="Q2377" t="s">
        <v>905</v>
      </c>
      <c r="R2377" t="s">
        <v>76</v>
      </c>
      <c r="S2377" t="s">
        <v>76</v>
      </c>
      <c r="T2377" t="s">
        <v>76</v>
      </c>
      <c r="U2377">
        <v>1</v>
      </c>
      <c r="V2377" s="13">
        <v>45175</v>
      </c>
      <c r="W2377">
        <v>1</v>
      </c>
      <c r="X2377">
        <v>1</v>
      </c>
      <c r="Y2377" t="s">
        <v>3674</v>
      </c>
      <c r="AC2377">
        <v>6136</v>
      </c>
      <c r="AD2377" t="e" vm="2367">
        <v>#VALUE!</v>
      </c>
    </row>
    <row r="2378" spans="2:30" x14ac:dyDescent="0.25">
      <c r="B2378">
        <v>6137</v>
      </c>
      <c r="C2378" t="s">
        <v>3668</v>
      </c>
      <c r="D2378" t="s">
        <v>3673</v>
      </c>
      <c r="E2378" t="s">
        <v>3912</v>
      </c>
      <c r="F2378" t="s">
        <v>85</v>
      </c>
      <c r="G2378" t="s">
        <v>84</v>
      </c>
      <c r="H2378" t="s">
        <v>3913</v>
      </c>
      <c r="I2378" t="s">
        <v>3913</v>
      </c>
      <c r="J2378" t="s">
        <v>3917</v>
      </c>
      <c r="K2378" t="s">
        <v>905</v>
      </c>
      <c r="L2378" s="13">
        <v>44351</v>
      </c>
      <c r="M2378">
        <v>2</v>
      </c>
      <c r="N2378" t="s">
        <v>82</v>
      </c>
      <c r="O2378" t="s">
        <v>3918</v>
      </c>
      <c r="P2378" t="s">
        <v>76</v>
      </c>
      <c r="Q2378" t="s">
        <v>905</v>
      </c>
      <c r="R2378" t="s">
        <v>76</v>
      </c>
      <c r="S2378" t="s">
        <v>76</v>
      </c>
      <c r="T2378" t="s">
        <v>76</v>
      </c>
      <c r="U2378">
        <v>1</v>
      </c>
      <c r="V2378" s="13">
        <v>45175</v>
      </c>
      <c r="W2378">
        <v>1</v>
      </c>
      <c r="X2378">
        <v>1</v>
      </c>
      <c r="Y2378" t="s">
        <v>3674</v>
      </c>
      <c r="AC2378">
        <v>6137</v>
      </c>
      <c r="AD2378" t="e" vm="2368">
        <v>#VALUE!</v>
      </c>
    </row>
    <row r="2379" spans="2:30" x14ac:dyDescent="0.25">
      <c r="B2379">
        <v>6138</v>
      </c>
      <c r="C2379" t="s">
        <v>3668</v>
      </c>
      <c r="D2379" t="s">
        <v>3673</v>
      </c>
      <c r="E2379" t="s">
        <v>3912</v>
      </c>
      <c r="F2379" t="s">
        <v>85</v>
      </c>
      <c r="G2379" t="s">
        <v>84</v>
      </c>
      <c r="H2379" t="s">
        <v>3913</v>
      </c>
      <c r="I2379" t="s">
        <v>3913</v>
      </c>
      <c r="J2379" t="s">
        <v>3917</v>
      </c>
      <c r="K2379" t="s">
        <v>905</v>
      </c>
      <c r="L2379" s="13">
        <v>44377</v>
      </c>
      <c r="M2379">
        <v>2</v>
      </c>
      <c r="N2379" t="s">
        <v>82</v>
      </c>
      <c r="O2379" t="s">
        <v>3918</v>
      </c>
      <c r="P2379" t="s">
        <v>76</v>
      </c>
      <c r="Q2379" t="s">
        <v>905</v>
      </c>
      <c r="R2379" t="s">
        <v>76</v>
      </c>
      <c r="S2379" t="s">
        <v>76</v>
      </c>
      <c r="T2379" t="s">
        <v>76</v>
      </c>
      <c r="U2379">
        <v>1</v>
      </c>
      <c r="V2379" s="13">
        <v>45175</v>
      </c>
      <c r="W2379">
        <v>1</v>
      </c>
      <c r="X2379">
        <v>1</v>
      </c>
      <c r="Y2379" t="s">
        <v>3674</v>
      </c>
      <c r="AC2379">
        <v>6138</v>
      </c>
      <c r="AD2379" t="e" vm="2369">
        <v>#VALUE!</v>
      </c>
    </row>
    <row r="2380" spans="2:30" x14ac:dyDescent="0.25">
      <c r="B2380">
        <v>6139</v>
      </c>
      <c r="C2380" t="s">
        <v>3668</v>
      </c>
      <c r="D2380" t="s">
        <v>3673</v>
      </c>
      <c r="E2380" t="s">
        <v>3912</v>
      </c>
      <c r="F2380" t="s">
        <v>85</v>
      </c>
      <c r="G2380" t="s">
        <v>84</v>
      </c>
      <c r="H2380" t="s">
        <v>3913</v>
      </c>
      <c r="I2380" t="s">
        <v>3913</v>
      </c>
      <c r="J2380" t="s">
        <v>3917</v>
      </c>
      <c r="K2380" t="s">
        <v>905</v>
      </c>
      <c r="L2380" s="13">
        <v>44377</v>
      </c>
      <c r="M2380">
        <v>2</v>
      </c>
      <c r="N2380" t="s">
        <v>82</v>
      </c>
      <c r="O2380" t="s">
        <v>3918</v>
      </c>
      <c r="P2380" t="s">
        <v>76</v>
      </c>
      <c r="Q2380" t="s">
        <v>905</v>
      </c>
      <c r="R2380" t="s">
        <v>76</v>
      </c>
      <c r="S2380" t="s">
        <v>76</v>
      </c>
      <c r="T2380" t="s">
        <v>76</v>
      </c>
      <c r="U2380">
        <v>1</v>
      </c>
      <c r="V2380" s="13">
        <v>45175</v>
      </c>
      <c r="W2380">
        <v>1</v>
      </c>
      <c r="X2380">
        <v>1</v>
      </c>
      <c r="Y2380" t="s">
        <v>3674</v>
      </c>
      <c r="AC2380">
        <v>6139</v>
      </c>
      <c r="AD2380" t="e" vm="2370">
        <v>#VALUE!</v>
      </c>
    </row>
    <row r="2381" spans="2:30" x14ac:dyDescent="0.25">
      <c r="B2381">
        <v>6140</v>
      </c>
      <c r="C2381" t="s">
        <v>3668</v>
      </c>
      <c r="D2381" t="s">
        <v>3673</v>
      </c>
      <c r="E2381" t="s">
        <v>3912</v>
      </c>
      <c r="F2381" t="s">
        <v>85</v>
      </c>
      <c r="G2381" t="s">
        <v>84</v>
      </c>
      <c r="H2381" t="s">
        <v>3913</v>
      </c>
      <c r="I2381" t="s">
        <v>3913</v>
      </c>
      <c r="J2381" t="s">
        <v>3917</v>
      </c>
      <c r="K2381" t="s">
        <v>905</v>
      </c>
      <c r="L2381" s="13">
        <v>44396</v>
      </c>
      <c r="M2381">
        <v>2</v>
      </c>
      <c r="N2381" t="s">
        <v>82</v>
      </c>
      <c r="O2381" t="s">
        <v>3918</v>
      </c>
      <c r="P2381" t="s">
        <v>76</v>
      </c>
      <c r="Q2381" t="s">
        <v>905</v>
      </c>
      <c r="R2381" t="s">
        <v>76</v>
      </c>
      <c r="S2381" t="s">
        <v>76</v>
      </c>
      <c r="T2381" t="s">
        <v>76</v>
      </c>
      <c r="U2381">
        <v>1</v>
      </c>
      <c r="V2381" s="13">
        <v>45175</v>
      </c>
      <c r="W2381">
        <v>1</v>
      </c>
      <c r="X2381">
        <v>1</v>
      </c>
      <c r="Y2381" t="s">
        <v>3674</v>
      </c>
      <c r="AC2381">
        <v>6140</v>
      </c>
      <c r="AD2381" t="e" vm="2371">
        <v>#VALUE!</v>
      </c>
    </row>
    <row r="2382" spans="2:30" x14ac:dyDescent="0.25">
      <c r="B2382">
        <v>6141</v>
      </c>
      <c r="C2382" t="s">
        <v>3668</v>
      </c>
      <c r="D2382" t="s">
        <v>3673</v>
      </c>
      <c r="E2382" t="s">
        <v>3912</v>
      </c>
      <c r="F2382" t="s">
        <v>85</v>
      </c>
      <c r="G2382" t="s">
        <v>84</v>
      </c>
      <c r="H2382" t="s">
        <v>3913</v>
      </c>
      <c r="I2382" t="s">
        <v>3913</v>
      </c>
      <c r="J2382" t="s">
        <v>3917</v>
      </c>
      <c r="K2382" t="s">
        <v>905</v>
      </c>
      <c r="L2382" s="13">
        <v>44410</v>
      </c>
      <c r="M2382">
        <v>2</v>
      </c>
      <c r="N2382" t="s">
        <v>82</v>
      </c>
      <c r="O2382" t="s">
        <v>3918</v>
      </c>
      <c r="P2382" t="s">
        <v>76</v>
      </c>
      <c r="Q2382" t="s">
        <v>905</v>
      </c>
      <c r="R2382" t="s">
        <v>76</v>
      </c>
      <c r="S2382" t="s">
        <v>76</v>
      </c>
      <c r="T2382" t="s">
        <v>76</v>
      </c>
      <c r="U2382">
        <v>1</v>
      </c>
      <c r="V2382" s="13">
        <v>45175</v>
      </c>
      <c r="W2382">
        <v>1</v>
      </c>
      <c r="X2382">
        <v>1</v>
      </c>
      <c r="Y2382" t="s">
        <v>3674</v>
      </c>
      <c r="AC2382">
        <v>6141</v>
      </c>
      <c r="AD2382" t="e" vm="2372">
        <v>#VALUE!</v>
      </c>
    </row>
    <row r="2383" spans="2:30" x14ac:dyDescent="0.25">
      <c r="B2383">
        <v>6142</v>
      </c>
      <c r="C2383" t="s">
        <v>3668</v>
      </c>
      <c r="D2383" t="s">
        <v>3673</v>
      </c>
      <c r="E2383" t="s">
        <v>3912</v>
      </c>
      <c r="F2383" t="s">
        <v>85</v>
      </c>
      <c r="G2383" t="s">
        <v>84</v>
      </c>
      <c r="H2383" t="s">
        <v>3913</v>
      </c>
      <c r="I2383" t="s">
        <v>3913</v>
      </c>
      <c r="J2383" t="s">
        <v>3917</v>
      </c>
      <c r="K2383" t="s">
        <v>905</v>
      </c>
      <c r="L2383" s="13">
        <v>44407</v>
      </c>
      <c r="M2383">
        <v>2</v>
      </c>
      <c r="N2383" t="s">
        <v>82</v>
      </c>
      <c r="O2383" t="s">
        <v>3918</v>
      </c>
      <c r="P2383" t="s">
        <v>76</v>
      </c>
      <c r="Q2383" t="s">
        <v>905</v>
      </c>
      <c r="R2383" t="s">
        <v>76</v>
      </c>
      <c r="S2383" t="s">
        <v>76</v>
      </c>
      <c r="T2383" t="s">
        <v>76</v>
      </c>
      <c r="U2383">
        <v>1</v>
      </c>
      <c r="V2383" s="13">
        <v>45175</v>
      </c>
      <c r="W2383">
        <v>1</v>
      </c>
      <c r="X2383">
        <v>1</v>
      </c>
      <c r="Y2383" t="s">
        <v>3674</v>
      </c>
      <c r="AC2383">
        <v>6142</v>
      </c>
      <c r="AD2383" t="e" vm="2373">
        <v>#VALUE!</v>
      </c>
    </row>
    <row r="2384" spans="2:30" x14ac:dyDescent="0.25">
      <c r="B2384">
        <v>6143</v>
      </c>
      <c r="C2384" t="s">
        <v>3668</v>
      </c>
      <c r="D2384" t="s">
        <v>3673</v>
      </c>
      <c r="E2384" t="s">
        <v>3912</v>
      </c>
      <c r="F2384" t="s">
        <v>85</v>
      </c>
      <c r="G2384" t="s">
        <v>84</v>
      </c>
      <c r="H2384" t="s">
        <v>3913</v>
      </c>
      <c r="I2384" t="s">
        <v>3913</v>
      </c>
      <c r="J2384" t="s">
        <v>3917</v>
      </c>
      <c r="K2384" t="s">
        <v>905</v>
      </c>
      <c r="L2384" s="13">
        <v>44406</v>
      </c>
      <c r="M2384">
        <v>2</v>
      </c>
      <c r="N2384" t="s">
        <v>82</v>
      </c>
      <c r="O2384" t="s">
        <v>3918</v>
      </c>
      <c r="P2384" t="s">
        <v>76</v>
      </c>
      <c r="Q2384" t="s">
        <v>905</v>
      </c>
      <c r="R2384" t="s">
        <v>76</v>
      </c>
      <c r="S2384" t="s">
        <v>76</v>
      </c>
      <c r="T2384" t="s">
        <v>76</v>
      </c>
      <c r="U2384">
        <v>1</v>
      </c>
      <c r="V2384" s="13">
        <v>45175</v>
      </c>
      <c r="W2384">
        <v>1</v>
      </c>
      <c r="X2384">
        <v>1</v>
      </c>
      <c r="Y2384" t="s">
        <v>3674</v>
      </c>
      <c r="AC2384">
        <v>6143</v>
      </c>
      <c r="AD2384" t="e" vm="2374">
        <v>#VALUE!</v>
      </c>
    </row>
    <row r="2385" spans="2:30" x14ac:dyDescent="0.25">
      <c r="B2385">
        <v>6144</v>
      </c>
      <c r="C2385" t="s">
        <v>3668</v>
      </c>
      <c r="D2385" t="s">
        <v>3673</v>
      </c>
      <c r="E2385" t="s">
        <v>3912</v>
      </c>
      <c r="F2385" t="s">
        <v>85</v>
      </c>
      <c r="G2385" t="s">
        <v>84</v>
      </c>
      <c r="H2385" t="s">
        <v>3913</v>
      </c>
      <c r="I2385" t="s">
        <v>3913</v>
      </c>
      <c r="J2385" t="s">
        <v>3917</v>
      </c>
      <c r="K2385" t="s">
        <v>905</v>
      </c>
      <c r="L2385" s="13">
        <v>44419</v>
      </c>
      <c r="M2385">
        <v>2</v>
      </c>
      <c r="N2385" t="s">
        <v>82</v>
      </c>
      <c r="O2385" t="s">
        <v>3918</v>
      </c>
      <c r="P2385" t="s">
        <v>76</v>
      </c>
      <c r="Q2385" t="s">
        <v>905</v>
      </c>
      <c r="R2385" t="s">
        <v>76</v>
      </c>
      <c r="S2385" t="s">
        <v>76</v>
      </c>
      <c r="T2385" t="s">
        <v>76</v>
      </c>
      <c r="U2385">
        <v>1</v>
      </c>
      <c r="V2385" s="13">
        <v>45175</v>
      </c>
      <c r="W2385">
        <v>1</v>
      </c>
      <c r="X2385">
        <v>1</v>
      </c>
      <c r="Y2385" t="s">
        <v>3674</v>
      </c>
      <c r="AC2385">
        <v>6144</v>
      </c>
      <c r="AD2385" t="e" vm="2375">
        <v>#VALUE!</v>
      </c>
    </row>
    <row r="2386" spans="2:30" x14ac:dyDescent="0.25">
      <c r="B2386">
        <v>6145</v>
      </c>
      <c r="C2386" t="s">
        <v>3668</v>
      </c>
      <c r="D2386" t="s">
        <v>3673</v>
      </c>
      <c r="E2386" t="s">
        <v>3912</v>
      </c>
      <c r="F2386" t="s">
        <v>85</v>
      </c>
      <c r="G2386" t="s">
        <v>84</v>
      </c>
      <c r="H2386" t="s">
        <v>3913</v>
      </c>
      <c r="I2386" t="s">
        <v>3913</v>
      </c>
      <c r="J2386" t="s">
        <v>3917</v>
      </c>
      <c r="K2386" t="s">
        <v>905</v>
      </c>
      <c r="L2386" s="13">
        <v>44446</v>
      </c>
      <c r="M2386">
        <v>2</v>
      </c>
      <c r="N2386" t="s">
        <v>82</v>
      </c>
      <c r="O2386" t="s">
        <v>3918</v>
      </c>
      <c r="P2386" t="s">
        <v>76</v>
      </c>
      <c r="Q2386" t="s">
        <v>905</v>
      </c>
      <c r="R2386" t="s">
        <v>76</v>
      </c>
      <c r="S2386" t="s">
        <v>76</v>
      </c>
      <c r="T2386" t="s">
        <v>76</v>
      </c>
      <c r="U2386">
        <v>1</v>
      </c>
      <c r="V2386" s="13">
        <v>45175</v>
      </c>
      <c r="W2386">
        <v>1</v>
      </c>
      <c r="X2386">
        <v>1</v>
      </c>
      <c r="Y2386" t="s">
        <v>3674</v>
      </c>
      <c r="AC2386">
        <v>6145</v>
      </c>
      <c r="AD2386" t="e" vm="2376">
        <v>#VALUE!</v>
      </c>
    </row>
    <row r="2387" spans="2:30" x14ac:dyDescent="0.25">
      <c r="B2387">
        <v>6146</v>
      </c>
      <c r="C2387" t="s">
        <v>3668</v>
      </c>
      <c r="D2387" t="s">
        <v>3673</v>
      </c>
      <c r="E2387" t="s">
        <v>3912</v>
      </c>
      <c r="F2387" t="s">
        <v>85</v>
      </c>
      <c r="G2387" t="s">
        <v>84</v>
      </c>
      <c r="H2387" t="s">
        <v>3913</v>
      </c>
      <c r="I2387" t="s">
        <v>3913</v>
      </c>
      <c r="J2387" t="s">
        <v>3917</v>
      </c>
      <c r="K2387" t="s">
        <v>905</v>
      </c>
      <c r="L2387" s="13">
        <v>44469</v>
      </c>
      <c r="M2387">
        <v>2</v>
      </c>
      <c r="N2387" t="s">
        <v>82</v>
      </c>
      <c r="O2387" t="s">
        <v>3918</v>
      </c>
      <c r="P2387" t="s">
        <v>76</v>
      </c>
      <c r="Q2387" t="s">
        <v>905</v>
      </c>
      <c r="R2387" t="s">
        <v>76</v>
      </c>
      <c r="S2387" t="s">
        <v>76</v>
      </c>
      <c r="T2387" t="s">
        <v>76</v>
      </c>
      <c r="U2387">
        <v>1</v>
      </c>
      <c r="V2387" s="13">
        <v>45175</v>
      </c>
      <c r="W2387">
        <v>1</v>
      </c>
      <c r="X2387">
        <v>1</v>
      </c>
      <c r="Y2387" t="s">
        <v>3674</v>
      </c>
      <c r="AC2387">
        <v>6146</v>
      </c>
      <c r="AD2387" t="e" vm="2377">
        <v>#VALUE!</v>
      </c>
    </row>
    <row r="2388" spans="2:30" x14ac:dyDescent="0.25">
      <c r="B2388">
        <v>6147</v>
      </c>
      <c r="C2388" t="s">
        <v>3668</v>
      </c>
      <c r="D2388" t="s">
        <v>3673</v>
      </c>
      <c r="E2388" t="s">
        <v>3912</v>
      </c>
      <c r="F2388" t="s">
        <v>85</v>
      </c>
      <c r="G2388" t="s">
        <v>84</v>
      </c>
      <c r="H2388" t="s">
        <v>3913</v>
      </c>
      <c r="I2388" t="s">
        <v>3913</v>
      </c>
      <c r="J2388" t="s">
        <v>3917</v>
      </c>
      <c r="K2388" t="s">
        <v>905</v>
      </c>
      <c r="L2388" s="13">
        <v>44469</v>
      </c>
      <c r="M2388">
        <v>2</v>
      </c>
      <c r="N2388" t="s">
        <v>82</v>
      </c>
      <c r="O2388" t="s">
        <v>3918</v>
      </c>
      <c r="P2388" t="s">
        <v>76</v>
      </c>
      <c r="Q2388" t="s">
        <v>905</v>
      </c>
      <c r="R2388" t="s">
        <v>76</v>
      </c>
      <c r="S2388" t="s">
        <v>76</v>
      </c>
      <c r="T2388" t="s">
        <v>76</v>
      </c>
      <c r="U2388">
        <v>1</v>
      </c>
      <c r="V2388" s="13">
        <v>45175</v>
      </c>
      <c r="W2388">
        <v>1</v>
      </c>
      <c r="X2388">
        <v>1</v>
      </c>
      <c r="Y2388" t="s">
        <v>3674</v>
      </c>
      <c r="AC2388">
        <v>6147</v>
      </c>
      <c r="AD2388" t="e" vm="2378">
        <v>#VALUE!</v>
      </c>
    </row>
    <row r="2389" spans="2:30" x14ac:dyDescent="0.25">
      <c r="B2389">
        <v>6148</v>
      </c>
      <c r="C2389" t="s">
        <v>3668</v>
      </c>
      <c r="D2389" t="s">
        <v>3673</v>
      </c>
      <c r="E2389" t="s">
        <v>3912</v>
      </c>
      <c r="F2389" t="s">
        <v>85</v>
      </c>
      <c r="G2389" t="s">
        <v>84</v>
      </c>
      <c r="H2389" t="s">
        <v>3913</v>
      </c>
      <c r="I2389" t="s">
        <v>3913</v>
      </c>
      <c r="J2389" t="s">
        <v>3917</v>
      </c>
      <c r="K2389" t="s">
        <v>905</v>
      </c>
      <c r="L2389" s="13">
        <v>44469</v>
      </c>
      <c r="M2389">
        <v>2</v>
      </c>
      <c r="N2389" t="s">
        <v>82</v>
      </c>
      <c r="O2389" t="s">
        <v>3918</v>
      </c>
      <c r="P2389" t="s">
        <v>76</v>
      </c>
      <c r="Q2389" t="s">
        <v>905</v>
      </c>
      <c r="R2389" t="s">
        <v>76</v>
      </c>
      <c r="S2389" t="s">
        <v>76</v>
      </c>
      <c r="T2389" t="s">
        <v>76</v>
      </c>
      <c r="U2389">
        <v>1</v>
      </c>
      <c r="V2389" s="13">
        <v>45175</v>
      </c>
      <c r="W2389">
        <v>1</v>
      </c>
      <c r="X2389">
        <v>1</v>
      </c>
      <c r="Y2389" t="s">
        <v>3674</v>
      </c>
      <c r="AC2389">
        <v>6148</v>
      </c>
      <c r="AD2389" t="e" vm="2379">
        <v>#VALUE!</v>
      </c>
    </row>
    <row r="2390" spans="2:30" x14ac:dyDescent="0.25">
      <c r="B2390">
        <v>6149</v>
      </c>
      <c r="C2390" t="s">
        <v>3668</v>
      </c>
      <c r="D2390" t="s">
        <v>3673</v>
      </c>
      <c r="E2390" t="s">
        <v>3912</v>
      </c>
      <c r="F2390" t="s">
        <v>85</v>
      </c>
      <c r="G2390" t="s">
        <v>84</v>
      </c>
      <c r="H2390" t="s">
        <v>3913</v>
      </c>
      <c r="I2390" t="s">
        <v>3913</v>
      </c>
      <c r="J2390" t="s">
        <v>3917</v>
      </c>
      <c r="K2390" t="s">
        <v>905</v>
      </c>
      <c r="L2390" s="13">
        <v>44494</v>
      </c>
      <c r="M2390">
        <v>2</v>
      </c>
      <c r="N2390" t="s">
        <v>82</v>
      </c>
      <c r="O2390" t="s">
        <v>3918</v>
      </c>
      <c r="P2390" t="s">
        <v>76</v>
      </c>
      <c r="Q2390" t="s">
        <v>905</v>
      </c>
      <c r="R2390" t="s">
        <v>76</v>
      </c>
      <c r="S2390" t="s">
        <v>76</v>
      </c>
      <c r="T2390" t="s">
        <v>76</v>
      </c>
      <c r="U2390">
        <v>1</v>
      </c>
      <c r="V2390" s="13">
        <v>45175</v>
      </c>
      <c r="W2390">
        <v>1</v>
      </c>
      <c r="X2390">
        <v>1</v>
      </c>
      <c r="Y2390" t="s">
        <v>3674</v>
      </c>
      <c r="AC2390">
        <v>6149</v>
      </c>
      <c r="AD2390" t="e" vm="2380">
        <v>#VALUE!</v>
      </c>
    </row>
    <row r="2391" spans="2:30" x14ac:dyDescent="0.25">
      <c r="B2391">
        <v>6150</v>
      </c>
      <c r="C2391" t="s">
        <v>3668</v>
      </c>
      <c r="D2391" t="s">
        <v>3673</v>
      </c>
      <c r="E2391" t="s">
        <v>3912</v>
      </c>
      <c r="F2391" t="s">
        <v>85</v>
      </c>
      <c r="G2391" t="s">
        <v>84</v>
      </c>
      <c r="H2391" t="s">
        <v>3913</v>
      </c>
      <c r="I2391" t="s">
        <v>3913</v>
      </c>
      <c r="J2391" t="s">
        <v>3917</v>
      </c>
      <c r="K2391" t="s">
        <v>905</v>
      </c>
      <c r="L2391" s="13">
        <v>44495</v>
      </c>
      <c r="M2391">
        <v>2</v>
      </c>
      <c r="N2391" t="s">
        <v>82</v>
      </c>
      <c r="O2391" t="s">
        <v>3918</v>
      </c>
      <c r="P2391" t="s">
        <v>76</v>
      </c>
      <c r="Q2391" t="s">
        <v>905</v>
      </c>
      <c r="R2391" t="s">
        <v>76</v>
      </c>
      <c r="S2391" t="s">
        <v>76</v>
      </c>
      <c r="T2391" t="s">
        <v>76</v>
      </c>
      <c r="U2391">
        <v>1</v>
      </c>
      <c r="V2391" s="13">
        <v>45175</v>
      </c>
      <c r="W2391">
        <v>1</v>
      </c>
      <c r="X2391">
        <v>1</v>
      </c>
      <c r="Y2391" t="s">
        <v>3674</v>
      </c>
      <c r="AC2391">
        <v>6150</v>
      </c>
      <c r="AD2391" t="e" vm="2381">
        <v>#VALUE!</v>
      </c>
    </row>
    <row r="2392" spans="2:30" x14ac:dyDescent="0.25">
      <c r="B2392">
        <v>6151</v>
      </c>
      <c r="C2392" t="s">
        <v>3668</v>
      </c>
      <c r="D2392" t="s">
        <v>3673</v>
      </c>
      <c r="E2392" t="s">
        <v>3912</v>
      </c>
      <c r="F2392" t="s">
        <v>85</v>
      </c>
      <c r="G2392" t="s">
        <v>84</v>
      </c>
      <c r="H2392" t="s">
        <v>3913</v>
      </c>
      <c r="I2392" t="s">
        <v>3913</v>
      </c>
      <c r="J2392" t="s">
        <v>3917</v>
      </c>
      <c r="K2392" t="s">
        <v>905</v>
      </c>
      <c r="L2392" s="13">
        <v>44497</v>
      </c>
      <c r="M2392">
        <v>2</v>
      </c>
      <c r="N2392" t="s">
        <v>82</v>
      </c>
      <c r="O2392" t="s">
        <v>3918</v>
      </c>
      <c r="P2392" t="s">
        <v>76</v>
      </c>
      <c r="Q2392" t="s">
        <v>905</v>
      </c>
      <c r="R2392" t="s">
        <v>76</v>
      </c>
      <c r="S2392" t="s">
        <v>76</v>
      </c>
      <c r="T2392" t="s">
        <v>76</v>
      </c>
      <c r="U2392">
        <v>1</v>
      </c>
      <c r="V2392" s="13">
        <v>45175</v>
      </c>
      <c r="W2392">
        <v>1</v>
      </c>
      <c r="X2392">
        <v>1</v>
      </c>
      <c r="Y2392" t="s">
        <v>3674</v>
      </c>
      <c r="AC2392">
        <v>6151</v>
      </c>
      <c r="AD2392" t="e" vm="2382">
        <v>#VALUE!</v>
      </c>
    </row>
    <row r="2393" spans="2:30" x14ac:dyDescent="0.25">
      <c r="B2393">
        <v>6152</v>
      </c>
      <c r="C2393" t="s">
        <v>3668</v>
      </c>
      <c r="D2393" t="s">
        <v>3673</v>
      </c>
      <c r="E2393" t="s">
        <v>3912</v>
      </c>
      <c r="F2393" t="s">
        <v>85</v>
      </c>
      <c r="G2393" t="s">
        <v>84</v>
      </c>
      <c r="H2393" t="s">
        <v>3913</v>
      </c>
      <c r="I2393" t="s">
        <v>3913</v>
      </c>
      <c r="J2393" t="s">
        <v>3917</v>
      </c>
      <c r="K2393" t="s">
        <v>905</v>
      </c>
      <c r="L2393" s="13">
        <v>44516</v>
      </c>
      <c r="M2393">
        <v>2</v>
      </c>
      <c r="N2393" t="s">
        <v>82</v>
      </c>
      <c r="O2393" t="s">
        <v>3918</v>
      </c>
      <c r="P2393" t="s">
        <v>76</v>
      </c>
      <c r="Q2393" t="s">
        <v>905</v>
      </c>
      <c r="R2393" t="s">
        <v>76</v>
      </c>
      <c r="S2393" t="s">
        <v>76</v>
      </c>
      <c r="T2393" t="s">
        <v>76</v>
      </c>
      <c r="U2393">
        <v>1</v>
      </c>
      <c r="V2393" s="13">
        <v>45175</v>
      </c>
      <c r="W2393">
        <v>1</v>
      </c>
      <c r="X2393">
        <v>1</v>
      </c>
      <c r="Y2393" t="s">
        <v>3674</v>
      </c>
      <c r="AC2393">
        <v>6152</v>
      </c>
      <c r="AD2393" t="e" vm="2383">
        <v>#VALUE!</v>
      </c>
    </row>
    <row r="2394" spans="2:30" x14ac:dyDescent="0.25">
      <c r="B2394">
        <v>6153</v>
      </c>
      <c r="C2394" t="s">
        <v>3668</v>
      </c>
      <c r="D2394" t="s">
        <v>3673</v>
      </c>
      <c r="E2394" t="s">
        <v>3912</v>
      </c>
      <c r="F2394" t="s">
        <v>85</v>
      </c>
      <c r="G2394" t="s">
        <v>84</v>
      </c>
      <c r="H2394" t="s">
        <v>3913</v>
      </c>
      <c r="I2394" t="s">
        <v>3913</v>
      </c>
      <c r="J2394" t="s">
        <v>3917</v>
      </c>
      <c r="K2394" t="s">
        <v>905</v>
      </c>
      <c r="L2394" s="13">
        <v>44524</v>
      </c>
      <c r="M2394">
        <v>2</v>
      </c>
      <c r="N2394" t="s">
        <v>82</v>
      </c>
      <c r="O2394" t="s">
        <v>3918</v>
      </c>
      <c r="P2394" t="s">
        <v>76</v>
      </c>
      <c r="Q2394" t="s">
        <v>905</v>
      </c>
      <c r="R2394" t="s">
        <v>76</v>
      </c>
      <c r="S2394" t="s">
        <v>76</v>
      </c>
      <c r="T2394" t="s">
        <v>76</v>
      </c>
      <c r="U2394">
        <v>1</v>
      </c>
      <c r="V2394" s="13">
        <v>45175</v>
      </c>
      <c r="W2394">
        <v>1</v>
      </c>
      <c r="X2394">
        <v>1</v>
      </c>
      <c r="Y2394" t="s">
        <v>3674</v>
      </c>
      <c r="AC2394">
        <v>6153</v>
      </c>
      <c r="AD2394" t="e" vm="2384">
        <v>#VALUE!</v>
      </c>
    </row>
    <row r="2395" spans="2:30" x14ac:dyDescent="0.25">
      <c r="B2395">
        <v>6154</v>
      </c>
      <c r="C2395" t="s">
        <v>3668</v>
      </c>
      <c r="D2395" t="s">
        <v>3673</v>
      </c>
      <c r="E2395" t="s">
        <v>3912</v>
      </c>
      <c r="F2395" t="s">
        <v>85</v>
      </c>
      <c r="G2395" t="s">
        <v>84</v>
      </c>
      <c r="H2395" t="s">
        <v>3913</v>
      </c>
      <c r="I2395" t="s">
        <v>3913</v>
      </c>
      <c r="J2395" t="s">
        <v>3917</v>
      </c>
      <c r="K2395" t="s">
        <v>905</v>
      </c>
      <c r="L2395" s="13">
        <v>44550</v>
      </c>
      <c r="M2395">
        <v>2</v>
      </c>
      <c r="N2395" t="s">
        <v>82</v>
      </c>
      <c r="O2395" t="s">
        <v>3918</v>
      </c>
      <c r="P2395" t="s">
        <v>76</v>
      </c>
      <c r="Q2395" t="s">
        <v>905</v>
      </c>
      <c r="R2395" t="s">
        <v>76</v>
      </c>
      <c r="S2395" t="s">
        <v>76</v>
      </c>
      <c r="T2395" t="s">
        <v>76</v>
      </c>
      <c r="U2395">
        <v>1</v>
      </c>
      <c r="V2395" s="13">
        <v>45175</v>
      </c>
      <c r="W2395">
        <v>1</v>
      </c>
      <c r="X2395">
        <v>1</v>
      </c>
      <c r="Y2395" t="s">
        <v>3674</v>
      </c>
      <c r="AC2395">
        <v>6154</v>
      </c>
      <c r="AD2395" t="e" vm="2385">
        <v>#VALUE!</v>
      </c>
    </row>
    <row r="2396" spans="2:30" x14ac:dyDescent="0.25">
      <c r="B2396">
        <v>6155</v>
      </c>
      <c r="C2396" t="s">
        <v>3668</v>
      </c>
      <c r="D2396" t="s">
        <v>3673</v>
      </c>
      <c r="E2396" t="s">
        <v>3912</v>
      </c>
      <c r="F2396" t="s">
        <v>85</v>
      </c>
      <c r="G2396" t="s">
        <v>84</v>
      </c>
      <c r="H2396" t="s">
        <v>3913</v>
      </c>
      <c r="I2396" t="s">
        <v>3913</v>
      </c>
      <c r="J2396" t="s">
        <v>3917</v>
      </c>
      <c r="K2396" t="s">
        <v>905</v>
      </c>
      <c r="L2396" s="13">
        <v>44540</v>
      </c>
      <c r="M2396">
        <v>2</v>
      </c>
      <c r="N2396" t="s">
        <v>82</v>
      </c>
      <c r="O2396" t="s">
        <v>3918</v>
      </c>
      <c r="P2396" t="s">
        <v>76</v>
      </c>
      <c r="Q2396" t="s">
        <v>905</v>
      </c>
      <c r="R2396" t="s">
        <v>76</v>
      </c>
      <c r="S2396" t="s">
        <v>76</v>
      </c>
      <c r="T2396" t="s">
        <v>76</v>
      </c>
      <c r="U2396">
        <v>1</v>
      </c>
      <c r="V2396" s="13">
        <v>45175</v>
      </c>
      <c r="W2396">
        <v>1</v>
      </c>
      <c r="X2396">
        <v>1</v>
      </c>
      <c r="Y2396" t="s">
        <v>3674</v>
      </c>
      <c r="AC2396">
        <v>6155</v>
      </c>
      <c r="AD2396" t="e" vm="2386">
        <v>#VALUE!</v>
      </c>
    </row>
    <row r="2397" spans="2:30" x14ac:dyDescent="0.25">
      <c r="B2397">
        <v>6156</v>
      </c>
      <c r="C2397" t="s">
        <v>3668</v>
      </c>
      <c r="D2397" t="s">
        <v>3673</v>
      </c>
      <c r="E2397" t="s">
        <v>3912</v>
      </c>
      <c r="F2397" t="s">
        <v>85</v>
      </c>
      <c r="G2397" t="s">
        <v>84</v>
      </c>
      <c r="H2397" t="s">
        <v>3913</v>
      </c>
      <c r="I2397" t="s">
        <v>3913</v>
      </c>
      <c r="J2397" t="s">
        <v>3917</v>
      </c>
      <c r="K2397" t="s">
        <v>905</v>
      </c>
      <c r="L2397" s="13">
        <v>44551</v>
      </c>
      <c r="M2397">
        <v>2</v>
      </c>
      <c r="N2397" t="s">
        <v>82</v>
      </c>
      <c r="O2397" t="s">
        <v>3918</v>
      </c>
      <c r="P2397" t="s">
        <v>76</v>
      </c>
      <c r="Q2397" t="s">
        <v>905</v>
      </c>
      <c r="R2397" t="s">
        <v>76</v>
      </c>
      <c r="S2397" t="s">
        <v>76</v>
      </c>
      <c r="T2397" t="s">
        <v>76</v>
      </c>
      <c r="U2397">
        <v>1</v>
      </c>
      <c r="V2397" s="13">
        <v>45175</v>
      </c>
      <c r="W2397">
        <v>1</v>
      </c>
      <c r="X2397">
        <v>1</v>
      </c>
      <c r="Y2397" t="s">
        <v>3674</v>
      </c>
      <c r="AC2397">
        <v>6156</v>
      </c>
      <c r="AD2397" t="e" vm="2387">
        <v>#VALUE!</v>
      </c>
    </row>
    <row r="2398" spans="2:30" x14ac:dyDescent="0.25">
      <c r="B2398">
        <v>6157</v>
      </c>
      <c r="C2398" t="s">
        <v>3668</v>
      </c>
      <c r="D2398" t="s">
        <v>3673</v>
      </c>
      <c r="E2398" t="s">
        <v>3912</v>
      </c>
      <c r="F2398" t="s">
        <v>85</v>
      </c>
      <c r="G2398" t="s">
        <v>84</v>
      </c>
      <c r="H2398" t="s">
        <v>3913</v>
      </c>
      <c r="I2398" t="s">
        <v>3913</v>
      </c>
      <c r="J2398" t="s">
        <v>3917</v>
      </c>
      <c r="K2398" t="s">
        <v>905</v>
      </c>
      <c r="L2398" s="13">
        <v>44613</v>
      </c>
      <c r="M2398">
        <v>2</v>
      </c>
      <c r="N2398" t="s">
        <v>82</v>
      </c>
      <c r="O2398" t="s">
        <v>3918</v>
      </c>
      <c r="P2398" t="s">
        <v>76</v>
      </c>
      <c r="Q2398" t="s">
        <v>905</v>
      </c>
      <c r="R2398" t="s">
        <v>76</v>
      </c>
      <c r="S2398" t="s">
        <v>76</v>
      </c>
      <c r="T2398" t="s">
        <v>76</v>
      </c>
      <c r="U2398">
        <v>1</v>
      </c>
      <c r="V2398" s="13">
        <v>45175</v>
      </c>
      <c r="W2398">
        <v>1</v>
      </c>
      <c r="X2398">
        <v>1</v>
      </c>
      <c r="Y2398" t="s">
        <v>3674</v>
      </c>
      <c r="AC2398">
        <v>6157</v>
      </c>
      <c r="AD2398" t="e" vm="2388">
        <v>#VALUE!</v>
      </c>
    </row>
    <row r="2399" spans="2:30" x14ac:dyDescent="0.25">
      <c r="B2399">
        <v>6158</v>
      </c>
      <c r="C2399" t="s">
        <v>3668</v>
      </c>
      <c r="D2399" t="s">
        <v>3673</v>
      </c>
      <c r="E2399" t="s">
        <v>3912</v>
      </c>
      <c r="F2399" t="s">
        <v>85</v>
      </c>
      <c r="G2399" t="s">
        <v>84</v>
      </c>
      <c r="H2399" t="s">
        <v>3913</v>
      </c>
      <c r="I2399" t="s">
        <v>3913</v>
      </c>
      <c r="J2399" t="s">
        <v>3917</v>
      </c>
      <c r="K2399" t="s">
        <v>905</v>
      </c>
      <c r="L2399" s="13">
        <v>44613</v>
      </c>
      <c r="M2399">
        <v>2</v>
      </c>
      <c r="N2399" t="s">
        <v>82</v>
      </c>
      <c r="O2399" t="s">
        <v>3918</v>
      </c>
      <c r="P2399" t="s">
        <v>76</v>
      </c>
      <c r="Q2399" t="s">
        <v>905</v>
      </c>
      <c r="R2399" t="s">
        <v>76</v>
      </c>
      <c r="S2399" t="s">
        <v>76</v>
      </c>
      <c r="T2399" t="s">
        <v>76</v>
      </c>
      <c r="U2399">
        <v>1</v>
      </c>
      <c r="V2399" s="13">
        <v>45175</v>
      </c>
      <c r="W2399">
        <v>1</v>
      </c>
      <c r="X2399">
        <v>1</v>
      </c>
      <c r="Y2399" t="s">
        <v>3674</v>
      </c>
      <c r="AC2399">
        <v>6158</v>
      </c>
      <c r="AD2399" t="e" vm="2389">
        <v>#VALUE!</v>
      </c>
    </row>
    <row r="2400" spans="2:30" x14ac:dyDescent="0.25">
      <c r="B2400">
        <v>6202</v>
      </c>
      <c r="C2400" t="s">
        <v>3646</v>
      </c>
      <c r="D2400" t="s">
        <v>3756</v>
      </c>
      <c r="E2400" t="s">
        <v>3919</v>
      </c>
      <c r="F2400" t="s">
        <v>89</v>
      </c>
      <c r="G2400" t="s">
        <v>80</v>
      </c>
      <c r="H2400" t="s">
        <v>3913</v>
      </c>
      <c r="I2400" t="s">
        <v>3913</v>
      </c>
      <c r="J2400" t="s">
        <v>3920</v>
      </c>
      <c r="K2400" t="s">
        <v>3915</v>
      </c>
      <c r="L2400" s="13">
        <v>26299</v>
      </c>
      <c r="M2400">
        <v>52</v>
      </c>
      <c r="N2400" t="s">
        <v>90</v>
      </c>
      <c r="O2400" t="s">
        <v>3921</v>
      </c>
      <c r="P2400" t="s">
        <v>95</v>
      </c>
      <c r="Q2400" t="s">
        <v>905</v>
      </c>
      <c r="R2400" t="s">
        <v>95</v>
      </c>
      <c r="S2400" t="s">
        <v>95</v>
      </c>
      <c r="T2400" t="s">
        <v>95</v>
      </c>
      <c r="U2400">
        <v>1</v>
      </c>
      <c r="V2400" s="13">
        <v>45175</v>
      </c>
      <c r="W2400">
        <v>1</v>
      </c>
      <c r="X2400">
        <v>1</v>
      </c>
      <c r="Y2400" t="s">
        <v>3757</v>
      </c>
      <c r="AC2400">
        <v>6202</v>
      </c>
      <c r="AD2400" t="e" vm="2390">
        <v>#VALUE!</v>
      </c>
    </row>
    <row r="2401" spans="2:30" x14ac:dyDescent="0.25">
      <c r="B2401">
        <v>6203</v>
      </c>
      <c r="C2401" t="s">
        <v>3659</v>
      </c>
      <c r="D2401" t="s">
        <v>3677</v>
      </c>
      <c r="E2401" t="s">
        <v>3823</v>
      </c>
      <c r="F2401" t="s">
        <v>87</v>
      </c>
      <c r="G2401" t="s">
        <v>86</v>
      </c>
      <c r="H2401" t="s">
        <v>3913</v>
      </c>
      <c r="I2401" t="s">
        <v>3913</v>
      </c>
      <c r="J2401" t="s">
        <v>3920</v>
      </c>
      <c r="K2401" t="s">
        <v>3915</v>
      </c>
      <c r="L2401" s="13">
        <v>26299</v>
      </c>
      <c r="M2401">
        <v>52</v>
      </c>
      <c r="N2401" t="s">
        <v>88</v>
      </c>
      <c r="O2401" t="s">
        <v>3921</v>
      </c>
      <c r="P2401" t="s">
        <v>95</v>
      </c>
      <c r="Q2401" t="s">
        <v>905</v>
      </c>
      <c r="R2401" t="s">
        <v>95</v>
      </c>
      <c r="S2401" t="s">
        <v>95</v>
      </c>
      <c r="T2401" t="s">
        <v>95</v>
      </c>
      <c r="U2401">
        <v>1</v>
      </c>
      <c r="V2401" s="13">
        <v>45175</v>
      </c>
      <c r="W2401">
        <v>2</v>
      </c>
      <c r="X2401">
        <v>1</v>
      </c>
      <c r="Y2401" t="s">
        <v>3678</v>
      </c>
      <c r="AC2401">
        <v>6203</v>
      </c>
      <c r="AD2401" t="e" vm="2391">
        <v>#VALUE!</v>
      </c>
    </row>
    <row r="2402" spans="2:30" x14ac:dyDescent="0.25">
      <c r="B2402">
        <v>6204</v>
      </c>
      <c r="C2402" t="s">
        <v>3659</v>
      </c>
      <c r="D2402" t="s">
        <v>3677</v>
      </c>
      <c r="E2402" t="s">
        <v>3823</v>
      </c>
      <c r="F2402" t="s">
        <v>87</v>
      </c>
      <c r="G2402" t="s">
        <v>86</v>
      </c>
      <c r="H2402" t="s">
        <v>3913</v>
      </c>
      <c r="I2402" t="s">
        <v>3913</v>
      </c>
      <c r="J2402" t="s">
        <v>3920</v>
      </c>
      <c r="K2402" t="s">
        <v>3915</v>
      </c>
      <c r="L2402" s="13">
        <v>26299</v>
      </c>
      <c r="M2402">
        <v>52</v>
      </c>
      <c r="N2402" t="s">
        <v>88</v>
      </c>
      <c r="O2402" t="s">
        <v>3921</v>
      </c>
      <c r="P2402" t="s">
        <v>95</v>
      </c>
      <c r="Q2402" t="s">
        <v>905</v>
      </c>
      <c r="R2402" t="s">
        <v>95</v>
      </c>
      <c r="S2402" t="s">
        <v>95</v>
      </c>
      <c r="T2402" t="s">
        <v>95</v>
      </c>
      <c r="U2402">
        <v>1</v>
      </c>
      <c r="V2402" s="13">
        <v>45175</v>
      </c>
      <c r="W2402">
        <v>2</v>
      </c>
      <c r="X2402">
        <v>1</v>
      </c>
      <c r="Y2402" t="s">
        <v>3678</v>
      </c>
      <c r="AC2402">
        <v>6204</v>
      </c>
      <c r="AD2402" t="e" vm="2392">
        <v>#VALUE!</v>
      </c>
    </row>
    <row r="2403" spans="2:30" x14ac:dyDescent="0.25">
      <c r="B2403">
        <v>6205</v>
      </c>
      <c r="C2403" t="s">
        <v>3646</v>
      </c>
      <c r="D2403" t="s">
        <v>3756</v>
      </c>
      <c r="E2403" t="s">
        <v>3919</v>
      </c>
      <c r="F2403" t="s">
        <v>89</v>
      </c>
      <c r="G2403" t="s">
        <v>80</v>
      </c>
      <c r="H2403" t="s">
        <v>3913</v>
      </c>
      <c r="I2403" t="s">
        <v>3913</v>
      </c>
      <c r="J2403" t="s">
        <v>3920</v>
      </c>
      <c r="K2403" t="s">
        <v>3915</v>
      </c>
      <c r="L2403" s="13">
        <v>26299</v>
      </c>
      <c r="M2403">
        <v>52</v>
      </c>
      <c r="N2403" t="s">
        <v>90</v>
      </c>
      <c r="O2403" t="s">
        <v>3921</v>
      </c>
      <c r="P2403" t="s">
        <v>95</v>
      </c>
      <c r="Q2403" t="s">
        <v>905</v>
      </c>
      <c r="R2403" t="s">
        <v>95</v>
      </c>
      <c r="S2403" t="s">
        <v>95</v>
      </c>
      <c r="T2403" t="s">
        <v>95</v>
      </c>
      <c r="U2403">
        <v>1</v>
      </c>
      <c r="V2403" s="13">
        <v>45175</v>
      </c>
      <c r="W2403">
        <v>1</v>
      </c>
      <c r="X2403">
        <v>1</v>
      </c>
      <c r="Y2403" t="s">
        <v>3757</v>
      </c>
      <c r="AC2403">
        <v>6205</v>
      </c>
      <c r="AD2403" t="e" vm="2393">
        <v>#VALUE!</v>
      </c>
    </row>
    <row r="2404" spans="2:30" x14ac:dyDescent="0.25">
      <c r="B2404">
        <v>6206</v>
      </c>
      <c r="C2404" t="s">
        <v>3659</v>
      </c>
      <c r="D2404" t="s">
        <v>3677</v>
      </c>
      <c r="E2404" t="s">
        <v>3823</v>
      </c>
      <c r="F2404" t="s">
        <v>87</v>
      </c>
      <c r="G2404" t="s">
        <v>86</v>
      </c>
      <c r="H2404" t="s">
        <v>3913</v>
      </c>
      <c r="I2404" t="s">
        <v>3913</v>
      </c>
      <c r="J2404" t="s">
        <v>3920</v>
      </c>
      <c r="K2404" t="s">
        <v>3915</v>
      </c>
      <c r="L2404" s="13">
        <v>26299</v>
      </c>
      <c r="M2404">
        <v>52</v>
      </c>
      <c r="N2404" t="s">
        <v>88</v>
      </c>
      <c r="O2404" t="s">
        <v>3921</v>
      </c>
      <c r="P2404" t="s">
        <v>95</v>
      </c>
      <c r="Q2404" t="s">
        <v>905</v>
      </c>
      <c r="R2404" t="s">
        <v>95</v>
      </c>
      <c r="S2404" t="s">
        <v>95</v>
      </c>
      <c r="T2404" t="s">
        <v>95</v>
      </c>
      <c r="U2404">
        <v>1</v>
      </c>
      <c r="V2404" s="13">
        <v>45175</v>
      </c>
      <c r="W2404">
        <v>2</v>
      </c>
      <c r="X2404">
        <v>1</v>
      </c>
      <c r="Y2404" t="s">
        <v>3678</v>
      </c>
      <c r="AC2404">
        <v>6206</v>
      </c>
      <c r="AD2404" t="e" vm="2394">
        <v>#VALUE!</v>
      </c>
    </row>
    <row r="2405" spans="2:30" x14ac:dyDescent="0.25">
      <c r="B2405">
        <v>6207</v>
      </c>
      <c r="C2405" t="s">
        <v>3646</v>
      </c>
      <c r="D2405" t="s">
        <v>3756</v>
      </c>
      <c r="E2405" t="s">
        <v>3919</v>
      </c>
      <c r="F2405" t="s">
        <v>89</v>
      </c>
      <c r="G2405" t="s">
        <v>80</v>
      </c>
      <c r="H2405" t="s">
        <v>3913</v>
      </c>
      <c r="I2405" t="s">
        <v>3913</v>
      </c>
      <c r="J2405" t="s">
        <v>3920</v>
      </c>
      <c r="K2405" t="s">
        <v>3915</v>
      </c>
      <c r="L2405" s="13">
        <v>26299</v>
      </c>
      <c r="M2405">
        <v>52</v>
      </c>
      <c r="N2405" t="s">
        <v>90</v>
      </c>
      <c r="O2405" t="s">
        <v>3921</v>
      </c>
      <c r="P2405" t="s">
        <v>95</v>
      </c>
      <c r="Q2405" t="s">
        <v>905</v>
      </c>
      <c r="R2405" t="s">
        <v>95</v>
      </c>
      <c r="S2405" t="s">
        <v>95</v>
      </c>
      <c r="T2405" t="s">
        <v>95</v>
      </c>
      <c r="U2405">
        <v>1</v>
      </c>
      <c r="V2405" s="13">
        <v>45175</v>
      </c>
      <c r="W2405">
        <v>1</v>
      </c>
      <c r="X2405">
        <v>1</v>
      </c>
      <c r="Y2405" t="s">
        <v>3757</v>
      </c>
      <c r="AC2405">
        <v>6207</v>
      </c>
      <c r="AD2405" t="e" vm="2395">
        <v>#VALUE!</v>
      </c>
    </row>
    <row r="2406" spans="2:30" x14ac:dyDescent="0.25">
      <c r="B2406">
        <v>6208</v>
      </c>
      <c r="C2406" t="s">
        <v>3659</v>
      </c>
      <c r="D2406" t="s">
        <v>3677</v>
      </c>
      <c r="E2406" t="s">
        <v>3823</v>
      </c>
      <c r="F2406" t="s">
        <v>87</v>
      </c>
      <c r="G2406" t="s">
        <v>86</v>
      </c>
      <c r="H2406" t="s">
        <v>3913</v>
      </c>
      <c r="I2406" t="s">
        <v>3913</v>
      </c>
      <c r="J2406" t="s">
        <v>3920</v>
      </c>
      <c r="K2406" t="s">
        <v>3915</v>
      </c>
      <c r="L2406" s="13">
        <v>26299</v>
      </c>
      <c r="M2406">
        <v>52</v>
      </c>
      <c r="N2406" t="s">
        <v>88</v>
      </c>
      <c r="O2406" t="s">
        <v>3921</v>
      </c>
      <c r="P2406" t="s">
        <v>95</v>
      </c>
      <c r="Q2406" t="s">
        <v>905</v>
      </c>
      <c r="R2406" t="s">
        <v>95</v>
      </c>
      <c r="S2406" t="s">
        <v>95</v>
      </c>
      <c r="T2406" t="s">
        <v>95</v>
      </c>
      <c r="U2406">
        <v>1</v>
      </c>
      <c r="V2406" s="13">
        <v>45175</v>
      </c>
      <c r="W2406">
        <v>1</v>
      </c>
      <c r="X2406">
        <v>1</v>
      </c>
      <c r="Y2406" t="s">
        <v>3678</v>
      </c>
      <c r="AC2406">
        <v>6208</v>
      </c>
      <c r="AD2406" t="e" vm="2396">
        <v>#VALUE!</v>
      </c>
    </row>
    <row r="2407" spans="2:30" x14ac:dyDescent="0.25">
      <c r="B2407">
        <v>6209</v>
      </c>
      <c r="C2407" t="s">
        <v>3659</v>
      </c>
      <c r="D2407" t="s">
        <v>3677</v>
      </c>
      <c r="E2407" t="s">
        <v>3823</v>
      </c>
      <c r="F2407" t="s">
        <v>87</v>
      </c>
      <c r="G2407" t="s">
        <v>86</v>
      </c>
      <c r="H2407" t="s">
        <v>3913</v>
      </c>
      <c r="I2407" t="s">
        <v>3913</v>
      </c>
      <c r="J2407" t="s">
        <v>3920</v>
      </c>
      <c r="K2407" t="s">
        <v>3915</v>
      </c>
      <c r="L2407" s="13">
        <v>26299</v>
      </c>
      <c r="M2407">
        <v>52</v>
      </c>
      <c r="N2407" t="s">
        <v>88</v>
      </c>
      <c r="O2407" t="s">
        <v>3921</v>
      </c>
      <c r="P2407" t="s">
        <v>95</v>
      </c>
      <c r="Q2407" t="s">
        <v>905</v>
      </c>
      <c r="R2407" t="s">
        <v>95</v>
      </c>
      <c r="S2407" t="s">
        <v>95</v>
      </c>
      <c r="T2407" t="s">
        <v>95</v>
      </c>
      <c r="U2407">
        <v>1</v>
      </c>
      <c r="V2407" s="13">
        <v>45175</v>
      </c>
      <c r="W2407">
        <v>2</v>
      </c>
      <c r="X2407">
        <v>1</v>
      </c>
      <c r="Y2407" t="s">
        <v>3678</v>
      </c>
      <c r="AC2407">
        <v>6209</v>
      </c>
      <c r="AD2407" t="e" vm="2397">
        <v>#VALUE!</v>
      </c>
    </row>
    <row r="2408" spans="2:30" x14ac:dyDescent="0.25">
      <c r="B2408">
        <v>6210</v>
      </c>
      <c r="C2408" t="s">
        <v>3659</v>
      </c>
      <c r="D2408" t="s">
        <v>3677</v>
      </c>
      <c r="E2408" t="s">
        <v>3823</v>
      </c>
      <c r="F2408" t="s">
        <v>87</v>
      </c>
      <c r="G2408" t="s">
        <v>86</v>
      </c>
      <c r="H2408" t="s">
        <v>3913</v>
      </c>
      <c r="I2408" t="s">
        <v>3913</v>
      </c>
      <c r="J2408" t="s">
        <v>3920</v>
      </c>
      <c r="K2408" t="s">
        <v>3915</v>
      </c>
      <c r="L2408" s="13">
        <v>26299</v>
      </c>
      <c r="M2408">
        <v>52</v>
      </c>
      <c r="N2408" t="s">
        <v>88</v>
      </c>
      <c r="O2408" t="s">
        <v>3921</v>
      </c>
      <c r="P2408" t="s">
        <v>95</v>
      </c>
      <c r="Q2408" t="s">
        <v>905</v>
      </c>
      <c r="R2408" t="s">
        <v>95</v>
      </c>
      <c r="S2408" t="s">
        <v>95</v>
      </c>
      <c r="T2408" t="s">
        <v>95</v>
      </c>
      <c r="U2408">
        <v>1</v>
      </c>
      <c r="V2408" s="13">
        <v>45175</v>
      </c>
      <c r="W2408">
        <v>2</v>
      </c>
      <c r="X2408">
        <v>1</v>
      </c>
      <c r="Y2408" t="s">
        <v>3678</v>
      </c>
      <c r="AC2408">
        <v>6210</v>
      </c>
      <c r="AD2408" t="e" vm="2398">
        <v>#VALUE!</v>
      </c>
    </row>
    <row r="2409" spans="2:30" x14ac:dyDescent="0.25">
      <c r="B2409">
        <v>6211</v>
      </c>
      <c r="C2409" t="s">
        <v>3646</v>
      </c>
      <c r="D2409" t="s">
        <v>3758</v>
      </c>
      <c r="E2409" t="s">
        <v>3922</v>
      </c>
      <c r="F2409" t="s">
        <v>93</v>
      </c>
      <c r="G2409" t="s">
        <v>91</v>
      </c>
      <c r="H2409" t="s">
        <v>3913</v>
      </c>
      <c r="I2409" t="s">
        <v>3913</v>
      </c>
      <c r="J2409" t="s">
        <v>3920</v>
      </c>
      <c r="K2409" t="s">
        <v>3915</v>
      </c>
      <c r="L2409" s="13">
        <v>26299</v>
      </c>
      <c r="M2409">
        <v>52</v>
      </c>
      <c r="N2409" t="s">
        <v>90</v>
      </c>
      <c r="O2409" t="s">
        <v>3921</v>
      </c>
      <c r="P2409" t="s">
        <v>95</v>
      </c>
      <c r="Q2409" t="s">
        <v>905</v>
      </c>
      <c r="R2409" t="s">
        <v>95</v>
      </c>
      <c r="S2409" t="s">
        <v>95</v>
      </c>
      <c r="T2409" t="s">
        <v>95</v>
      </c>
      <c r="U2409">
        <v>1</v>
      </c>
      <c r="V2409" s="13">
        <v>45175</v>
      </c>
      <c r="W2409">
        <v>1</v>
      </c>
      <c r="X2409">
        <v>1</v>
      </c>
      <c r="Y2409" t="s">
        <v>3759</v>
      </c>
      <c r="AC2409">
        <v>6211</v>
      </c>
      <c r="AD2409" t="e" vm="2399">
        <v>#VALUE!</v>
      </c>
    </row>
    <row r="2410" spans="2:30" x14ac:dyDescent="0.25">
      <c r="B2410">
        <v>6212</v>
      </c>
      <c r="C2410" t="s">
        <v>3659</v>
      </c>
      <c r="D2410" t="s">
        <v>3677</v>
      </c>
      <c r="E2410" t="s">
        <v>3823</v>
      </c>
      <c r="F2410" t="s">
        <v>87</v>
      </c>
      <c r="G2410" t="s">
        <v>86</v>
      </c>
      <c r="H2410" t="s">
        <v>3913</v>
      </c>
      <c r="I2410" t="s">
        <v>3913</v>
      </c>
      <c r="J2410" t="s">
        <v>3920</v>
      </c>
      <c r="K2410" t="s">
        <v>3915</v>
      </c>
      <c r="L2410" s="13">
        <v>26299</v>
      </c>
      <c r="M2410">
        <v>52</v>
      </c>
      <c r="N2410" t="s">
        <v>88</v>
      </c>
      <c r="O2410" t="s">
        <v>3921</v>
      </c>
      <c r="P2410" t="s">
        <v>95</v>
      </c>
      <c r="Q2410" t="s">
        <v>905</v>
      </c>
      <c r="R2410" t="s">
        <v>95</v>
      </c>
      <c r="S2410" t="s">
        <v>95</v>
      </c>
      <c r="T2410" t="s">
        <v>95</v>
      </c>
      <c r="U2410">
        <v>1</v>
      </c>
      <c r="V2410" s="13">
        <v>45175</v>
      </c>
      <c r="W2410">
        <v>2</v>
      </c>
      <c r="X2410">
        <v>1</v>
      </c>
      <c r="Y2410" t="s">
        <v>3678</v>
      </c>
      <c r="AC2410">
        <v>6212</v>
      </c>
      <c r="AD2410" t="e" vm="2400">
        <v>#VALUE!</v>
      </c>
    </row>
    <row r="2411" spans="2:30" x14ac:dyDescent="0.25">
      <c r="B2411">
        <v>6213</v>
      </c>
      <c r="C2411" t="s">
        <v>3659</v>
      </c>
      <c r="D2411" t="s">
        <v>3677</v>
      </c>
      <c r="E2411" t="s">
        <v>3823</v>
      </c>
      <c r="F2411" t="s">
        <v>87</v>
      </c>
      <c r="G2411" t="s">
        <v>86</v>
      </c>
      <c r="H2411" t="s">
        <v>3913</v>
      </c>
      <c r="I2411" t="s">
        <v>3913</v>
      </c>
      <c r="J2411" t="s">
        <v>3920</v>
      </c>
      <c r="K2411" t="s">
        <v>3915</v>
      </c>
      <c r="L2411" s="13">
        <v>26299</v>
      </c>
      <c r="M2411">
        <v>52</v>
      </c>
      <c r="N2411" t="s">
        <v>88</v>
      </c>
      <c r="O2411" t="s">
        <v>3921</v>
      </c>
      <c r="P2411" t="s">
        <v>95</v>
      </c>
      <c r="Q2411" t="s">
        <v>905</v>
      </c>
      <c r="R2411" t="s">
        <v>95</v>
      </c>
      <c r="S2411" t="s">
        <v>95</v>
      </c>
      <c r="T2411" t="s">
        <v>95</v>
      </c>
      <c r="U2411">
        <v>1</v>
      </c>
      <c r="V2411" s="13">
        <v>45175</v>
      </c>
      <c r="W2411">
        <v>2</v>
      </c>
      <c r="X2411">
        <v>1</v>
      </c>
      <c r="Y2411" t="s">
        <v>3678</v>
      </c>
      <c r="AC2411">
        <v>6213</v>
      </c>
      <c r="AD2411" t="e" vm="2401">
        <v>#VALUE!</v>
      </c>
    </row>
    <row r="2412" spans="2:30" x14ac:dyDescent="0.25">
      <c r="B2412">
        <v>6214</v>
      </c>
      <c r="C2412" t="s">
        <v>3646</v>
      </c>
      <c r="D2412" t="s">
        <v>3756</v>
      </c>
      <c r="E2412" t="s">
        <v>3919</v>
      </c>
      <c r="F2412" t="s">
        <v>89</v>
      </c>
      <c r="G2412" t="s">
        <v>80</v>
      </c>
      <c r="H2412" t="s">
        <v>3913</v>
      </c>
      <c r="I2412" t="s">
        <v>3913</v>
      </c>
      <c r="J2412" t="s">
        <v>3920</v>
      </c>
      <c r="K2412" t="s">
        <v>3915</v>
      </c>
      <c r="L2412" s="13">
        <v>26299</v>
      </c>
      <c r="M2412">
        <v>52</v>
      </c>
      <c r="N2412" t="s">
        <v>90</v>
      </c>
      <c r="O2412" t="s">
        <v>3921</v>
      </c>
      <c r="P2412" t="s">
        <v>95</v>
      </c>
      <c r="Q2412" t="s">
        <v>905</v>
      </c>
      <c r="R2412" t="s">
        <v>95</v>
      </c>
      <c r="S2412" t="s">
        <v>95</v>
      </c>
      <c r="T2412" t="s">
        <v>95</v>
      </c>
      <c r="U2412">
        <v>1</v>
      </c>
      <c r="V2412" s="13">
        <v>45175</v>
      </c>
      <c r="W2412">
        <v>1</v>
      </c>
      <c r="X2412">
        <v>1</v>
      </c>
      <c r="Y2412" t="s">
        <v>3757</v>
      </c>
      <c r="AC2412">
        <v>6214</v>
      </c>
      <c r="AD2412" t="e" vm="2402">
        <v>#VALUE!</v>
      </c>
    </row>
    <row r="2413" spans="2:30" x14ac:dyDescent="0.25">
      <c r="B2413">
        <v>6215</v>
      </c>
      <c r="C2413" t="s">
        <v>3659</v>
      </c>
      <c r="D2413" t="s">
        <v>3677</v>
      </c>
      <c r="E2413" t="s">
        <v>3823</v>
      </c>
      <c r="F2413" t="s">
        <v>87</v>
      </c>
      <c r="G2413" t="s">
        <v>86</v>
      </c>
      <c r="H2413" t="s">
        <v>3913</v>
      </c>
      <c r="I2413" t="s">
        <v>3913</v>
      </c>
      <c r="J2413" t="s">
        <v>3920</v>
      </c>
      <c r="K2413" t="s">
        <v>3915</v>
      </c>
      <c r="L2413" s="13">
        <v>26299</v>
      </c>
      <c r="M2413">
        <v>52</v>
      </c>
      <c r="N2413" t="s">
        <v>88</v>
      </c>
      <c r="O2413" t="s">
        <v>3921</v>
      </c>
      <c r="P2413" t="s">
        <v>95</v>
      </c>
      <c r="Q2413" t="s">
        <v>905</v>
      </c>
      <c r="R2413" t="s">
        <v>95</v>
      </c>
      <c r="S2413" t="s">
        <v>95</v>
      </c>
      <c r="T2413" t="s">
        <v>95</v>
      </c>
      <c r="U2413">
        <v>1</v>
      </c>
      <c r="V2413" s="13">
        <v>45175</v>
      </c>
      <c r="W2413">
        <v>2</v>
      </c>
      <c r="X2413">
        <v>1</v>
      </c>
      <c r="Y2413" t="s">
        <v>3678</v>
      </c>
      <c r="AC2413">
        <v>6215</v>
      </c>
      <c r="AD2413" t="e" vm="2403">
        <v>#VALUE!</v>
      </c>
    </row>
    <row r="2414" spans="2:30" x14ac:dyDescent="0.25">
      <c r="B2414">
        <v>6216</v>
      </c>
      <c r="C2414" t="s">
        <v>3659</v>
      </c>
      <c r="D2414" t="s">
        <v>3677</v>
      </c>
      <c r="E2414" t="s">
        <v>3823</v>
      </c>
      <c r="F2414" t="s">
        <v>87</v>
      </c>
      <c r="G2414" t="s">
        <v>86</v>
      </c>
      <c r="H2414" t="s">
        <v>3913</v>
      </c>
      <c r="I2414" t="s">
        <v>3913</v>
      </c>
      <c r="J2414" t="s">
        <v>3920</v>
      </c>
      <c r="K2414" t="s">
        <v>3915</v>
      </c>
      <c r="L2414" s="13">
        <v>26299</v>
      </c>
      <c r="M2414">
        <v>52</v>
      </c>
      <c r="N2414" t="s">
        <v>88</v>
      </c>
      <c r="O2414" t="s">
        <v>3921</v>
      </c>
      <c r="P2414" t="s">
        <v>95</v>
      </c>
      <c r="Q2414" t="s">
        <v>905</v>
      </c>
      <c r="R2414" t="s">
        <v>95</v>
      </c>
      <c r="S2414" t="s">
        <v>95</v>
      </c>
      <c r="T2414" t="s">
        <v>95</v>
      </c>
      <c r="U2414">
        <v>1</v>
      </c>
      <c r="V2414" s="13">
        <v>45175</v>
      </c>
      <c r="W2414">
        <v>2</v>
      </c>
      <c r="X2414">
        <v>1</v>
      </c>
      <c r="Y2414" t="s">
        <v>3678</v>
      </c>
      <c r="AC2414">
        <v>6216</v>
      </c>
      <c r="AD2414" t="e" vm="2404">
        <v>#VALUE!</v>
      </c>
    </row>
    <row r="2415" spans="2:30" x14ac:dyDescent="0.25">
      <c r="B2415">
        <v>6217</v>
      </c>
      <c r="C2415" t="s">
        <v>3646</v>
      </c>
      <c r="D2415" t="s">
        <v>3756</v>
      </c>
      <c r="E2415" t="s">
        <v>3919</v>
      </c>
      <c r="F2415" t="s">
        <v>89</v>
      </c>
      <c r="G2415" t="s">
        <v>80</v>
      </c>
      <c r="H2415" t="s">
        <v>3913</v>
      </c>
      <c r="I2415" t="s">
        <v>3913</v>
      </c>
      <c r="J2415" t="s">
        <v>3920</v>
      </c>
      <c r="K2415" t="s">
        <v>3915</v>
      </c>
      <c r="L2415" s="13">
        <v>26299</v>
      </c>
      <c r="M2415">
        <v>52</v>
      </c>
      <c r="N2415" t="s">
        <v>90</v>
      </c>
      <c r="O2415" t="s">
        <v>3921</v>
      </c>
      <c r="P2415" t="s">
        <v>95</v>
      </c>
      <c r="Q2415" t="s">
        <v>905</v>
      </c>
      <c r="R2415" t="s">
        <v>95</v>
      </c>
      <c r="S2415" t="s">
        <v>95</v>
      </c>
      <c r="T2415" t="s">
        <v>95</v>
      </c>
      <c r="U2415">
        <v>1</v>
      </c>
      <c r="V2415" s="13">
        <v>45175</v>
      </c>
      <c r="W2415">
        <v>1</v>
      </c>
      <c r="X2415">
        <v>1</v>
      </c>
      <c r="Y2415" t="s">
        <v>3757</v>
      </c>
      <c r="AC2415">
        <v>6217</v>
      </c>
      <c r="AD2415" t="e" vm="2405">
        <v>#VALUE!</v>
      </c>
    </row>
    <row r="2416" spans="2:30" x14ac:dyDescent="0.25">
      <c r="B2416">
        <v>6218</v>
      </c>
      <c r="C2416" t="s">
        <v>3659</v>
      </c>
      <c r="D2416" t="s">
        <v>3677</v>
      </c>
      <c r="E2416" t="s">
        <v>3823</v>
      </c>
      <c r="F2416" t="s">
        <v>87</v>
      </c>
      <c r="G2416" t="s">
        <v>86</v>
      </c>
      <c r="H2416" t="s">
        <v>3913</v>
      </c>
      <c r="I2416" t="s">
        <v>3913</v>
      </c>
      <c r="J2416" t="s">
        <v>3920</v>
      </c>
      <c r="K2416" t="s">
        <v>3915</v>
      </c>
      <c r="L2416" s="13">
        <v>26299</v>
      </c>
      <c r="M2416">
        <v>52</v>
      </c>
      <c r="N2416" t="s">
        <v>88</v>
      </c>
      <c r="O2416" t="s">
        <v>3921</v>
      </c>
      <c r="P2416" t="s">
        <v>95</v>
      </c>
      <c r="Q2416" t="s">
        <v>905</v>
      </c>
      <c r="R2416" t="s">
        <v>95</v>
      </c>
      <c r="S2416" t="s">
        <v>95</v>
      </c>
      <c r="T2416" t="s">
        <v>95</v>
      </c>
      <c r="U2416">
        <v>1</v>
      </c>
      <c r="V2416" s="13">
        <v>45175</v>
      </c>
      <c r="W2416">
        <v>2</v>
      </c>
      <c r="X2416">
        <v>1</v>
      </c>
      <c r="Y2416" t="s">
        <v>3678</v>
      </c>
      <c r="AC2416">
        <v>6218</v>
      </c>
      <c r="AD2416" t="e" vm="2406">
        <v>#VALUE!</v>
      </c>
    </row>
    <row r="2417" spans="2:30" x14ac:dyDescent="0.25">
      <c r="B2417">
        <v>6219</v>
      </c>
      <c r="C2417" t="s">
        <v>3659</v>
      </c>
      <c r="D2417" t="s">
        <v>3677</v>
      </c>
      <c r="E2417" t="s">
        <v>3823</v>
      </c>
      <c r="F2417" t="s">
        <v>87</v>
      </c>
      <c r="G2417" t="s">
        <v>86</v>
      </c>
      <c r="H2417" t="s">
        <v>3913</v>
      </c>
      <c r="I2417" t="s">
        <v>3913</v>
      </c>
      <c r="J2417" t="s">
        <v>3920</v>
      </c>
      <c r="K2417" t="s">
        <v>3915</v>
      </c>
      <c r="L2417" s="13">
        <v>26299</v>
      </c>
      <c r="M2417">
        <v>52</v>
      </c>
      <c r="N2417" t="s">
        <v>88</v>
      </c>
      <c r="O2417" t="s">
        <v>3921</v>
      </c>
      <c r="P2417" t="s">
        <v>95</v>
      </c>
      <c r="Q2417" t="s">
        <v>905</v>
      </c>
      <c r="R2417" t="s">
        <v>95</v>
      </c>
      <c r="S2417" t="s">
        <v>95</v>
      </c>
      <c r="T2417" t="s">
        <v>95</v>
      </c>
      <c r="U2417">
        <v>1</v>
      </c>
      <c r="V2417" s="13">
        <v>45175</v>
      </c>
      <c r="W2417">
        <v>2</v>
      </c>
      <c r="X2417">
        <v>1</v>
      </c>
      <c r="Y2417" t="s">
        <v>3678</v>
      </c>
      <c r="AC2417">
        <v>6219</v>
      </c>
      <c r="AD2417" t="e" vm="2407">
        <v>#VALUE!</v>
      </c>
    </row>
    <row r="2418" spans="2:30" x14ac:dyDescent="0.25">
      <c r="B2418">
        <v>6220</v>
      </c>
      <c r="C2418" t="s">
        <v>3646</v>
      </c>
      <c r="D2418" t="s">
        <v>3756</v>
      </c>
      <c r="E2418" t="s">
        <v>3919</v>
      </c>
      <c r="F2418" t="s">
        <v>89</v>
      </c>
      <c r="G2418" t="s">
        <v>80</v>
      </c>
      <c r="H2418" t="s">
        <v>3913</v>
      </c>
      <c r="I2418" t="s">
        <v>3913</v>
      </c>
      <c r="J2418" t="s">
        <v>3920</v>
      </c>
      <c r="K2418" t="s">
        <v>3915</v>
      </c>
      <c r="L2418" s="13">
        <v>26299</v>
      </c>
      <c r="M2418">
        <v>52</v>
      </c>
      <c r="N2418" t="s">
        <v>90</v>
      </c>
      <c r="O2418" t="s">
        <v>3921</v>
      </c>
      <c r="P2418" t="s">
        <v>95</v>
      </c>
      <c r="Q2418" t="s">
        <v>905</v>
      </c>
      <c r="R2418" t="s">
        <v>95</v>
      </c>
      <c r="S2418" t="s">
        <v>95</v>
      </c>
      <c r="T2418" t="s">
        <v>95</v>
      </c>
      <c r="U2418">
        <v>1</v>
      </c>
      <c r="V2418" s="13">
        <v>45175</v>
      </c>
      <c r="W2418">
        <v>1</v>
      </c>
      <c r="X2418">
        <v>1</v>
      </c>
      <c r="Y2418" t="s">
        <v>3757</v>
      </c>
      <c r="AC2418">
        <v>6220</v>
      </c>
      <c r="AD2418" t="e" vm="2408">
        <v>#VALUE!</v>
      </c>
    </row>
    <row r="2419" spans="2:30" x14ac:dyDescent="0.25">
      <c r="B2419">
        <v>6221</v>
      </c>
      <c r="C2419" t="s">
        <v>3659</v>
      </c>
      <c r="D2419" t="s">
        <v>3677</v>
      </c>
      <c r="E2419" t="s">
        <v>3823</v>
      </c>
      <c r="F2419" t="s">
        <v>87</v>
      </c>
      <c r="G2419" t="s">
        <v>86</v>
      </c>
      <c r="H2419" t="s">
        <v>3913</v>
      </c>
      <c r="I2419" t="s">
        <v>3913</v>
      </c>
      <c r="J2419" t="s">
        <v>3920</v>
      </c>
      <c r="K2419" t="s">
        <v>3915</v>
      </c>
      <c r="L2419" s="13">
        <v>26299</v>
      </c>
      <c r="M2419">
        <v>52</v>
      </c>
      <c r="N2419" t="s">
        <v>88</v>
      </c>
      <c r="O2419" t="s">
        <v>3921</v>
      </c>
      <c r="P2419" t="s">
        <v>95</v>
      </c>
      <c r="Q2419" t="s">
        <v>905</v>
      </c>
      <c r="R2419" t="s">
        <v>95</v>
      </c>
      <c r="S2419" t="s">
        <v>95</v>
      </c>
      <c r="T2419" t="s">
        <v>95</v>
      </c>
      <c r="U2419">
        <v>1</v>
      </c>
      <c r="V2419" s="13">
        <v>45175</v>
      </c>
      <c r="W2419">
        <v>2</v>
      </c>
      <c r="X2419">
        <v>1</v>
      </c>
      <c r="Y2419" t="s">
        <v>3678</v>
      </c>
      <c r="AC2419">
        <v>6221</v>
      </c>
      <c r="AD2419" t="e" vm="2409">
        <v>#VALUE!</v>
      </c>
    </row>
    <row r="2420" spans="2:30" x14ac:dyDescent="0.25">
      <c r="B2420">
        <v>6222</v>
      </c>
      <c r="C2420" t="s">
        <v>3659</v>
      </c>
      <c r="D2420" t="s">
        <v>3677</v>
      </c>
      <c r="E2420" t="s">
        <v>3823</v>
      </c>
      <c r="F2420" t="s">
        <v>87</v>
      </c>
      <c r="G2420" t="s">
        <v>86</v>
      </c>
      <c r="H2420" t="s">
        <v>3913</v>
      </c>
      <c r="I2420" t="s">
        <v>3913</v>
      </c>
      <c r="J2420" t="s">
        <v>3920</v>
      </c>
      <c r="K2420" t="s">
        <v>3915</v>
      </c>
      <c r="L2420" s="13">
        <v>26299</v>
      </c>
      <c r="M2420">
        <v>52</v>
      </c>
      <c r="N2420" t="s">
        <v>88</v>
      </c>
      <c r="O2420" t="s">
        <v>3921</v>
      </c>
      <c r="P2420" t="s">
        <v>95</v>
      </c>
      <c r="Q2420" t="s">
        <v>905</v>
      </c>
      <c r="R2420" t="s">
        <v>95</v>
      </c>
      <c r="S2420" t="s">
        <v>95</v>
      </c>
      <c r="T2420" t="s">
        <v>95</v>
      </c>
      <c r="U2420">
        <v>1</v>
      </c>
      <c r="V2420" s="13">
        <v>45175</v>
      </c>
      <c r="W2420">
        <v>2</v>
      </c>
      <c r="X2420">
        <v>1</v>
      </c>
      <c r="Y2420" t="s">
        <v>3678</v>
      </c>
      <c r="AC2420">
        <v>6222</v>
      </c>
      <c r="AD2420" t="e" vm="2410">
        <v>#VALUE!</v>
      </c>
    </row>
    <row r="2421" spans="2:30" x14ac:dyDescent="0.25">
      <c r="B2421">
        <v>6301</v>
      </c>
      <c r="C2421" t="s">
        <v>3659</v>
      </c>
      <c r="D2421" t="s">
        <v>3677</v>
      </c>
      <c r="E2421" t="s">
        <v>3823</v>
      </c>
      <c r="F2421" t="s">
        <v>87</v>
      </c>
      <c r="G2421" t="s">
        <v>86</v>
      </c>
      <c r="H2421" t="s">
        <v>3913</v>
      </c>
      <c r="I2421" t="s">
        <v>3913</v>
      </c>
      <c r="J2421" t="s">
        <v>3923</v>
      </c>
      <c r="K2421" t="s">
        <v>3915</v>
      </c>
      <c r="L2421" s="13">
        <v>36619</v>
      </c>
      <c r="M2421">
        <v>23</v>
      </c>
      <c r="N2421" t="s">
        <v>88</v>
      </c>
      <c r="O2421" t="s">
        <v>3924</v>
      </c>
      <c r="P2421" t="s">
        <v>76</v>
      </c>
      <c r="Q2421" t="s">
        <v>905</v>
      </c>
      <c r="R2421" t="s">
        <v>76</v>
      </c>
      <c r="S2421" t="s">
        <v>95</v>
      </c>
      <c r="T2421" t="s">
        <v>95</v>
      </c>
      <c r="U2421">
        <v>1</v>
      </c>
      <c r="V2421" s="13">
        <v>45175</v>
      </c>
      <c r="W2421">
        <v>1</v>
      </c>
      <c r="X2421">
        <v>1</v>
      </c>
      <c r="Y2421" t="s">
        <v>3678</v>
      </c>
      <c r="AC2421">
        <v>6301</v>
      </c>
      <c r="AD2421" t="e" vm="2411">
        <v>#VALUE!</v>
      </c>
    </row>
    <row r="2422" spans="2:30" x14ac:dyDescent="0.25">
      <c r="B2422">
        <v>6302</v>
      </c>
      <c r="C2422" t="s">
        <v>3659</v>
      </c>
      <c r="D2422" t="s">
        <v>3677</v>
      </c>
      <c r="E2422" t="s">
        <v>3823</v>
      </c>
      <c r="F2422" t="s">
        <v>87</v>
      </c>
      <c r="G2422" t="s">
        <v>86</v>
      </c>
      <c r="H2422" t="s">
        <v>3913</v>
      </c>
      <c r="I2422" t="s">
        <v>3913</v>
      </c>
      <c r="J2422" t="s">
        <v>3923</v>
      </c>
      <c r="K2422" t="s">
        <v>3915</v>
      </c>
      <c r="L2422" s="13">
        <v>36817</v>
      </c>
      <c r="M2422">
        <v>23</v>
      </c>
      <c r="N2422" t="s">
        <v>88</v>
      </c>
      <c r="O2422" t="s">
        <v>3924</v>
      </c>
      <c r="P2422" t="s">
        <v>76</v>
      </c>
      <c r="Q2422" t="s">
        <v>905</v>
      </c>
      <c r="R2422" t="s">
        <v>76</v>
      </c>
      <c r="S2422" t="s">
        <v>95</v>
      </c>
      <c r="T2422" t="s">
        <v>95</v>
      </c>
      <c r="U2422">
        <v>1</v>
      </c>
      <c r="V2422" s="13">
        <v>45175</v>
      </c>
      <c r="W2422">
        <v>1</v>
      </c>
      <c r="X2422">
        <v>1</v>
      </c>
      <c r="Y2422" t="s">
        <v>3678</v>
      </c>
      <c r="AC2422">
        <v>6302</v>
      </c>
      <c r="AD2422" t="e" vm="2412">
        <v>#VALUE!</v>
      </c>
    </row>
    <row r="2423" spans="2:30" x14ac:dyDescent="0.25">
      <c r="B2423">
        <v>6303</v>
      </c>
      <c r="C2423" t="s">
        <v>3659</v>
      </c>
      <c r="D2423" t="s">
        <v>3677</v>
      </c>
      <c r="E2423" t="s">
        <v>3823</v>
      </c>
      <c r="F2423" t="s">
        <v>87</v>
      </c>
      <c r="G2423" t="s">
        <v>86</v>
      </c>
      <c r="H2423" t="s">
        <v>3913</v>
      </c>
      <c r="I2423" t="s">
        <v>3913</v>
      </c>
      <c r="J2423" t="s">
        <v>3923</v>
      </c>
      <c r="K2423" t="s">
        <v>3915</v>
      </c>
      <c r="L2423" s="13">
        <v>36836</v>
      </c>
      <c r="M2423">
        <v>23</v>
      </c>
      <c r="N2423" t="s">
        <v>88</v>
      </c>
      <c r="O2423" t="s">
        <v>3924</v>
      </c>
      <c r="P2423" t="s">
        <v>76</v>
      </c>
      <c r="Q2423" t="s">
        <v>905</v>
      </c>
      <c r="R2423" t="s">
        <v>76</v>
      </c>
      <c r="S2423" t="s">
        <v>95</v>
      </c>
      <c r="T2423" t="s">
        <v>95</v>
      </c>
      <c r="U2423">
        <v>1</v>
      </c>
      <c r="V2423" s="13">
        <v>45175</v>
      </c>
      <c r="W2423">
        <v>1</v>
      </c>
      <c r="X2423">
        <v>1</v>
      </c>
      <c r="Y2423" t="s">
        <v>3678</v>
      </c>
      <c r="AC2423">
        <v>6303</v>
      </c>
      <c r="AD2423" t="e" vm="2413">
        <v>#VALUE!</v>
      </c>
    </row>
    <row r="2424" spans="2:30" x14ac:dyDescent="0.25">
      <c r="B2424">
        <v>6304</v>
      </c>
      <c r="C2424" t="s">
        <v>3659</v>
      </c>
      <c r="D2424" t="s">
        <v>3677</v>
      </c>
      <c r="E2424" t="s">
        <v>3823</v>
      </c>
      <c r="F2424" t="s">
        <v>87</v>
      </c>
      <c r="G2424" t="s">
        <v>86</v>
      </c>
      <c r="H2424" t="s">
        <v>3913</v>
      </c>
      <c r="I2424" t="s">
        <v>3913</v>
      </c>
      <c r="J2424" t="s">
        <v>3923</v>
      </c>
      <c r="K2424" t="s">
        <v>3915</v>
      </c>
      <c r="L2424" s="13">
        <v>36556</v>
      </c>
      <c r="M2424">
        <v>24</v>
      </c>
      <c r="N2424" t="s">
        <v>88</v>
      </c>
      <c r="O2424" t="s">
        <v>3924</v>
      </c>
      <c r="P2424" t="s">
        <v>76</v>
      </c>
      <c r="Q2424" t="s">
        <v>905</v>
      </c>
      <c r="R2424" t="s">
        <v>76</v>
      </c>
      <c r="S2424" t="s">
        <v>95</v>
      </c>
      <c r="T2424" t="s">
        <v>95</v>
      </c>
      <c r="U2424">
        <v>1</v>
      </c>
      <c r="V2424" s="13">
        <v>45175</v>
      </c>
      <c r="W2424">
        <v>1</v>
      </c>
      <c r="X2424">
        <v>1</v>
      </c>
      <c r="Y2424" t="s">
        <v>3678</v>
      </c>
      <c r="AC2424">
        <v>6304</v>
      </c>
      <c r="AD2424" t="e" vm="2414">
        <v>#VALUE!</v>
      </c>
    </row>
    <row r="2425" spans="2:30" x14ac:dyDescent="0.25">
      <c r="B2425">
        <v>6305</v>
      </c>
      <c r="C2425" t="s">
        <v>3659</v>
      </c>
      <c r="D2425" t="s">
        <v>3677</v>
      </c>
      <c r="E2425" t="s">
        <v>3823</v>
      </c>
      <c r="F2425" t="s">
        <v>87</v>
      </c>
      <c r="G2425" t="s">
        <v>86</v>
      </c>
      <c r="H2425" t="s">
        <v>3913</v>
      </c>
      <c r="I2425" t="s">
        <v>3913</v>
      </c>
      <c r="J2425" t="s">
        <v>3923</v>
      </c>
      <c r="K2425" t="s">
        <v>3915</v>
      </c>
      <c r="L2425" s="13">
        <v>36584</v>
      </c>
      <c r="M2425">
        <v>24</v>
      </c>
      <c r="N2425" t="s">
        <v>88</v>
      </c>
      <c r="O2425" t="s">
        <v>3924</v>
      </c>
      <c r="P2425" t="s">
        <v>76</v>
      </c>
      <c r="Q2425" t="s">
        <v>905</v>
      </c>
      <c r="R2425" t="s">
        <v>76</v>
      </c>
      <c r="S2425" t="s">
        <v>95</v>
      </c>
      <c r="T2425" t="s">
        <v>95</v>
      </c>
      <c r="U2425">
        <v>1</v>
      </c>
      <c r="V2425" s="13">
        <v>45175</v>
      </c>
      <c r="W2425">
        <v>1</v>
      </c>
      <c r="X2425">
        <v>1</v>
      </c>
      <c r="Y2425" t="s">
        <v>3678</v>
      </c>
      <c r="AC2425">
        <v>6305</v>
      </c>
      <c r="AD2425" t="e" vm="2415">
        <v>#VALUE!</v>
      </c>
    </row>
    <row r="2426" spans="2:30" x14ac:dyDescent="0.25">
      <c r="B2426">
        <v>6306</v>
      </c>
      <c r="C2426" t="s">
        <v>3659</v>
      </c>
      <c r="D2426" t="s">
        <v>3677</v>
      </c>
      <c r="E2426" t="s">
        <v>3823</v>
      </c>
      <c r="F2426" t="s">
        <v>87</v>
      </c>
      <c r="G2426" t="s">
        <v>86</v>
      </c>
      <c r="H2426" t="s">
        <v>3913</v>
      </c>
      <c r="I2426" t="s">
        <v>3913</v>
      </c>
      <c r="J2426" t="s">
        <v>3923</v>
      </c>
      <c r="K2426" t="s">
        <v>3915</v>
      </c>
      <c r="L2426" s="13">
        <v>36573</v>
      </c>
      <c r="M2426">
        <v>24</v>
      </c>
      <c r="N2426" t="s">
        <v>88</v>
      </c>
      <c r="O2426" t="s">
        <v>3924</v>
      </c>
      <c r="P2426" t="s">
        <v>76</v>
      </c>
      <c r="Q2426" t="s">
        <v>905</v>
      </c>
      <c r="R2426" t="s">
        <v>76</v>
      </c>
      <c r="S2426" t="s">
        <v>95</v>
      </c>
      <c r="T2426" t="s">
        <v>95</v>
      </c>
      <c r="U2426">
        <v>1</v>
      </c>
      <c r="V2426" s="13">
        <v>45175</v>
      </c>
      <c r="W2426">
        <v>1</v>
      </c>
      <c r="X2426">
        <v>1</v>
      </c>
      <c r="Y2426" t="s">
        <v>3678</v>
      </c>
      <c r="AC2426">
        <v>6306</v>
      </c>
      <c r="AD2426" t="e" vm="2416">
        <v>#VALUE!</v>
      </c>
    </row>
    <row r="2427" spans="2:30" x14ac:dyDescent="0.25">
      <c r="B2427">
        <v>6307</v>
      </c>
      <c r="C2427" t="s">
        <v>3659</v>
      </c>
      <c r="D2427" t="s">
        <v>3677</v>
      </c>
      <c r="E2427" t="s">
        <v>3823</v>
      </c>
      <c r="F2427" t="s">
        <v>87</v>
      </c>
      <c r="G2427" t="s">
        <v>86</v>
      </c>
      <c r="H2427" t="s">
        <v>3913</v>
      </c>
      <c r="I2427" t="s">
        <v>3913</v>
      </c>
      <c r="J2427" t="s">
        <v>3923</v>
      </c>
      <c r="K2427" t="s">
        <v>3915</v>
      </c>
      <c r="L2427" s="13">
        <v>36836</v>
      </c>
      <c r="M2427">
        <v>23</v>
      </c>
      <c r="N2427" t="s">
        <v>88</v>
      </c>
      <c r="O2427" t="s">
        <v>3924</v>
      </c>
      <c r="P2427" t="s">
        <v>76</v>
      </c>
      <c r="Q2427" t="s">
        <v>905</v>
      </c>
      <c r="R2427" t="s">
        <v>76</v>
      </c>
      <c r="S2427" t="s">
        <v>95</v>
      </c>
      <c r="T2427" t="s">
        <v>95</v>
      </c>
      <c r="U2427">
        <v>1</v>
      </c>
      <c r="V2427" s="13">
        <v>45175</v>
      </c>
      <c r="W2427">
        <v>1</v>
      </c>
      <c r="X2427">
        <v>1</v>
      </c>
      <c r="Y2427" t="s">
        <v>3678</v>
      </c>
      <c r="AC2427">
        <v>6307</v>
      </c>
      <c r="AD2427" t="e" vm="2417">
        <v>#VALUE!</v>
      </c>
    </row>
    <row r="2428" spans="2:30" x14ac:dyDescent="0.25">
      <c r="B2428">
        <v>6308</v>
      </c>
      <c r="C2428" t="s">
        <v>3659</v>
      </c>
      <c r="D2428" t="s">
        <v>3677</v>
      </c>
      <c r="E2428" t="s">
        <v>3823</v>
      </c>
      <c r="F2428" t="s">
        <v>87</v>
      </c>
      <c r="G2428" t="s">
        <v>86</v>
      </c>
      <c r="H2428" t="s">
        <v>3913</v>
      </c>
      <c r="I2428" t="s">
        <v>3913</v>
      </c>
      <c r="J2428" t="s">
        <v>3923</v>
      </c>
      <c r="K2428" t="s">
        <v>3915</v>
      </c>
      <c r="L2428" s="13">
        <v>36879</v>
      </c>
      <c r="M2428">
        <v>23</v>
      </c>
      <c r="N2428" t="s">
        <v>88</v>
      </c>
      <c r="O2428" t="s">
        <v>3924</v>
      </c>
      <c r="P2428" t="s">
        <v>76</v>
      </c>
      <c r="Q2428" t="s">
        <v>905</v>
      </c>
      <c r="R2428" t="s">
        <v>76</v>
      </c>
      <c r="S2428" t="s">
        <v>95</v>
      </c>
      <c r="T2428" t="s">
        <v>95</v>
      </c>
      <c r="U2428">
        <v>1</v>
      </c>
      <c r="V2428" s="13">
        <v>45175</v>
      </c>
      <c r="W2428">
        <v>1</v>
      </c>
      <c r="X2428">
        <v>1</v>
      </c>
      <c r="Y2428" t="s">
        <v>3678</v>
      </c>
      <c r="AC2428">
        <v>6308</v>
      </c>
      <c r="AD2428" t="e" vm="2418">
        <v>#VALUE!</v>
      </c>
    </row>
    <row r="2429" spans="2:30" x14ac:dyDescent="0.25">
      <c r="B2429">
        <v>6309</v>
      </c>
      <c r="C2429" t="s">
        <v>3659</v>
      </c>
      <c r="D2429" t="s">
        <v>3677</v>
      </c>
      <c r="E2429" t="s">
        <v>3823</v>
      </c>
      <c r="F2429" t="s">
        <v>87</v>
      </c>
      <c r="G2429" t="s">
        <v>86</v>
      </c>
      <c r="H2429" t="s">
        <v>3913</v>
      </c>
      <c r="I2429" t="s">
        <v>3913</v>
      </c>
      <c r="J2429" t="s">
        <v>3923</v>
      </c>
      <c r="K2429" t="s">
        <v>3915</v>
      </c>
      <c r="L2429" s="13">
        <v>36858</v>
      </c>
      <c r="M2429">
        <v>23</v>
      </c>
      <c r="N2429" t="s">
        <v>88</v>
      </c>
      <c r="O2429" t="s">
        <v>3924</v>
      </c>
      <c r="P2429" t="s">
        <v>76</v>
      </c>
      <c r="Q2429" t="s">
        <v>905</v>
      </c>
      <c r="R2429" t="s">
        <v>76</v>
      </c>
      <c r="S2429" t="s">
        <v>95</v>
      </c>
      <c r="T2429" t="s">
        <v>95</v>
      </c>
      <c r="U2429">
        <v>1</v>
      </c>
      <c r="V2429" s="13">
        <v>45175</v>
      </c>
      <c r="W2429">
        <v>1</v>
      </c>
      <c r="X2429">
        <v>1</v>
      </c>
      <c r="Y2429" t="s">
        <v>3678</v>
      </c>
      <c r="AC2429">
        <v>6309</v>
      </c>
      <c r="AD2429" t="e" vm="2419">
        <v>#VALUE!</v>
      </c>
    </row>
    <row r="2430" spans="2:30" x14ac:dyDescent="0.25">
      <c r="B2430">
        <v>6310</v>
      </c>
      <c r="C2430" t="s">
        <v>3659</v>
      </c>
      <c r="D2430" t="s">
        <v>3677</v>
      </c>
      <c r="E2430" t="s">
        <v>3823</v>
      </c>
      <c r="F2430" t="s">
        <v>87</v>
      </c>
      <c r="G2430" t="s">
        <v>86</v>
      </c>
      <c r="H2430" t="s">
        <v>3913</v>
      </c>
      <c r="I2430" t="s">
        <v>3913</v>
      </c>
      <c r="J2430" t="s">
        <v>3923</v>
      </c>
      <c r="K2430" t="s">
        <v>3915</v>
      </c>
      <c r="L2430" s="13">
        <v>36879</v>
      </c>
      <c r="M2430">
        <v>23</v>
      </c>
      <c r="N2430" t="s">
        <v>88</v>
      </c>
      <c r="O2430" t="s">
        <v>3924</v>
      </c>
      <c r="P2430" t="s">
        <v>76</v>
      </c>
      <c r="Q2430" t="s">
        <v>905</v>
      </c>
      <c r="R2430" t="s">
        <v>76</v>
      </c>
      <c r="S2430" t="s">
        <v>95</v>
      </c>
      <c r="T2430" t="s">
        <v>95</v>
      </c>
      <c r="U2430">
        <v>1</v>
      </c>
      <c r="V2430" s="13">
        <v>45175</v>
      </c>
      <c r="W2430">
        <v>1</v>
      </c>
      <c r="X2430">
        <v>1</v>
      </c>
      <c r="Y2430" t="s">
        <v>3678</v>
      </c>
      <c r="AC2430">
        <v>6310</v>
      </c>
      <c r="AD2430" t="e" vm="2420">
        <v>#VALUE!</v>
      </c>
    </row>
    <row r="2431" spans="2:30" x14ac:dyDescent="0.25">
      <c r="B2431">
        <v>6311</v>
      </c>
      <c r="C2431" t="s">
        <v>3659</v>
      </c>
      <c r="D2431" t="s">
        <v>3677</v>
      </c>
      <c r="E2431" t="s">
        <v>3823</v>
      </c>
      <c r="F2431" t="s">
        <v>87</v>
      </c>
      <c r="G2431" t="s">
        <v>86</v>
      </c>
      <c r="H2431" t="s">
        <v>3913</v>
      </c>
      <c r="I2431" t="s">
        <v>3913</v>
      </c>
      <c r="J2431" t="s">
        <v>3923</v>
      </c>
      <c r="K2431" t="s">
        <v>3915</v>
      </c>
      <c r="L2431" s="13">
        <v>36913</v>
      </c>
      <c r="M2431">
        <v>23</v>
      </c>
      <c r="N2431" t="s">
        <v>88</v>
      </c>
      <c r="O2431" t="s">
        <v>3924</v>
      </c>
      <c r="P2431" t="s">
        <v>76</v>
      </c>
      <c r="Q2431" t="s">
        <v>905</v>
      </c>
      <c r="R2431" t="s">
        <v>76</v>
      </c>
      <c r="S2431" t="s">
        <v>95</v>
      </c>
      <c r="T2431" t="s">
        <v>95</v>
      </c>
      <c r="U2431">
        <v>1</v>
      </c>
      <c r="V2431" s="13">
        <v>45175</v>
      </c>
      <c r="W2431">
        <v>1</v>
      </c>
      <c r="X2431">
        <v>1</v>
      </c>
      <c r="Y2431" t="s">
        <v>3678</v>
      </c>
      <c r="AC2431">
        <v>6311</v>
      </c>
      <c r="AD2431" t="e" vm="2421">
        <v>#VALUE!</v>
      </c>
    </row>
    <row r="2432" spans="2:30" x14ac:dyDescent="0.25">
      <c r="B2432">
        <v>6312</v>
      </c>
      <c r="C2432" t="s">
        <v>3659</v>
      </c>
      <c r="D2432" t="s">
        <v>3677</v>
      </c>
      <c r="E2432" t="s">
        <v>3823</v>
      </c>
      <c r="F2432" t="s">
        <v>87</v>
      </c>
      <c r="G2432" t="s">
        <v>86</v>
      </c>
      <c r="H2432" t="s">
        <v>3913</v>
      </c>
      <c r="I2432" t="s">
        <v>3913</v>
      </c>
      <c r="J2432" t="s">
        <v>3923</v>
      </c>
      <c r="K2432" t="s">
        <v>3915</v>
      </c>
      <c r="L2432" s="13">
        <v>36938</v>
      </c>
      <c r="M2432">
        <v>23</v>
      </c>
      <c r="N2432" t="s">
        <v>88</v>
      </c>
      <c r="O2432" t="s">
        <v>3924</v>
      </c>
      <c r="P2432" t="s">
        <v>76</v>
      </c>
      <c r="Q2432" t="s">
        <v>905</v>
      </c>
      <c r="R2432" t="s">
        <v>76</v>
      </c>
      <c r="S2432" t="s">
        <v>95</v>
      </c>
      <c r="T2432" t="s">
        <v>95</v>
      </c>
      <c r="U2432">
        <v>1</v>
      </c>
      <c r="V2432" s="13">
        <v>45175</v>
      </c>
      <c r="W2432">
        <v>1</v>
      </c>
      <c r="X2432">
        <v>1</v>
      </c>
      <c r="Y2432" t="s">
        <v>3678</v>
      </c>
      <c r="AC2432">
        <v>6312</v>
      </c>
      <c r="AD2432" t="e" vm="2422">
        <v>#VALUE!</v>
      </c>
    </row>
    <row r="2433" spans="2:30" x14ac:dyDescent="0.25">
      <c r="B2433">
        <v>6313</v>
      </c>
      <c r="C2433" t="s">
        <v>3659</v>
      </c>
      <c r="D2433" t="s">
        <v>3677</v>
      </c>
      <c r="E2433" t="s">
        <v>3823</v>
      </c>
      <c r="F2433" t="s">
        <v>87</v>
      </c>
      <c r="G2433" t="s">
        <v>86</v>
      </c>
      <c r="H2433" t="s">
        <v>3913</v>
      </c>
      <c r="I2433" t="s">
        <v>3913</v>
      </c>
      <c r="J2433" t="s">
        <v>3923</v>
      </c>
      <c r="K2433" t="s">
        <v>3915</v>
      </c>
      <c r="L2433" s="13">
        <v>37244</v>
      </c>
      <c r="M2433">
        <v>22</v>
      </c>
      <c r="N2433" t="s">
        <v>88</v>
      </c>
      <c r="O2433" t="s">
        <v>3924</v>
      </c>
      <c r="P2433" t="s">
        <v>76</v>
      </c>
      <c r="Q2433" t="s">
        <v>905</v>
      </c>
      <c r="R2433" t="s">
        <v>76</v>
      </c>
      <c r="S2433" t="s">
        <v>95</v>
      </c>
      <c r="T2433" t="s">
        <v>95</v>
      </c>
      <c r="U2433">
        <v>1</v>
      </c>
      <c r="V2433" s="13">
        <v>45175</v>
      </c>
      <c r="W2433">
        <v>1</v>
      </c>
      <c r="X2433">
        <v>1</v>
      </c>
      <c r="Y2433" t="s">
        <v>3678</v>
      </c>
      <c r="AC2433">
        <v>6313</v>
      </c>
      <c r="AD2433" t="e" vm="2423">
        <v>#VALUE!</v>
      </c>
    </row>
    <row r="2434" spans="2:30" x14ac:dyDescent="0.25">
      <c r="B2434">
        <v>6314</v>
      </c>
      <c r="C2434" t="s">
        <v>3659</v>
      </c>
      <c r="D2434" t="s">
        <v>3677</v>
      </c>
      <c r="E2434" t="s">
        <v>3823</v>
      </c>
      <c r="F2434" t="s">
        <v>87</v>
      </c>
      <c r="G2434" t="s">
        <v>86</v>
      </c>
      <c r="H2434" t="s">
        <v>3913</v>
      </c>
      <c r="I2434" t="s">
        <v>3913</v>
      </c>
      <c r="J2434" t="s">
        <v>3923</v>
      </c>
      <c r="K2434" t="s">
        <v>3915</v>
      </c>
      <c r="L2434" s="13">
        <v>37307</v>
      </c>
      <c r="M2434">
        <v>22</v>
      </c>
      <c r="N2434" t="s">
        <v>88</v>
      </c>
      <c r="O2434" t="s">
        <v>3924</v>
      </c>
      <c r="P2434" t="s">
        <v>76</v>
      </c>
      <c r="Q2434" t="s">
        <v>905</v>
      </c>
      <c r="R2434" t="s">
        <v>76</v>
      </c>
      <c r="S2434" t="s">
        <v>95</v>
      </c>
      <c r="T2434" t="s">
        <v>95</v>
      </c>
      <c r="U2434">
        <v>1</v>
      </c>
      <c r="V2434" s="13">
        <v>45175</v>
      </c>
      <c r="W2434">
        <v>1</v>
      </c>
      <c r="X2434">
        <v>1</v>
      </c>
      <c r="Y2434" t="s">
        <v>3678</v>
      </c>
      <c r="AC2434">
        <v>6314</v>
      </c>
      <c r="AD2434" t="e" vm="2424">
        <v>#VALUE!</v>
      </c>
    </row>
    <row r="2435" spans="2:30" x14ac:dyDescent="0.25">
      <c r="B2435">
        <v>6315</v>
      </c>
      <c r="C2435" t="s">
        <v>3659</v>
      </c>
      <c r="D2435" t="s">
        <v>3677</v>
      </c>
      <c r="E2435" t="s">
        <v>3823</v>
      </c>
      <c r="F2435" t="s">
        <v>87</v>
      </c>
      <c r="G2435" t="s">
        <v>86</v>
      </c>
      <c r="H2435" t="s">
        <v>3913</v>
      </c>
      <c r="I2435" t="s">
        <v>3913</v>
      </c>
      <c r="J2435" t="s">
        <v>3923</v>
      </c>
      <c r="K2435" t="s">
        <v>3915</v>
      </c>
      <c r="L2435" s="13">
        <v>38407</v>
      </c>
      <c r="M2435">
        <v>19</v>
      </c>
      <c r="N2435" t="s">
        <v>88</v>
      </c>
      <c r="O2435" t="s">
        <v>3924</v>
      </c>
      <c r="P2435" t="s">
        <v>76</v>
      </c>
      <c r="Q2435" t="s">
        <v>905</v>
      </c>
      <c r="R2435" t="s">
        <v>76</v>
      </c>
      <c r="S2435" t="s">
        <v>76</v>
      </c>
      <c r="T2435" t="s">
        <v>76</v>
      </c>
      <c r="U2435">
        <v>1</v>
      </c>
      <c r="V2435" s="13">
        <v>45175</v>
      </c>
      <c r="W2435">
        <v>1</v>
      </c>
      <c r="X2435">
        <v>1</v>
      </c>
      <c r="Y2435" t="s">
        <v>3678</v>
      </c>
      <c r="AC2435">
        <v>6315</v>
      </c>
      <c r="AD2435" t="e" vm="2425">
        <v>#VALUE!</v>
      </c>
    </row>
    <row r="2436" spans="2:30" x14ac:dyDescent="0.25">
      <c r="B2436">
        <v>6316</v>
      </c>
      <c r="C2436" t="s">
        <v>3659</v>
      </c>
      <c r="D2436" t="s">
        <v>3677</v>
      </c>
      <c r="E2436" t="s">
        <v>3823</v>
      </c>
      <c r="F2436" t="s">
        <v>87</v>
      </c>
      <c r="G2436" t="s">
        <v>86</v>
      </c>
      <c r="H2436" t="s">
        <v>3913</v>
      </c>
      <c r="I2436" t="s">
        <v>3913</v>
      </c>
      <c r="J2436" t="s">
        <v>3923</v>
      </c>
      <c r="K2436" t="s">
        <v>3915</v>
      </c>
      <c r="L2436" s="13">
        <v>38420</v>
      </c>
      <c r="M2436">
        <v>19</v>
      </c>
      <c r="N2436" t="s">
        <v>88</v>
      </c>
      <c r="O2436" t="s">
        <v>3924</v>
      </c>
      <c r="P2436" t="s">
        <v>76</v>
      </c>
      <c r="Q2436" t="s">
        <v>905</v>
      </c>
      <c r="R2436" t="s">
        <v>76</v>
      </c>
      <c r="S2436" t="s">
        <v>76</v>
      </c>
      <c r="T2436" t="s">
        <v>76</v>
      </c>
      <c r="U2436">
        <v>1</v>
      </c>
      <c r="V2436" s="13">
        <v>45175</v>
      </c>
      <c r="W2436">
        <v>1</v>
      </c>
      <c r="X2436">
        <v>1</v>
      </c>
      <c r="Y2436" t="s">
        <v>3678</v>
      </c>
      <c r="AC2436">
        <v>6316</v>
      </c>
      <c r="AD2436" t="e" vm="2426">
        <v>#VALUE!</v>
      </c>
    </row>
    <row r="2437" spans="2:30" x14ac:dyDescent="0.25">
      <c r="B2437">
        <v>6317</v>
      </c>
      <c r="C2437" t="s">
        <v>3659</v>
      </c>
      <c r="D2437" t="s">
        <v>3677</v>
      </c>
      <c r="E2437" t="s">
        <v>3823</v>
      </c>
      <c r="F2437" t="s">
        <v>87</v>
      </c>
      <c r="G2437" t="s">
        <v>86</v>
      </c>
      <c r="H2437" t="s">
        <v>3913</v>
      </c>
      <c r="I2437" t="s">
        <v>3913</v>
      </c>
      <c r="J2437" t="s">
        <v>3923</v>
      </c>
      <c r="K2437" t="s">
        <v>3915</v>
      </c>
      <c r="L2437" s="13">
        <v>38434</v>
      </c>
      <c r="M2437">
        <v>18</v>
      </c>
      <c r="N2437" t="s">
        <v>88</v>
      </c>
      <c r="O2437" t="s">
        <v>3924</v>
      </c>
      <c r="P2437" t="s">
        <v>76</v>
      </c>
      <c r="Q2437" t="s">
        <v>905</v>
      </c>
      <c r="R2437" t="s">
        <v>76</v>
      </c>
      <c r="S2437" t="s">
        <v>76</v>
      </c>
      <c r="T2437" t="s">
        <v>76</v>
      </c>
      <c r="U2437">
        <v>1</v>
      </c>
      <c r="V2437" s="13">
        <v>45175</v>
      </c>
      <c r="W2437">
        <v>1</v>
      </c>
      <c r="X2437">
        <v>1</v>
      </c>
      <c r="Y2437" t="s">
        <v>3678</v>
      </c>
      <c r="AC2437">
        <v>6317</v>
      </c>
      <c r="AD2437" t="e" vm="2427">
        <v>#VALUE!</v>
      </c>
    </row>
    <row r="2438" spans="2:30" x14ac:dyDescent="0.25">
      <c r="B2438">
        <v>6318</v>
      </c>
      <c r="C2438" t="s">
        <v>3659</v>
      </c>
      <c r="D2438" t="s">
        <v>3677</v>
      </c>
      <c r="E2438" t="s">
        <v>3823</v>
      </c>
      <c r="F2438" t="s">
        <v>87</v>
      </c>
      <c r="G2438" t="s">
        <v>86</v>
      </c>
      <c r="H2438" t="s">
        <v>3913</v>
      </c>
      <c r="I2438" t="s">
        <v>3913</v>
      </c>
      <c r="J2438" t="s">
        <v>3923</v>
      </c>
      <c r="K2438" t="s">
        <v>3915</v>
      </c>
      <c r="L2438" s="13">
        <v>38454</v>
      </c>
      <c r="M2438">
        <v>18</v>
      </c>
      <c r="N2438" t="s">
        <v>88</v>
      </c>
      <c r="O2438" t="s">
        <v>3924</v>
      </c>
      <c r="P2438" t="s">
        <v>76</v>
      </c>
      <c r="Q2438" t="s">
        <v>905</v>
      </c>
      <c r="R2438" t="s">
        <v>76</v>
      </c>
      <c r="S2438" t="s">
        <v>76</v>
      </c>
      <c r="T2438" t="s">
        <v>76</v>
      </c>
      <c r="U2438">
        <v>1</v>
      </c>
      <c r="V2438" s="13">
        <v>45175</v>
      </c>
      <c r="W2438">
        <v>1</v>
      </c>
      <c r="X2438">
        <v>1</v>
      </c>
      <c r="Y2438" t="s">
        <v>3678</v>
      </c>
      <c r="AC2438">
        <v>6318</v>
      </c>
      <c r="AD2438" t="e" vm="2428">
        <v>#VALUE!</v>
      </c>
    </row>
    <row r="2439" spans="2:30" x14ac:dyDescent="0.25">
      <c r="B2439">
        <v>6319</v>
      </c>
      <c r="C2439" t="s">
        <v>3659</v>
      </c>
      <c r="D2439" t="s">
        <v>3677</v>
      </c>
      <c r="E2439" t="s">
        <v>3823</v>
      </c>
      <c r="F2439" t="s">
        <v>87</v>
      </c>
      <c r="G2439" t="s">
        <v>86</v>
      </c>
      <c r="H2439" t="s">
        <v>3913</v>
      </c>
      <c r="I2439" t="s">
        <v>3913</v>
      </c>
      <c r="J2439" t="s">
        <v>3923</v>
      </c>
      <c r="K2439" t="s">
        <v>3915</v>
      </c>
      <c r="L2439" s="13">
        <v>38471</v>
      </c>
      <c r="M2439">
        <v>18</v>
      </c>
      <c r="N2439" t="s">
        <v>88</v>
      </c>
      <c r="O2439" t="s">
        <v>3924</v>
      </c>
      <c r="P2439" t="s">
        <v>76</v>
      </c>
      <c r="Q2439" t="s">
        <v>905</v>
      </c>
      <c r="R2439" t="s">
        <v>76</v>
      </c>
      <c r="S2439" t="s">
        <v>76</v>
      </c>
      <c r="T2439" t="s">
        <v>76</v>
      </c>
      <c r="U2439">
        <v>1</v>
      </c>
      <c r="V2439" s="13">
        <v>45175</v>
      </c>
      <c r="W2439">
        <v>1</v>
      </c>
      <c r="X2439">
        <v>1</v>
      </c>
      <c r="Y2439" t="s">
        <v>3678</v>
      </c>
      <c r="AC2439">
        <v>6319</v>
      </c>
      <c r="AD2439" t="e" vm="2429">
        <v>#VALUE!</v>
      </c>
    </row>
    <row r="2440" spans="2:30" x14ac:dyDescent="0.25">
      <c r="B2440">
        <v>6320</v>
      </c>
      <c r="C2440" t="s">
        <v>3659</v>
      </c>
      <c r="D2440" t="s">
        <v>3677</v>
      </c>
      <c r="E2440" t="s">
        <v>3823</v>
      </c>
      <c r="F2440" t="s">
        <v>87</v>
      </c>
      <c r="G2440" t="s">
        <v>86</v>
      </c>
      <c r="H2440" t="s">
        <v>3913</v>
      </c>
      <c r="I2440" t="s">
        <v>3913</v>
      </c>
      <c r="J2440" t="s">
        <v>3923</v>
      </c>
      <c r="K2440" t="s">
        <v>3915</v>
      </c>
      <c r="L2440" s="13">
        <v>38491</v>
      </c>
      <c r="M2440">
        <v>18</v>
      </c>
      <c r="N2440" t="s">
        <v>88</v>
      </c>
      <c r="O2440" t="s">
        <v>3924</v>
      </c>
      <c r="P2440" t="s">
        <v>76</v>
      </c>
      <c r="Q2440" t="s">
        <v>905</v>
      </c>
      <c r="R2440" t="s">
        <v>76</v>
      </c>
      <c r="S2440" t="s">
        <v>76</v>
      </c>
      <c r="T2440" t="s">
        <v>76</v>
      </c>
      <c r="U2440">
        <v>1</v>
      </c>
      <c r="V2440" s="13">
        <v>45175</v>
      </c>
      <c r="W2440">
        <v>1</v>
      </c>
      <c r="X2440">
        <v>1</v>
      </c>
      <c r="Y2440" t="s">
        <v>3678</v>
      </c>
      <c r="AC2440">
        <v>6320</v>
      </c>
      <c r="AD2440" t="e" vm="2430">
        <v>#VALUE!</v>
      </c>
    </row>
    <row r="2441" spans="2:30" x14ac:dyDescent="0.25">
      <c r="B2441">
        <v>6321</v>
      </c>
      <c r="C2441" t="s">
        <v>3659</v>
      </c>
      <c r="D2441" t="s">
        <v>3677</v>
      </c>
      <c r="E2441" t="s">
        <v>3823</v>
      </c>
      <c r="F2441" t="s">
        <v>87</v>
      </c>
      <c r="G2441" t="s">
        <v>86</v>
      </c>
      <c r="H2441" t="s">
        <v>3913</v>
      </c>
      <c r="I2441" t="s">
        <v>3913</v>
      </c>
      <c r="J2441" t="s">
        <v>3923</v>
      </c>
      <c r="K2441" t="s">
        <v>3915</v>
      </c>
      <c r="L2441" s="13">
        <v>38512</v>
      </c>
      <c r="M2441">
        <v>18</v>
      </c>
      <c r="N2441" t="s">
        <v>88</v>
      </c>
      <c r="O2441" t="s">
        <v>3924</v>
      </c>
      <c r="P2441" t="s">
        <v>76</v>
      </c>
      <c r="Q2441" t="s">
        <v>905</v>
      </c>
      <c r="R2441" t="s">
        <v>76</v>
      </c>
      <c r="S2441" t="s">
        <v>76</v>
      </c>
      <c r="T2441" t="s">
        <v>76</v>
      </c>
      <c r="U2441">
        <v>1</v>
      </c>
      <c r="V2441" s="13">
        <v>45175</v>
      </c>
      <c r="W2441">
        <v>1</v>
      </c>
      <c r="X2441">
        <v>1</v>
      </c>
      <c r="Y2441" t="s">
        <v>3678</v>
      </c>
      <c r="AC2441">
        <v>6321</v>
      </c>
      <c r="AD2441" t="e" vm="2431">
        <v>#VALUE!</v>
      </c>
    </row>
    <row r="2442" spans="2:30" x14ac:dyDescent="0.25">
      <c r="B2442">
        <v>6322</v>
      </c>
      <c r="C2442" t="s">
        <v>3659</v>
      </c>
      <c r="D2442" t="s">
        <v>3677</v>
      </c>
      <c r="E2442" t="s">
        <v>3823</v>
      </c>
      <c r="F2442" t="s">
        <v>87</v>
      </c>
      <c r="G2442" t="s">
        <v>86</v>
      </c>
      <c r="H2442" t="s">
        <v>3913</v>
      </c>
      <c r="I2442" t="s">
        <v>3913</v>
      </c>
      <c r="J2442" t="s">
        <v>3923</v>
      </c>
      <c r="K2442" t="s">
        <v>3915</v>
      </c>
      <c r="L2442" s="13">
        <v>38532</v>
      </c>
      <c r="M2442">
        <v>18</v>
      </c>
      <c r="N2442" t="s">
        <v>88</v>
      </c>
      <c r="O2442" t="s">
        <v>3924</v>
      </c>
      <c r="P2442" t="s">
        <v>76</v>
      </c>
      <c r="Q2442" t="s">
        <v>905</v>
      </c>
      <c r="R2442" t="s">
        <v>76</v>
      </c>
      <c r="S2442" t="s">
        <v>76</v>
      </c>
      <c r="T2442" t="s">
        <v>76</v>
      </c>
      <c r="U2442">
        <v>1</v>
      </c>
      <c r="V2442" s="13">
        <v>45175</v>
      </c>
      <c r="W2442">
        <v>1</v>
      </c>
      <c r="X2442">
        <v>1</v>
      </c>
      <c r="Y2442" t="s">
        <v>3678</v>
      </c>
      <c r="AC2442">
        <v>6322</v>
      </c>
      <c r="AD2442" t="e" vm="2432">
        <v>#VALUE!</v>
      </c>
    </row>
    <row r="2443" spans="2:30" x14ac:dyDescent="0.25">
      <c r="B2443">
        <v>6323</v>
      </c>
      <c r="C2443" t="s">
        <v>3659</v>
      </c>
      <c r="D2443" t="s">
        <v>3677</v>
      </c>
      <c r="E2443" t="s">
        <v>3823</v>
      </c>
      <c r="F2443" t="s">
        <v>87</v>
      </c>
      <c r="G2443" t="s">
        <v>86</v>
      </c>
      <c r="H2443" t="s">
        <v>3913</v>
      </c>
      <c r="I2443" t="s">
        <v>3913</v>
      </c>
      <c r="J2443" t="s">
        <v>3923</v>
      </c>
      <c r="K2443" t="s">
        <v>3915</v>
      </c>
      <c r="L2443" s="13">
        <v>38552</v>
      </c>
      <c r="M2443">
        <v>18</v>
      </c>
      <c r="N2443" t="s">
        <v>88</v>
      </c>
      <c r="O2443" t="s">
        <v>3924</v>
      </c>
      <c r="P2443" t="s">
        <v>76</v>
      </c>
      <c r="Q2443" t="s">
        <v>905</v>
      </c>
      <c r="R2443" t="s">
        <v>76</v>
      </c>
      <c r="S2443" t="s">
        <v>76</v>
      </c>
      <c r="T2443" t="s">
        <v>76</v>
      </c>
      <c r="U2443">
        <v>1</v>
      </c>
      <c r="V2443" s="13">
        <v>45175</v>
      </c>
      <c r="W2443">
        <v>1</v>
      </c>
      <c r="X2443">
        <v>1</v>
      </c>
      <c r="Y2443" t="s">
        <v>3678</v>
      </c>
      <c r="AC2443">
        <v>6323</v>
      </c>
      <c r="AD2443" t="e" vm="2433">
        <v>#VALUE!</v>
      </c>
    </row>
    <row r="2444" spans="2:30" x14ac:dyDescent="0.25">
      <c r="B2444">
        <v>6324</v>
      </c>
      <c r="C2444" t="s">
        <v>3659</v>
      </c>
      <c r="D2444" t="s">
        <v>3677</v>
      </c>
      <c r="E2444" t="s">
        <v>3823</v>
      </c>
      <c r="F2444" t="s">
        <v>87</v>
      </c>
      <c r="G2444" t="s">
        <v>86</v>
      </c>
      <c r="H2444" t="s">
        <v>3913</v>
      </c>
      <c r="I2444" t="s">
        <v>3913</v>
      </c>
      <c r="J2444" t="s">
        <v>3923</v>
      </c>
      <c r="K2444" t="s">
        <v>3915</v>
      </c>
      <c r="L2444" s="13">
        <v>38580</v>
      </c>
      <c r="M2444">
        <v>18</v>
      </c>
      <c r="N2444" t="s">
        <v>88</v>
      </c>
      <c r="O2444" t="s">
        <v>3924</v>
      </c>
      <c r="P2444" t="s">
        <v>76</v>
      </c>
      <c r="Q2444" t="s">
        <v>905</v>
      </c>
      <c r="R2444" t="s">
        <v>76</v>
      </c>
      <c r="S2444" t="s">
        <v>76</v>
      </c>
      <c r="T2444" t="s">
        <v>76</v>
      </c>
      <c r="U2444">
        <v>1</v>
      </c>
      <c r="V2444" s="13">
        <v>45175</v>
      </c>
      <c r="W2444">
        <v>1</v>
      </c>
      <c r="X2444">
        <v>1</v>
      </c>
      <c r="Y2444" t="s">
        <v>3678</v>
      </c>
      <c r="AC2444">
        <v>6324</v>
      </c>
      <c r="AD2444" t="e" vm="2434">
        <v>#VALUE!</v>
      </c>
    </row>
    <row r="2445" spans="2:30" x14ac:dyDescent="0.25">
      <c r="B2445">
        <v>6325</v>
      </c>
      <c r="C2445" t="s">
        <v>3659</v>
      </c>
      <c r="D2445" t="s">
        <v>3677</v>
      </c>
      <c r="E2445" t="s">
        <v>3823</v>
      </c>
      <c r="F2445" t="s">
        <v>87</v>
      </c>
      <c r="G2445" t="s">
        <v>86</v>
      </c>
      <c r="H2445" t="s">
        <v>3913</v>
      </c>
      <c r="I2445" t="s">
        <v>3913</v>
      </c>
      <c r="J2445" t="s">
        <v>3923</v>
      </c>
      <c r="K2445" t="s">
        <v>3915</v>
      </c>
      <c r="L2445" s="13">
        <v>38602</v>
      </c>
      <c r="M2445">
        <v>18</v>
      </c>
      <c r="N2445" t="s">
        <v>88</v>
      </c>
      <c r="O2445" t="s">
        <v>3924</v>
      </c>
      <c r="P2445" t="s">
        <v>76</v>
      </c>
      <c r="Q2445" t="s">
        <v>905</v>
      </c>
      <c r="R2445" t="s">
        <v>76</v>
      </c>
      <c r="S2445" t="s">
        <v>76</v>
      </c>
      <c r="T2445" t="s">
        <v>76</v>
      </c>
      <c r="U2445">
        <v>1</v>
      </c>
      <c r="V2445" s="13">
        <v>45175</v>
      </c>
      <c r="W2445">
        <v>1</v>
      </c>
      <c r="X2445">
        <v>1</v>
      </c>
      <c r="Y2445" t="s">
        <v>3678</v>
      </c>
      <c r="AC2445">
        <v>6325</v>
      </c>
      <c r="AD2445" t="e" vm="2435">
        <v>#VALUE!</v>
      </c>
    </row>
    <row r="2446" spans="2:30" x14ac:dyDescent="0.25">
      <c r="B2446">
        <v>6326</v>
      </c>
      <c r="C2446" t="s">
        <v>3659</v>
      </c>
      <c r="D2446" t="s">
        <v>3677</v>
      </c>
      <c r="E2446" t="s">
        <v>3823</v>
      </c>
      <c r="F2446" t="s">
        <v>87</v>
      </c>
      <c r="G2446" t="s">
        <v>86</v>
      </c>
      <c r="H2446" t="s">
        <v>3913</v>
      </c>
      <c r="I2446" t="s">
        <v>3913</v>
      </c>
      <c r="J2446" t="s">
        <v>3923</v>
      </c>
      <c r="K2446" t="s">
        <v>3915</v>
      </c>
      <c r="L2446" s="13">
        <v>38621</v>
      </c>
      <c r="M2446">
        <v>18</v>
      </c>
      <c r="N2446" t="s">
        <v>88</v>
      </c>
      <c r="O2446" t="s">
        <v>3924</v>
      </c>
      <c r="P2446" t="s">
        <v>76</v>
      </c>
      <c r="Q2446" t="s">
        <v>905</v>
      </c>
      <c r="R2446" t="s">
        <v>76</v>
      </c>
      <c r="S2446" t="s">
        <v>76</v>
      </c>
      <c r="T2446" t="s">
        <v>76</v>
      </c>
      <c r="U2446">
        <v>1</v>
      </c>
      <c r="V2446" s="13">
        <v>45175</v>
      </c>
      <c r="W2446">
        <v>1</v>
      </c>
      <c r="X2446">
        <v>1</v>
      </c>
      <c r="Y2446" t="s">
        <v>3678</v>
      </c>
      <c r="AC2446">
        <v>6326</v>
      </c>
      <c r="AD2446" t="e" vm="2436">
        <v>#VALUE!</v>
      </c>
    </row>
    <row r="2447" spans="2:30" x14ac:dyDescent="0.25">
      <c r="B2447">
        <v>6327</v>
      </c>
      <c r="C2447" t="s">
        <v>3659</v>
      </c>
      <c r="D2447" t="s">
        <v>3677</v>
      </c>
      <c r="E2447" t="s">
        <v>3823</v>
      </c>
      <c r="F2447" t="s">
        <v>87</v>
      </c>
      <c r="G2447" t="s">
        <v>86</v>
      </c>
      <c r="H2447" t="s">
        <v>3913</v>
      </c>
      <c r="I2447" t="s">
        <v>3913</v>
      </c>
      <c r="J2447" t="s">
        <v>3923</v>
      </c>
      <c r="K2447" t="s">
        <v>3915</v>
      </c>
      <c r="L2447" s="13">
        <v>38631</v>
      </c>
      <c r="M2447">
        <v>18</v>
      </c>
      <c r="N2447" t="s">
        <v>88</v>
      </c>
      <c r="O2447" t="s">
        <v>3924</v>
      </c>
      <c r="P2447" t="s">
        <v>76</v>
      </c>
      <c r="Q2447" t="s">
        <v>905</v>
      </c>
      <c r="R2447" t="s">
        <v>76</v>
      </c>
      <c r="S2447" t="s">
        <v>76</v>
      </c>
      <c r="T2447" t="s">
        <v>76</v>
      </c>
      <c r="U2447">
        <v>1</v>
      </c>
      <c r="V2447" s="13">
        <v>45175</v>
      </c>
      <c r="W2447">
        <v>1</v>
      </c>
      <c r="X2447">
        <v>1</v>
      </c>
      <c r="Y2447" t="s">
        <v>3678</v>
      </c>
      <c r="AC2447">
        <v>6327</v>
      </c>
      <c r="AD2447" t="e" vm="2437">
        <v>#VALUE!</v>
      </c>
    </row>
    <row r="2448" spans="2:30" x14ac:dyDescent="0.25">
      <c r="B2448">
        <v>6328</v>
      </c>
      <c r="C2448" t="s">
        <v>3659</v>
      </c>
      <c r="D2448" t="s">
        <v>3677</v>
      </c>
      <c r="E2448" t="s">
        <v>3823</v>
      </c>
      <c r="F2448" t="s">
        <v>87</v>
      </c>
      <c r="G2448" t="s">
        <v>86</v>
      </c>
      <c r="H2448" t="s">
        <v>3913</v>
      </c>
      <c r="I2448" t="s">
        <v>3913</v>
      </c>
      <c r="J2448" t="s">
        <v>3923</v>
      </c>
      <c r="K2448" t="s">
        <v>3915</v>
      </c>
      <c r="L2448" s="13">
        <v>38644</v>
      </c>
      <c r="M2448">
        <v>18</v>
      </c>
      <c r="N2448" t="s">
        <v>88</v>
      </c>
      <c r="O2448" t="s">
        <v>3924</v>
      </c>
      <c r="P2448" t="s">
        <v>76</v>
      </c>
      <c r="Q2448" t="s">
        <v>905</v>
      </c>
      <c r="R2448" t="s">
        <v>76</v>
      </c>
      <c r="S2448" t="s">
        <v>76</v>
      </c>
      <c r="T2448" t="s">
        <v>76</v>
      </c>
      <c r="U2448">
        <v>1</v>
      </c>
      <c r="V2448" s="13">
        <v>45175</v>
      </c>
      <c r="W2448">
        <v>1</v>
      </c>
      <c r="X2448">
        <v>1</v>
      </c>
      <c r="Y2448" t="s">
        <v>3678</v>
      </c>
      <c r="AC2448">
        <v>6328</v>
      </c>
      <c r="AD2448" t="e" vm="2438">
        <v>#VALUE!</v>
      </c>
    </row>
    <row r="2449" spans="2:30" x14ac:dyDescent="0.25">
      <c r="B2449">
        <v>6329</v>
      </c>
      <c r="C2449" t="s">
        <v>3659</v>
      </c>
      <c r="D2449" t="s">
        <v>3677</v>
      </c>
      <c r="E2449" t="s">
        <v>3823</v>
      </c>
      <c r="F2449" t="s">
        <v>87</v>
      </c>
      <c r="G2449" t="s">
        <v>86</v>
      </c>
      <c r="H2449" t="s">
        <v>3913</v>
      </c>
      <c r="I2449" t="s">
        <v>3913</v>
      </c>
      <c r="J2449" t="s">
        <v>3923</v>
      </c>
      <c r="K2449" t="s">
        <v>3915</v>
      </c>
      <c r="L2449" s="13">
        <v>38660</v>
      </c>
      <c r="M2449">
        <v>18</v>
      </c>
      <c r="N2449" t="s">
        <v>88</v>
      </c>
      <c r="O2449" t="s">
        <v>3924</v>
      </c>
      <c r="P2449" t="s">
        <v>76</v>
      </c>
      <c r="Q2449" t="s">
        <v>905</v>
      </c>
      <c r="R2449" t="s">
        <v>76</v>
      </c>
      <c r="S2449" t="s">
        <v>76</v>
      </c>
      <c r="T2449" t="s">
        <v>76</v>
      </c>
      <c r="U2449">
        <v>1</v>
      </c>
      <c r="V2449" s="13">
        <v>45175</v>
      </c>
      <c r="W2449">
        <v>1</v>
      </c>
      <c r="X2449">
        <v>1</v>
      </c>
      <c r="Y2449" t="s">
        <v>3678</v>
      </c>
      <c r="AC2449">
        <v>6329</v>
      </c>
      <c r="AD2449" t="e" vm="2439">
        <v>#VALUE!</v>
      </c>
    </row>
    <row r="2450" spans="2:30" x14ac:dyDescent="0.25">
      <c r="B2450">
        <v>6330</v>
      </c>
      <c r="C2450" t="s">
        <v>3659</v>
      </c>
      <c r="D2450" t="s">
        <v>3677</v>
      </c>
      <c r="E2450" t="s">
        <v>3823</v>
      </c>
      <c r="F2450" t="s">
        <v>87</v>
      </c>
      <c r="G2450" t="s">
        <v>86</v>
      </c>
      <c r="H2450" t="s">
        <v>3913</v>
      </c>
      <c r="I2450" t="s">
        <v>3913</v>
      </c>
      <c r="J2450" t="s">
        <v>3923</v>
      </c>
      <c r="K2450" t="s">
        <v>3915</v>
      </c>
      <c r="L2450" s="13">
        <v>38681</v>
      </c>
      <c r="M2450">
        <v>18</v>
      </c>
      <c r="N2450" t="s">
        <v>88</v>
      </c>
      <c r="O2450" t="s">
        <v>3924</v>
      </c>
      <c r="P2450" t="s">
        <v>76</v>
      </c>
      <c r="Q2450" t="s">
        <v>905</v>
      </c>
      <c r="R2450" t="s">
        <v>76</v>
      </c>
      <c r="S2450" t="s">
        <v>76</v>
      </c>
      <c r="T2450" t="s">
        <v>76</v>
      </c>
      <c r="U2450">
        <v>1</v>
      </c>
      <c r="V2450" s="13">
        <v>45175</v>
      </c>
      <c r="W2450">
        <v>1</v>
      </c>
      <c r="X2450">
        <v>1</v>
      </c>
      <c r="Y2450" t="s">
        <v>3678</v>
      </c>
      <c r="AC2450">
        <v>6330</v>
      </c>
      <c r="AD2450" t="e" vm="2440">
        <v>#VALUE!</v>
      </c>
    </row>
    <row r="2451" spans="2:30" x14ac:dyDescent="0.25">
      <c r="B2451">
        <v>6331</v>
      </c>
      <c r="C2451" t="s">
        <v>3659</v>
      </c>
      <c r="D2451" t="s">
        <v>3677</v>
      </c>
      <c r="E2451" t="s">
        <v>3823</v>
      </c>
      <c r="F2451" t="s">
        <v>87</v>
      </c>
      <c r="G2451" t="s">
        <v>86</v>
      </c>
      <c r="H2451" t="s">
        <v>3913</v>
      </c>
      <c r="I2451" t="s">
        <v>3913</v>
      </c>
      <c r="J2451" t="s">
        <v>3923</v>
      </c>
      <c r="K2451" t="s">
        <v>3915</v>
      </c>
      <c r="L2451" s="13">
        <v>38699</v>
      </c>
      <c r="M2451">
        <v>18</v>
      </c>
      <c r="N2451" t="s">
        <v>88</v>
      </c>
      <c r="O2451" t="s">
        <v>3924</v>
      </c>
      <c r="P2451" t="s">
        <v>76</v>
      </c>
      <c r="Q2451" t="s">
        <v>905</v>
      </c>
      <c r="R2451" t="s">
        <v>76</v>
      </c>
      <c r="S2451" t="s">
        <v>76</v>
      </c>
      <c r="T2451" t="s">
        <v>76</v>
      </c>
      <c r="U2451">
        <v>1</v>
      </c>
      <c r="V2451" s="13">
        <v>45175</v>
      </c>
      <c r="W2451">
        <v>1</v>
      </c>
      <c r="X2451">
        <v>1</v>
      </c>
      <c r="Y2451" t="s">
        <v>3678</v>
      </c>
      <c r="AC2451">
        <v>6331</v>
      </c>
      <c r="AD2451" t="e" vm="2441">
        <v>#VALUE!</v>
      </c>
    </row>
    <row r="2452" spans="2:30" x14ac:dyDescent="0.25">
      <c r="B2452">
        <v>6332</v>
      </c>
      <c r="C2452" t="s">
        <v>3659</v>
      </c>
      <c r="D2452" t="s">
        <v>3677</v>
      </c>
      <c r="E2452" t="s">
        <v>3823</v>
      </c>
      <c r="F2452" t="s">
        <v>87</v>
      </c>
      <c r="G2452" t="s">
        <v>86</v>
      </c>
      <c r="H2452" t="s">
        <v>3913</v>
      </c>
      <c r="I2452" t="s">
        <v>3913</v>
      </c>
      <c r="J2452" t="s">
        <v>3923</v>
      </c>
      <c r="K2452" t="s">
        <v>3915</v>
      </c>
      <c r="L2452" s="13">
        <v>39210</v>
      </c>
      <c r="M2452">
        <v>16</v>
      </c>
      <c r="N2452" t="s">
        <v>88</v>
      </c>
      <c r="O2452" t="s">
        <v>3924</v>
      </c>
      <c r="P2452" t="s">
        <v>76</v>
      </c>
      <c r="Q2452" t="s">
        <v>905</v>
      </c>
      <c r="R2452" t="s">
        <v>76</v>
      </c>
      <c r="S2452" t="s">
        <v>76</v>
      </c>
      <c r="T2452" t="s">
        <v>76</v>
      </c>
      <c r="U2452">
        <v>1</v>
      </c>
      <c r="V2452" s="13">
        <v>45175</v>
      </c>
      <c r="W2452">
        <v>1</v>
      </c>
      <c r="X2452">
        <v>1</v>
      </c>
      <c r="Y2452" t="s">
        <v>3678</v>
      </c>
      <c r="AC2452">
        <v>6332</v>
      </c>
      <c r="AD2452" t="e" vm="2442">
        <v>#VALUE!</v>
      </c>
    </row>
    <row r="2453" spans="2:30" x14ac:dyDescent="0.25">
      <c r="B2453">
        <v>6333</v>
      </c>
      <c r="C2453" t="s">
        <v>3659</v>
      </c>
      <c r="D2453" t="s">
        <v>3677</v>
      </c>
      <c r="E2453" t="s">
        <v>3823</v>
      </c>
      <c r="F2453" t="s">
        <v>87</v>
      </c>
      <c r="G2453" t="s">
        <v>86</v>
      </c>
      <c r="H2453" t="s">
        <v>3913</v>
      </c>
      <c r="I2453" t="s">
        <v>3913</v>
      </c>
      <c r="J2453" t="s">
        <v>3923</v>
      </c>
      <c r="K2453" t="s">
        <v>3915</v>
      </c>
      <c r="L2453" s="13">
        <v>39234</v>
      </c>
      <c r="M2453">
        <v>16</v>
      </c>
      <c r="N2453" t="s">
        <v>88</v>
      </c>
      <c r="O2453" t="s">
        <v>3924</v>
      </c>
      <c r="P2453" t="s">
        <v>76</v>
      </c>
      <c r="Q2453" t="s">
        <v>905</v>
      </c>
      <c r="R2453" t="s">
        <v>76</v>
      </c>
      <c r="S2453" t="s">
        <v>76</v>
      </c>
      <c r="T2453" t="s">
        <v>76</v>
      </c>
      <c r="U2453">
        <v>1</v>
      </c>
      <c r="V2453" s="13">
        <v>45175</v>
      </c>
      <c r="W2453">
        <v>1</v>
      </c>
      <c r="X2453">
        <v>1</v>
      </c>
      <c r="Y2453" t="s">
        <v>3678</v>
      </c>
      <c r="AC2453">
        <v>6333</v>
      </c>
      <c r="AD2453" t="e" vm="2443">
        <v>#VALUE!</v>
      </c>
    </row>
    <row r="2454" spans="2:30" x14ac:dyDescent="0.25">
      <c r="B2454">
        <v>6334</v>
      </c>
      <c r="C2454" t="s">
        <v>3659</v>
      </c>
      <c r="D2454" t="s">
        <v>73</v>
      </c>
      <c r="E2454" t="s">
        <v>73</v>
      </c>
      <c r="F2454" t="s">
        <v>3816</v>
      </c>
      <c r="G2454" t="s">
        <v>3816</v>
      </c>
      <c r="H2454" t="s">
        <v>3913</v>
      </c>
      <c r="I2454" t="s">
        <v>3913</v>
      </c>
      <c r="J2454" t="s">
        <v>3923</v>
      </c>
      <c r="K2454" t="s">
        <v>3915</v>
      </c>
      <c r="L2454" s="13">
        <v>39260</v>
      </c>
      <c r="M2454">
        <v>16</v>
      </c>
      <c r="N2454" t="s">
        <v>88</v>
      </c>
      <c r="O2454" t="s">
        <v>3924</v>
      </c>
      <c r="P2454" t="s">
        <v>76</v>
      </c>
      <c r="Q2454" t="s">
        <v>905</v>
      </c>
      <c r="R2454" t="s">
        <v>76</v>
      </c>
      <c r="S2454" t="s">
        <v>76</v>
      </c>
      <c r="T2454" t="s">
        <v>76</v>
      </c>
      <c r="U2454">
        <v>1</v>
      </c>
      <c r="V2454" s="13">
        <v>45175</v>
      </c>
      <c r="W2454">
        <v>1</v>
      </c>
      <c r="X2454">
        <v>1</v>
      </c>
      <c r="Y2454" t="s">
        <v>3719</v>
      </c>
      <c r="AC2454">
        <v>6334</v>
      </c>
      <c r="AD2454" t="e" vm="2444">
        <v>#VALUE!</v>
      </c>
    </row>
    <row r="2455" spans="2:30" x14ac:dyDescent="0.25">
      <c r="B2455">
        <v>6335</v>
      </c>
      <c r="C2455" t="s">
        <v>3659</v>
      </c>
      <c r="D2455" t="s">
        <v>73</v>
      </c>
      <c r="E2455" t="s">
        <v>73</v>
      </c>
      <c r="F2455" t="s">
        <v>3816</v>
      </c>
      <c r="G2455" t="s">
        <v>3816</v>
      </c>
      <c r="H2455" t="s">
        <v>3913</v>
      </c>
      <c r="I2455" t="s">
        <v>3913</v>
      </c>
      <c r="J2455" t="s">
        <v>3923</v>
      </c>
      <c r="K2455" t="s">
        <v>3915</v>
      </c>
      <c r="L2455" s="13">
        <v>39288</v>
      </c>
      <c r="M2455">
        <v>16</v>
      </c>
      <c r="N2455" t="s">
        <v>88</v>
      </c>
      <c r="O2455" t="s">
        <v>3924</v>
      </c>
      <c r="P2455" t="s">
        <v>76</v>
      </c>
      <c r="Q2455" t="s">
        <v>905</v>
      </c>
      <c r="R2455" t="s">
        <v>76</v>
      </c>
      <c r="S2455" t="s">
        <v>76</v>
      </c>
      <c r="T2455" t="s">
        <v>76</v>
      </c>
      <c r="U2455">
        <v>1</v>
      </c>
      <c r="V2455" s="13">
        <v>45175</v>
      </c>
      <c r="W2455">
        <v>1</v>
      </c>
      <c r="X2455">
        <v>1</v>
      </c>
      <c r="Y2455" t="s">
        <v>3719</v>
      </c>
      <c r="AC2455">
        <v>6335</v>
      </c>
      <c r="AD2455" t="e" vm="2445">
        <v>#VALUE!</v>
      </c>
    </row>
    <row r="2456" spans="2:30" x14ac:dyDescent="0.25">
      <c r="B2456">
        <v>6336</v>
      </c>
      <c r="C2456" t="s">
        <v>3659</v>
      </c>
      <c r="D2456" t="s">
        <v>73</v>
      </c>
      <c r="E2456" t="s">
        <v>73</v>
      </c>
      <c r="F2456" t="s">
        <v>3816</v>
      </c>
      <c r="G2456" t="s">
        <v>3816</v>
      </c>
      <c r="H2456" t="s">
        <v>3913</v>
      </c>
      <c r="I2456" t="s">
        <v>3913</v>
      </c>
      <c r="J2456" t="s">
        <v>3923</v>
      </c>
      <c r="K2456" t="s">
        <v>3915</v>
      </c>
      <c r="L2456" s="13">
        <v>39311</v>
      </c>
      <c r="M2456">
        <v>16</v>
      </c>
      <c r="N2456" t="s">
        <v>88</v>
      </c>
      <c r="O2456" t="s">
        <v>3924</v>
      </c>
      <c r="P2456" t="s">
        <v>76</v>
      </c>
      <c r="Q2456" t="s">
        <v>905</v>
      </c>
      <c r="R2456" t="s">
        <v>76</v>
      </c>
      <c r="S2456" t="s">
        <v>76</v>
      </c>
      <c r="T2456" t="s">
        <v>76</v>
      </c>
      <c r="U2456">
        <v>1</v>
      </c>
      <c r="V2456" s="13">
        <v>45175</v>
      </c>
      <c r="W2456">
        <v>1</v>
      </c>
      <c r="X2456">
        <v>1</v>
      </c>
      <c r="Y2456" t="s">
        <v>3719</v>
      </c>
      <c r="AC2456">
        <v>6336</v>
      </c>
      <c r="AD2456" t="e" vm="2446">
        <v>#VALUE!</v>
      </c>
    </row>
    <row r="2457" spans="2:30" x14ac:dyDescent="0.25">
      <c r="B2457">
        <v>6337</v>
      </c>
      <c r="C2457" t="s">
        <v>3659</v>
      </c>
      <c r="D2457" t="s">
        <v>73</v>
      </c>
      <c r="E2457" t="s">
        <v>73</v>
      </c>
      <c r="F2457" t="s">
        <v>3816</v>
      </c>
      <c r="G2457" t="s">
        <v>3816</v>
      </c>
      <c r="H2457" t="s">
        <v>3913</v>
      </c>
      <c r="I2457" t="s">
        <v>3913</v>
      </c>
      <c r="J2457" t="s">
        <v>3923</v>
      </c>
      <c r="K2457" t="s">
        <v>3915</v>
      </c>
      <c r="L2457" s="13">
        <v>39344</v>
      </c>
      <c r="M2457">
        <v>16</v>
      </c>
      <c r="N2457" t="s">
        <v>88</v>
      </c>
      <c r="O2457" t="s">
        <v>3924</v>
      </c>
      <c r="P2457" t="s">
        <v>76</v>
      </c>
      <c r="Q2457" t="s">
        <v>905</v>
      </c>
      <c r="R2457" t="s">
        <v>76</v>
      </c>
      <c r="S2457" t="s">
        <v>76</v>
      </c>
      <c r="T2457" t="s">
        <v>76</v>
      </c>
      <c r="U2457">
        <v>1</v>
      </c>
      <c r="V2457" s="13">
        <v>45175</v>
      </c>
      <c r="W2457">
        <v>1</v>
      </c>
      <c r="X2457">
        <v>1</v>
      </c>
      <c r="Y2457" t="s">
        <v>3719</v>
      </c>
      <c r="AC2457">
        <v>6337</v>
      </c>
      <c r="AD2457" t="e" vm="2447">
        <v>#VALUE!</v>
      </c>
    </row>
    <row r="2458" spans="2:30" x14ac:dyDescent="0.25">
      <c r="B2458">
        <v>6338</v>
      </c>
      <c r="C2458" t="s">
        <v>3659</v>
      </c>
      <c r="D2458" t="s">
        <v>73</v>
      </c>
      <c r="E2458" t="s">
        <v>73</v>
      </c>
      <c r="F2458" t="s">
        <v>3816</v>
      </c>
      <c r="G2458" t="s">
        <v>3816</v>
      </c>
      <c r="H2458" t="s">
        <v>3913</v>
      </c>
      <c r="I2458" t="s">
        <v>3913</v>
      </c>
      <c r="J2458" t="s">
        <v>3923</v>
      </c>
      <c r="K2458" t="s">
        <v>3915</v>
      </c>
      <c r="L2458" s="13">
        <v>39364</v>
      </c>
      <c r="M2458">
        <v>16</v>
      </c>
      <c r="N2458" t="s">
        <v>88</v>
      </c>
      <c r="O2458" t="s">
        <v>3924</v>
      </c>
      <c r="P2458" t="s">
        <v>76</v>
      </c>
      <c r="Q2458" t="s">
        <v>905</v>
      </c>
      <c r="R2458" t="s">
        <v>76</v>
      </c>
      <c r="S2458" t="s">
        <v>76</v>
      </c>
      <c r="T2458" t="s">
        <v>76</v>
      </c>
      <c r="U2458">
        <v>1</v>
      </c>
      <c r="V2458" s="13">
        <v>45175</v>
      </c>
      <c r="W2458">
        <v>1</v>
      </c>
      <c r="X2458">
        <v>1</v>
      </c>
      <c r="Y2458" t="s">
        <v>3719</v>
      </c>
      <c r="AC2458">
        <v>6338</v>
      </c>
      <c r="AD2458" t="e" vm="2448">
        <v>#VALUE!</v>
      </c>
    </row>
    <row r="2459" spans="2:30" x14ac:dyDescent="0.25">
      <c r="B2459">
        <v>6339</v>
      </c>
      <c r="C2459" t="s">
        <v>3659</v>
      </c>
      <c r="D2459" t="s">
        <v>73</v>
      </c>
      <c r="E2459" t="s">
        <v>73</v>
      </c>
      <c r="F2459" t="s">
        <v>3816</v>
      </c>
      <c r="G2459" t="s">
        <v>3816</v>
      </c>
      <c r="H2459" t="s">
        <v>3913</v>
      </c>
      <c r="I2459" t="s">
        <v>3913</v>
      </c>
      <c r="J2459" t="s">
        <v>3923</v>
      </c>
      <c r="K2459" t="s">
        <v>3915</v>
      </c>
      <c r="L2459" s="13">
        <v>39384</v>
      </c>
      <c r="M2459">
        <v>16</v>
      </c>
      <c r="N2459" t="s">
        <v>88</v>
      </c>
      <c r="O2459" t="s">
        <v>3924</v>
      </c>
      <c r="P2459" t="s">
        <v>76</v>
      </c>
      <c r="Q2459" t="s">
        <v>905</v>
      </c>
      <c r="R2459" t="s">
        <v>76</v>
      </c>
      <c r="S2459" t="s">
        <v>76</v>
      </c>
      <c r="T2459" t="s">
        <v>76</v>
      </c>
      <c r="U2459">
        <v>1</v>
      </c>
      <c r="V2459" s="13">
        <v>45175</v>
      </c>
      <c r="W2459">
        <v>1</v>
      </c>
      <c r="X2459">
        <v>1</v>
      </c>
      <c r="Y2459" t="s">
        <v>3719</v>
      </c>
      <c r="AC2459">
        <v>6339</v>
      </c>
      <c r="AD2459" t="e" vm="2449">
        <v>#VALUE!</v>
      </c>
    </row>
    <row r="2460" spans="2:30" x14ac:dyDescent="0.25">
      <c r="B2460">
        <v>6340</v>
      </c>
      <c r="C2460" t="s">
        <v>3659</v>
      </c>
      <c r="D2460" t="s">
        <v>73</v>
      </c>
      <c r="E2460" t="s">
        <v>73</v>
      </c>
      <c r="F2460" t="s">
        <v>3816</v>
      </c>
      <c r="G2460" t="s">
        <v>3816</v>
      </c>
      <c r="H2460" t="s">
        <v>3913</v>
      </c>
      <c r="I2460" t="s">
        <v>3913</v>
      </c>
      <c r="J2460" t="s">
        <v>3923</v>
      </c>
      <c r="K2460" t="s">
        <v>3915</v>
      </c>
      <c r="L2460" s="13">
        <v>39407</v>
      </c>
      <c r="M2460">
        <v>16</v>
      </c>
      <c r="N2460" t="s">
        <v>88</v>
      </c>
      <c r="O2460" t="s">
        <v>3924</v>
      </c>
      <c r="P2460" t="s">
        <v>76</v>
      </c>
      <c r="Q2460" t="s">
        <v>905</v>
      </c>
      <c r="R2460" t="s">
        <v>76</v>
      </c>
      <c r="S2460" t="s">
        <v>76</v>
      </c>
      <c r="T2460" t="s">
        <v>76</v>
      </c>
      <c r="U2460">
        <v>1</v>
      </c>
      <c r="V2460" s="13">
        <v>45175</v>
      </c>
      <c r="W2460">
        <v>1</v>
      </c>
      <c r="X2460">
        <v>1</v>
      </c>
      <c r="Y2460" t="s">
        <v>3719</v>
      </c>
      <c r="AC2460">
        <v>6340</v>
      </c>
      <c r="AD2460" t="e" vm="2450">
        <v>#VALUE!</v>
      </c>
    </row>
    <row r="2461" spans="2:30" x14ac:dyDescent="0.25">
      <c r="B2461">
        <v>6341</v>
      </c>
      <c r="C2461" t="s">
        <v>3659</v>
      </c>
      <c r="D2461" t="s">
        <v>73</v>
      </c>
      <c r="E2461" t="s">
        <v>73</v>
      </c>
      <c r="F2461" t="s">
        <v>3816</v>
      </c>
      <c r="G2461" t="s">
        <v>3816</v>
      </c>
      <c r="H2461" t="s">
        <v>3913</v>
      </c>
      <c r="I2461" t="s">
        <v>3913</v>
      </c>
      <c r="J2461" t="s">
        <v>3923</v>
      </c>
      <c r="K2461" t="s">
        <v>3915</v>
      </c>
      <c r="L2461" s="13">
        <v>39422</v>
      </c>
      <c r="M2461">
        <v>16</v>
      </c>
      <c r="N2461" t="s">
        <v>88</v>
      </c>
      <c r="O2461" t="s">
        <v>3924</v>
      </c>
      <c r="P2461" t="s">
        <v>76</v>
      </c>
      <c r="Q2461" t="s">
        <v>905</v>
      </c>
      <c r="R2461" t="s">
        <v>76</v>
      </c>
      <c r="S2461" t="s">
        <v>76</v>
      </c>
      <c r="T2461" t="s">
        <v>76</v>
      </c>
      <c r="U2461">
        <v>1</v>
      </c>
      <c r="V2461" s="13">
        <v>45175</v>
      </c>
      <c r="W2461">
        <v>1</v>
      </c>
      <c r="X2461">
        <v>1</v>
      </c>
      <c r="Y2461" t="s">
        <v>3719</v>
      </c>
      <c r="AC2461">
        <v>6341</v>
      </c>
      <c r="AD2461" t="e" vm="2451">
        <v>#VALUE!</v>
      </c>
    </row>
    <row r="2462" spans="2:30" x14ac:dyDescent="0.25">
      <c r="B2462">
        <v>6351</v>
      </c>
      <c r="C2462" t="s">
        <v>3659</v>
      </c>
      <c r="D2462" t="s">
        <v>3677</v>
      </c>
      <c r="E2462" t="s">
        <v>3823</v>
      </c>
      <c r="F2462" t="s">
        <v>87</v>
      </c>
      <c r="G2462" t="s">
        <v>86</v>
      </c>
      <c r="H2462" t="s">
        <v>3913</v>
      </c>
      <c r="I2462" t="s">
        <v>3913</v>
      </c>
      <c r="J2462" t="s">
        <v>3925</v>
      </c>
      <c r="K2462" t="s">
        <v>905</v>
      </c>
      <c r="L2462" s="13">
        <v>42153</v>
      </c>
      <c r="M2462">
        <v>8</v>
      </c>
      <c r="N2462" t="s">
        <v>88</v>
      </c>
      <c r="O2462" t="s">
        <v>3926</v>
      </c>
      <c r="P2462" t="s">
        <v>76</v>
      </c>
      <c r="Q2462" t="s">
        <v>905</v>
      </c>
      <c r="R2462" t="s">
        <v>76</v>
      </c>
      <c r="S2462" t="s">
        <v>76</v>
      </c>
      <c r="T2462" t="s">
        <v>76</v>
      </c>
      <c r="U2462">
        <v>1</v>
      </c>
      <c r="V2462" s="13">
        <v>45175</v>
      </c>
      <c r="W2462">
        <v>1</v>
      </c>
      <c r="X2462">
        <v>1</v>
      </c>
      <c r="Y2462" t="s">
        <v>3678</v>
      </c>
      <c r="AC2462">
        <v>6351</v>
      </c>
      <c r="AD2462" t="e" vm="2452">
        <v>#VALUE!</v>
      </c>
    </row>
    <row r="2463" spans="2:30" x14ac:dyDescent="0.25">
      <c r="B2463">
        <v>6352</v>
      </c>
      <c r="C2463" t="s">
        <v>3659</v>
      </c>
      <c r="D2463" t="s">
        <v>3677</v>
      </c>
      <c r="E2463" t="s">
        <v>3823</v>
      </c>
      <c r="F2463" t="s">
        <v>87</v>
      </c>
      <c r="G2463" t="s">
        <v>86</v>
      </c>
      <c r="H2463" t="s">
        <v>3913</v>
      </c>
      <c r="I2463" t="s">
        <v>3913</v>
      </c>
      <c r="J2463" t="s">
        <v>3925</v>
      </c>
      <c r="K2463" t="s">
        <v>905</v>
      </c>
      <c r="L2463" s="13">
        <v>42079</v>
      </c>
      <c r="M2463">
        <v>9</v>
      </c>
      <c r="N2463" t="s">
        <v>88</v>
      </c>
      <c r="O2463" t="s">
        <v>3926</v>
      </c>
      <c r="P2463" t="s">
        <v>76</v>
      </c>
      <c r="Q2463" t="s">
        <v>905</v>
      </c>
      <c r="R2463" t="s">
        <v>76</v>
      </c>
      <c r="S2463" t="s">
        <v>76</v>
      </c>
      <c r="T2463" t="s">
        <v>76</v>
      </c>
      <c r="U2463">
        <v>1</v>
      </c>
      <c r="V2463" s="13">
        <v>45175</v>
      </c>
      <c r="W2463">
        <v>1</v>
      </c>
      <c r="X2463">
        <v>1</v>
      </c>
      <c r="Y2463" t="s">
        <v>3678</v>
      </c>
      <c r="AC2463">
        <v>6352</v>
      </c>
      <c r="AD2463" t="e" vm="2453">
        <v>#VALUE!</v>
      </c>
    </row>
    <row r="2464" spans="2:30" x14ac:dyDescent="0.25">
      <c r="B2464">
        <v>6353</v>
      </c>
      <c r="C2464" t="s">
        <v>3659</v>
      </c>
      <c r="D2464" t="s">
        <v>3677</v>
      </c>
      <c r="E2464" t="s">
        <v>3823</v>
      </c>
      <c r="F2464" t="s">
        <v>87</v>
      </c>
      <c r="G2464" t="s">
        <v>86</v>
      </c>
      <c r="H2464" t="s">
        <v>3913</v>
      </c>
      <c r="I2464" t="s">
        <v>3913</v>
      </c>
      <c r="J2464" t="s">
        <v>3925</v>
      </c>
      <c r="K2464" t="s">
        <v>905</v>
      </c>
      <c r="L2464" s="13">
        <v>42067</v>
      </c>
      <c r="M2464">
        <v>9</v>
      </c>
      <c r="N2464" t="s">
        <v>88</v>
      </c>
      <c r="O2464" t="s">
        <v>3926</v>
      </c>
      <c r="P2464" t="s">
        <v>76</v>
      </c>
      <c r="Q2464" t="s">
        <v>905</v>
      </c>
      <c r="R2464" t="s">
        <v>76</v>
      </c>
      <c r="S2464" t="s">
        <v>76</v>
      </c>
      <c r="T2464" t="s">
        <v>76</v>
      </c>
      <c r="U2464">
        <v>1</v>
      </c>
      <c r="V2464" s="13">
        <v>45175</v>
      </c>
      <c r="W2464">
        <v>1</v>
      </c>
      <c r="X2464">
        <v>1</v>
      </c>
      <c r="Y2464" t="s">
        <v>3678</v>
      </c>
      <c r="AC2464">
        <v>6353</v>
      </c>
      <c r="AD2464" t="e" vm="2454">
        <v>#VALUE!</v>
      </c>
    </row>
    <row r="2465" spans="2:30" x14ac:dyDescent="0.25">
      <c r="B2465">
        <v>6354</v>
      </c>
      <c r="C2465" t="s">
        <v>3659</v>
      </c>
      <c r="D2465" t="s">
        <v>3677</v>
      </c>
      <c r="E2465" t="s">
        <v>3823</v>
      </c>
      <c r="F2465" t="s">
        <v>87</v>
      </c>
      <c r="G2465" t="s">
        <v>86</v>
      </c>
      <c r="H2465" t="s">
        <v>3913</v>
      </c>
      <c r="I2465" t="s">
        <v>3913</v>
      </c>
      <c r="J2465" t="s">
        <v>3925</v>
      </c>
      <c r="K2465" t="s">
        <v>905</v>
      </c>
      <c r="L2465" s="13">
        <v>42067</v>
      </c>
      <c r="M2465">
        <v>9</v>
      </c>
      <c r="N2465" t="s">
        <v>88</v>
      </c>
      <c r="O2465" t="s">
        <v>3926</v>
      </c>
      <c r="P2465" t="s">
        <v>76</v>
      </c>
      <c r="Q2465" t="s">
        <v>905</v>
      </c>
      <c r="R2465" t="s">
        <v>76</v>
      </c>
      <c r="S2465" t="s">
        <v>76</v>
      </c>
      <c r="T2465" t="s">
        <v>76</v>
      </c>
      <c r="U2465">
        <v>1</v>
      </c>
      <c r="V2465" s="13">
        <v>45175</v>
      </c>
      <c r="W2465">
        <v>1</v>
      </c>
      <c r="X2465">
        <v>1</v>
      </c>
      <c r="Y2465" t="s">
        <v>3678</v>
      </c>
      <c r="AC2465">
        <v>6354</v>
      </c>
      <c r="AD2465" t="e" vm="2455">
        <v>#VALUE!</v>
      </c>
    </row>
    <row r="2466" spans="2:30" x14ac:dyDescent="0.25">
      <c r="B2466">
        <v>6355</v>
      </c>
      <c r="C2466" t="s">
        <v>3659</v>
      </c>
      <c r="D2466" t="s">
        <v>3677</v>
      </c>
      <c r="E2466" t="s">
        <v>3823</v>
      </c>
      <c r="F2466" t="s">
        <v>87</v>
      </c>
      <c r="G2466" t="s">
        <v>86</v>
      </c>
      <c r="H2466" t="s">
        <v>3913</v>
      </c>
      <c r="I2466" t="s">
        <v>3913</v>
      </c>
      <c r="J2466" t="s">
        <v>3925</v>
      </c>
      <c r="K2466" t="s">
        <v>905</v>
      </c>
      <c r="L2466" s="13">
        <v>42095</v>
      </c>
      <c r="M2466">
        <v>8</v>
      </c>
      <c r="N2466" t="s">
        <v>88</v>
      </c>
      <c r="O2466" t="s">
        <v>3926</v>
      </c>
      <c r="P2466" t="s">
        <v>76</v>
      </c>
      <c r="Q2466" t="s">
        <v>905</v>
      </c>
      <c r="R2466" t="s">
        <v>76</v>
      </c>
      <c r="S2466" t="s">
        <v>76</v>
      </c>
      <c r="T2466" t="s">
        <v>76</v>
      </c>
      <c r="U2466">
        <v>1</v>
      </c>
      <c r="V2466" s="13">
        <v>45175</v>
      </c>
      <c r="W2466">
        <v>1</v>
      </c>
      <c r="X2466">
        <v>1</v>
      </c>
      <c r="Y2466" t="s">
        <v>3678</v>
      </c>
      <c r="AC2466">
        <v>6355</v>
      </c>
      <c r="AD2466" t="e" vm="2456">
        <v>#VALUE!</v>
      </c>
    </row>
    <row r="2467" spans="2:30" x14ac:dyDescent="0.25">
      <c r="B2467">
        <v>6356</v>
      </c>
      <c r="C2467" t="s">
        <v>3659</v>
      </c>
      <c r="D2467" t="s">
        <v>3677</v>
      </c>
      <c r="E2467" t="s">
        <v>3823</v>
      </c>
      <c r="F2467" t="s">
        <v>87</v>
      </c>
      <c r="G2467" t="s">
        <v>86</v>
      </c>
      <c r="H2467" t="s">
        <v>3913</v>
      </c>
      <c r="I2467" t="s">
        <v>3913</v>
      </c>
      <c r="J2467" t="s">
        <v>3925</v>
      </c>
      <c r="K2467" t="s">
        <v>905</v>
      </c>
      <c r="L2467" s="13">
        <v>42086</v>
      </c>
      <c r="M2467">
        <v>8</v>
      </c>
      <c r="N2467" t="s">
        <v>88</v>
      </c>
      <c r="O2467" t="s">
        <v>3926</v>
      </c>
      <c r="P2467" t="s">
        <v>76</v>
      </c>
      <c r="Q2467" t="s">
        <v>905</v>
      </c>
      <c r="R2467" t="s">
        <v>76</v>
      </c>
      <c r="S2467" t="s">
        <v>76</v>
      </c>
      <c r="T2467" t="s">
        <v>76</v>
      </c>
      <c r="U2467">
        <v>1</v>
      </c>
      <c r="V2467" s="13">
        <v>45175</v>
      </c>
      <c r="W2467">
        <v>1</v>
      </c>
      <c r="X2467">
        <v>1</v>
      </c>
      <c r="Y2467" t="s">
        <v>3678</v>
      </c>
      <c r="AC2467">
        <v>6356</v>
      </c>
      <c r="AD2467" t="e" vm="2457">
        <v>#VALUE!</v>
      </c>
    </row>
    <row r="2468" spans="2:30" x14ac:dyDescent="0.25">
      <c r="B2468">
        <v>6357</v>
      </c>
      <c r="C2468" t="s">
        <v>3659</v>
      </c>
      <c r="D2468" t="s">
        <v>3677</v>
      </c>
      <c r="E2468" t="s">
        <v>3823</v>
      </c>
      <c r="F2468" t="s">
        <v>87</v>
      </c>
      <c r="G2468" t="s">
        <v>86</v>
      </c>
      <c r="H2468" t="s">
        <v>3913</v>
      </c>
      <c r="I2468" t="s">
        <v>3913</v>
      </c>
      <c r="J2468" t="s">
        <v>3925</v>
      </c>
      <c r="K2468" t="s">
        <v>905</v>
      </c>
      <c r="L2468" s="13">
        <v>42116</v>
      </c>
      <c r="M2468">
        <v>8</v>
      </c>
      <c r="N2468" t="s">
        <v>88</v>
      </c>
      <c r="O2468" t="s">
        <v>3926</v>
      </c>
      <c r="P2468" t="s">
        <v>76</v>
      </c>
      <c r="Q2468" t="s">
        <v>905</v>
      </c>
      <c r="R2468" t="s">
        <v>76</v>
      </c>
      <c r="S2468" t="s">
        <v>76</v>
      </c>
      <c r="T2468" t="s">
        <v>76</v>
      </c>
      <c r="U2468">
        <v>1</v>
      </c>
      <c r="V2468" s="13">
        <v>45175</v>
      </c>
      <c r="W2468">
        <v>1</v>
      </c>
      <c r="X2468">
        <v>1</v>
      </c>
      <c r="Y2468" t="s">
        <v>3678</v>
      </c>
      <c r="AC2468">
        <v>6357</v>
      </c>
      <c r="AD2468" t="e" vm="2458">
        <v>#VALUE!</v>
      </c>
    </row>
    <row r="2469" spans="2:30" x14ac:dyDescent="0.25">
      <c r="B2469">
        <v>6358</v>
      </c>
      <c r="C2469" t="s">
        <v>3659</v>
      </c>
      <c r="D2469" t="s">
        <v>3677</v>
      </c>
      <c r="E2469" t="s">
        <v>3823</v>
      </c>
      <c r="F2469" t="s">
        <v>87</v>
      </c>
      <c r="G2469" t="s">
        <v>86</v>
      </c>
      <c r="H2469" t="s">
        <v>3913</v>
      </c>
      <c r="I2469" t="s">
        <v>3913</v>
      </c>
      <c r="J2469" t="s">
        <v>3925</v>
      </c>
      <c r="K2469" t="s">
        <v>905</v>
      </c>
      <c r="L2469" s="13">
        <v>42116</v>
      </c>
      <c r="M2469">
        <v>8</v>
      </c>
      <c r="N2469" t="s">
        <v>88</v>
      </c>
      <c r="O2469" t="s">
        <v>3926</v>
      </c>
      <c r="P2469" t="s">
        <v>76</v>
      </c>
      <c r="Q2469" t="s">
        <v>905</v>
      </c>
      <c r="R2469" t="s">
        <v>76</v>
      </c>
      <c r="S2469" t="s">
        <v>76</v>
      </c>
      <c r="T2469" t="s">
        <v>76</v>
      </c>
      <c r="U2469">
        <v>1</v>
      </c>
      <c r="V2469" s="13">
        <v>45175</v>
      </c>
      <c r="W2469">
        <v>1</v>
      </c>
      <c r="X2469">
        <v>1</v>
      </c>
      <c r="Y2469" t="s">
        <v>3678</v>
      </c>
      <c r="AC2469">
        <v>6358</v>
      </c>
      <c r="AD2469" t="e" vm="2459">
        <v>#VALUE!</v>
      </c>
    </row>
    <row r="2470" spans="2:30" x14ac:dyDescent="0.25">
      <c r="B2470">
        <v>6359</v>
      </c>
      <c r="C2470" t="s">
        <v>3659</v>
      </c>
      <c r="D2470" t="s">
        <v>3677</v>
      </c>
      <c r="E2470" t="s">
        <v>3823</v>
      </c>
      <c r="F2470" t="s">
        <v>87</v>
      </c>
      <c r="G2470" t="s">
        <v>86</v>
      </c>
      <c r="H2470" t="s">
        <v>3913</v>
      </c>
      <c r="I2470" t="s">
        <v>3913</v>
      </c>
      <c r="J2470" t="s">
        <v>3925</v>
      </c>
      <c r="K2470" t="s">
        <v>905</v>
      </c>
      <c r="L2470" s="13">
        <v>42129</v>
      </c>
      <c r="M2470">
        <v>8</v>
      </c>
      <c r="N2470" t="s">
        <v>88</v>
      </c>
      <c r="O2470" t="s">
        <v>3926</v>
      </c>
      <c r="P2470" t="s">
        <v>76</v>
      </c>
      <c r="Q2470" t="s">
        <v>905</v>
      </c>
      <c r="R2470" t="s">
        <v>76</v>
      </c>
      <c r="S2470" t="s">
        <v>76</v>
      </c>
      <c r="T2470" t="s">
        <v>76</v>
      </c>
      <c r="U2470">
        <v>1</v>
      </c>
      <c r="V2470" s="13">
        <v>45175</v>
      </c>
      <c r="W2470">
        <v>1</v>
      </c>
      <c r="X2470">
        <v>1</v>
      </c>
      <c r="Y2470" t="s">
        <v>3678</v>
      </c>
      <c r="AC2470">
        <v>6359</v>
      </c>
      <c r="AD2470" t="e" vm="2460">
        <v>#VALUE!</v>
      </c>
    </row>
    <row r="2471" spans="2:30" x14ac:dyDescent="0.25">
      <c r="B2471">
        <v>6360</v>
      </c>
      <c r="C2471" t="s">
        <v>3659</v>
      </c>
      <c r="D2471" t="s">
        <v>3677</v>
      </c>
      <c r="E2471" t="s">
        <v>3823</v>
      </c>
      <c r="F2471" t="s">
        <v>87</v>
      </c>
      <c r="G2471" t="s">
        <v>86</v>
      </c>
      <c r="H2471" t="s">
        <v>3913</v>
      </c>
      <c r="I2471" t="s">
        <v>3913</v>
      </c>
      <c r="J2471" t="s">
        <v>3925</v>
      </c>
      <c r="K2471" t="s">
        <v>905</v>
      </c>
      <c r="L2471" s="13">
        <v>42136</v>
      </c>
      <c r="M2471">
        <v>8</v>
      </c>
      <c r="N2471" t="s">
        <v>88</v>
      </c>
      <c r="O2471" t="s">
        <v>3926</v>
      </c>
      <c r="P2471" t="s">
        <v>76</v>
      </c>
      <c r="Q2471" t="s">
        <v>905</v>
      </c>
      <c r="R2471" t="s">
        <v>76</v>
      </c>
      <c r="S2471" t="s">
        <v>76</v>
      </c>
      <c r="T2471" t="s">
        <v>76</v>
      </c>
      <c r="U2471">
        <v>1</v>
      </c>
      <c r="V2471" s="13">
        <v>45175</v>
      </c>
      <c r="W2471">
        <v>1</v>
      </c>
      <c r="X2471">
        <v>1</v>
      </c>
      <c r="Y2471" t="s">
        <v>3678</v>
      </c>
      <c r="AC2471">
        <v>6360</v>
      </c>
      <c r="AD2471" t="e" vm="2461">
        <v>#VALUE!</v>
      </c>
    </row>
    <row r="2472" spans="2:30" x14ac:dyDescent="0.25">
      <c r="B2472">
        <v>6361</v>
      </c>
      <c r="C2472" t="s">
        <v>3659</v>
      </c>
      <c r="D2472" t="s">
        <v>3677</v>
      </c>
      <c r="E2472" t="s">
        <v>3823</v>
      </c>
      <c r="F2472" t="s">
        <v>87</v>
      </c>
      <c r="G2472" t="s">
        <v>86</v>
      </c>
      <c r="H2472" t="s">
        <v>3913</v>
      </c>
      <c r="I2472" t="s">
        <v>3913</v>
      </c>
      <c r="J2472" t="s">
        <v>3925</v>
      </c>
      <c r="K2472" t="s">
        <v>905</v>
      </c>
      <c r="L2472" s="13">
        <v>42789</v>
      </c>
      <c r="M2472">
        <v>7</v>
      </c>
      <c r="N2472" t="s">
        <v>88</v>
      </c>
      <c r="O2472" t="s">
        <v>3926</v>
      </c>
      <c r="P2472" t="s">
        <v>76</v>
      </c>
      <c r="Q2472" t="s">
        <v>905</v>
      </c>
      <c r="R2472" t="s">
        <v>76</v>
      </c>
      <c r="S2472" t="s">
        <v>76</v>
      </c>
      <c r="T2472" t="s">
        <v>76</v>
      </c>
      <c r="U2472">
        <v>1</v>
      </c>
      <c r="V2472" s="13">
        <v>45175</v>
      </c>
      <c r="W2472">
        <v>1</v>
      </c>
      <c r="X2472">
        <v>1</v>
      </c>
      <c r="Y2472" t="s">
        <v>3678</v>
      </c>
      <c r="AC2472">
        <v>6361</v>
      </c>
      <c r="AD2472" t="e" vm="2462">
        <v>#VALUE!</v>
      </c>
    </row>
    <row r="2473" spans="2:30" x14ac:dyDescent="0.25">
      <c r="B2473">
        <v>6362</v>
      </c>
      <c r="C2473" t="s">
        <v>3659</v>
      </c>
      <c r="D2473" t="s">
        <v>3677</v>
      </c>
      <c r="E2473" t="s">
        <v>3823</v>
      </c>
      <c r="F2473" t="s">
        <v>87</v>
      </c>
      <c r="G2473" t="s">
        <v>86</v>
      </c>
      <c r="H2473" t="s">
        <v>3913</v>
      </c>
      <c r="I2473" t="s">
        <v>3913</v>
      </c>
      <c r="J2473" t="s">
        <v>3925</v>
      </c>
      <c r="K2473" t="s">
        <v>905</v>
      </c>
      <c r="L2473" s="13">
        <v>42811</v>
      </c>
      <c r="M2473">
        <v>7</v>
      </c>
      <c r="N2473" t="s">
        <v>88</v>
      </c>
      <c r="O2473" t="s">
        <v>3926</v>
      </c>
      <c r="P2473" t="s">
        <v>76</v>
      </c>
      <c r="Q2473" t="s">
        <v>905</v>
      </c>
      <c r="R2473" t="s">
        <v>76</v>
      </c>
      <c r="S2473" t="s">
        <v>76</v>
      </c>
      <c r="T2473" t="s">
        <v>76</v>
      </c>
      <c r="U2473">
        <v>1</v>
      </c>
      <c r="V2473" s="13">
        <v>45175</v>
      </c>
      <c r="W2473">
        <v>1</v>
      </c>
      <c r="X2473">
        <v>1</v>
      </c>
      <c r="Y2473" t="s">
        <v>3678</v>
      </c>
      <c r="AC2473">
        <v>6362</v>
      </c>
      <c r="AD2473" t="e" vm="2463">
        <v>#VALUE!</v>
      </c>
    </row>
    <row r="2474" spans="2:30" x14ac:dyDescent="0.25">
      <c r="B2474">
        <v>6363</v>
      </c>
      <c r="C2474" t="s">
        <v>3659</v>
      </c>
      <c r="D2474" t="s">
        <v>3677</v>
      </c>
      <c r="E2474" t="s">
        <v>3823</v>
      </c>
      <c r="F2474" t="s">
        <v>87</v>
      </c>
      <c r="G2474" t="s">
        <v>86</v>
      </c>
      <c r="H2474" t="s">
        <v>3913</v>
      </c>
      <c r="I2474" t="s">
        <v>3913</v>
      </c>
      <c r="J2474" t="s">
        <v>3925</v>
      </c>
      <c r="K2474" t="s">
        <v>905</v>
      </c>
      <c r="L2474" s="13">
        <v>42818</v>
      </c>
      <c r="M2474">
        <v>6</v>
      </c>
      <c r="N2474" t="s">
        <v>88</v>
      </c>
      <c r="O2474" t="s">
        <v>3926</v>
      </c>
      <c r="P2474" t="s">
        <v>76</v>
      </c>
      <c r="Q2474" t="s">
        <v>905</v>
      </c>
      <c r="R2474" t="s">
        <v>76</v>
      </c>
      <c r="S2474" t="s">
        <v>76</v>
      </c>
      <c r="T2474" t="s">
        <v>76</v>
      </c>
      <c r="U2474">
        <v>1</v>
      </c>
      <c r="V2474" s="13">
        <v>45175</v>
      </c>
      <c r="W2474">
        <v>1</v>
      </c>
      <c r="X2474">
        <v>1</v>
      </c>
      <c r="Y2474" t="s">
        <v>3678</v>
      </c>
      <c r="AC2474">
        <v>6363</v>
      </c>
      <c r="AD2474" t="e" vm="2464">
        <v>#VALUE!</v>
      </c>
    </row>
    <row r="2475" spans="2:30" x14ac:dyDescent="0.25">
      <c r="B2475">
        <v>6364</v>
      </c>
      <c r="C2475" t="s">
        <v>3659</v>
      </c>
      <c r="D2475" t="s">
        <v>3677</v>
      </c>
      <c r="E2475" t="s">
        <v>3823</v>
      </c>
      <c r="F2475" t="s">
        <v>87</v>
      </c>
      <c r="G2475" t="s">
        <v>86</v>
      </c>
      <c r="H2475" t="s">
        <v>3913</v>
      </c>
      <c r="I2475" t="s">
        <v>3913</v>
      </c>
      <c r="J2475" t="s">
        <v>3925</v>
      </c>
      <c r="K2475" t="s">
        <v>905</v>
      </c>
      <c r="L2475" s="13">
        <v>42833</v>
      </c>
      <c r="M2475">
        <v>6</v>
      </c>
      <c r="N2475" t="s">
        <v>88</v>
      </c>
      <c r="O2475" t="s">
        <v>3926</v>
      </c>
      <c r="P2475" t="s">
        <v>76</v>
      </c>
      <c r="Q2475" t="s">
        <v>905</v>
      </c>
      <c r="R2475" t="s">
        <v>76</v>
      </c>
      <c r="S2475" t="s">
        <v>76</v>
      </c>
      <c r="T2475" t="s">
        <v>76</v>
      </c>
      <c r="U2475">
        <v>1</v>
      </c>
      <c r="V2475" s="13">
        <v>45175</v>
      </c>
      <c r="W2475">
        <v>1</v>
      </c>
      <c r="X2475">
        <v>1</v>
      </c>
      <c r="Y2475" t="s">
        <v>3678</v>
      </c>
      <c r="AC2475">
        <v>6364</v>
      </c>
      <c r="AD2475" t="e" vm="2465">
        <v>#VALUE!</v>
      </c>
    </row>
    <row r="2476" spans="2:30" x14ac:dyDescent="0.25">
      <c r="B2476">
        <v>6365</v>
      </c>
      <c r="C2476" t="s">
        <v>3659</v>
      </c>
      <c r="D2476" t="s">
        <v>3677</v>
      </c>
      <c r="E2476" t="s">
        <v>3823</v>
      </c>
      <c r="F2476" t="s">
        <v>87</v>
      </c>
      <c r="G2476" t="s">
        <v>86</v>
      </c>
      <c r="H2476" t="s">
        <v>3913</v>
      </c>
      <c r="I2476" t="s">
        <v>3913</v>
      </c>
      <c r="J2476" t="s">
        <v>3925</v>
      </c>
      <c r="K2476" t="s">
        <v>905</v>
      </c>
      <c r="L2476" s="13">
        <v>42846</v>
      </c>
      <c r="M2476">
        <v>6</v>
      </c>
      <c r="N2476" t="s">
        <v>88</v>
      </c>
      <c r="O2476" t="s">
        <v>3926</v>
      </c>
      <c r="P2476" t="s">
        <v>76</v>
      </c>
      <c r="Q2476" t="s">
        <v>905</v>
      </c>
      <c r="R2476" t="s">
        <v>76</v>
      </c>
      <c r="S2476" t="s">
        <v>76</v>
      </c>
      <c r="T2476" t="s">
        <v>76</v>
      </c>
      <c r="U2476">
        <v>1</v>
      </c>
      <c r="V2476" s="13">
        <v>45175</v>
      </c>
      <c r="W2476">
        <v>1</v>
      </c>
      <c r="X2476">
        <v>1</v>
      </c>
      <c r="Y2476" t="s">
        <v>3678</v>
      </c>
      <c r="AC2476">
        <v>6365</v>
      </c>
      <c r="AD2476" t="e" vm="2466">
        <v>#VALUE!</v>
      </c>
    </row>
    <row r="2477" spans="2:30" x14ac:dyDescent="0.25">
      <c r="B2477">
        <v>6366</v>
      </c>
      <c r="C2477" t="s">
        <v>3659</v>
      </c>
      <c r="D2477" t="s">
        <v>3677</v>
      </c>
      <c r="E2477" t="s">
        <v>3823</v>
      </c>
      <c r="F2477" t="s">
        <v>87</v>
      </c>
      <c r="G2477" t="s">
        <v>86</v>
      </c>
      <c r="H2477" t="s">
        <v>3913</v>
      </c>
      <c r="I2477" t="s">
        <v>3913</v>
      </c>
      <c r="J2477" t="s">
        <v>3925</v>
      </c>
      <c r="K2477" t="s">
        <v>905</v>
      </c>
      <c r="L2477" s="13">
        <v>42852</v>
      </c>
      <c r="M2477">
        <v>6</v>
      </c>
      <c r="N2477" t="s">
        <v>88</v>
      </c>
      <c r="O2477" t="s">
        <v>3926</v>
      </c>
      <c r="P2477" t="s">
        <v>76</v>
      </c>
      <c r="Q2477" t="s">
        <v>905</v>
      </c>
      <c r="R2477" t="s">
        <v>76</v>
      </c>
      <c r="S2477" t="s">
        <v>76</v>
      </c>
      <c r="T2477" t="s">
        <v>76</v>
      </c>
      <c r="U2477">
        <v>1</v>
      </c>
      <c r="V2477" s="13">
        <v>45175</v>
      </c>
      <c r="W2477">
        <v>1</v>
      </c>
      <c r="X2477">
        <v>1</v>
      </c>
      <c r="Y2477" t="s">
        <v>3678</v>
      </c>
      <c r="AC2477">
        <v>6366</v>
      </c>
      <c r="AD2477" t="e" vm="2467">
        <v>#VALUE!</v>
      </c>
    </row>
    <row r="2478" spans="2:30" x14ac:dyDescent="0.25">
      <c r="B2478">
        <v>6367</v>
      </c>
      <c r="C2478" t="s">
        <v>3659</v>
      </c>
      <c r="D2478" t="s">
        <v>3677</v>
      </c>
      <c r="E2478" t="s">
        <v>3823</v>
      </c>
      <c r="F2478" t="s">
        <v>87</v>
      </c>
      <c r="G2478" t="s">
        <v>86</v>
      </c>
      <c r="H2478" t="s">
        <v>3913</v>
      </c>
      <c r="I2478" t="s">
        <v>3913</v>
      </c>
      <c r="J2478" t="s">
        <v>3925</v>
      </c>
      <c r="K2478" t="s">
        <v>905</v>
      </c>
      <c r="L2478" s="13">
        <v>42872</v>
      </c>
      <c r="M2478">
        <v>6</v>
      </c>
      <c r="N2478" t="s">
        <v>88</v>
      </c>
      <c r="O2478" t="s">
        <v>3926</v>
      </c>
      <c r="P2478" t="s">
        <v>76</v>
      </c>
      <c r="Q2478" t="s">
        <v>905</v>
      </c>
      <c r="R2478" t="s">
        <v>76</v>
      </c>
      <c r="S2478" t="s">
        <v>76</v>
      </c>
      <c r="T2478" t="s">
        <v>76</v>
      </c>
      <c r="U2478">
        <v>1</v>
      </c>
      <c r="V2478" s="13">
        <v>45175</v>
      </c>
      <c r="W2478">
        <v>1</v>
      </c>
      <c r="X2478">
        <v>1</v>
      </c>
      <c r="Y2478" t="s">
        <v>3678</v>
      </c>
      <c r="AC2478">
        <v>6367</v>
      </c>
      <c r="AD2478" t="e" vm="2468">
        <v>#VALUE!</v>
      </c>
    </row>
    <row r="2479" spans="2:30" x14ac:dyDescent="0.25">
      <c r="B2479">
        <v>6368</v>
      </c>
      <c r="C2479" t="s">
        <v>3659</v>
      </c>
      <c r="D2479" t="s">
        <v>3677</v>
      </c>
      <c r="E2479" t="s">
        <v>3823</v>
      </c>
      <c r="F2479" t="s">
        <v>87</v>
      </c>
      <c r="G2479" t="s">
        <v>86</v>
      </c>
      <c r="H2479" t="s">
        <v>3913</v>
      </c>
      <c r="I2479" t="s">
        <v>3913</v>
      </c>
      <c r="J2479" t="s">
        <v>3925</v>
      </c>
      <c r="K2479" t="s">
        <v>905</v>
      </c>
      <c r="L2479" s="13">
        <v>42877</v>
      </c>
      <c r="M2479">
        <v>6</v>
      </c>
      <c r="N2479" t="s">
        <v>88</v>
      </c>
      <c r="O2479" t="s">
        <v>3926</v>
      </c>
      <c r="P2479" t="s">
        <v>76</v>
      </c>
      <c r="Q2479" t="s">
        <v>905</v>
      </c>
      <c r="R2479" t="s">
        <v>76</v>
      </c>
      <c r="S2479" t="s">
        <v>76</v>
      </c>
      <c r="T2479" t="s">
        <v>76</v>
      </c>
      <c r="U2479">
        <v>1</v>
      </c>
      <c r="V2479" s="13">
        <v>45175</v>
      </c>
      <c r="W2479">
        <v>1</v>
      </c>
      <c r="X2479">
        <v>1</v>
      </c>
      <c r="Y2479" t="s">
        <v>3678</v>
      </c>
      <c r="AC2479">
        <v>6368</v>
      </c>
      <c r="AD2479" t="e" vm="2469">
        <v>#VALUE!</v>
      </c>
    </row>
    <row r="2480" spans="2:30" x14ac:dyDescent="0.25">
      <c r="B2480">
        <v>6369</v>
      </c>
      <c r="C2480" t="s">
        <v>3659</v>
      </c>
      <c r="D2480" t="s">
        <v>3677</v>
      </c>
      <c r="E2480" t="s">
        <v>3823</v>
      </c>
      <c r="F2480" t="s">
        <v>87</v>
      </c>
      <c r="G2480" t="s">
        <v>86</v>
      </c>
      <c r="H2480" t="s">
        <v>3913</v>
      </c>
      <c r="I2480" t="s">
        <v>3913</v>
      </c>
      <c r="J2480" t="s">
        <v>3925</v>
      </c>
      <c r="K2480" t="s">
        <v>905</v>
      </c>
      <c r="L2480" s="13">
        <v>42888</v>
      </c>
      <c r="M2480">
        <v>6</v>
      </c>
      <c r="N2480" t="s">
        <v>88</v>
      </c>
      <c r="O2480" t="s">
        <v>3926</v>
      </c>
      <c r="P2480" t="s">
        <v>76</v>
      </c>
      <c r="Q2480" t="s">
        <v>905</v>
      </c>
      <c r="R2480" t="s">
        <v>76</v>
      </c>
      <c r="S2480" t="s">
        <v>76</v>
      </c>
      <c r="T2480" t="s">
        <v>76</v>
      </c>
      <c r="U2480">
        <v>1</v>
      </c>
      <c r="V2480" s="13">
        <v>45175</v>
      </c>
      <c r="W2480">
        <v>1</v>
      </c>
      <c r="X2480">
        <v>1</v>
      </c>
      <c r="Y2480" t="s">
        <v>3678</v>
      </c>
      <c r="AC2480">
        <v>6369</v>
      </c>
      <c r="AD2480" t="e" vm="2470">
        <v>#VALUE!</v>
      </c>
    </row>
    <row r="2481" spans="2:30" x14ac:dyDescent="0.25">
      <c r="B2481">
        <v>6370</v>
      </c>
      <c r="C2481" t="s">
        <v>3659</v>
      </c>
      <c r="D2481" t="s">
        <v>3677</v>
      </c>
      <c r="E2481" t="s">
        <v>3823</v>
      </c>
      <c r="F2481" t="s">
        <v>87</v>
      </c>
      <c r="G2481" t="s">
        <v>86</v>
      </c>
      <c r="H2481" t="s">
        <v>3913</v>
      </c>
      <c r="I2481" t="s">
        <v>3913</v>
      </c>
      <c r="J2481" t="s">
        <v>3925</v>
      </c>
      <c r="K2481" t="s">
        <v>905</v>
      </c>
      <c r="L2481" s="13">
        <v>42926</v>
      </c>
      <c r="M2481">
        <v>6</v>
      </c>
      <c r="N2481" t="s">
        <v>88</v>
      </c>
      <c r="O2481" t="s">
        <v>3926</v>
      </c>
      <c r="P2481" t="s">
        <v>76</v>
      </c>
      <c r="Q2481" t="s">
        <v>905</v>
      </c>
      <c r="R2481" t="s">
        <v>76</v>
      </c>
      <c r="S2481" t="s">
        <v>76</v>
      </c>
      <c r="T2481" t="s">
        <v>76</v>
      </c>
      <c r="U2481">
        <v>1</v>
      </c>
      <c r="V2481" s="13">
        <v>45175</v>
      </c>
      <c r="W2481">
        <v>1</v>
      </c>
      <c r="X2481">
        <v>1</v>
      </c>
      <c r="Y2481" t="s">
        <v>3678</v>
      </c>
      <c r="AC2481">
        <v>6370</v>
      </c>
      <c r="AD2481" t="e" vm="2471">
        <v>#VALUE!</v>
      </c>
    </row>
    <row r="2482" spans="2:30" x14ac:dyDescent="0.25">
      <c r="B2482">
        <v>6371</v>
      </c>
      <c r="C2482" t="s">
        <v>3659</v>
      </c>
      <c r="D2482" t="s">
        <v>3677</v>
      </c>
      <c r="E2482" t="s">
        <v>3823</v>
      </c>
      <c r="F2482" t="s">
        <v>87</v>
      </c>
      <c r="G2482" t="s">
        <v>86</v>
      </c>
      <c r="H2482" t="s">
        <v>3913</v>
      </c>
      <c r="I2482" t="s">
        <v>3913</v>
      </c>
      <c r="J2482" t="s">
        <v>3925</v>
      </c>
      <c r="K2482" t="s">
        <v>905</v>
      </c>
      <c r="L2482" s="13">
        <v>42930</v>
      </c>
      <c r="M2482">
        <v>6</v>
      </c>
      <c r="N2482" t="s">
        <v>88</v>
      </c>
      <c r="O2482" t="s">
        <v>3926</v>
      </c>
      <c r="P2482" t="s">
        <v>76</v>
      </c>
      <c r="Q2482" t="s">
        <v>905</v>
      </c>
      <c r="R2482" t="s">
        <v>76</v>
      </c>
      <c r="S2482" t="s">
        <v>76</v>
      </c>
      <c r="T2482" t="s">
        <v>76</v>
      </c>
      <c r="U2482">
        <v>1</v>
      </c>
      <c r="V2482" s="13">
        <v>45175</v>
      </c>
      <c r="W2482">
        <v>1</v>
      </c>
      <c r="X2482">
        <v>1</v>
      </c>
      <c r="Y2482" t="s">
        <v>3678</v>
      </c>
      <c r="AC2482">
        <v>6371</v>
      </c>
      <c r="AD2482" t="e" vm="2472">
        <v>#VALUE!</v>
      </c>
    </row>
    <row r="2483" spans="2:30" x14ac:dyDescent="0.25">
      <c r="B2483">
        <v>6372</v>
      </c>
      <c r="C2483" t="s">
        <v>3659</v>
      </c>
      <c r="D2483" t="s">
        <v>3677</v>
      </c>
      <c r="E2483" t="s">
        <v>3823</v>
      </c>
      <c r="F2483" t="s">
        <v>87</v>
      </c>
      <c r="G2483" t="s">
        <v>86</v>
      </c>
      <c r="H2483" t="s">
        <v>3913</v>
      </c>
      <c r="I2483" t="s">
        <v>3913</v>
      </c>
      <c r="J2483" t="s">
        <v>3925</v>
      </c>
      <c r="K2483" t="s">
        <v>905</v>
      </c>
      <c r="L2483" s="13">
        <v>42934</v>
      </c>
      <c r="M2483">
        <v>6</v>
      </c>
      <c r="N2483" t="s">
        <v>88</v>
      </c>
      <c r="O2483" t="s">
        <v>3926</v>
      </c>
      <c r="P2483" t="s">
        <v>76</v>
      </c>
      <c r="Q2483" t="s">
        <v>905</v>
      </c>
      <c r="R2483" t="s">
        <v>76</v>
      </c>
      <c r="S2483" t="s">
        <v>76</v>
      </c>
      <c r="T2483" t="s">
        <v>76</v>
      </c>
      <c r="U2483">
        <v>1</v>
      </c>
      <c r="V2483" s="13">
        <v>45175</v>
      </c>
      <c r="W2483">
        <v>1</v>
      </c>
      <c r="X2483">
        <v>1</v>
      </c>
      <c r="Y2483" t="s">
        <v>3678</v>
      </c>
      <c r="AC2483">
        <v>6372</v>
      </c>
      <c r="AD2483" t="e" vm="2473">
        <v>#VALUE!</v>
      </c>
    </row>
    <row r="2484" spans="2:30" x14ac:dyDescent="0.25">
      <c r="B2484">
        <v>6373</v>
      </c>
      <c r="C2484" t="s">
        <v>3659</v>
      </c>
      <c r="D2484" t="s">
        <v>3677</v>
      </c>
      <c r="E2484" t="s">
        <v>3823</v>
      </c>
      <c r="F2484" t="s">
        <v>87</v>
      </c>
      <c r="G2484" t="s">
        <v>86</v>
      </c>
      <c r="H2484" t="s">
        <v>3913</v>
      </c>
      <c r="I2484" t="s">
        <v>3913</v>
      </c>
      <c r="J2484" t="s">
        <v>3925</v>
      </c>
      <c r="K2484" t="s">
        <v>905</v>
      </c>
      <c r="L2484" s="13">
        <v>42948</v>
      </c>
      <c r="M2484">
        <v>6</v>
      </c>
      <c r="N2484" t="s">
        <v>88</v>
      </c>
      <c r="O2484" t="s">
        <v>3926</v>
      </c>
      <c r="P2484" t="s">
        <v>76</v>
      </c>
      <c r="Q2484" t="s">
        <v>905</v>
      </c>
      <c r="R2484" t="s">
        <v>76</v>
      </c>
      <c r="S2484" t="s">
        <v>76</v>
      </c>
      <c r="T2484" t="s">
        <v>76</v>
      </c>
      <c r="U2484">
        <v>1</v>
      </c>
      <c r="V2484" s="13">
        <v>45175</v>
      </c>
      <c r="W2484">
        <v>1</v>
      </c>
      <c r="X2484">
        <v>1</v>
      </c>
      <c r="Y2484" t="s">
        <v>3678</v>
      </c>
      <c r="AC2484">
        <v>6373</v>
      </c>
      <c r="AD2484" t="e" vm="2474">
        <v>#VALUE!</v>
      </c>
    </row>
    <row r="2485" spans="2:30" x14ac:dyDescent="0.25">
      <c r="B2485">
        <v>6374</v>
      </c>
      <c r="C2485" t="s">
        <v>3659</v>
      </c>
      <c r="D2485" t="s">
        <v>3677</v>
      </c>
      <c r="E2485" t="s">
        <v>3823</v>
      </c>
      <c r="F2485" t="s">
        <v>87</v>
      </c>
      <c r="G2485" t="s">
        <v>86</v>
      </c>
      <c r="H2485" t="s">
        <v>3913</v>
      </c>
      <c r="I2485" t="s">
        <v>3913</v>
      </c>
      <c r="J2485" t="s">
        <v>3925</v>
      </c>
      <c r="K2485" t="s">
        <v>905</v>
      </c>
      <c r="L2485" s="13">
        <v>43011</v>
      </c>
      <c r="M2485">
        <v>6</v>
      </c>
      <c r="N2485" t="s">
        <v>88</v>
      </c>
      <c r="O2485" t="s">
        <v>3926</v>
      </c>
      <c r="P2485" t="s">
        <v>76</v>
      </c>
      <c r="Q2485" t="s">
        <v>905</v>
      </c>
      <c r="R2485" t="s">
        <v>76</v>
      </c>
      <c r="S2485" t="s">
        <v>76</v>
      </c>
      <c r="T2485" t="s">
        <v>76</v>
      </c>
      <c r="U2485">
        <v>1</v>
      </c>
      <c r="V2485" s="13">
        <v>45175</v>
      </c>
      <c r="W2485">
        <v>1</v>
      </c>
      <c r="X2485">
        <v>1</v>
      </c>
      <c r="Y2485" t="s">
        <v>3678</v>
      </c>
      <c r="AC2485">
        <v>6374</v>
      </c>
      <c r="AD2485" t="e" vm="2475">
        <v>#VALUE!</v>
      </c>
    </row>
    <row r="2486" spans="2:30" x14ac:dyDescent="0.25">
      <c r="B2486">
        <v>6375</v>
      </c>
      <c r="C2486" t="s">
        <v>3659</v>
      </c>
      <c r="D2486" t="s">
        <v>3677</v>
      </c>
      <c r="E2486" t="s">
        <v>3823</v>
      </c>
      <c r="F2486" t="s">
        <v>87</v>
      </c>
      <c r="G2486" t="s">
        <v>86</v>
      </c>
      <c r="H2486" t="s">
        <v>3913</v>
      </c>
      <c r="I2486" t="s">
        <v>3913</v>
      </c>
      <c r="J2486" t="s">
        <v>3925</v>
      </c>
      <c r="K2486" t="s">
        <v>905</v>
      </c>
      <c r="L2486" s="13">
        <v>43012</v>
      </c>
      <c r="M2486">
        <v>6</v>
      </c>
      <c r="N2486" t="s">
        <v>88</v>
      </c>
      <c r="O2486" t="s">
        <v>3926</v>
      </c>
      <c r="P2486" t="s">
        <v>76</v>
      </c>
      <c r="Q2486" t="s">
        <v>905</v>
      </c>
      <c r="R2486" t="s">
        <v>76</v>
      </c>
      <c r="S2486" t="s">
        <v>76</v>
      </c>
      <c r="T2486" t="s">
        <v>76</v>
      </c>
      <c r="U2486">
        <v>1</v>
      </c>
      <c r="V2486" s="13">
        <v>45175</v>
      </c>
      <c r="W2486">
        <v>1</v>
      </c>
      <c r="X2486">
        <v>1</v>
      </c>
      <c r="Y2486" t="s">
        <v>3678</v>
      </c>
      <c r="AC2486">
        <v>6375</v>
      </c>
      <c r="AD2486" t="e" vm="2476">
        <v>#VALUE!</v>
      </c>
    </row>
    <row r="2487" spans="2:30" x14ac:dyDescent="0.25">
      <c r="B2487">
        <v>6376</v>
      </c>
      <c r="C2487" t="s">
        <v>3659</v>
      </c>
      <c r="D2487" t="s">
        <v>3677</v>
      </c>
      <c r="E2487" t="s">
        <v>3823</v>
      </c>
      <c r="F2487" t="s">
        <v>87</v>
      </c>
      <c r="G2487" t="s">
        <v>86</v>
      </c>
      <c r="H2487" t="s">
        <v>3913</v>
      </c>
      <c r="I2487" t="s">
        <v>3913</v>
      </c>
      <c r="J2487" t="s">
        <v>3925</v>
      </c>
      <c r="K2487" t="s">
        <v>905</v>
      </c>
      <c r="L2487" s="13">
        <v>43021</v>
      </c>
      <c r="M2487">
        <v>6</v>
      </c>
      <c r="N2487" t="s">
        <v>88</v>
      </c>
      <c r="O2487" t="s">
        <v>3926</v>
      </c>
      <c r="P2487" t="s">
        <v>76</v>
      </c>
      <c r="Q2487" t="s">
        <v>905</v>
      </c>
      <c r="R2487" t="s">
        <v>76</v>
      </c>
      <c r="S2487" t="s">
        <v>76</v>
      </c>
      <c r="T2487" t="s">
        <v>76</v>
      </c>
      <c r="U2487">
        <v>1</v>
      </c>
      <c r="V2487" s="13">
        <v>45175</v>
      </c>
      <c r="W2487">
        <v>1</v>
      </c>
      <c r="X2487">
        <v>1</v>
      </c>
      <c r="Y2487" t="s">
        <v>3678</v>
      </c>
      <c r="AC2487">
        <v>6376</v>
      </c>
      <c r="AD2487" t="e" vm="2477">
        <v>#VALUE!</v>
      </c>
    </row>
    <row r="2488" spans="2:30" x14ac:dyDescent="0.25">
      <c r="B2488">
        <v>7001</v>
      </c>
      <c r="C2488" t="s">
        <v>3646</v>
      </c>
      <c r="D2488" t="s">
        <v>3760</v>
      </c>
      <c r="E2488" t="s">
        <v>3927</v>
      </c>
      <c r="F2488" t="s">
        <v>97</v>
      </c>
      <c r="G2488" t="s">
        <v>96</v>
      </c>
      <c r="H2488" t="s">
        <v>3913</v>
      </c>
      <c r="I2488" t="s">
        <v>3913</v>
      </c>
      <c r="J2488" t="s">
        <v>3920</v>
      </c>
      <c r="K2488" t="s">
        <v>3915</v>
      </c>
      <c r="L2488" s="13">
        <v>22228</v>
      </c>
      <c r="M2488">
        <v>63</v>
      </c>
      <c r="N2488" t="s">
        <v>90</v>
      </c>
      <c r="O2488" t="s">
        <v>3928</v>
      </c>
      <c r="P2488" t="s">
        <v>95</v>
      </c>
      <c r="Q2488" t="s">
        <v>905</v>
      </c>
      <c r="R2488" t="s">
        <v>95</v>
      </c>
      <c r="S2488" t="s">
        <v>95</v>
      </c>
      <c r="T2488" t="s">
        <v>95</v>
      </c>
      <c r="U2488">
        <v>1</v>
      </c>
      <c r="V2488" s="13">
        <v>45175</v>
      </c>
      <c r="W2488">
        <v>1</v>
      </c>
      <c r="X2488">
        <v>1</v>
      </c>
      <c r="Y2488" t="s">
        <v>3761</v>
      </c>
      <c r="AC2488">
        <v>7001</v>
      </c>
      <c r="AD2488" t="e" vm="2478">
        <v>#VALUE!</v>
      </c>
    </row>
    <row r="2489" spans="2:30" x14ac:dyDescent="0.25">
      <c r="B2489">
        <v>7002</v>
      </c>
      <c r="C2489" t="s">
        <v>3646</v>
      </c>
      <c r="D2489" t="s">
        <v>3760</v>
      </c>
      <c r="E2489" t="s">
        <v>3927</v>
      </c>
      <c r="F2489" t="s">
        <v>97</v>
      </c>
      <c r="G2489" t="s">
        <v>96</v>
      </c>
      <c r="H2489" t="s">
        <v>3913</v>
      </c>
      <c r="I2489" t="s">
        <v>3913</v>
      </c>
      <c r="J2489" t="s">
        <v>3920</v>
      </c>
      <c r="K2489" t="s">
        <v>3915</v>
      </c>
      <c r="L2489" s="13">
        <v>22238</v>
      </c>
      <c r="M2489">
        <v>63</v>
      </c>
      <c r="N2489" t="s">
        <v>90</v>
      </c>
      <c r="O2489" t="s">
        <v>3928</v>
      </c>
      <c r="P2489" t="s">
        <v>95</v>
      </c>
      <c r="Q2489" t="s">
        <v>905</v>
      </c>
      <c r="R2489" t="s">
        <v>95</v>
      </c>
      <c r="S2489" t="s">
        <v>95</v>
      </c>
      <c r="T2489" t="s">
        <v>95</v>
      </c>
      <c r="U2489">
        <v>1</v>
      </c>
      <c r="V2489" s="13">
        <v>45175</v>
      </c>
      <c r="W2489">
        <v>1</v>
      </c>
      <c r="X2489">
        <v>1</v>
      </c>
      <c r="Y2489" t="s">
        <v>3761</v>
      </c>
      <c r="AC2489">
        <v>7002</v>
      </c>
      <c r="AD2489" t="e" vm="2479">
        <v>#VALUE!</v>
      </c>
    </row>
    <row r="2490" spans="2:30" x14ac:dyDescent="0.25">
      <c r="B2490">
        <v>7007</v>
      </c>
      <c r="C2490" t="s">
        <v>3646</v>
      </c>
      <c r="D2490" t="s">
        <v>3760</v>
      </c>
      <c r="E2490" t="s">
        <v>3927</v>
      </c>
      <c r="F2490" t="s">
        <v>97</v>
      </c>
      <c r="G2490" t="s">
        <v>96</v>
      </c>
      <c r="H2490" t="s">
        <v>3913</v>
      </c>
      <c r="I2490" t="s">
        <v>3913</v>
      </c>
      <c r="J2490" t="s">
        <v>3920</v>
      </c>
      <c r="K2490" t="s">
        <v>3915</v>
      </c>
      <c r="L2490" s="13">
        <v>22255</v>
      </c>
      <c r="M2490">
        <v>63</v>
      </c>
      <c r="N2490" t="s">
        <v>90</v>
      </c>
      <c r="O2490" t="s">
        <v>3928</v>
      </c>
      <c r="P2490" t="s">
        <v>95</v>
      </c>
      <c r="Q2490" t="s">
        <v>905</v>
      </c>
      <c r="R2490" t="s">
        <v>95</v>
      </c>
      <c r="S2490" t="s">
        <v>95</v>
      </c>
      <c r="T2490" t="s">
        <v>95</v>
      </c>
      <c r="U2490">
        <v>1</v>
      </c>
      <c r="V2490" s="13">
        <v>45175</v>
      </c>
      <c r="W2490">
        <v>1</v>
      </c>
      <c r="X2490">
        <v>1</v>
      </c>
      <c r="Y2490" t="s">
        <v>3761</v>
      </c>
      <c r="AC2490">
        <v>7007</v>
      </c>
      <c r="AD2490" t="e" vm="2480">
        <v>#VALUE!</v>
      </c>
    </row>
    <row r="2491" spans="2:30" x14ac:dyDescent="0.25">
      <c r="B2491">
        <v>7008</v>
      </c>
      <c r="C2491" t="s">
        <v>3646</v>
      </c>
      <c r="D2491" t="s">
        <v>3760</v>
      </c>
      <c r="E2491" t="s">
        <v>3927</v>
      </c>
      <c r="F2491" t="s">
        <v>97</v>
      </c>
      <c r="G2491" t="s">
        <v>96</v>
      </c>
      <c r="H2491" t="s">
        <v>3913</v>
      </c>
      <c r="I2491" t="s">
        <v>3913</v>
      </c>
      <c r="J2491" t="s">
        <v>3920</v>
      </c>
      <c r="K2491" t="s">
        <v>3915</v>
      </c>
      <c r="L2491" s="13">
        <v>22255</v>
      </c>
      <c r="M2491">
        <v>63</v>
      </c>
      <c r="N2491" t="s">
        <v>90</v>
      </c>
      <c r="O2491" t="s">
        <v>3928</v>
      </c>
      <c r="P2491" t="s">
        <v>95</v>
      </c>
      <c r="Q2491" t="s">
        <v>905</v>
      </c>
      <c r="R2491" t="s">
        <v>95</v>
      </c>
      <c r="S2491" t="s">
        <v>95</v>
      </c>
      <c r="T2491" t="s">
        <v>95</v>
      </c>
      <c r="U2491">
        <v>1</v>
      </c>
      <c r="V2491" s="13">
        <v>45175</v>
      </c>
      <c r="W2491">
        <v>1</v>
      </c>
      <c r="X2491">
        <v>1</v>
      </c>
      <c r="Y2491" t="s">
        <v>3761</v>
      </c>
      <c r="AC2491">
        <v>7008</v>
      </c>
      <c r="AD2491" t="e" vm="2481">
        <v>#VALUE!</v>
      </c>
    </row>
    <row r="2492" spans="2:30" x14ac:dyDescent="0.25">
      <c r="B2492">
        <v>7009</v>
      </c>
      <c r="C2492" t="s">
        <v>3698</v>
      </c>
      <c r="D2492" t="s">
        <v>3760</v>
      </c>
      <c r="E2492" t="s">
        <v>3927</v>
      </c>
      <c r="F2492" t="s">
        <v>97</v>
      </c>
      <c r="G2492" t="s">
        <v>96</v>
      </c>
      <c r="H2492" t="s">
        <v>3913</v>
      </c>
      <c r="I2492" t="s">
        <v>3913</v>
      </c>
      <c r="J2492" t="s">
        <v>3920</v>
      </c>
      <c r="K2492" t="s">
        <v>3915</v>
      </c>
      <c r="L2492" s="13">
        <v>22255</v>
      </c>
      <c r="M2492">
        <v>63</v>
      </c>
      <c r="N2492" t="s">
        <v>98</v>
      </c>
      <c r="O2492" t="s">
        <v>3928</v>
      </c>
      <c r="P2492" t="s">
        <v>95</v>
      </c>
      <c r="Q2492" t="s">
        <v>905</v>
      </c>
      <c r="R2492" t="s">
        <v>95</v>
      </c>
      <c r="S2492" t="s">
        <v>95</v>
      </c>
      <c r="T2492" t="s">
        <v>95</v>
      </c>
      <c r="U2492">
        <v>1</v>
      </c>
      <c r="V2492" s="13">
        <v>45175</v>
      </c>
      <c r="W2492">
        <v>2</v>
      </c>
      <c r="X2492">
        <v>1</v>
      </c>
      <c r="Y2492" t="s">
        <v>3762</v>
      </c>
      <c r="AC2492">
        <v>7009</v>
      </c>
      <c r="AD2492" t="e" vm="2482">
        <v>#VALUE!</v>
      </c>
    </row>
    <row r="2493" spans="2:30" x14ac:dyDescent="0.25">
      <c r="B2493">
        <v>7017</v>
      </c>
      <c r="C2493" t="s">
        <v>3698</v>
      </c>
      <c r="D2493" t="s">
        <v>3760</v>
      </c>
      <c r="E2493" t="s">
        <v>3927</v>
      </c>
      <c r="F2493" t="s">
        <v>97</v>
      </c>
      <c r="G2493" t="s">
        <v>96</v>
      </c>
      <c r="H2493" t="s">
        <v>3913</v>
      </c>
      <c r="I2493" t="s">
        <v>3913</v>
      </c>
      <c r="J2493" t="s">
        <v>3920</v>
      </c>
      <c r="K2493" t="s">
        <v>3915</v>
      </c>
      <c r="L2493" s="13">
        <v>22283</v>
      </c>
      <c r="M2493">
        <v>63</v>
      </c>
      <c r="N2493" t="s">
        <v>98</v>
      </c>
      <c r="O2493" t="s">
        <v>3928</v>
      </c>
      <c r="P2493" t="s">
        <v>95</v>
      </c>
      <c r="Q2493" t="s">
        <v>905</v>
      </c>
      <c r="R2493" t="s">
        <v>95</v>
      </c>
      <c r="S2493" t="s">
        <v>95</v>
      </c>
      <c r="T2493" t="s">
        <v>95</v>
      </c>
      <c r="U2493">
        <v>1</v>
      </c>
      <c r="V2493" s="13">
        <v>45175</v>
      </c>
      <c r="W2493">
        <v>2</v>
      </c>
      <c r="X2493">
        <v>1</v>
      </c>
      <c r="Y2493" t="s">
        <v>3762</v>
      </c>
      <c r="AC2493">
        <v>7017</v>
      </c>
      <c r="AD2493" t="e" vm="2483">
        <v>#VALUE!</v>
      </c>
    </row>
    <row r="2494" spans="2:30" x14ac:dyDescent="0.25">
      <c r="B2494">
        <v>7022</v>
      </c>
      <c r="C2494" t="s">
        <v>3646</v>
      </c>
      <c r="D2494" t="s">
        <v>3760</v>
      </c>
      <c r="E2494" t="s">
        <v>3927</v>
      </c>
      <c r="F2494" t="s">
        <v>97</v>
      </c>
      <c r="G2494" t="s">
        <v>96</v>
      </c>
      <c r="H2494" t="s">
        <v>3913</v>
      </c>
      <c r="I2494" t="s">
        <v>3913</v>
      </c>
      <c r="J2494" t="s">
        <v>3920</v>
      </c>
      <c r="K2494" t="s">
        <v>3915</v>
      </c>
      <c r="L2494" s="13">
        <v>22283</v>
      </c>
      <c r="M2494">
        <v>63</v>
      </c>
      <c r="N2494" t="s">
        <v>90</v>
      </c>
      <c r="O2494" t="s">
        <v>3928</v>
      </c>
      <c r="P2494" t="s">
        <v>95</v>
      </c>
      <c r="Q2494" t="s">
        <v>905</v>
      </c>
      <c r="R2494" t="s">
        <v>95</v>
      </c>
      <c r="S2494" t="s">
        <v>95</v>
      </c>
      <c r="T2494" t="s">
        <v>95</v>
      </c>
      <c r="U2494">
        <v>1</v>
      </c>
      <c r="V2494" s="13">
        <v>45175</v>
      </c>
      <c r="W2494">
        <v>1</v>
      </c>
      <c r="X2494">
        <v>1</v>
      </c>
      <c r="Y2494" t="s">
        <v>3761</v>
      </c>
      <c r="AC2494">
        <v>7022</v>
      </c>
      <c r="AD2494" t="e" vm="2484">
        <v>#VALUE!</v>
      </c>
    </row>
    <row r="2495" spans="2:30" x14ac:dyDescent="0.25">
      <c r="B2495">
        <v>7045</v>
      </c>
      <c r="C2495" t="s">
        <v>3646</v>
      </c>
      <c r="D2495" t="s">
        <v>3760</v>
      </c>
      <c r="E2495" t="s">
        <v>3927</v>
      </c>
      <c r="F2495" t="s">
        <v>97</v>
      </c>
      <c r="G2495" t="s">
        <v>96</v>
      </c>
      <c r="H2495" t="s">
        <v>3913</v>
      </c>
      <c r="I2495" t="s">
        <v>3913</v>
      </c>
      <c r="J2495" t="s">
        <v>3920</v>
      </c>
      <c r="K2495" t="s">
        <v>3915</v>
      </c>
      <c r="L2495" s="13">
        <v>22731</v>
      </c>
      <c r="M2495">
        <v>62</v>
      </c>
      <c r="N2495" t="s">
        <v>90</v>
      </c>
      <c r="O2495" t="s">
        <v>3928</v>
      </c>
      <c r="P2495" t="s">
        <v>95</v>
      </c>
      <c r="Q2495" t="s">
        <v>905</v>
      </c>
      <c r="R2495" t="s">
        <v>95</v>
      </c>
      <c r="S2495" t="s">
        <v>95</v>
      </c>
      <c r="T2495" t="s">
        <v>95</v>
      </c>
      <c r="U2495">
        <v>1</v>
      </c>
      <c r="V2495" s="13">
        <v>45175</v>
      </c>
      <c r="W2495">
        <v>1</v>
      </c>
      <c r="X2495">
        <v>1</v>
      </c>
      <c r="Y2495" t="s">
        <v>3761</v>
      </c>
      <c r="AC2495">
        <v>7045</v>
      </c>
      <c r="AD2495" t="e" vm="2485">
        <v>#VALUE!</v>
      </c>
    </row>
    <row r="2496" spans="2:30" x14ac:dyDescent="0.25">
      <c r="B2496">
        <v>7052</v>
      </c>
      <c r="C2496" t="s">
        <v>3646</v>
      </c>
      <c r="D2496" t="s">
        <v>3760</v>
      </c>
      <c r="E2496" t="s">
        <v>3927</v>
      </c>
      <c r="F2496" t="s">
        <v>97</v>
      </c>
      <c r="G2496" t="s">
        <v>96</v>
      </c>
      <c r="H2496" t="s">
        <v>3913</v>
      </c>
      <c r="I2496" t="s">
        <v>3913</v>
      </c>
      <c r="J2496" t="s">
        <v>3920</v>
      </c>
      <c r="K2496" t="s">
        <v>3915</v>
      </c>
      <c r="L2496" s="13">
        <v>22752</v>
      </c>
      <c r="M2496">
        <v>61</v>
      </c>
      <c r="N2496" t="s">
        <v>90</v>
      </c>
      <c r="O2496" t="s">
        <v>3928</v>
      </c>
      <c r="P2496" t="s">
        <v>95</v>
      </c>
      <c r="Q2496" t="s">
        <v>905</v>
      </c>
      <c r="R2496" t="s">
        <v>95</v>
      </c>
      <c r="S2496" t="s">
        <v>95</v>
      </c>
      <c r="T2496" t="s">
        <v>95</v>
      </c>
      <c r="U2496">
        <v>1</v>
      </c>
      <c r="V2496" s="13">
        <v>45175</v>
      </c>
      <c r="W2496">
        <v>1</v>
      </c>
      <c r="X2496">
        <v>1</v>
      </c>
      <c r="Y2496" t="s">
        <v>3761</v>
      </c>
      <c r="AC2496">
        <v>7052</v>
      </c>
      <c r="AD2496" t="e" vm="2486">
        <v>#VALUE!</v>
      </c>
    </row>
    <row r="2497" spans="2:30" x14ac:dyDescent="0.25">
      <c r="B2497">
        <v>7054</v>
      </c>
      <c r="C2497" t="s">
        <v>3698</v>
      </c>
      <c r="D2497" t="s">
        <v>3760</v>
      </c>
      <c r="E2497" t="s">
        <v>3927</v>
      </c>
      <c r="F2497" t="s">
        <v>97</v>
      </c>
      <c r="G2497" t="s">
        <v>96</v>
      </c>
      <c r="H2497" t="s">
        <v>3913</v>
      </c>
      <c r="I2497" t="s">
        <v>3913</v>
      </c>
      <c r="J2497" t="s">
        <v>3920</v>
      </c>
      <c r="K2497" t="s">
        <v>3915</v>
      </c>
      <c r="L2497" s="13">
        <v>22760</v>
      </c>
      <c r="M2497">
        <v>61</v>
      </c>
      <c r="N2497" t="s">
        <v>98</v>
      </c>
      <c r="O2497" t="s">
        <v>3928</v>
      </c>
      <c r="P2497" t="s">
        <v>95</v>
      </c>
      <c r="Q2497" t="s">
        <v>905</v>
      </c>
      <c r="R2497" t="s">
        <v>95</v>
      </c>
      <c r="S2497" t="s">
        <v>95</v>
      </c>
      <c r="T2497" t="s">
        <v>95</v>
      </c>
      <c r="U2497">
        <v>1</v>
      </c>
      <c r="V2497" s="13">
        <v>45175</v>
      </c>
      <c r="W2497">
        <v>2</v>
      </c>
      <c r="X2497">
        <v>1</v>
      </c>
      <c r="Y2497" t="s">
        <v>3762</v>
      </c>
      <c r="AC2497">
        <v>7054</v>
      </c>
      <c r="AD2497" t="e" vm="2487">
        <v>#VALUE!</v>
      </c>
    </row>
    <row r="2498" spans="2:30" x14ac:dyDescent="0.25">
      <c r="B2498">
        <v>7055</v>
      </c>
      <c r="C2498" t="s">
        <v>3646</v>
      </c>
      <c r="D2498" t="s">
        <v>3760</v>
      </c>
      <c r="E2498" t="s">
        <v>3927</v>
      </c>
      <c r="F2498" t="s">
        <v>97</v>
      </c>
      <c r="G2498" t="s">
        <v>96</v>
      </c>
      <c r="H2498" t="s">
        <v>3913</v>
      </c>
      <c r="I2498" t="s">
        <v>3913</v>
      </c>
      <c r="J2498" t="s">
        <v>3920</v>
      </c>
      <c r="K2498" t="s">
        <v>3915</v>
      </c>
      <c r="L2498" s="13">
        <v>22766</v>
      </c>
      <c r="M2498">
        <v>61</v>
      </c>
      <c r="N2498" t="s">
        <v>90</v>
      </c>
      <c r="O2498" t="s">
        <v>3928</v>
      </c>
      <c r="P2498" t="s">
        <v>95</v>
      </c>
      <c r="Q2498" t="s">
        <v>905</v>
      </c>
      <c r="R2498" t="s">
        <v>95</v>
      </c>
      <c r="S2498" t="s">
        <v>95</v>
      </c>
      <c r="T2498" t="s">
        <v>95</v>
      </c>
      <c r="U2498">
        <v>1</v>
      </c>
      <c r="V2498" s="13">
        <v>45175</v>
      </c>
      <c r="W2498">
        <v>1</v>
      </c>
      <c r="X2498">
        <v>1</v>
      </c>
      <c r="Y2498" t="s">
        <v>3761</v>
      </c>
      <c r="AC2498">
        <v>7055</v>
      </c>
      <c r="AD2498" t="e" vm="2488">
        <v>#VALUE!</v>
      </c>
    </row>
    <row r="2499" spans="2:30" x14ac:dyDescent="0.25">
      <c r="B2499">
        <v>7056</v>
      </c>
      <c r="C2499" t="s">
        <v>3646</v>
      </c>
      <c r="D2499" t="s">
        <v>3760</v>
      </c>
      <c r="E2499" t="s">
        <v>3927</v>
      </c>
      <c r="F2499" t="s">
        <v>97</v>
      </c>
      <c r="G2499" t="s">
        <v>96</v>
      </c>
      <c r="H2499" t="s">
        <v>3913</v>
      </c>
      <c r="I2499" t="s">
        <v>3913</v>
      </c>
      <c r="J2499" t="s">
        <v>3920</v>
      </c>
      <c r="K2499" t="s">
        <v>3915</v>
      </c>
      <c r="L2499" s="13">
        <v>22766</v>
      </c>
      <c r="M2499">
        <v>61</v>
      </c>
      <c r="N2499" t="s">
        <v>90</v>
      </c>
      <c r="O2499" t="s">
        <v>3928</v>
      </c>
      <c r="P2499" t="s">
        <v>95</v>
      </c>
      <c r="Q2499" t="s">
        <v>905</v>
      </c>
      <c r="R2499" t="s">
        <v>95</v>
      </c>
      <c r="S2499" t="s">
        <v>95</v>
      </c>
      <c r="T2499" t="s">
        <v>95</v>
      </c>
      <c r="U2499">
        <v>1</v>
      </c>
      <c r="V2499" s="13">
        <v>45175</v>
      </c>
      <c r="W2499">
        <v>1</v>
      </c>
      <c r="X2499">
        <v>1</v>
      </c>
      <c r="Y2499" t="s">
        <v>3761</v>
      </c>
      <c r="AC2499">
        <v>7056</v>
      </c>
      <c r="AD2499" t="e" vm="2489">
        <v>#VALUE!</v>
      </c>
    </row>
    <row r="2500" spans="2:30" x14ac:dyDescent="0.25">
      <c r="B2500">
        <v>7059</v>
      </c>
      <c r="C2500" t="s">
        <v>3646</v>
      </c>
      <c r="D2500" t="s">
        <v>3760</v>
      </c>
      <c r="E2500" t="s">
        <v>3927</v>
      </c>
      <c r="F2500" t="s">
        <v>97</v>
      </c>
      <c r="G2500" t="s">
        <v>96</v>
      </c>
      <c r="H2500" t="s">
        <v>3913</v>
      </c>
      <c r="I2500" t="s">
        <v>3913</v>
      </c>
      <c r="J2500" t="s">
        <v>3920</v>
      </c>
      <c r="K2500" t="s">
        <v>3915</v>
      </c>
      <c r="L2500" s="13">
        <v>22787</v>
      </c>
      <c r="M2500">
        <v>61</v>
      </c>
      <c r="N2500" t="s">
        <v>90</v>
      </c>
      <c r="O2500" t="s">
        <v>3928</v>
      </c>
      <c r="P2500" t="s">
        <v>95</v>
      </c>
      <c r="Q2500" t="s">
        <v>905</v>
      </c>
      <c r="R2500" t="s">
        <v>95</v>
      </c>
      <c r="S2500" t="s">
        <v>95</v>
      </c>
      <c r="T2500" t="s">
        <v>95</v>
      </c>
      <c r="U2500">
        <v>1</v>
      </c>
      <c r="V2500" s="13">
        <v>45175</v>
      </c>
      <c r="W2500">
        <v>1</v>
      </c>
      <c r="X2500">
        <v>1</v>
      </c>
      <c r="Y2500" t="s">
        <v>3761</v>
      </c>
      <c r="AC2500">
        <v>7059</v>
      </c>
      <c r="AD2500" t="e" vm="2490">
        <v>#VALUE!</v>
      </c>
    </row>
    <row r="2501" spans="2:30" x14ac:dyDescent="0.25">
      <c r="B2501">
        <v>7061</v>
      </c>
      <c r="C2501" t="s">
        <v>3646</v>
      </c>
      <c r="D2501" t="s">
        <v>3760</v>
      </c>
      <c r="E2501" t="s">
        <v>3927</v>
      </c>
      <c r="F2501" t="s">
        <v>97</v>
      </c>
      <c r="G2501" t="s">
        <v>96</v>
      </c>
      <c r="H2501" t="s">
        <v>3913</v>
      </c>
      <c r="I2501" t="s">
        <v>3913</v>
      </c>
      <c r="J2501" t="s">
        <v>3920</v>
      </c>
      <c r="K2501" t="s">
        <v>3915</v>
      </c>
      <c r="L2501" s="13">
        <v>24120</v>
      </c>
      <c r="M2501">
        <v>58</v>
      </c>
      <c r="N2501" t="s">
        <v>90</v>
      </c>
      <c r="O2501" t="s">
        <v>3928</v>
      </c>
      <c r="P2501" t="s">
        <v>95</v>
      </c>
      <c r="Q2501" t="s">
        <v>905</v>
      </c>
      <c r="R2501" t="s">
        <v>95</v>
      </c>
      <c r="S2501" t="s">
        <v>95</v>
      </c>
      <c r="T2501" t="s">
        <v>95</v>
      </c>
      <c r="U2501">
        <v>1</v>
      </c>
      <c r="V2501" s="13">
        <v>45175</v>
      </c>
      <c r="W2501">
        <v>1</v>
      </c>
      <c r="X2501">
        <v>1</v>
      </c>
      <c r="Y2501" t="s">
        <v>3761</v>
      </c>
      <c r="AC2501">
        <v>7061</v>
      </c>
      <c r="AD2501" t="e" vm="2491">
        <v>#VALUE!</v>
      </c>
    </row>
    <row r="2502" spans="2:30" x14ac:dyDescent="0.25">
      <c r="B2502">
        <v>7062</v>
      </c>
      <c r="C2502" t="s">
        <v>3646</v>
      </c>
      <c r="D2502" t="s">
        <v>3760</v>
      </c>
      <c r="E2502" t="s">
        <v>3927</v>
      </c>
      <c r="F2502" t="s">
        <v>97</v>
      </c>
      <c r="G2502" t="s">
        <v>96</v>
      </c>
      <c r="H2502" t="s">
        <v>3913</v>
      </c>
      <c r="I2502" t="s">
        <v>3913</v>
      </c>
      <c r="J2502" t="s">
        <v>3920</v>
      </c>
      <c r="K2502" t="s">
        <v>3915</v>
      </c>
      <c r="L2502" s="13">
        <v>24126</v>
      </c>
      <c r="M2502">
        <v>58</v>
      </c>
      <c r="N2502" t="s">
        <v>90</v>
      </c>
      <c r="O2502" t="s">
        <v>3928</v>
      </c>
      <c r="P2502" t="s">
        <v>95</v>
      </c>
      <c r="Q2502" t="s">
        <v>905</v>
      </c>
      <c r="R2502" t="s">
        <v>95</v>
      </c>
      <c r="S2502" t="s">
        <v>95</v>
      </c>
      <c r="T2502" t="s">
        <v>95</v>
      </c>
      <c r="U2502">
        <v>1</v>
      </c>
      <c r="V2502" s="13">
        <v>45175</v>
      </c>
      <c r="W2502">
        <v>1</v>
      </c>
      <c r="X2502">
        <v>1</v>
      </c>
      <c r="Y2502" t="s">
        <v>3761</v>
      </c>
      <c r="AC2502">
        <v>7062</v>
      </c>
      <c r="AD2502" t="e" vm="2492">
        <v>#VALUE!</v>
      </c>
    </row>
    <row r="2503" spans="2:30" x14ac:dyDescent="0.25">
      <c r="B2503">
        <v>7063</v>
      </c>
      <c r="C2503" t="s">
        <v>3646</v>
      </c>
      <c r="D2503" t="s">
        <v>3760</v>
      </c>
      <c r="E2503" t="s">
        <v>3927</v>
      </c>
      <c r="F2503" t="s">
        <v>97</v>
      </c>
      <c r="G2503" t="s">
        <v>96</v>
      </c>
      <c r="H2503" t="s">
        <v>3913</v>
      </c>
      <c r="I2503" t="s">
        <v>3913</v>
      </c>
      <c r="J2503" t="s">
        <v>3920</v>
      </c>
      <c r="K2503" t="s">
        <v>3915</v>
      </c>
      <c r="L2503" s="13">
        <v>24128</v>
      </c>
      <c r="M2503">
        <v>58</v>
      </c>
      <c r="N2503" t="s">
        <v>90</v>
      </c>
      <c r="O2503" t="s">
        <v>3928</v>
      </c>
      <c r="P2503" t="s">
        <v>95</v>
      </c>
      <c r="Q2503" t="s">
        <v>905</v>
      </c>
      <c r="R2503" t="s">
        <v>95</v>
      </c>
      <c r="S2503" t="s">
        <v>95</v>
      </c>
      <c r="T2503" t="s">
        <v>95</v>
      </c>
      <c r="U2503">
        <v>1</v>
      </c>
      <c r="V2503" s="13">
        <v>45175</v>
      </c>
      <c r="W2503">
        <v>1</v>
      </c>
      <c r="X2503">
        <v>1</v>
      </c>
      <c r="Y2503" t="s">
        <v>3761</v>
      </c>
      <c r="AC2503">
        <v>7063</v>
      </c>
      <c r="AD2503" t="e" vm="2493">
        <v>#VALUE!</v>
      </c>
    </row>
    <row r="2504" spans="2:30" x14ac:dyDescent="0.25">
      <c r="B2504">
        <v>7064</v>
      </c>
      <c r="C2504" t="s">
        <v>3646</v>
      </c>
      <c r="D2504" t="s">
        <v>73</v>
      </c>
      <c r="E2504" t="s">
        <v>73</v>
      </c>
      <c r="F2504" t="s">
        <v>3816</v>
      </c>
      <c r="G2504" t="s">
        <v>3816</v>
      </c>
      <c r="H2504" t="s">
        <v>3913</v>
      </c>
      <c r="I2504" t="s">
        <v>3913</v>
      </c>
      <c r="J2504" t="s">
        <v>3920</v>
      </c>
      <c r="K2504" t="s">
        <v>3915</v>
      </c>
      <c r="L2504" s="13">
        <v>24135</v>
      </c>
      <c r="M2504">
        <v>58</v>
      </c>
      <c r="N2504" t="s">
        <v>90</v>
      </c>
      <c r="O2504" t="s">
        <v>3928</v>
      </c>
      <c r="P2504" t="s">
        <v>95</v>
      </c>
      <c r="Q2504" t="s">
        <v>905</v>
      </c>
      <c r="R2504" t="s">
        <v>95</v>
      </c>
      <c r="S2504" t="s">
        <v>95</v>
      </c>
      <c r="T2504" t="s">
        <v>95</v>
      </c>
      <c r="U2504">
        <v>1</v>
      </c>
      <c r="V2504" s="13">
        <v>45175</v>
      </c>
      <c r="W2504">
        <v>2</v>
      </c>
      <c r="X2504">
        <v>1</v>
      </c>
      <c r="Y2504" t="s">
        <v>3667</v>
      </c>
      <c r="AC2504">
        <v>7064</v>
      </c>
      <c r="AD2504" t="e" vm="2494">
        <v>#VALUE!</v>
      </c>
    </row>
    <row r="2505" spans="2:30" x14ac:dyDescent="0.25">
      <c r="B2505">
        <v>7065</v>
      </c>
      <c r="C2505" t="s">
        <v>3646</v>
      </c>
      <c r="D2505" t="s">
        <v>3760</v>
      </c>
      <c r="E2505" t="s">
        <v>3927</v>
      </c>
      <c r="F2505" t="s">
        <v>97</v>
      </c>
      <c r="G2505" t="s">
        <v>96</v>
      </c>
      <c r="H2505" t="s">
        <v>3913</v>
      </c>
      <c r="I2505" t="s">
        <v>3913</v>
      </c>
      <c r="J2505" t="s">
        <v>3920</v>
      </c>
      <c r="K2505" t="s">
        <v>3915</v>
      </c>
      <c r="L2505" s="13">
        <v>24135</v>
      </c>
      <c r="M2505">
        <v>58</v>
      </c>
      <c r="N2505" t="s">
        <v>90</v>
      </c>
      <c r="O2505" t="s">
        <v>3928</v>
      </c>
      <c r="P2505" t="s">
        <v>95</v>
      </c>
      <c r="Q2505" t="s">
        <v>905</v>
      </c>
      <c r="R2505" t="s">
        <v>95</v>
      </c>
      <c r="S2505" t="s">
        <v>95</v>
      </c>
      <c r="T2505" t="s">
        <v>95</v>
      </c>
      <c r="U2505">
        <v>1</v>
      </c>
      <c r="V2505" s="13">
        <v>45175</v>
      </c>
      <c r="W2505">
        <v>1</v>
      </c>
      <c r="X2505">
        <v>1</v>
      </c>
      <c r="Y2505" t="s">
        <v>3761</v>
      </c>
      <c r="AC2505">
        <v>7065</v>
      </c>
      <c r="AD2505" t="e" vm="2495">
        <v>#VALUE!</v>
      </c>
    </row>
    <row r="2506" spans="2:30" x14ac:dyDescent="0.25">
      <c r="B2506">
        <v>7066</v>
      </c>
      <c r="C2506" t="s">
        <v>3646</v>
      </c>
      <c r="D2506" t="s">
        <v>3760</v>
      </c>
      <c r="E2506" t="s">
        <v>3927</v>
      </c>
      <c r="F2506" t="s">
        <v>97</v>
      </c>
      <c r="G2506" t="s">
        <v>96</v>
      </c>
      <c r="H2506" t="s">
        <v>3913</v>
      </c>
      <c r="I2506" t="s">
        <v>3913</v>
      </c>
      <c r="J2506" t="s">
        <v>3920</v>
      </c>
      <c r="K2506" t="s">
        <v>3915</v>
      </c>
      <c r="L2506" s="13">
        <v>24142</v>
      </c>
      <c r="M2506">
        <v>58</v>
      </c>
      <c r="N2506" t="s">
        <v>90</v>
      </c>
      <c r="O2506" t="s">
        <v>3928</v>
      </c>
      <c r="P2506" t="s">
        <v>95</v>
      </c>
      <c r="Q2506" t="s">
        <v>905</v>
      </c>
      <c r="R2506" t="s">
        <v>95</v>
      </c>
      <c r="S2506" t="s">
        <v>95</v>
      </c>
      <c r="T2506" t="s">
        <v>95</v>
      </c>
      <c r="U2506">
        <v>1</v>
      </c>
      <c r="V2506" s="13">
        <v>45175</v>
      </c>
      <c r="W2506">
        <v>1</v>
      </c>
      <c r="X2506">
        <v>1</v>
      </c>
      <c r="Y2506" t="s">
        <v>3761</v>
      </c>
      <c r="AC2506">
        <v>7066</v>
      </c>
      <c r="AD2506" t="e" vm="2496">
        <v>#VALUE!</v>
      </c>
    </row>
    <row r="2507" spans="2:30" x14ac:dyDescent="0.25">
      <c r="B2507">
        <v>7067</v>
      </c>
      <c r="C2507" t="s">
        <v>3646</v>
      </c>
      <c r="D2507" t="s">
        <v>3760</v>
      </c>
      <c r="E2507" t="s">
        <v>3927</v>
      </c>
      <c r="F2507" t="s">
        <v>97</v>
      </c>
      <c r="G2507" t="s">
        <v>96</v>
      </c>
      <c r="H2507" t="s">
        <v>3913</v>
      </c>
      <c r="I2507" t="s">
        <v>3913</v>
      </c>
      <c r="J2507" t="s">
        <v>3920</v>
      </c>
      <c r="K2507" t="s">
        <v>3915</v>
      </c>
      <c r="L2507" s="13">
        <v>24142</v>
      </c>
      <c r="M2507">
        <v>58</v>
      </c>
      <c r="N2507" t="s">
        <v>90</v>
      </c>
      <c r="O2507" t="s">
        <v>3928</v>
      </c>
      <c r="P2507" t="s">
        <v>95</v>
      </c>
      <c r="Q2507" t="s">
        <v>905</v>
      </c>
      <c r="R2507" t="s">
        <v>95</v>
      </c>
      <c r="S2507" t="s">
        <v>95</v>
      </c>
      <c r="T2507" t="s">
        <v>95</v>
      </c>
      <c r="U2507">
        <v>1</v>
      </c>
      <c r="V2507" s="13">
        <v>45175</v>
      </c>
      <c r="W2507">
        <v>1</v>
      </c>
      <c r="X2507">
        <v>1</v>
      </c>
      <c r="Y2507" t="s">
        <v>3761</v>
      </c>
      <c r="AC2507">
        <v>7067</v>
      </c>
      <c r="AD2507" t="e" vm="2497">
        <v>#VALUE!</v>
      </c>
    </row>
    <row r="2508" spans="2:30" x14ac:dyDescent="0.25">
      <c r="B2508">
        <v>7068</v>
      </c>
      <c r="C2508" t="s">
        <v>3646</v>
      </c>
      <c r="D2508" t="s">
        <v>3760</v>
      </c>
      <c r="E2508" t="s">
        <v>3927</v>
      </c>
      <c r="F2508" t="s">
        <v>97</v>
      </c>
      <c r="G2508" t="s">
        <v>96</v>
      </c>
      <c r="H2508" t="s">
        <v>3913</v>
      </c>
      <c r="I2508" t="s">
        <v>3913</v>
      </c>
      <c r="J2508" t="s">
        <v>3920</v>
      </c>
      <c r="K2508" t="s">
        <v>3915</v>
      </c>
      <c r="L2508" s="13">
        <v>24149</v>
      </c>
      <c r="M2508">
        <v>58</v>
      </c>
      <c r="N2508" t="s">
        <v>90</v>
      </c>
      <c r="O2508" t="s">
        <v>3928</v>
      </c>
      <c r="P2508" t="s">
        <v>95</v>
      </c>
      <c r="Q2508" t="s">
        <v>905</v>
      </c>
      <c r="R2508" t="s">
        <v>95</v>
      </c>
      <c r="S2508" t="s">
        <v>95</v>
      </c>
      <c r="T2508" t="s">
        <v>95</v>
      </c>
      <c r="U2508">
        <v>1</v>
      </c>
      <c r="V2508" s="13">
        <v>45175</v>
      </c>
      <c r="W2508">
        <v>2</v>
      </c>
      <c r="X2508">
        <v>1</v>
      </c>
      <c r="Y2508" t="s">
        <v>3761</v>
      </c>
      <c r="AC2508">
        <v>7068</v>
      </c>
      <c r="AD2508" t="e" vm="2498">
        <v>#VALUE!</v>
      </c>
    </row>
    <row r="2509" spans="2:30" x14ac:dyDescent="0.25">
      <c r="B2509">
        <v>7069</v>
      </c>
      <c r="C2509" t="s">
        <v>3646</v>
      </c>
      <c r="D2509" t="s">
        <v>73</v>
      </c>
      <c r="E2509" t="s">
        <v>73</v>
      </c>
      <c r="F2509" t="s">
        <v>3816</v>
      </c>
      <c r="G2509" t="s">
        <v>3816</v>
      </c>
      <c r="H2509" t="s">
        <v>3913</v>
      </c>
      <c r="I2509" t="s">
        <v>3913</v>
      </c>
      <c r="J2509" t="s">
        <v>3920</v>
      </c>
      <c r="K2509" t="s">
        <v>3915</v>
      </c>
      <c r="L2509" s="13">
        <v>24149</v>
      </c>
      <c r="M2509">
        <v>58</v>
      </c>
      <c r="N2509" t="s">
        <v>90</v>
      </c>
      <c r="O2509" t="s">
        <v>3928</v>
      </c>
      <c r="P2509" t="s">
        <v>95</v>
      </c>
      <c r="Q2509" t="s">
        <v>905</v>
      </c>
      <c r="R2509" t="s">
        <v>95</v>
      </c>
      <c r="S2509" t="s">
        <v>95</v>
      </c>
      <c r="T2509" t="s">
        <v>95</v>
      </c>
      <c r="U2509">
        <v>1</v>
      </c>
      <c r="V2509" s="13">
        <v>45175</v>
      </c>
      <c r="W2509">
        <v>1</v>
      </c>
      <c r="X2509">
        <v>1</v>
      </c>
      <c r="Y2509" t="s">
        <v>3667</v>
      </c>
      <c r="AC2509">
        <v>7069</v>
      </c>
      <c r="AD2509" t="e" vm="2499">
        <v>#VALUE!</v>
      </c>
    </row>
    <row r="2510" spans="2:30" x14ac:dyDescent="0.25">
      <c r="B2510">
        <v>7070</v>
      </c>
      <c r="C2510" t="s">
        <v>3646</v>
      </c>
      <c r="D2510" t="s">
        <v>3760</v>
      </c>
      <c r="E2510" t="s">
        <v>3927</v>
      </c>
      <c r="F2510" t="s">
        <v>97</v>
      </c>
      <c r="G2510" t="s">
        <v>96</v>
      </c>
      <c r="H2510" t="s">
        <v>3913</v>
      </c>
      <c r="I2510" t="s">
        <v>3913</v>
      </c>
      <c r="J2510" t="s">
        <v>3920</v>
      </c>
      <c r="K2510" t="s">
        <v>3915</v>
      </c>
      <c r="L2510" s="13">
        <v>24159</v>
      </c>
      <c r="M2510">
        <v>58</v>
      </c>
      <c r="N2510" t="s">
        <v>90</v>
      </c>
      <c r="O2510" t="s">
        <v>3928</v>
      </c>
      <c r="P2510" t="s">
        <v>95</v>
      </c>
      <c r="Q2510" t="s">
        <v>905</v>
      </c>
      <c r="R2510" t="s">
        <v>95</v>
      </c>
      <c r="S2510" t="s">
        <v>95</v>
      </c>
      <c r="T2510" t="s">
        <v>95</v>
      </c>
      <c r="U2510">
        <v>1</v>
      </c>
      <c r="V2510" s="13">
        <v>45175</v>
      </c>
      <c r="W2510">
        <v>1</v>
      </c>
      <c r="X2510">
        <v>1</v>
      </c>
      <c r="Y2510" t="s">
        <v>3761</v>
      </c>
      <c r="AC2510">
        <v>7070</v>
      </c>
      <c r="AD2510" t="e" vm="2500">
        <v>#VALUE!</v>
      </c>
    </row>
    <row r="2511" spans="2:30" x14ac:dyDescent="0.25">
      <c r="B2511">
        <v>7071</v>
      </c>
      <c r="C2511" t="s">
        <v>3646</v>
      </c>
      <c r="D2511" t="s">
        <v>3760</v>
      </c>
      <c r="E2511" t="s">
        <v>3927</v>
      </c>
      <c r="F2511" t="s">
        <v>97</v>
      </c>
      <c r="G2511" t="s">
        <v>96</v>
      </c>
      <c r="H2511" t="s">
        <v>3913</v>
      </c>
      <c r="I2511" t="s">
        <v>3913</v>
      </c>
      <c r="J2511" t="s">
        <v>3920</v>
      </c>
      <c r="K2511" t="s">
        <v>3915</v>
      </c>
      <c r="L2511" s="13">
        <v>24156</v>
      </c>
      <c r="M2511">
        <v>58</v>
      </c>
      <c r="N2511" t="s">
        <v>90</v>
      </c>
      <c r="O2511" t="s">
        <v>3928</v>
      </c>
      <c r="P2511" t="s">
        <v>95</v>
      </c>
      <c r="Q2511" t="s">
        <v>905</v>
      </c>
      <c r="R2511" t="s">
        <v>95</v>
      </c>
      <c r="S2511" t="s">
        <v>95</v>
      </c>
      <c r="T2511" t="s">
        <v>95</v>
      </c>
      <c r="U2511">
        <v>1</v>
      </c>
      <c r="V2511" s="13">
        <v>45175</v>
      </c>
      <c r="W2511">
        <v>1</v>
      </c>
      <c r="X2511">
        <v>1</v>
      </c>
      <c r="Y2511" t="s">
        <v>3761</v>
      </c>
      <c r="AC2511">
        <v>7071</v>
      </c>
      <c r="AD2511" t="e" vm="2501">
        <v>#VALUE!</v>
      </c>
    </row>
    <row r="2512" spans="2:30" x14ac:dyDescent="0.25">
      <c r="B2512">
        <v>7072</v>
      </c>
      <c r="C2512" t="s">
        <v>3646</v>
      </c>
      <c r="D2512" t="s">
        <v>3760</v>
      </c>
      <c r="E2512" t="s">
        <v>3927</v>
      </c>
      <c r="F2512" t="s">
        <v>97</v>
      </c>
      <c r="G2512" t="s">
        <v>96</v>
      </c>
      <c r="H2512" t="s">
        <v>3913</v>
      </c>
      <c r="I2512" t="s">
        <v>3913</v>
      </c>
      <c r="J2512" t="s">
        <v>3920</v>
      </c>
      <c r="K2512" t="s">
        <v>3915</v>
      </c>
      <c r="L2512" s="13">
        <v>24162</v>
      </c>
      <c r="M2512">
        <v>58</v>
      </c>
      <c r="N2512" t="s">
        <v>90</v>
      </c>
      <c r="O2512" t="s">
        <v>3928</v>
      </c>
      <c r="P2512" t="s">
        <v>95</v>
      </c>
      <c r="Q2512" t="s">
        <v>905</v>
      </c>
      <c r="R2512" t="s">
        <v>95</v>
      </c>
      <c r="S2512" t="s">
        <v>95</v>
      </c>
      <c r="T2512" t="s">
        <v>95</v>
      </c>
      <c r="U2512">
        <v>1</v>
      </c>
      <c r="V2512" s="13">
        <v>45175</v>
      </c>
      <c r="W2512">
        <v>1</v>
      </c>
      <c r="X2512">
        <v>1</v>
      </c>
      <c r="Y2512" t="s">
        <v>3761</v>
      </c>
      <c r="AC2512">
        <v>7072</v>
      </c>
      <c r="AD2512" t="e" vm="2502">
        <v>#VALUE!</v>
      </c>
    </row>
    <row r="2513" spans="2:30" x14ac:dyDescent="0.25">
      <c r="B2513">
        <v>7073</v>
      </c>
      <c r="C2513" t="s">
        <v>3646</v>
      </c>
      <c r="D2513" t="s">
        <v>3760</v>
      </c>
      <c r="E2513" t="s">
        <v>3927</v>
      </c>
      <c r="F2513" t="s">
        <v>97</v>
      </c>
      <c r="G2513" t="s">
        <v>96</v>
      </c>
      <c r="H2513" t="s">
        <v>3913</v>
      </c>
      <c r="I2513" t="s">
        <v>3913</v>
      </c>
      <c r="J2513" t="s">
        <v>3920</v>
      </c>
      <c r="K2513" t="s">
        <v>3915</v>
      </c>
      <c r="L2513" s="13">
        <v>24162</v>
      </c>
      <c r="M2513">
        <v>58</v>
      </c>
      <c r="N2513" t="s">
        <v>90</v>
      </c>
      <c r="O2513" t="s">
        <v>3928</v>
      </c>
      <c r="P2513" t="s">
        <v>95</v>
      </c>
      <c r="Q2513" t="s">
        <v>905</v>
      </c>
      <c r="R2513" t="s">
        <v>95</v>
      </c>
      <c r="S2513" t="s">
        <v>95</v>
      </c>
      <c r="T2513" t="s">
        <v>95</v>
      </c>
      <c r="U2513">
        <v>1</v>
      </c>
      <c r="V2513" s="13">
        <v>45175</v>
      </c>
      <c r="W2513">
        <v>1</v>
      </c>
      <c r="X2513">
        <v>1</v>
      </c>
      <c r="Y2513" t="s">
        <v>3761</v>
      </c>
      <c r="AC2513">
        <v>7073</v>
      </c>
      <c r="AD2513" t="e" vm="2503">
        <v>#VALUE!</v>
      </c>
    </row>
    <row r="2514" spans="2:30" x14ac:dyDescent="0.25">
      <c r="B2514">
        <v>7074</v>
      </c>
      <c r="C2514" t="s">
        <v>3646</v>
      </c>
      <c r="D2514" t="s">
        <v>3760</v>
      </c>
      <c r="E2514" t="s">
        <v>3927</v>
      </c>
      <c r="F2514" t="s">
        <v>97</v>
      </c>
      <c r="G2514" t="s">
        <v>96</v>
      </c>
      <c r="H2514" t="s">
        <v>3913</v>
      </c>
      <c r="I2514" t="s">
        <v>3913</v>
      </c>
      <c r="J2514" t="s">
        <v>3920</v>
      </c>
      <c r="K2514" t="s">
        <v>3915</v>
      </c>
      <c r="L2514" s="13">
        <v>24170</v>
      </c>
      <c r="M2514">
        <v>58</v>
      </c>
      <c r="N2514" t="s">
        <v>90</v>
      </c>
      <c r="O2514" t="s">
        <v>3928</v>
      </c>
      <c r="P2514" t="s">
        <v>95</v>
      </c>
      <c r="Q2514" t="s">
        <v>905</v>
      </c>
      <c r="R2514" t="s">
        <v>95</v>
      </c>
      <c r="S2514" t="s">
        <v>95</v>
      </c>
      <c r="T2514" t="s">
        <v>95</v>
      </c>
      <c r="U2514">
        <v>1</v>
      </c>
      <c r="V2514" s="13">
        <v>45175</v>
      </c>
      <c r="W2514">
        <v>1</v>
      </c>
      <c r="X2514">
        <v>1</v>
      </c>
      <c r="Y2514" t="s">
        <v>3761</v>
      </c>
      <c r="AC2514">
        <v>7074</v>
      </c>
      <c r="AD2514" t="e" vm="2504">
        <v>#VALUE!</v>
      </c>
    </row>
    <row r="2515" spans="2:30" x14ac:dyDescent="0.25">
      <c r="B2515">
        <v>7075</v>
      </c>
      <c r="C2515" t="s">
        <v>3646</v>
      </c>
      <c r="D2515" t="s">
        <v>3760</v>
      </c>
      <c r="E2515" t="s">
        <v>3927</v>
      </c>
      <c r="F2515" t="s">
        <v>97</v>
      </c>
      <c r="G2515" t="s">
        <v>96</v>
      </c>
      <c r="H2515" t="s">
        <v>3913</v>
      </c>
      <c r="I2515" t="s">
        <v>3913</v>
      </c>
      <c r="J2515" t="s">
        <v>3920</v>
      </c>
      <c r="K2515" t="s">
        <v>3915</v>
      </c>
      <c r="L2515" s="13">
        <v>24170</v>
      </c>
      <c r="M2515">
        <v>58</v>
      </c>
      <c r="N2515" t="s">
        <v>90</v>
      </c>
      <c r="O2515" t="s">
        <v>3928</v>
      </c>
      <c r="P2515" t="s">
        <v>95</v>
      </c>
      <c r="Q2515" t="s">
        <v>905</v>
      </c>
      <c r="R2515" t="s">
        <v>95</v>
      </c>
      <c r="S2515" t="s">
        <v>95</v>
      </c>
      <c r="T2515" t="s">
        <v>95</v>
      </c>
      <c r="U2515">
        <v>1</v>
      </c>
      <c r="V2515" s="13">
        <v>45175</v>
      </c>
      <c r="W2515">
        <v>1</v>
      </c>
      <c r="X2515">
        <v>1</v>
      </c>
      <c r="Y2515" t="s">
        <v>3761</v>
      </c>
      <c r="AC2515">
        <v>7075</v>
      </c>
      <c r="AD2515" t="e" vm="2505">
        <v>#VALUE!</v>
      </c>
    </row>
    <row r="2516" spans="2:30" x14ac:dyDescent="0.25">
      <c r="B2516">
        <v>7077</v>
      </c>
      <c r="C2516" t="s">
        <v>3646</v>
      </c>
      <c r="D2516" t="s">
        <v>3760</v>
      </c>
      <c r="E2516" t="s">
        <v>3927</v>
      </c>
      <c r="F2516" t="s">
        <v>97</v>
      </c>
      <c r="G2516" t="s">
        <v>96</v>
      </c>
      <c r="H2516" t="s">
        <v>3913</v>
      </c>
      <c r="I2516" t="s">
        <v>3913</v>
      </c>
      <c r="J2516" t="s">
        <v>3920</v>
      </c>
      <c r="K2516" t="s">
        <v>3915</v>
      </c>
      <c r="L2516" s="13">
        <v>24177</v>
      </c>
      <c r="M2516">
        <v>58</v>
      </c>
      <c r="N2516" t="s">
        <v>90</v>
      </c>
      <c r="O2516" t="s">
        <v>3928</v>
      </c>
      <c r="P2516" t="s">
        <v>95</v>
      </c>
      <c r="Q2516" t="s">
        <v>905</v>
      </c>
      <c r="R2516" t="s">
        <v>95</v>
      </c>
      <c r="S2516" t="s">
        <v>95</v>
      </c>
      <c r="T2516" t="s">
        <v>95</v>
      </c>
      <c r="U2516">
        <v>1</v>
      </c>
      <c r="V2516" s="13">
        <v>45175</v>
      </c>
      <c r="W2516">
        <v>1</v>
      </c>
      <c r="X2516">
        <v>1</v>
      </c>
      <c r="Y2516" t="s">
        <v>3761</v>
      </c>
      <c r="AC2516">
        <v>7077</v>
      </c>
      <c r="AD2516" t="e" vm="2506">
        <v>#VALUE!</v>
      </c>
    </row>
    <row r="2517" spans="2:30" x14ac:dyDescent="0.25">
      <c r="B2517">
        <v>7078</v>
      </c>
      <c r="C2517" t="s">
        <v>3646</v>
      </c>
      <c r="D2517" t="s">
        <v>3760</v>
      </c>
      <c r="E2517" t="s">
        <v>3927</v>
      </c>
      <c r="F2517" t="s">
        <v>97</v>
      </c>
      <c r="G2517" t="s">
        <v>96</v>
      </c>
      <c r="H2517" t="s">
        <v>3913</v>
      </c>
      <c r="I2517" t="s">
        <v>3913</v>
      </c>
      <c r="J2517" t="s">
        <v>3920</v>
      </c>
      <c r="K2517" t="s">
        <v>3915</v>
      </c>
      <c r="L2517" s="13">
        <v>24177</v>
      </c>
      <c r="M2517">
        <v>58</v>
      </c>
      <c r="N2517" t="s">
        <v>90</v>
      </c>
      <c r="O2517" t="s">
        <v>3928</v>
      </c>
      <c r="P2517" t="s">
        <v>95</v>
      </c>
      <c r="Q2517" t="s">
        <v>905</v>
      </c>
      <c r="R2517" t="s">
        <v>95</v>
      </c>
      <c r="S2517" t="s">
        <v>95</v>
      </c>
      <c r="T2517" t="s">
        <v>95</v>
      </c>
      <c r="U2517">
        <v>1</v>
      </c>
      <c r="V2517" s="13">
        <v>45175</v>
      </c>
      <c r="W2517">
        <v>1</v>
      </c>
      <c r="X2517">
        <v>1</v>
      </c>
      <c r="Y2517" t="s">
        <v>3761</v>
      </c>
      <c r="AC2517">
        <v>7078</v>
      </c>
      <c r="AD2517" t="e" vm="2507">
        <v>#VALUE!</v>
      </c>
    </row>
    <row r="2518" spans="2:30" x14ac:dyDescent="0.25">
      <c r="B2518">
        <v>7079</v>
      </c>
      <c r="C2518" t="s">
        <v>3646</v>
      </c>
      <c r="D2518" t="s">
        <v>3760</v>
      </c>
      <c r="E2518" t="s">
        <v>3927</v>
      </c>
      <c r="F2518" t="s">
        <v>97</v>
      </c>
      <c r="G2518" t="s">
        <v>96</v>
      </c>
      <c r="H2518" t="s">
        <v>3913</v>
      </c>
      <c r="I2518" t="s">
        <v>3913</v>
      </c>
      <c r="J2518" t="s">
        <v>3920</v>
      </c>
      <c r="K2518" t="s">
        <v>3915</v>
      </c>
      <c r="L2518" s="13">
        <v>24177</v>
      </c>
      <c r="M2518">
        <v>58</v>
      </c>
      <c r="N2518" t="s">
        <v>90</v>
      </c>
      <c r="O2518" t="s">
        <v>3928</v>
      </c>
      <c r="P2518" t="s">
        <v>95</v>
      </c>
      <c r="Q2518" t="s">
        <v>905</v>
      </c>
      <c r="R2518" t="s">
        <v>95</v>
      </c>
      <c r="S2518" t="s">
        <v>95</v>
      </c>
      <c r="T2518" t="s">
        <v>95</v>
      </c>
      <c r="U2518">
        <v>1</v>
      </c>
      <c r="V2518" s="13">
        <v>45175</v>
      </c>
      <c r="W2518">
        <v>1</v>
      </c>
      <c r="X2518">
        <v>1</v>
      </c>
      <c r="Y2518" t="s">
        <v>3761</v>
      </c>
      <c r="AC2518">
        <v>7079</v>
      </c>
      <c r="AD2518" t="e" vm="2508">
        <v>#VALUE!</v>
      </c>
    </row>
    <row r="2519" spans="2:30" x14ac:dyDescent="0.25">
      <c r="B2519">
        <v>7080</v>
      </c>
      <c r="C2519" t="s">
        <v>3646</v>
      </c>
      <c r="D2519" t="s">
        <v>3760</v>
      </c>
      <c r="E2519" t="s">
        <v>3927</v>
      </c>
      <c r="F2519" t="s">
        <v>97</v>
      </c>
      <c r="G2519" t="s">
        <v>96</v>
      </c>
      <c r="H2519" t="s">
        <v>3913</v>
      </c>
      <c r="I2519" t="s">
        <v>3913</v>
      </c>
      <c r="J2519" t="s">
        <v>3920</v>
      </c>
      <c r="K2519" t="s">
        <v>3915</v>
      </c>
      <c r="L2519" s="13">
        <v>24177</v>
      </c>
      <c r="M2519">
        <v>58</v>
      </c>
      <c r="N2519" t="s">
        <v>90</v>
      </c>
      <c r="O2519" t="s">
        <v>3928</v>
      </c>
      <c r="P2519" t="s">
        <v>95</v>
      </c>
      <c r="Q2519" t="s">
        <v>905</v>
      </c>
      <c r="R2519" t="s">
        <v>95</v>
      </c>
      <c r="S2519" t="s">
        <v>95</v>
      </c>
      <c r="T2519" t="s">
        <v>95</v>
      </c>
      <c r="U2519">
        <v>1</v>
      </c>
      <c r="V2519" s="13">
        <v>45175</v>
      </c>
      <c r="W2519">
        <v>1</v>
      </c>
      <c r="X2519">
        <v>1</v>
      </c>
      <c r="Y2519" t="s">
        <v>3761</v>
      </c>
      <c r="AC2519">
        <v>7080</v>
      </c>
      <c r="AD2519" t="e" vm="2509">
        <v>#VALUE!</v>
      </c>
    </row>
    <row r="2520" spans="2:30" x14ac:dyDescent="0.25">
      <c r="B2520">
        <v>7081</v>
      </c>
      <c r="C2520" t="s">
        <v>3646</v>
      </c>
      <c r="D2520" t="s">
        <v>3760</v>
      </c>
      <c r="E2520" t="s">
        <v>3927</v>
      </c>
      <c r="F2520" t="s">
        <v>97</v>
      </c>
      <c r="G2520" t="s">
        <v>96</v>
      </c>
      <c r="H2520" t="s">
        <v>3913</v>
      </c>
      <c r="I2520" t="s">
        <v>3913</v>
      </c>
      <c r="J2520" t="s">
        <v>3920</v>
      </c>
      <c r="K2520" t="s">
        <v>3915</v>
      </c>
      <c r="L2520" s="13">
        <v>24184</v>
      </c>
      <c r="M2520">
        <v>58</v>
      </c>
      <c r="N2520" t="s">
        <v>90</v>
      </c>
      <c r="O2520" t="s">
        <v>3928</v>
      </c>
      <c r="P2520" t="s">
        <v>95</v>
      </c>
      <c r="Q2520" t="s">
        <v>905</v>
      </c>
      <c r="R2520" t="s">
        <v>95</v>
      </c>
      <c r="S2520" t="s">
        <v>95</v>
      </c>
      <c r="T2520" t="s">
        <v>95</v>
      </c>
      <c r="U2520">
        <v>1</v>
      </c>
      <c r="V2520" s="13">
        <v>45175</v>
      </c>
      <c r="W2520">
        <v>1</v>
      </c>
      <c r="X2520">
        <v>1</v>
      </c>
      <c r="Y2520" t="s">
        <v>3761</v>
      </c>
      <c r="AC2520">
        <v>7081</v>
      </c>
      <c r="AD2520" t="e" vm="2510">
        <v>#VALUE!</v>
      </c>
    </row>
    <row r="2521" spans="2:30" x14ac:dyDescent="0.25">
      <c r="B2521">
        <v>7082</v>
      </c>
      <c r="C2521" t="s">
        <v>3646</v>
      </c>
      <c r="D2521" t="s">
        <v>73</v>
      </c>
      <c r="E2521" t="s">
        <v>73</v>
      </c>
      <c r="F2521" t="s">
        <v>3816</v>
      </c>
      <c r="G2521" t="s">
        <v>3816</v>
      </c>
      <c r="H2521" t="s">
        <v>3913</v>
      </c>
      <c r="I2521" t="s">
        <v>3913</v>
      </c>
      <c r="J2521" t="s">
        <v>3920</v>
      </c>
      <c r="K2521" t="s">
        <v>3915</v>
      </c>
      <c r="L2521" s="13">
        <v>24184</v>
      </c>
      <c r="M2521">
        <v>58</v>
      </c>
      <c r="N2521" t="s">
        <v>90</v>
      </c>
      <c r="O2521" t="s">
        <v>3928</v>
      </c>
      <c r="P2521" t="s">
        <v>95</v>
      </c>
      <c r="Q2521" t="s">
        <v>905</v>
      </c>
      <c r="R2521" t="s">
        <v>95</v>
      </c>
      <c r="S2521" t="s">
        <v>95</v>
      </c>
      <c r="T2521" t="s">
        <v>95</v>
      </c>
      <c r="U2521">
        <v>1</v>
      </c>
      <c r="V2521" s="13">
        <v>45175</v>
      </c>
      <c r="W2521">
        <v>2</v>
      </c>
      <c r="X2521">
        <v>1</v>
      </c>
      <c r="Y2521" t="s">
        <v>3667</v>
      </c>
      <c r="AC2521">
        <v>7082</v>
      </c>
      <c r="AD2521" t="e" vm="2511">
        <v>#VALUE!</v>
      </c>
    </row>
    <row r="2522" spans="2:30" x14ac:dyDescent="0.25">
      <c r="B2522">
        <v>7083</v>
      </c>
      <c r="C2522" t="s">
        <v>3646</v>
      </c>
      <c r="D2522" t="s">
        <v>3760</v>
      </c>
      <c r="E2522" t="s">
        <v>3927</v>
      </c>
      <c r="F2522" t="s">
        <v>97</v>
      </c>
      <c r="G2522" t="s">
        <v>96</v>
      </c>
      <c r="H2522" t="s">
        <v>3913</v>
      </c>
      <c r="I2522" t="s">
        <v>3913</v>
      </c>
      <c r="J2522" t="s">
        <v>3920</v>
      </c>
      <c r="K2522" t="s">
        <v>3915</v>
      </c>
      <c r="L2522" s="13">
        <v>24184</v>
      </c>
      <c r="M2522">
        <v>58</v>
      </c>
      <c r="N2522" t="s">
        <v>90</v>
      </c>
      <c r="O2522" t="s">
        <v>3928</v>
      </c>
      <c r="P2522" t="s">
        <v>95</v>
      </c>
      <c r="Q2522" t="s">
        <v>905</v>
      </c>
      <c r="R2522" t="s">
        <v>95</v>
      </c>
      <c r="S2522" t="s">
        <v>95</v>
      </c>
      <c r="T2522" t="s">
        <v>95</v>
      </c>
      <c r="U2522">
        <v>1</v>
      </c>
      <c r="V2522" s="13">
        <v>45175</v>
      </c>
      <c r="W2522">
        <v>1</v>
      </c>
      <c r="X2522">
        <v>1</v>
      </c>
      <c r="Y2522" t="s">
        <v>3761</v>
      </c>
      <c r="AC2522">
        <v>7083</v>
      </c>
      <c r="AD2522" t="e" vm="2512">
        <v>#VALUE!</v>
      </c>
    </row>
    <row r="2523" spans="2:30" x14ac:dyDescent="0.25">
      <c r="B2523">
        <v>7084</v>
      </c>
      <c r="C2523" t="s">
        <v>3646</v>
      </c>
      <c r="D2523" t="s">
        <v>3760</v>
      </c>
      <c r="E2523" t="s">
        <v>3927</v>
      </c>
      <c r="F2523" t="s">
        <v>97</v>
      </c>
      <c r="G2523" t="s">
        <v>96</v>
      </c>
      <c r="H2523" t="s">
        <v>3913</v>
      </c>
      <c r="I2523" t="s">
        <v>3913</v>
      </c>
      <c r="J2523" t="s">
        <v>3920</v>
      </c>
      <c r="K2523" t="s">
        <v>3915</v>
      </c>
      <c r="L2523" s="13">
        <v>24191</v>
      </c>
      <c r="M2523">
        <v>58</v>
      </c>
      <c r="N2523" t="s">
        <v>90</v>
      </c>
      <c r="O2523" t="s">
        <v>3928</v>
      </c>
      <c r="P2523" t="s">
        <v>95</v>
      </c>
      <c r="Q2523" t="s">
        <v>905</v>
      </c>
      <c r="R2523" t="s">
        <v>95</v>
      </c>
      <c r="S2523" t="s">
        <v>95</v>
      </c>
      <c r="T2523" t="s">
        <v>95</v>
      </c>
      <c r="U2523">
        <v>1</v>
      </c>
      <c r="V2523" s="13">
        <v>45175</v>
      </c>
      <c r="W2523">
        <v>1</v>
      </c>
      <c r="X2523">
        <v>1</v>
      </c>
      <c r="Y2523" t="s">
        <v>3761</v>
      </c>
      <c r="AC2523">
        <v>7084</v>
      </c>
      <c r="AD2523" t="e" vm="2513">
        <v>#VALUE!</v>
      </c>
    </row>
    <row r="2524" spans="2:30" x14ac:dyDescent="0.25">
      <c r="B2524">
        <v>7085</v>
      </c>
      <c r="C2524" t="s">
        <v>3646</v>
      </c>
      <c r="D2524" t="s">
        <v>3760</v>
      </c>
      <c r="E2524" t="s">
        <v>3927</v>
      </c>
      <c r="F2524" t="s">
        <v>97</v>
      </c>
      <c r="G2524" t="s">
        <v>96</v>
      </c>
      <c r="H2524" t="s">
        <v>3913</v>
      </c>
      <c r="I2524" t="s">
        <v>3913</v>
      </c>
      <c r="J2524" t="s">
        <v>3920</v>
      </c>
      <c r="K2524" t="s">
        <v>3915</v>
      </c>
      <c r="L2524" s="13">
        <v>24191</v>
      </c>
      <c r="M2524">
        <v>58</v>
      </c>
      <c r="N2524" t="s">
        <v>90</v>
      </c>
      <c r="O2524" t="s">
        <v>3928</v>
      </c>
      <c r="P2524" t="s">
        <v>95</v>
      </c>
      <c r="Q2524" t="s">
        <v>905</v>
      </c>
      <c r="R2524" t="s">
        <v>95</v>
      </c>
      <c r="S2524" t="s">
        <v>95</v>
      </c>
      <c r="T2524" t="s">
        <v>95</v>
      </c>
      <c r="U2524">
        <v>1</v>
      </c>
      <c r="V2524" s="13">
        <v>45175</v>
      </c>
      <c r="W2524">
        <v>1</v>
      </c>
      <c r="X2524">
        <v>1</v>
      </c>
      <c r="Y2524" t="s">
        <v>3761</v>
      </c>
      <c r="AC2524">
        <v>7085</v>
      </c>
      <c r="AD2524" t="e" vm="2514">
        <v>#VALUE!</v>
      </c>
    </row>
    <row r="2525" spans="2:30" x14ac:dyDescent="0.25">
      <c r="B2525">
        <v>7086</v>
      </c>
      <c r="C2525" t="s">
        <v>3646</v>
      </c>
      <c r="D2525" t="s">
        <v>3760</v>
      </c>
      <c r="E2525" t="s">
        <v>3927</v>
      </c>
      <c r="F2525" t="s">
        <v>97</v>
      </c>
      <c r="G2525" t="s">
        <v>96</v>
      </c>
      <c r="H2525" t="s">
        <v>3913</v>
      </c>
      <c r="I2525" t="s">
        <v>3913</v>
      </c>
      <c r="J2525" t="s">
        <v>3920</v>
      </c>
      <c r="K2525" t="s">
        <v>3915</v>
      </c>
      <c r="L2525" s="13">
        <v>24191</v>
      </c>
      <c r="M2525">
        <v>58</v>
      </c>
      <c r="N2525" t="s">
        <v>90</v>
      </c>
      <c r="O2525" t="s">
        <v>3928</v>
      </c>
      <c r="P2525" t="s">
        <v>95</v>
      </c>
      <c r="Q2525" t="s">
        <v>905</v>
      </c>
      <c r="R2525" t="s">
        <v>95</v>
      </c>
      <c r="S2525" t="s">
        <v>95</v>
      </c>
      <c r="T2525" t="s">
        <v>95</v>
      </c>
      <c r="U2525">
        <v>1</v>
      </c>
      <c r="V2525" s="13">
        <v>45175</v>
      </c>
      <c r="W2525">
        <v>1</v>
      </c>
      <c r="X2525">
        <v>1</v>
      </c>
      <c r="Y2525" t="s">
        <v>3761</v>
      </c>
      <c r="AC2525">
        <v>7086</v>
      </c>
      <c r="AD2525" t="e" vm="2515">
        <v>#VALUE!</v>
      </c>
    </row>
    <row r="2526" spans="2:30" x14ac:dyDescent="0.25">
      <c r="B2526">
        <v>7087</v>
      </c>
      <c r="C2526" t="s">
        <v>3646</v>
      </c>
      <c r="D2526" t="s">
        <v>73</v>
      </c>
      <c r="E2526" t="s">
        <v>73</v>
      </c>
      <c r="F2526" t="s">
        <v>3816</v>
      </c>
      <c r="G2526" t="s">
        <v>3816</v>
      </c>
      <c r="H2526" t="s">
        <v>3913</v>
      </c>
      <c r="I2526" t="s">
        <v>3913</v>
      </c>
      <c r="J2526" t="s">
        <v>3920</v>
      </c>
      <c r="K2526" t="s">
        <v>3915</v>
      </c>
      <c r="L2526" s="13">
        <v>24198</v>
      </c>
      <c r="M2526">
        <v>57</v>
      </c>
      <c r="N2526" t="s">
        <v>90</v>
      </c>
      <c r="O2526" t="s">
        <v>3928</v>
      </c>
      <c r="P2526" t="s">
        <v>95</v>
      </c>
      <c r="Q2526" t="s">
        <v>905</v>
      </c>
      <c r="R2526" t="s">
        <v>95</v>
      </c>
      <c r="S2526" t="s">
        <v>95</v>
      </c>
      <c r="T2526" t="s">
        <v>95</v>
      </c>
      <c r="U2526">
        <v>1</v>
      </c>
      <c r="V2526" s="13">
        <v>45175</v>
      </c>
      <c r="W2526">
        <v>2</v>
      </c>
      <c r="X2526">
        <v>1</v>
      </c>
      <c r="Y2526" t="s">
        <v>3667</v>
      </c>
      <c r="AC2526">
        <v>7087</v>
      </c>
      <c r="AD2526" t="e" vm="2516">
        <v>#VALUE!</v>
      </c>
    </row>
    <row r="2527" spans="2:30" x14ac:dyDescent="0.25">
      <c r="B2527">
        <v>7088</v>
      </c>
      <c r="C2527" t="s">
        <v>3646</v>
      </c>
      <c r="D2527" t="s">
        <v>3760</v>
      </c>
      <c r="E2527" t="s">
        <v>3927</v>
      </c>
      <c r="F2527" t="s">
        <v>97</v>
      </c>
      <c r="G2527" t="s">
        <v>96</v>
      </c>
      <c r="H2527" t="s">
        <v>3913</v>
      </c>
      <c r="I2527" t="s">
        <v>3913</v>
      </c>
      <c r="J2527" t="s">
        <v>3920</v>
      </c>
      <c r="K2527" t="s">
        <v>3915</v>
      </c>
      <c r="L2527" s="13">
        <v>24198</v>
      </c>
      <c r="M2527">
        <v>57</v>
      </c>
      <c r="N2527" t="s">
        <v>90</v>
      </c>
      <c r="O2527" t="s">
        <v>3928</v>
      </c>
      <c r="P2527" t="s">
        <v>95</v>
      </c>
      <c r="Q2527" t="s">
        <v>905</v>
      </c>
      <c r="R2527" t="s">
        <v>95</v>
      </c>
      <c r="S2527" t="s">
        <v>95</v>
      </c>
      <c r="T2527" t="s">
        <v>95</v>
      </c>
      <c r="U2527">
        <v>1</v>
      </c>
      <c r="V2527" s="13">
        <v>45175</v>
      </c>
      <c r="W2527">
        <v>1</v>
      </c>
      <c r="X2527">
        <v>1</v>
      </c>
      <c r="Y2527" t="s">
        <v>3761</v>
      </c>
      <c r="AC2527">
        <v>7088</v>
      </c>
      <c r="AD2527" t="e" vm="2517">
        <v>#VALUE!</v>
      </c>
    </row>
    <row r="2528" spans="2:30" x14ac:dyDescent="0.25">
      <c r="B2528">
        <v>7089</v>
      </c>
      <c r="C2528" t="s">
        <v>3646</v>
      </c>
      <c r="D2528" t="s">
        <v>3760</v>
      </c>
      <c r="E2528" t="s">
        <v>3927</v>
      </c>
      <c r="F2528" t="s">
        <v>97</v>
      </c>
      <c r="G2528" t="s">
        <v>96</v>
      </c>
      <c r="H2528" t="s">
        <v>3913</v>
      </c>
      <c r="I2528" t="s">
        <v>3913</v>
      </c>
      <c r="J2528" t="s">
        <v>3920</v>
      </c>
      <c r="K2528" t="s">
        <v>3915</v>
      </c>
      <c r="L2528" s="13">
        <v>24198</v>
      </c>
      <c r="M2528">
        <v>57</v>
      </c>
      <c r="N2528" t="s">
        <v>90</v>
      </c>
      <c r="O2528" t="s">
        <v>3928</v>
      </c>
      <c r="P2528" t="s">
        <v>95</v>
      </c>
      <c r="Q2528" t="s">
        <v>905</v>
      </c>
      <c r="R2528" t="s">
        <v>95</v>
      </c>
      <c r="S2528" t="s">
        <v>95</v>
      </c>
      <c r="T2528" t="s">
        <v>95</v>
      </c>
      <c r="U2528">
        <v>1</v>
      </c>
      <c r="V2528" s="13">
        <v>45175</v>
      </c>
      <c r="W2528">
        <v>1</v>
      </c>
      <c r="X2528">
        <v>1</v>
      </c>
      <c r="Y2528" t="s">
        <v>3761</v>
      </c>
      <c r="AC2528">
        <v>7089</v>
      </c>
      <c r="AD2528" t="e" vm="2518">
        <v>#VALUE!</v>
      </c>
    </row>
    <row r="2529" spans="2:30" x14ac:dyDescent="0.25">
      <c r="B2529">
        <v>7090</v>
      </c>
      <c r="C2529" t="s">
        <v>3646</v>
      </c>
      <c r="D2529" t="s">
        <v>3760</v>
      </c>
      <c r="E2529" t="s">
        <v>3927</v>
      </c>
      <c r="F2529" t="s">
        <v>97</v>
      </c>
      <c r="G2529" t="s">
        <v>96</v>
      </c>
      <c r="H2529" t="s">
        <v>3913</v>
      </c>
      <c r="I2529" t="s">
        <v>3913</v>
      </c>
      <c r="J2529" t="s">
        <v>3920</v>
      </c>
      <c r="K2529" t="s">
        <v>3915</v>
      </c>
      <c r="L2529" s="13">
        <v>24198</v>
      </c>
      <c r="M2529">
        <v>57</v>
      </c>
      <c r="N2529" t="s">
        <v>90</v>
      </c>
      <c r="O2529" t="s">
        <v>3928</v>
      </c>
      <c r="P2529" t="s">
        <v>95</v>
      </c>
      <c r="Q2529" t="s">
        <v>905</v>
      </c>
      <c r="R2529" t="s">
        <v>95</v>
      </c>
      <c r="S2529" t="s">
        <v>95</v>
      </c>
      <c r="T2529" t="s">
        <v>95</v>
      </c>
      <c r="U2529">
        <v>1</v>
      </c>
      <c r="V2529" s="13">
        <v>45175</v>
      </c>
      <c r="W2529">
        <v>1</v>
      </c>
      <c r="X2529">
        <v>1</v>
      </c>
      <c r="Y2529" t="s">
        <v>3761</v>
      </c>
      <c r="AC2529">
        <v>7090</v>
      </c>
      <c r="AD2529" t="e" vm="2519">
        <v>#VALUE!</v>
      </c>
    </row>
    <row r="2530" spans="2:30" x14ac:dyDescent="0.25">
      <c r="B2530">
        <v>7091</v>
      </c>
      <c r="C2530" t="s">
        <v>3646</v>
      </c>
      <c r="D2530" t="s">
        <v>3760</v>
      </c>
      <c r="E2530" t="s">
        <v>3927</v>
      </c>
      <c r="F2530" t="s">
        <v>97</v>
      </c>
      <c r="G2530" t="s">
        <v>96</v>
      </c>
      <c r="H2530" t="s">
        <v>3913</v>
      </c>
      <c r="I2530" t="s">
        <v>3913</v>
      </c>
      <c r="J2530" t="s">
        <v>3920</v>
      </c>
      <c r="K2530" t="s">
        <v>3915</v>
      </c>
      <c r="L2530" s="13">
        <v>24205</v>
      </c>
      <c r="M2530">
        <v>57</v>
      </c>
      <c r="N2530" t="s">
        <v>90</v>
      </c>
      <c r="O2530" t="s">
        <v>3928</v>
      </c>
      <c r="P2530" t="s">
        <v>95</v>
      </c>
      <c r="Q2530" t="s">
        <v>905</v>
      </c>
      <c r="R2530" t="s">
        <v>95</v>
      </c>
      <c r="S2530" t="s">
        <v>95</v>
      </c>
      <c r="T2530" t="s">
        <v>95</v>
      </c>
      <c r="U2530">
        <v>1</v>
      </c>
      <c r="V2530" s="13">
        <v>45175</v>
      </c>
      <c r="W2530">
        <v>1</v>
      </c>
      <c r="X2530">
        <v>1</v>
      </c>
      <c r="Y2530" t="s">
        <v>3761</v>
      </c>
      <c r="AC2530">
        <v>7091</v>
      </c>
      <c r="AD2530" t="e" vm="2520">
        <v>#VALUE!</v>
      </c>
    </row>
    <row r="2531" spans="2:30" x14ac:dyDescent="0.25">
      <c r="B2531">
        <v>7092</v>
      </c>
      <c r="C2531" t="s">
        <v>3646</v>
      </c>
      <c r="D2531" t="s">
        <v>73</v>
      </c>
      <c r="E2531" t="s">
        <v>73</v>
      </c>
      <c r="F2531" t="s">
        <v>3816</v>
      </c>
      <c r="G2531" t="s">
        <v>3816</v>
      </c>
      <c r="H2531" t="s">
        <v>3913</v>
      </c>
      <c r="I2531" t="s">
        <v>3913</v>
      </c>
      <c r="J2531" t="s">
        <v>3920</v>
      </c>
      <c r="K2531" t="s">
        <v>3915</v>
      </c>
      <c r="L2531" s="13">
        <v>24205</v>
      </c>
      <c r="M2531">
        <v>57</v>
      </c>
      <c r="N2531" t="s">
        <v>90</v>
      </c>
      <c r="O2531" t="s">
        <v>3928</v>
      </c>
      <c r="P2531" t="s">
        <v>95</v>
      </c>
      <c r="Q2531" t="s">
        <v>905</v>
      </c>
      <c r="R2531" t="s">
        <v>95</v>
      </c>
      <c r="S2531" t="s">
        <v>95</v>
      </c>
      <c r="T2531" t="s">
        <v>95</v>
      </c>
      <c r="U2531">
        <v>1</v>
      </c>
      <c r="V2531" s="13">
        <v>45175</v>
      </c>
      <c r="W2531">
        <v>2</v>
      </c>
      <c r="X2531">
        <v>1</v>
      </c>
      <c r="Y2531" t="s">
        <v>3667</v>
      </c>
      <c r="AC2531">
        <v>7092</v>
      </c>
      <c r="AD2531" t="e" vm="2521">
        <v>#VALUE!</v>
      </c>
    </row>
    <row r="2532" spans="2:30" x14ac:dyDescent="0.25">
      <c r="B2532">
        <v>7093</v>
      </c>
      <c r="C2532" t="s">
        <v>3646</v>
      </c>
      <c r="D2532" t="s">
        <v>3760</v>
      </c>
      <c r="E2532" t="s">
        <v>3927</v>
      </c>
      <c r="F2532" t="s">
        <v>97</v>
      </c>
      <c r="G2532" t="s">
        <v>96</v>
      </c>
      <c r="H2532" t="s">
        <v>3913</v>
      </c>
      <c r="I2532" t="s">
        <v>3913</v>
      </c>
      <c r="J2532" t="s">
        <v>3920</v>
      </c>
      <c r="K2532" t="s">
        <v>3915</v>
      </c>
      <c r="L2532" s="13">
        <v>24205</v>
      </c>
      <c r="M2532">
        <v>57</v>
      </c>
      <c r="N2532" t="s">
        <v>90</v>
      </c>
      <c r="O2532" t="s">
        <v>3928</v>
      </c>
      <c r="P2532" t="s">
        <v>95</v>
      </c>
      <c r="Q2532" t="s">
        <v>905</v>
      </c>
      <c r="R2532" t="s">
        <v>95</v>
      </c>
      <c r="S2532" t="s">
        <v>95</v>
      </c>
      <c r="T2532" t="s">
        <v>95</v>
      </c>
      <c r="U2532">
        <v>1</v>
      </c>
      <c r="V2532" s="13">
        <v>45175</v>
      </c>
      <c r="W2532">
        <v>1</v>
      </c>
      <c r="X2532">
        <v>1</v>
      </c>
      <c r="Y2532" t="s">
        <v>3761</v>
      </c>
      <c r="AC2532">
        <v>7093</v>
      </c>
      <c r="AD2532" t="e" vm="2522">
        <v>#VALUE!</v>
      </c>
    </row>
    <row r="2533" spans="2:30" x14ac:dyDescent="0.25">
      <c r="B2533">
        <v>7094</v>
      </c>
      <c r="C2533" t="s">
        <v>3646</v>
      </c>
      <c r="D2533" t="s">
        <v>3760</v>
      </c>
      <c r="E2533" t="s">
        <v>3927</v>
      </c>
      <c r="F2533" t="s">
        <v>97</v>
      </c>
      <c r="G2533" t="s">
        <v>96</v>
      </c>
      <c r="H2533" t="s">
        <v>3913</v>
      </c>
      <c r="I2533" t="s">
        <v>3913</v>
      </c>
      <c r="J2533" t="s">
        <v>3920</v>
      </c>
      <c r="K2533" t="s">
        <v>3915</v>
      </c>
      <c r="L2533" s="13">
        <v>24205</v>
      </c>
      <c r="M2533">
        <v>57</v>
      </c>
      <c r="N2533" t="s">
        <v>90</v>
      </c>
      <c r="O2533" t="s">
        <v>3928</v>
      </c>
      <c r="P2533" t="s">
        <v>95</v>
      </c>
      <c r="Q2533" t="s">
        <v>905</v>
      </c>
      <c r="R2533" t="s">
        <v>95</v>
      </c>
      <c r="S2533" t="s">
        <v>95</v>
      </c>
      <c r="T2533" t="s">
        <v>95</v>
      </c>
      <c r="U2533">
        <v>1</v>
      </c>
      <c r="V2533" s="13">
        <v>45175</v>
      </c>
      <c r="W2533">
        <v>1</v>
      </c>
      <c r="X2533">
        <v>1</v>
      </c>
      <c r="Y2533" t="s">
        <v>3761</v>
      </c>
      <c r="AC2533">
        <v>7094</v>
      </c>
      <c r="AD2533" t="e" vm="2523">
        <v>#VALUE!</v>
      </c>
    </row>
    <row r="2534" spans="2:30" x14ac:dyDescent="0.25">
      <c r="B2534">
        <v>7095</v>
      </c>
      <c r="C2534" t="s">
        <v>3646</v>
      </c>
      <c r="D2534" t="s">
        <v>3760</v>
      </c>
      <c r="E2534" t="s">
        <v>3927</v>
      </c>
      <c r="F2534" t="s">
        <v>97</v>
      </c>
      <c r="G2534" t="s">
        <v>96</v>
      </c>
      <c r="H2534" t="s">
        <v>3913</v>
      </c>
      <c r="I2534" t="s">
        <v>3913</v>
      </c>
      <c r="J2534" t="s">
        <v>3920</v>
      </c>
      <c r="K2534" t="s">
        <v>3915</v>
      </c>
      <c r="L2534" s="13">
        <v>24219</v>
      </c>
      <c r="M2534">
        <v>57</v>
      </c>
      <c r="N2534" t="s">
        <v>90</v>
      </c>
      <c r="O2534" t="s">
        <v>3928</v>
      </c>
      <c r="P2534" t="s">
        <v>95</v>
      </c>
      <c r="Q2534" t="s">
        <v>905</v>
      </c>
      <c r="R2534" t="s">
        <v>95</v>
      </c>
      <c r="S2534" t="s">
        <v>95</v>
      </c>
      <c r="T2534" t="s">
        <v>95</v>
      </c>
      <c r="U2534">
        <v>1</v>
      </c>
      <c r="V2534" s="13">
        <v>45175</v>
      </c>
      <c r="W2534">
        <v>1</v>
      </c>
      <c r="X2534">
        <v>1</v>
      </c>
      <c r="Y2534" t="s">
        <v>3761</v>
      </c>
      <c r="AC2534">
        <v>7095</v>
      </c>
      <c r="AD2534" t="e" vm="2524">
        <v>#VALUE!</v>
      </c>
    </row>
    <row r="2535" spans="2:30" x14ac:dyDescent="0.25">
      <c r="B2535">
        <v>7096</v>
      </c>
      <c r="C2535" t="s">
        <v>3698</v>
      </c>
      <c r="D2535" t="s">
        <v>3760</v>
      </c>
      <c r="E2535" t="s">
        <v>3927</v>
      </c>
      <c r="F2535" t="s">
        <v>97</v>
      </c>
      <c r="G2535" t="s">
        <v>96</v>
      </c>
      <c r="H2535" t="s">
        <v>3913</v>
      </c>
      <c r="I2535" t="s">
        <v>3913</v>
      </c>
      <c r="J2535" t="s">
        <v>3920</v>
      </c>
      <c r="K2535" t="s">
        <v>3915</v>
      </c>
      <c r="L2535" s="13">
        <v>24212</v>
      </c>
      <c r="M2535">
        <v>57</v>
      </c>
      <c r="N2535" t="s">
        <v>98</v>
      </c>
      <c r="O2535" t="s">
        <v>3928</v>
      </c>
      <c r="P2535" t="s">
        <v>95</v>
      </c>
      <c r="Q2535" t="s">
        <v>905</v>
      </c>
      <c r="R2535" t="s">
        <v>95</v>
      </c>
      <c r="S2535" t="s">
        <v>95</v>
      </c>
      <c r="T2535" t="s">
        <v>95</v>
      </c>
      <c r="U2535">
        <v>1</v>
      </c>
      <c r="V2535" s="13">
        <v>45175</v>
      </c>
      <c r="W2535">
        <v>2</v>
      </c>
      <c r="X2535">
        <v>1</v>
      </c>
      <c r="Y2535" t="s">
        <v>3762</v>
      </c>
      <c r="AC2535">
        <v>7096</v>
      </c>
      <c r="AD2535" t="e" vm="2525">
        <v>#VALUE!</v>
      </c>
    </row>
    <row r="2536" spans="2:30" x14ac:dyDescent="0.25">
      <c r="B2536">
        <v>7097</v>
      </c>
      <c r="C2536" t="s">
        <v>3646</v>
      </c>
      <c r="D2536" t="s">
        <v>3760</v>
      </c>
      <c r="E2536" t="s">
        <v>3927</v>
      </c>
      <c r="F2536" t="s">
        <v>97</v>
      </c>
      <c r="G2536" t="s">
        <v>96</v>
      </c>
      <c r="H2536" t="s">
        <v>3913</v>
      </c>
      <c r="I2536" t="s">
        <v>3913</v>
      </c>
      <c r="J2536" t="s">
        <v>3920</v>
      </c>
      <c r="K2536" t="s">
        <v>3915</v>
      </c>
      <c r="L2536" s="13">
        <v>24199</v>
      </c>
      <c r="M2536">
        <v>57</v>
      </c>
      <c r="N2536" t="s">
        <v>90</v>
      </c>
      <c r="O2536" t="s">
        <v>3928</v>
      </c>
      <c r="P2536" t="s">
        <v>95</v>
      </c>
      <c r="Q2536" t="s">
        <v>905</v>
      </c>
      <c r="R2536" t="s">
        <v>95</v>
      </c>
      <c r="S2536" t="s">
        <v>95</v>
      </c>
      <c r="T2536" t="s">
        <v>95</v>
      </c>
      <c r="U2536">
        <v>1</v>
      </c>
      <c r="V2536" s="13">
        <v>45175</v>
      </c>
      <c r="W2536">
        <v>1</v>
      </c>
      <c r="X2536">
        <v>1</v>
      </c>
      <c r="Y2536" t="s">
        <v>3761</v>
      </c>
      <c r="AC2536">
        <v>7097</v>
      </c>
      <c r="AD2536" t="e" vm="2526">
        <v>#VALUE!</v>
      </c>
    </row>
    <row r="2537" spans="2:30" x14ac:dyDescent="0.25">
      <c r="B2537">
        <v>7098</v>
      </c>
      <c r="C2537" t="s">
        <v>3646</v>
      </c>
      <c r="D2537" t="s">
        <v>3760</v>
      </c>
      <c r="E2537" t="s">
        <v>3927</v>
      </c>
      <c r="F2537" t="s">
        <v>97</v>
      </c>
      <c r="G2537" t="s">
        <v>96</v>
      </c>
      <c r="H2537" t="s">
        <v>3913</v>
      </c>
      <c r="I2537" t="s">
        <v>3913</v>
      </c>
      <c r="J2537" t="s">
        <v>3920</v>
      </c>
      <c r="K2537" t="s">
        <v>3915</v>
      </c>
      <c r="L2537" s="13">
        <v>24212</v>
      </c>
      <c r="M2537">
        <v>57</v>
      </c>
      <c r="N2537" t="s">
        <v>90</v>
      </c>
      <c r="O2537" t="s">
        <v>3928</v>
      </c>
      <c r="P2537" t="s">
        <v>95</v>
      </c>
      <c r="Q2537" t="s">
        <v>905</v>
      </c>
      <c r="R2537" t="s">
        <v>95</v>
      </c>
      <c r="S2537" t="s">
        <v>95</v>
      </c>
      <c r="T2537" t="s">
        <v>95</v>
      </c>
      <c r="U2537">
        <v>1</v>
      </c>
      <c r="V2537" s="13">
        <v>45175</v>
      </c>
      <c r="W2537">
        <v>1</v>
      </c>
      <c r="X2537">
        <v>1</v>
      </c>
      <c r="Y2537" t="s">
        <v>3761</v>
      </c>
      <c r="AC2537">
        <v>7098</v>
      </c>
      <c r="AD2537" t="e" vm="2527">
        <v>#VALUE!</v>
      </c>
    </row>
    <row r="2538" spans="2:30" x14ac:dyDescent="0.25">
      <c r="B2538">
        <v>7099</v>
      </c>
      <c r="C2538" t="s">
        <v>3646</v>
      </c>
      <c r="D2538" t="s">
        <v>3760</v>
      </c>
      <c r="E2538" t="s">
        <v>3927</v>
      </c>
      <c r="F2538" t="s">
        <v>97</v>
      </c>
      <c r="G2538" t="s">
        <v>96</v>
      </c>
      <c r="H2538" t="s">
        <v>3913</v>
      </c>
      <c r="I2538" t="s">
        <v>3913</v>
      </c>
      <c r="J2538" t="s">
        <v>3920</v>
      </c>
      <c r="K2538" t="s">
        <v>3915</v>
      </c>
      <c r="L2538" s="13">
        <v>24222</v>
      </c>
      <c r="M2538">
        <v>57</v>
      </c>
      <c r="N2538" t="s">
        <v>90</v>
      </c>
      <c r="O2538" t="s">
        <v>3928</v>
      </c>
      <c r="P2538" t="s">
        <v>95</v>
      </c>
      <c r="Q2538" t="s">
        <v>905</v>
      </c>
      <c r="R2538" t="s">
        <v>95</v>
      </c>
      <c r="S2538" t="s">
        <v>95</v>
      </c>
      <c r="T2538" t="s">
        <v>95</v>
      </c>
      <c r="U2538">
        <v>1</v>
      </c>
      <c r="V2538" s="13">
        <v>45175</v>
      </c>
      <c r="W2538">
        <v>1</v>
      </c>
      <c r="X2538">
        <v>1</v>
      </c>
      <c r="Y2538" t="s">
        <v>3761</v>
      </c>
      <c r="AC2538">
        <v>7099</v>
      </c>
      <c r="AD2538" t="e" vm="2528">
        <v>#VALUE!</v>
      </c>
    </row>
    <row r="2539" spans="2:30" x14ac:dyDescent="0.25">
      <c r="B2539">
        <v>7100</v>
      </c>
      <c r="C2539" t="s">
        <v>3646</v>
      </c>
      <c r="D2539" t="s">
        <v>3760</v>
      </c>
      <c r="E2539" t="s">
        <v>3927</v>
      </c>
      <c r="F2539" t="s">
        <v>97</v>
      </c>
      <c r="G2539" t="s">
        <v>96</v>
      </c>
      <c r="H2539" t="s">
        <v>3913</v>
      </c>
      <c r="I2539" t="s">
        <v>3913</v>
      </c>
      <c r="J2539" t="s">
        <v>3920</v>
      </c>
      <c r="K2539" t="s">
        <v>3915</v>
      </c>
      <c r="L2539" s="13">
        <v>24222</v>
      </c>
      <c r="M2539">
        <v>57</v>
      </c>
      <c r="N2539" t="s">
        <v>90</v>
      </c>
      <c r="O2539" t="s">
        <v>3928</v>
      </c>
      <c r="P2539" t="s">
        <v>95</v>
      </c>
      <c r="Q2539" t="s">
        <v>905</v>
      </c>
      <c r="R2539" t="s">
        <v>95</v>
      </c>
      <c r="S2539" t="s">
        <v>95</v>
      </c>
      <c r="T2539" t="s">
        <v>95</v>
      </c>
      <c r="U2539">
        <v>1</v>
      </c>
      <c r="V2539" s="13">
        <v>45175</v>
      </c>
      <c r="W2539">
        <v>1</v>
      </c>
      <c r="X2539">
        <v>1</v>
      </c>
      <c r="Y2539" t="s">
        <v>3761</v>
      </c>
      <c r="AC2539">
        <v>7100</v>
      </c>
      <c r="AD2539" t="e" vm="2529">
        <v>#VALUE!</v>
      </c>
    </row>
    <row r="2540" spans="2:30" x14ac:dyDescent="0.25">
      <c r="B2540">
        <v>7101</v>
      </c>
      <c r="C2540" t="s">
        <v>3646</v>
      </c>
      <c r="D2540" t="s">
        <v>3760</v>
      </c>
      <c r="E2540" t="s">
        <v>3927</v>
      </c>
      <c r="F2540" t="s">
        <v>97</v>
      </c>
      <c r="G2540" t="s">
        <v>96</v>
      </c>
      <c r="H2540" t="s">
        <v>3913</v>
      </c>
      <c r="I2540" t="s">
        <v>3913</v>
      </c>
      <c r="J2540" t="s">
        <v>3920</v>
      </c>
      <c r="K2540" t="s">
        <v>3915</v>
      </c>
      <c r="L2540" s="13">
        <v>25528</v>
      </c>
      <c r="M2540">
        <v>54</v>
      </c>
      <c r="N2540" t="s">
        <v>90</v>
      </c>
      <c r="O2540" t="s">
        <v>3928</v>
      </c>
      <c r="P2540" t="s">
        <v>95</v>
      </c>
      <c r="Q2540" t="s">
        <v>905</v>
      </c>
      <c r="R2540" t="s">
        <v>95</v>
      </c>
      <c r="S2540" t="s">
        <v>95</v>
      </c>
      <c r="T2540" t="s">
        <v>95</v>
      </c>
      <c r="U2540">
        <v>1</v>
      </c>
      <c r="V2540" s="13">
        <v>45175</v>
      </c>
      <c r="W2540">
        <v>1</v>
      </c>
      <c r="X2540">
        <v>1</v>
      </c>
      <c r="Y2540" t="s">
        <v>3761</v>
      </c>
      <c r="AC2540">
        <v>7101</v>
      </c>
      <c r="AD2540" t="e" vm="2530">
        <v>#VALUE!</v>
      </c>
    </row>
    <row r="2541" spans="2:30" x14ac:dyDescent="0.25">
      <c r="B2541">
        <v>7102</v>
      </c>
      <c r="C2541" t="s">
        <v>3646</v>
      </c>
      <c r="D2541" t="s">
        <v>3760</v>
      </c>
      <c r="E2541" t="s">
        <v>3927</v>
      </c>
      <c r="F2541" t="s">
        <v>97</v>
      </c>
      <c r="G2541" t="s">
        <v>96</v>
      </c>
      <c r="H2541" t="s">
        <v>3913</v>
      </c>
      <c r="I2541" t="s">
        <v>3913</v>
      </c>
      <c r="J2541" t="s">
        <v>3920</v>
      </c>
      <c r="K2541" t="s">
        <v>3915</v>
      </c>
      <c r="L2541" s="13">
        <v>25532</v>
      </c>
      <c r="M2541">
        <v>54</v>
      </c>
      <c r="N2541" t="s">
        <v>90</v>
      </c>
      <c r="O2541" t="s">
        <v>3928</v>
      </c>
      <c r="P2541" t="s">
        <v>95</v>
      </c>
      <c r="Q2541" t="s">
        <v>905</v>
      </c>
      <c r="R2541" t="s">
        <v>95</v>
      </c>
      <c r="S2541" t="s">
        <v>95</v>
      </c>
      <c r="T2541" t="s">
        <v>95</v>
      </c>
      <c r="U2541">
        <v>1</v>
      </c>
      <c r="V2541" s="13">
        <v>45175</v>
      </c>
      <c r="W2541">
        <v>1</v>
      </c>
      <c r="X2541">
        <v>1</v>
      </c>
      <c r="Y2541" t="s">
        <v>3761</v>
      </c>
      <c r="AC2541">
        <v>7102</v>
      </c>
      <c r="AD2541" t="e" vm="2531">
        <v>#VALUE!</v>
      </c>
    </row>
    <row r="2542" spans="2:30" x14ac:dyDescent="0.25">
      <c r="B2542">
        <v>7104</v>
      </c>
      <c r="C2542" t="s">
        <v>3646</v>
      </c>
      <c r="D2542" t="s">
        <v>3760</v>
      </c>
      <c r="E2542" t="s">
        <v>3927</v>
      </c>
      <c r="F2542" t="s">
        <v>97</v>
      </c>
      <c r="G2542" t="s">
        <v>96</v>
      </c>
      <c r="H2542" t="s">
        <v>3913</v>
      </c>
      <c r="I2542" t="s">
        <v>3913</v>
      </c>
      <c r="J2542" t="s">
        <v>3920</v>
      </c>
      <c r="K2542" t="s">
        <v>3915</v>
      </c>
      <c r="L2542" s="13">
        <v>25542</v>
      </c>
      <c r="M2542">
        <v>54</v>
      </c>
      <c r="N2542" t="s">
        <v>90</v>
      </c>
      <c r="O2542" t="s">
        <v>3928</v>
      </c>
      <c r="P2542" t="s">
        <v>95</v>
      </c>
      <c r="Q2542" t="s">
        <v>905</v>
      </c>
      <c r="R2542" t="s">
        <v>95</v>
      </c>
      <c r="S2542" t="s">
        <v>95</v>
      </c>
      <c r="T2542" t="s">
        <v>95</v>
      </c>
      <c r="U2542">
        <v>1</v>
      </c>
      <c r="V2542" s="13">
        <v>45175</v>
      </c>
      <c r="W2542">
        <v>1</v>
      </c>
      <c r="X2542">
        <v>1</v>
      </c>
      <c r="Y2542" t="s">
        <v>3761</v>
      </c>
      <c r="AC2542">
        <v>7104</v>
      </c>
      <c r="AD2542" t="e" vm="2532">
        <v>#VALUE!</v>
      </c>
    </row>
    <row r="2543" spans="2:30" x14ac:dyDescent="0.25">
      <c r="B2543">
        <v>7105</v>
      </c>
      <c r="C2543" t="s">
        <v>3646</v>
      </c>
      <c r="D2543" t="s">
        <v>3760</v>
      </c>
      <c r="E2543" t="s">
        <v>3927</v>
      </c>
      <c r="F2543" t="s">
        <v>97</v>
      </c>
      <c r="G2543" t="s">
        <v>96</v>
      </c>
      <c r="H2543" t="s">
        <v>3913</v>
      </c>
      <c r="I2543" t="s">
        <v>3913</v>
      </c>
      <c r="J2543" t="s">
        <v>3920</v>
      </c>
      <c r="K2543" t="s">
        <v>3915</v>
      </c>
      <c r="L2543" s="13">
        <v>25549</v>
      </c>
      <c r="M2543">
        <v>54</v>
      </c>
      <c r="N2543" t="s">
        <v>90</v>
      </c>
      <c r="O2543" t="s">
        <v>3928</v>
      </c>
      <c r="P2543" t="s">
        <v>95</v>
      </c>
      <c r="Q2543" t="s">
        <v>905</v>
      </c>
      <c r="R2543" t="s">
        <v>95</v>
      </c>
      <c r="S2543" t="s">
        <v>95</v>
      </c>
      <c r="T2543" t="s">
        <v>95</v>
      </c>
      <c r="U2543">
        <v>1</v>
      </c>
      <c r="V2543" s="13">
        <v>45175</v>
      </c>
      <c r="W2543">
        <v>1</v>
      </c>
      <c r="X2543">
        <v>1</v>
      </c>
      <c r="Y2543" t="s">
        <v>3761</v>
      </c>
      <c r="AC2543">
        <v>7105</v>
      </c>
      <c r="AD2543" t="e" vm="2533">
        <v>#VALUE!</v>
      </c>
    </row>
    <row r="2544" spans="2:30" x14ac:dyDescent="0.25">
      <c r="B2544">
        <v>7106</v>
      </c>
      <c r="C2544" t="s">
        <v>3646</v>
      </c>
      <c r="D2544" t="s">
        <v>3760</v>
      </c>
      <c r="E2544" t="s">
        <v>3927</v>
      </c>
      <c r="F2544" t="s">
        <v>97</v>
      </c>
      <c r="G2544" t="s">
        <v>96</v>
      </c>
      <c r="H2544" t="s">
        <v>3913</v>
      </c>
      <c r="I2544" t="s">
        <v>3913</v>
      </c>
      <c r="J2544" t="s">
        <v>3920</v>
      </c>
      <c r="K2544" t="s">
        <v>3915</v>
      </c>
      <c r="L2544" s="13">
        <v>25553</v>
      </c>
      <c r="M2544">
        <v>54</v>
      </c>
      <c r="N2544" t="s">
        <v>90</v>
      </c>
      <c r="O2544" t="s">
        <v>3928</v>
      </c>
      <c r="P2544" t="s">
        <v>95</v>
      </c>
      <c r="Q2544" t="s">
        <v>905</v>
      </c>
      <c r="R2544" t="s">
        <v>95</v>
      </c>
      <c r="S2544" t="s">
        <v>95</v>
      </c>
      <c r="T2544" t="s">
        <v>95</v>
      </c>
      <c r="U2544">
        <v>1</v>
      </c>
      <c r="V2544" s="13">
        <v>45175</v>
      </c>
      <c r="W2544">
        <v>1</v>
      </c>
      <c r="X2544">
        <v>1</v>
      </c>
      <c r="Y2544" t="s">
        <v>3761</v>
      </c>
      <c r="AC2544">
        <v>7106</v>
      </c>
      <c r="AD2544" t="e" vm="2534">
        <v>#VALUE!</v>
      </c>
    </row>
    <row r="2545" spans="2:30" x14ac:dyDescent="0.25">
      <c r="B2545">
        <v>7108</v>
      </c>
      <c r="C2545" t="s">
        <v>3646</v>
      </c>
      <c r="D2545" t="s">
        <v>3760</v>
      </c>
      <c r="E2545" t="s">
        <v>3927</v>
      </c>
      <c r="F2545" t="s">
        <v>97</v>
      </c>
      <c r="G2545" t="s">
        <v>96</v>
      </c>
      <c r="H2545" t="s">
        <v>3913</v>
      </c>
      <c r="I2545" t="s">
        <v>3913</v>
      </c>
      <c r="J2545" t="s">
        <v>3920</v>
      </c>
      <c r="K2545" t="s">
        <v>3915</v>
      </c>
      <c r="L2545" s="13">
        <v>25559</v>
      </c>
      <c r="M2545">
        <v>54</v>
      </c>
      <c r="N2545" t="s">
        <v>90</v>
      </c>
      <c r="O2545" t="s">
        <v>3928</v>
      </c>
      <c r="P2545" t="s">
        <v>95</v>
      </c>
      <c r="Q2545" t="s">
        <v>905</v>
      </c>
      <c r="R2545" t="s">
        <v>95</v>
      </c>
      <c r="S2545" t="s">
        <v>95</v>
      </c>
      <c r="T2545" t="s">
        <v>95</v>
      </c>
      <c r="U2545">
        <v>1</v>
      </c>
      <c r="V2545" s="13">
        <v>45175</v>
      </c>
      <c r="W2545">
        <v>1</v>
      </c>
      <c r="X2545">
        <v>1</v>
      </c>
      <c r="Y2545" t="s">
        <v>3761</v>
      </c>
      <c r="AC2545">
        <v>7108</v>
      </c>
      <c r="AD2545" t="e" vm="2535">
        <v>#VALUE!</v>
      </c>
    </row>
    <row r="2546" spans="2:30" x14ac:dyDescent="0.25">
      <c r="B2546">
        <v>7109</v>
      </c>
      <c r="C2546" t="s">
        <v>3646</v>
      </c>
      <c r="D2546" t="s">
        <v>3760</v>
      </c>
      <c r="E2546" t="s">
        <v>3927</v>
      </c>
      <c r="F2546" t="s">
        <v>97</v>
      </c>
      <c r="G2546" t="s">
        <v>96</v>
      </c>
      <c r="H2546" t="s">
        <v>3913</v>
      </c>
      <c r="I2546" t="s">
        <v>3913</v>
      </c>
      <c r="J2546" t="s">
        <v>3920</v>
      </c>
      <c r="K2546" t="s">
        <v>3915</v>
      </c>
      <c r="L2546" s="13">
        <v>25583</v>
      </c>
      <c r="M2546">
        <v>54</v>
      </c>
      <c r="N2546" t="s">
        <v>90</v>
      </c>
      <c r="O2546" t="s">
        <v>3928</v>
      </c>
      <c r="P2546" t="s">
        <v>95</v>
      </c>
      <c r="Q2546" t="s">
        <v>905</v>
      </c>
      <c r="R2546" t="s">
        <v>95</v>
      </c>
      <c r="S2546" t="s">
        <v>95</v>
      </c>
      <c r="T2546" t="s">
        <v>95</v>
      </c>
      <c r="U2546">
        <v>1</v>
      </c>
      <c r="V2546" s="13">
        <v>45175</v>
      </c>
      <c r="W2546">
        <v>1</v>
      </c>
      <c r="X2546">
        <v>1</v>
      </c>
      <c r="Y2546" t="s">
        <v>3761</v>
      </c>
      <c r="AC2546">
        <v>7109</v>
      </c>
      <c r="AD2546" t="e" vm="2536">
        <v>#VALUE!</v>
      </c>
    </row>
    <row r="2547" spans="2:30" x14ac:dyDescent="0.25">
      <c r="B2547">
        <v>7110</v>
      </c>
      <c r="C2547" t="s">
        <v>3646</v>
      </c>
      <c r="D2547" t="s">
        <v>3760</v>
      </c>
      <c r="E2547" t="s">
        <v>3927</v>
      </c>
      <c r="F2547" t="s">
        <v>97</v>
      </c>
      <c r="G2547" t="s">
        <v>96</v>
      </c>
      <c r="H2547" t="s">
        <v>3913</v>
      </c>
      <c r="I2547" t="s">
        <v>3913</v>
      </c>
      <c r="J2547" t="s">
        <v>3920</v>
      </c>
      <c r="K2547" t="s">
        <v>3915</v>
      </c>
      <c r="L2547" s="13">
        <v>25584</v>
      </c>
      <c r="M2547">
        <v>54</v>
      </c>
      <c r="N2547" t="s">
        <v>90</v>
      </c>
      <c r="O2547" t="s">
        <v>3928</v>
      </c>
      <c r="P2547" t="s">
        <v>95</v>
      </c>
      <c r="Q2547" t="s">
        <v>905</v>
      </c>
      <c r="R2547" t="s">
        <v>95</v>
      </c>
      <c r="S2547" t="s">
        <v>95</v>
      </c>
      <c r="T2547" t="s">
        <v>95</v>
      </c>
      <c r="U2547">
        <v>1</v>
      </c>
      <c r="V2547" s="13">
        <v>45175</v>
      </c>
      <c r="W2547">
        <v>1</v>
      </c>
      <c r="X2547">
        <v>1</v>
      </c>
      <c r="Y2547" t="s">
        <v>3761</v>
      </c>
      <c r="AC2547">
        <v>7110</v>
      </c>
      <c r="AD2547" t="e" vm="2537">
        <v>#VALUE!</v>
      </c>
    </row>
    <row r="2548" spans="2:30" x14ac:dyDescent="0.25">
      <c r="B2548">
        <v>7111</v>
      </c>
      <c r="C2548" t="s">
        <v>3646</v>
      </c>
      <c r="D2548" t="s">
        <v>73</v>
      </c>
      <c r="E2548" t="s">
        <v>73</v>
      </c>
      <c r="F2548" t="s">
        <v>3816</v>
      </c>
      <c r="G2548" t="s">
        <v>3816</v>
      </c>
      <c r="H2548" t="s">
        <v>3913</v>
      </c>
      <c r="I2548" t="s">
        <v>3913</v>
      </c>
      <c r="J2548" t="s">
        <v>3920</v>
      </c>
      <c r="K2548" t="s">
        <v>3915</v>
      </c>
      <c r="L2548" s="13">
        <v>25588</v>
      </c>
      <c r="M2548">
        <v>54</v>
      </c>
      <c r="N2548" t="s">
        <v>90</v>
      </c>
      <c r="O2548" t="s">
        <v>3928</v>
      </c>
      <c r="P2548" t="s">
        <v>95</v>
      </c>
      <c r="Q2548" t="s">
        <v>905</v>
      </c>
      <c r="R2548" t="s">
        <v>95</v>
      </c>
      <c r="S2548" t="s">
        <v>95</v>
      </c>
      <c r="T2548" t="s">
        <v>95</v>
      </c>
      <c r="U2548">
        <v>1</v>
      </c>
      <c r="V2548" s="13">
        <v>45175</v>
      </c>
      <c r="W2548">
        <v>2</v>
      </c>
      <c r="X2548">
        <v>1</v>
      </c>
      <c r="Y2548" t="s">
        <v>3667</v>
      </c>
      <c r="AC2548">
        <v>7111</v>
      </c>
      <c r="AD2548" t="e" vm="2538">
        <v>#VALUE!</v>
      </c>
    </row>
    <row r="2549" spans="2:30" x14ac:dyDescent="0.25">
      <c r="B2549">
        <v>7113</v>
      </c>
      <c r="C2549" t="s">
        <v>3646</v>
      </c>
      <c r="D2549" t="s">
        <v>3760</v>
      </c>
      <c r="E2549" t="s">
        <v>3927</v>
      </c>
      <c r="F2549" t="s">
        <v>97</v>
      </c>
      <c r="G2549" t="s">
        <v>96</v>
      </c>
      <c r="H2549" t="s">
        <v>3913</v>
      </c>
      <c r="I2549" t="s">
        <v>3913</v>
      </c>
      <c r="J2549" t="s">
        <v>3920</v>
      </c>
      <c r="K2549" t="s">
        <v>3915</v>
      </c>
      <c r="L2549" s="13">
        <v>25591</v>
      </c>
      <c r="M2549">
        <v>54</v>
      </c>
      <c r="N2549" t="s">
        <v>90</v>
      </c>
      <c r="O2549" t="s">
        <v>3928</v>
      </c>
      <c r="P2549" t="s">
        <v>95</v>
      </c>
      <c r="Q2549" t="s">
        <v>905</v>
      </c>
      <c r="R2549" t="s">
        <v>95</v>
      </c>
      <c r="S2549" t="s">
        <v>95</v>
      </c>
      <c r="T2549" t="s">
        <v>95</v>
      </c>
      <c r="U2549">
        <v>1</v>
      </c>
      <c r="V2549" s="13">
        <v>45175</v>
      </c>
      <c r="W2549">
        <v>1</v>
      </c>
      <c r="X2549">
        <v>1</v>
      </c>
      <c r="Y2549" t="s">
        <v>3761</v>
      </c>
      <c r="AC2549">
        <v>7113</v>
      </c>
      <c r="AD2549" t="e" vm="2539">
        <v>#VALUE!</v>
      </c>
    </row>
    <row r="2550" spans="2:30" x14ac:dyDescent="0.25">
      <c r="B2550">
        <v>7114</v>
      </c>
      <c r="C2550" t="s">
        <v>3646</v>
      </c>
      <c r="D2550" t="s">
        <v>3760</v>
      </c>
      <c r="E2550" t="s">
        <v>3927</v>
      </c>
      <c r="F2550" t="s">
        <v>97</v>
      </c>
      <c r="G2550" t="s">
        <v>96</v>
      </c>
      <c r="H2550" t="s">
        <v>3913</v>
      </c>
      <c r="I2550" t="s">
        <v>3913</v>
      </c>
      <c r="J2550" t="s">
        <v>3920</v>
      </c>
      <c r="K2550" t="s">
        <v>3915</v>
      </c>
      <c r="L2550" s="13">
        <v>25594</v>
      </c>
      <c r="M2550">
        <v>54</v>
      </c>
      <c r="N2550" t="s">
        <v>90</v>
      </c>
      <c r="O2550" t="s">
        <v>3928</v>
      </c>
      <c r="P2550" t="s">
        <v>95</v>
      </c>
      <c r="Q2550" t="s">
        <v>905</v>
      </c>
      <c r="R2550" t="s">
        <v>95</v>
      </c>
      <c r="S2550" t="s">
        <v>95</v>
      </c>
      <c r="T2550" t="s">
        <v>95</v>
      </c>
      <c r="U2550">
        <v>1</v>
      </c>
      <c r="V2550" s="13">
        <v>45175</v>
      </c>
      <c r="W2550">
        <v>1</v>
      </c>
      <c r="X2550">
        <v>1</v>
      </c>
      <c r="Y2550" t="s">
        <v>3761</v>
      </c>
      <c r="AC2550">
        <v>7114</v>
      </c>
      <c r="AD2550" t="e" vm="2540">
        <v>#VALUE!</v>
      </c>
    </row>
    <row r="2551" spans="2:30" x14ac:dyDescent="0.25">
      <c r="B2551">
        <v>7115</v>
      </c>
      <c r="C2551" t="s">
        <v>3646</v>
      </c>
      <c r="D2551" t="s">
        <v>3760</v>
      </c>
      <c r="E2551" t="s">
        <v>3927</v>
      </c>
      <c r="F2551" t="s">
        <v>97</v>
      </c>
      <c r="G2551" t="s">
        <v>96</v>
      </c>
      <c r="H2551" t="s">
        <v>3913</v>
      </c>
      <c r="I2551" t="s">
        <v>3913</v>
      </c>
      <c r="J2551" t="s">
        <v>3920</v>
      </c>
      <c r="K2551" t="s">
        <v>3915</v>
      </c>
      <c r="L2551" s="13">
        <v>25595</v>
      </c>
      <c r="M2551">
        <v>54</v>
      </c>
      <c r="N2551" t="s">
        <v>90</v>
      </c>
      <c r="O2551" t="s">
        <v>3928</v>
      </c>
      <c r="P2551" t="s">
        <v>95</v>
      </c>
      <c r="Q2551" t="s">
        <v>905</v>
      </c>
      <c r="R2551" t="s">
        <v>95</v>
      </c>
      <c r="S2551" t="s">
        <v>95</v>
      </c>
      <c r="T2551" t="s">
        <v>95</v>
      </c>
      <c r="U2551">
        <v>1</v>
      </c>
      <c r="V2551" s="13">
        <v>45175</v>
      </c>
      <c r="W2551">
        <v>1</v>
      </c>
      <c r="X2551">
        <v>1</v>
      </c>
      <c r="Y2551" t="s">
        <v>3761</v>
      </c>
      <c r="AC2551">
        <v>7115</v>
      </c>
      <c r="AD2551" t="e" vm="2541">
        <v>#VALUE!</v>
      </c>
    </row>
    <row r="2552" spans="2:30" x14ac:dyDescent="0.25">
      <c r="B2552">
        <v>7116</v>
      </c>
      <c r="C2552" t="s">
        <v>3646</v>
      </c>
      <c r="D2552" t="s">
        <v>3760</v>
      </c>
      <c r="E2552" t="s">
        <v>3927</v>
      </c>
      <c r="F2552" t="s">
        <v>97</v>
      </c>
      <c r="G2552" t="s">
        <v>96</v>
      </c>
      <c r="H2552" t="s">
        <v>3913</v>
      </c>
      <c r="I2552" t="s">
        <v>3913</v>
      </c>
      <c r="J2552" t="s">
        <v>3920</v>
      </c>
      <c r="K2552" t="s">
        <v>3915</v>
      </c>
      <c r="L2552" s="13">
        <v>25603</v>
      </c>
      <c r="M2552">
        <v>54</v>
      </c>
      <c r="N2552" t="s">
        <v>90</v>
      </c>
      <c r="O2552" t="s">
        <v>3928</v>
      </c>
      <c r="P2552" t="s">
        <v>95</v>
      </c>
      <c r="Q2552" t="s">
        <v>905</v>
      </c>
      <c r="R2552" t="s">
        <v>95</v>
      </c>
      <c r="S2552" t="s">
        <v>95</v>
      </c>
      <c r="T2552" t="s">
        <v>95</v>
      </c>
      <c r="U2552">
        <v>1</v>
      </c>
      <c r="V2552" s="13">
        <v>45175</v>
      </c>
      <c r="W2552">
        <v>1</v>
      </c>
      <c r="X2552">
        <v>1</v>
      </c>
      <c r="Y2552" t="s">
        <v>3761</v>
      </c>
      <c r="AC2552">
        <v>7116</v>
      </c>
      <c r="AD2552" t="e" vm="2542">
        <v>#VALUE!</v>
      </c>
    </row>
    <row r="2553" spans="2:30" x14ac:dyDescent="0.25">
      <c r="B2553">
        <v>7117</v>
      </c>
      <c r="C2553" t="s">
        <v>3646</v>
      </c>
      <c r="D2553" t="s">
        <v>3760</v>
      </c>
      <c r="E2553" t="s">
        <v>3927</v>
      </c>
      <c r="F2553" t="s">
        <v>97</v>
      </c>
      <c r="G2553" t="s">
        <v>96</v>
      </c>
      <c r="H2553" t="s">
        <v>3913</v>
      </c>
      <c r="I2553" t="s">
        <v>3913</v>
      </c>
      <c r="J2553" t="s">
        <v>3920</v>
      </c>
      <c r="K2553" t="s">
        <v>3915</v>
      </c>
      <c r="L2553" s="13">
        <v>25602</v>
      </c>
      <c r="M2553">
        <v>54</v>
      </c>
      <c r="N2553" t="s">
        <v>90</v>
      </c>
      <c r="O2553" t="s">
        <v>3928</v>
      </c>
      <c r="P2553" t="s">
        <v>95</v>
      </c>
      <c r="Q2553" t="s">
        <v>905</v>
      </c>
      <c r="R2553" t="s">
        <v>95</v>
      </c>
      <c r="S2553" t="s">
        <v>95</v>
      </c>
      <c r="T2553" t="s">
        <v>95</v>
      </c>
      <c r="U2553">
        <v>1</v>
      </c>
      <c r="V2553" s="13">
        <v>45175</v>
      </c>
      <c r="W2553">
        <v>1</v>
      </c>
      <c r="X2553">
        <v>1</v>
      </c>
      <c r="Y2553" t="s">
        <v>3761</v>
      </c>
      <c r="AC2553">
        <v>7117</v>
      </c>
      <c r="AD2553" t="e" vm="2543">
        <v>#VALUE!</v>
      </c>
    </row>
    <row r="2554" spans="2:30" x14ac:dyDescent="0.25">
      <c r="B2554">
        <v>7118</v>
      </c>
      <c r="C2554" t="s">
        <v>3646</v>
      </c>
      <c r="D2554" t="s">
        <v>3760</v>
      </c>
      <c r="E2554" t="s">
        <v>3927</v>
      </c>
      <c r="F2554" t="s">
        <v>97</v>
      </c>
      <c r="G2554" t="s">
        <v>96</v>
      </c>
      <c r="H2554" t="s">
        <v>3913</v>
      </c>
      <c r="I2554" t="s">
        <v>3913</v>
      </c>
      <c r="J2554" t="s">
        <v>3920</v>
      </c>
      <c r="K2554" t="s">
        <v>3915</v>
      </c>
      <c r="L2554" s="13">
        <v>25609</v>
      </c>
      <c r="M2554">
        <v>54</v>
      </c>
      <c r="N2554" t="s">
        <v>90</v>
      </c>
      <c r="O2554" t="s">
        <v>3928</v>
      </c>
      <c r="P2554" t="s">
        <v>95</v>
      </c>
      <c r="Q2554" t="s">
        <v>905</v>
      </c>
      <c r="R2554" t="s">
        <v>95</v>
      </c>
      <c r="S2554" t="s">
        <v>95</v>
      </c>
      <c r="T2554" t="s">
        <v>95</v>
      </c>
      <c r="U2554">
        <v>1</v>
      </c>
      <c r="V2554" s="13">
        <v>45175</v>
      </c>
      <c r="W2554">
        <v>1</v>
      </c>
      <c r="X2554">
        <v>1</v>
      </c>
      <c r="Y2554" t="s">
        <v>3761</v>
      </c>
      <c r="AC2554">
        <v>7118</v>
      </c>
      <c r="AD2554" t="e" vm="2544">
        <v>#VALUE!</v>
      </c>
    </row>
    <row r="2555" spans="2:30" x14ac:dyDescent="0.25">
      <c r="B2555">
        <v>7119</v>
      </c>
      <c r="C2555" t="s">
        <v>3646</v>
      </c>
      <c r="D2555" t="s">
        <v>3760</v>
      </c>
      <c r="E2555" t="s">
        <v>3927</v>
      </c>
      <c r="F2555" t="s">
        <v>97</v>
      </c>
      <c r="G2555" t="s">
        <v>96</v>
      </c>
      <c r="H2555" t="s">
        <v>3913</v>
      </c>
      <c r="I2555" t="s">
        <v>3913</v>
      </c>
      <c r="J2555" t="s">
        <v>3920</v>
      </c>
      <c r="K2555" t="s">
        <v>3915</v>
      </c>
      <c r="L2555" s="13">
        <v>25605</v>
      </c>
      <c r="M2555">
        <v>54</v>
      </c>
      <c r="N2555" t="s">
        <v>90</v>
      </c>
      <c r="O2555" t="s">
        <v>3928</v>
      </c>
      <c r="P2555" t="s">
        <v>95</v>
      </c>
      <c r="Q2555" t="s">
        <v>905</v>
      </c>
      <c r="R2555" t="s">
        <v>95</v>
      </c>
      <c r="S2555" t="s">
        <v>95</v>
      </c>
      <c r="T2555" t="s">
        <v>95</v>
      </c>
      <c r="U2555">
        <v>1</v>
      </c>
      <c r="V2555" s="13">
        <v>45175</v>
      </c>
      <c r="W2555">
        <v>1</v>
      </c>
      <c r="X2555">
        <v>1</v>
      </c>
      <c r="Y2555" t="s">
        <v>3761</v>
      </c>
      <c r="AC2555">
        <v>7119</v>
      </c>
      <c r="AD2555" t="e" vm="2545">
        <v>#VALUE!</v>
      </c>
    </row>
    <row r="2556" spans="2:30" x14ac:dyDescent="0.25">
      <c r="B2556">
        <v>7120</v>
      </c>
      <c r="C2556" t="s">
        <v>3646</v>
      </c>
      <c r="D2556" t="s">
        <v>3760</v>
      </c>
      <c r="E2556" t="s">
        <v>3927</v>
      </c>
      <c r="F2556" t="s">
        <v>97</v>
      </c>
      <c r="G2556" t="s">
        <v>96</v>
      </c>
      <c r="H2556" t="s">
        <v>3913</v>
      </c>
      <c r="I2556" t="s">
        <v>3913</v>
      </c>
      <c r="J2556" t="s">
        <v>3920</v>
      </c>
      <c r="K2556" t="s">
        <v>3915</v>
      </c>
      <c r="L2556" s="13">
        <v>25623</v>
      </c>
      <c r="M2556">
        <v>54</v>
      </c>
      <c r="N2556" t="s">
        <v>90</v>
      </c>
      <c r="O2556" t="s">
        <v>3928</v>
      </c>
      <c r="P2556" t="s">
        <v>95</v>
      </c>
      <c r="Q2556" t="s">
        <v>905</v>
      </c>
      <c r="R2556" t="s">
        <v>95</v>
      </c>
      <c r="S2556" t="s">
        <v>95</v>
      </c>
      <c r="T2556" t="s">
        <v>95</v>
      </c>
      <c r="U2556">
        <v>1</v>
      </c>
      <c r="V2556" s="13">
        <v>45175</v>
      </c>
      <c r="W2556">
        <v>1</v>
      </c>
      <c r="X2556">
        <v>1</v>
      </c>
      <c r="Y2556" t="s">
        <v>3761</v>
      </c>
      <c r="AC2556">
        <v>7120</v>
      </c>
      <c r="AD2556" t="e" vm="2546">
        <v>#VALUE!</v>
      </c>
    </row>
    <row r="2557" spans="2:30" x14ac:dyDescent="0.25">
      <c r="B2557">
        <v>7121</v>
      </c>
      <c r="C2557" t="s">
        <v>3646</v>
      </c>
      <c r="D2557" t="s">
        <v>3760</v>
      </c>
      <c r="E2557" t="s">
        <v>3927</v>
      </c>
      <c r="F2557" t="s">
        <v>97</v>
      </c>
      <c r="G2557" t="s">
        <v>96</v>
      </c>
      <c r="H2557" t="s">
        <v>3913</v>
      </c>
      <c r="I2557" t="s">
        <v>3913</v>
      </c>
      <c r="J2557" t="s">
        <v>3920</v>
      </c>
      <c r="K2557" t="s">
        <v>3915</v>
      </c>
      <c r="L2557" s="13">
        <v>25629</v>
      </c>
      <c r="M2557">
        <v>54</v>
      </c>
      <c r="N2557" t="s">
        <v>90</v>
      </c>
      <c r="O2557" t="s">
        <v>3928</v>
      </c>
      <c r="P2557" t="s">
        <v>95</v>
      </c>
      <c r="Q2557" t="s">
        <v>905</v>
      </c>
      <c r="R2557" t="s">
        <v>95</v>
      </c>
      <c r="S2557" t="s">
        <v>95</v>
      </c>
      <c r="T2557" t="s">
        <v>95</v>
      </c>
      <c r="U2557">
        <v>1</v>
      </c>
      <c r="V2557" s="13">
        <v>45175</v>
      </c>
      <c r="W2557">
        <v>1</v>
      </c>
      <c r="X2557">
        <v>1</v>
      </c>
      <c r="Y2557" t="s">
        <v>3761</v>
      </c>
      <c r="AC2557">
        <v>7121</v>
      </c>
      <c r="AD2557" t="e" vm="2547">
        <v>#VALUE!</v>
      </c>
    </row>
    <row r="2558" spans="2:30" x14ac:dyDescent="0.25">
      <c r="B2558">
        <v>7122</v>
      </c>
      <c r="C2558" t="s">
        <v>3646</v>
      </c>
      <c r="D2558" t="s">
        <v>3760</v>
      </c>
      <c r="E2558" t="s">
        <v>3927</v>
      </c>
      <c r="F2558" t="s">
        <v>97</v>
      </c>
      <c r="G2558" t="s">
        <v>96</v>
      </c>
      <c r="H2558" t="s">
        <v>3913</v>
      </c>
      <c r="I2558" t="s">
        <v>3913</v>
      </c>
      <c r="J2558" t="s">
        <v>3920</v>
      </c>
      <c r="K2558" t="s">
        <v>3915</v>
      </c>
      <c r="L2558" s="13">
        <v>25637</v>
      </c>
      <c r="M2558">
        <v>54</v>
      </c>
      <c r="N2558" t="s">
        <v>90</v>
      </c>
      <c r="O2558" t="s">
        <v>3928</v>
      </c>
      <c r="P2558" t="s">
        <v>95</v>
      </c>
      <c r="Q2558" t="s">
        <v>905</v>
      </c>
      <c r="R2558" t="s">
        <v>95</v>
      </c>
      <c r="S2558" t="s">
        <v>95</v>
      </c>
      <c r="T2558" t="s">
        <v>95</v>
      </c>
      <c r="U2558">
        <v>1</v>
      </c>
      <c r="V2558" s="13">
        <v>45175</v>
      </c>
      <c r="W2558">
        <v>1</v>
      </c>
      <c r="X2558">
        <v>1</v>
      </c>
      <c r="Y2558" t="s">
        <v>3761</v>
      </c>
      <c r="AC2558">
        <v>7122</v>
      </c>
      <c r="AD2558" t="e" vm="2548">
        <v>#VALUE!</v>
      </c>
    </row>
    <row r="2559" spans="2:30" x14ac:dyDescent="0.25">
      <c r="B2559">
        <v>7123</v>
      </c>
      <c r="C2559" t="s">
        <v>3646</v>
      </c>
      <c r="D2559" t="s">
        <v>3760</v>
      </c>
      <c r="E2559" t="s">
        <v>3927</v>
      </c>
      <c r="F2559" t="s">
        <v>97</v>
      </c>
      <c r="G2559" t="s">
        <v>96</v>
      </c>
      <c r="H2559" t="s">
        <v>3913</v>
      </c>
      <c r="I2559" t="s">
        <v>3913</v>
      </c>
      <c r="J2559" t="s">
        <v>3920</v>
      </c>
      <c r="K2559" t="s">
        <v>3915</v>
      </c>
      <c r="L2559" s="13">
        <v>25644</v>
      </c>
      <c r="M2559">
        <v>54</v>
      </c>
      <c r="N2559" t="s">
        <v>90</v>
      </c>
      <c r="O2559" t="s">
        <v>3928</v>
      </c>
      <c r="P2559" t="s">
        <v>95</v>
      </c>
      <c r="Q2559" t="s">
        <v>905</v>
      </c>
      <c r="R2559" t="s">
        <v>95</v>
      </c>
      <c r="S2559" t="s">
        <v>95</v>
      </c>
      <c r="T2559" t="s">
        <v>95</v>
      </c>
      <c r="U2559">
        <v>1</v>
      </c>
      <c r="V2559" s="13">
        <v>45175</v>
      </c>
      <c r="W2559">
        <v>1</v>
      </c>
      <c r="X2559">
        <v>1</v>
      </c>
      <c r="Y2559" t="s">
        <v>3761</v>
      </c>
      <c r="AC2559">
        <v>7123</v>
      </c>
      <c r="AD2559" t="e" vm="2549">
        <v>#VALUE!</v>
      </c>
    </row>
    <row r="2560" spans="2:30" x14ac:dyDescent="0.25">
      <c r="B2560">
        <v>7124</v>
      </c>
      <c r="C2560" t="s">
        <v>3646</v>
      </c>
      <c r="D2560" t="s">
        <v>3760</v>
      </c>
      <c r="E2560" t="s">
        <v>3927</v>
      </c>
      <c r="F2560" t="s">
        <v>97</v>
      </c>
      <c r="G2560" t="s">
        <v>96</v>
      </c>
      <c r="H2560" t="s">
        <v>3913</v>
      </c>
      <c r="I2560" t="s">
        <v>3913</v>
      </c>
      <c r="J2560" t="s">
        <v>3920</v>
      </c>
      <c r="K2560" t="s">
        <v>3915</v>
      </c>
      <c r="L2560" s="13">
        <v>25645</v>
      </c>
      <c r="M2560">
        <v>54</v>
      </c>
      <c r="N2560" t="s">
        <v>90</v>
      </c>
      <c r="O2560" t="s">
        <v>3928</v>
      </c>
      <c r="P2560" t="s">
        <v>95</v>
      </c>
      <c r="Q2560" t="s">
        <v>905</v>
      </c>
      <c r="R2560" t="s">
        <v>95</v>
      </c>
      <c r="S2560" t="s">
        <v>95</v>
      </c>
      <c r="T2560" t="s">
        <v>95</v>
      </c>
      <c r="U2560">
        <v>1</v>
      </c>
      <c r="V2560" s="13">
        <v>45175</v>
      </c>
      <c r="W2560">
        <v>1</v>
      </c>
      <c r="X2560">
        <v>1</v>
      </c>
      <c r="Y2560" t="s">
        <v>3761</v>
      </c>
      <c r="AC2560">
        <v>7124</v>
      </c>
      <c r="AD2560" t="e" vm="2550">
        <v>#VALUE!</v>
      </c>
    </row>
    <row r="2561" spans="2:30" x14ac:dyDescent="0.25">
      <c r="B2561">
        <v>7125</v>
      </c>
      <c r="C2561" t="s">
        <v>3646</v>
      </c>
      <c r="D2561" t="s">
        <v>3760</v>
      </c>
      <c r="E2561" t="s">
        <v>3927</v>
      </c>
      <c r="F2561" t="s">
        <v>97</v>
      </c>
      <c r="G2561" t="s">
        <v>96</v>
      </c>
      <c r="H2561" t="s">
        <v>3913</v>
      </c>
      <c r="I2561" t="s">
        <v>3913</v>
      </c>
      <c r="J2561" t="s">
        <v>3920</v>
      </c>
      <c r="K2561" t="s">
        <v>3915</v>
      </c>
      <c r="L2561" s="13">
        <v>25653</v>
      </c>
      <c r="M2561">
        <v>54</v>
      </c>
      <c r="N2561" t="s">
        <v>90</v>
      </c>
      <c r="O2561" t="s">
        <v>3928</v>
      </c>
      <c r="P2561" t="s">
        <v>95</v>
      </c>
      <c r="Q2561" t="s">
        <v>905</v>
      </c>
      <c r="R2561" t="s">
        <v>95</v>
      </c>
      <c r="S2561" t="s">
        <v>95</v>
      </c>
      <c r="T2561" t="s">
        <v>95</v>
      </c>
      <c r="U2561">
        <v>1</v>
      </c>
      <c r="V2561" s="13">
        <v>45175</v>
      </c>
      <c r="W2561">
        <v>1</v>
      </c>
      <c r="X2561">
        <v>1</v>
      </c>
      <c r="Y2561" t="s">
        <v>3761</v>
      </c>
      <c r="AC2561">
        <v>7125</v>
      </c>
      <c r="AD2561" t="e" vm="2551">
        <v>#VALUE!</v>
      </c>
    </row>
    <row r="2562" spans="2:30" x14ac:dyDescent="0.25">
      <c r="B2562">
        <v>7126</v>
      </c>
      <c r="C2562" t="s">
        <v>3646</v>
      </c>
      <c r="D2562" t="s">
        <v>73</v>
      </c>
      <c r="E2562" t="s">
        <v>73</v>
      </c>
      <c r="F2562" t="s">
        <v>3816</v>
      </c>
      <c r="G2562" t="s">
        <v>3816</v>
      </c>
      <c r="H2562" t="s">
        <v>3913</v>
      </c>
      <c r="I2562" t="s">
        <v>3913</v>
      </c>
      <c r="J2562" t="s">
        <v>3920</v>
      </c>
      <c r="K2562" t="s">
        <v>3915</v>
      </c>
      <c r="L2562" s="13">
        <v>27331</v>
      </c>
      <c r="M2562">
        <v>49</v>
      </c>
      <c r="N2562" t="s">
        <v>90</v>
      </c>
      <c r="O2562" t="s">
        <v>3928</v>
      </c>
      <c r="P2562" t="s">
        <v>95</v>
      </c>
      <c r="Q2562" t="s">
        <v>905</v>
      </c>
      <c r="R2562" t="s">
        <v>95</v>
      </c>
      <c r="S2562" t="s">
        <v>95</v>
      </c>
      <c r="T2562" t="s">
        <v>95</v>
      </c>
      <c r="U2562">
        <v>1</v>
      </c>
      <c r="V2562" s="13">
        <v>45175</v>
      </c>
      <c r="W2562">
        <v>2</v>
      </c>
      <c r="X2562">
        <v>1</v>
      </c>
      <c r="Y2562" t="s">
        <v>3667</v>
      </c>
      <c r="AC2562">
        <v>7126</v>
      </c>
      <c r="AD2562" t="e" vm="2552">
        <v>#VALUE!</v>
      </c>
    </row>
    <row r="2563" spans="2:30" x14ac:dyDescent="0.25">
      <c r="B2563">
        <v>7127</v>
      </c>
      <c r="C2563" t="s">
        <v>3698</v>
      </c>
      <c r="D2563" t="s">
        <v>3760</v>
      </c>
      <c r="E2563" t="s">
        <v>3927</v>
      </c>
      <c r="F2563" t="s">
        <v>97</v>
      </c>
      <c r="G2563" t="s">
        <v>96</v>
      </c>
      <c r="H2563" t="s">
        <v>3913</v>
      </c>
      <c r="I2563" t="s">
        <v>3913</v>
      </c>
      <c r="J2563" t="s">
        <v>3920</v>
      </c>
      <c r="K2563" t="s">
        <v>3915</v>
      </c>
      <c r="L2563" s="13">
        <v>27332</v>
      </c>
      <c r="M2563">
        <v>49</v>
      </c>
      <c r="N2563" t="s">
        <v>98</v>
      </c>
      <c r="O2563" t="s">
        <v>3928</v>
      </c>
      <c r="P2563" t="s">
        <v>95</v>
      </c>
      <c r="Q2563" t="s">
        <v>905</v>
      </c>
      <c r="R2563" t="s">
        <v>95</v>
      </c>
      <c r="S2563" t="s">
        <v>95</v>
      </c>
      <c r="T2563" t="s">
        <v>95</v>
      </c>
      <c r="U2563">
        <v>1</v>
      </c>
      <c r="V2563" s="13">
        <v>45175</v>
      </c>
      <c r="W2563">
        <v>2</v>
      </c>
      <c r="X2563">
        <v>1</v>
      </c>
      <c r="Y2563" t="s">
        <v>3762</v>
      </c>
      <c r="AC2563">
        <v>7127</v>
      </c>
      <c r="AD2563" t="e" vm="2553">
        <v>#VALUE!</v>
      </c>
    </row>
    <row r="2564" spans="2:30" x14ac:dyDescent="0.25">
      <c r="B2564">
        <v>7128</v>
      </c>
      <c r="C2564" t="s">
        <v>3646</v>
      </c>
      <c r="D2564" t="s">
        <v>3760</v>
      </c>
      <c r="E2564" t="s">
        <v>3927</v>
      </c>
      <c r="F2564" t="s">
        <v>97</v>
      </c>
      <c r="G2564" t="s">
        <v>96</v>
      </c>
      <c r="H2564" t="s">
        <v>3913</v>
      </c>
      <c r="I2564" t="s">
        <v>3913</v>
      </c>
      <c r="J2564" t="s">
        <v>3920</v>
      </c>
      <c r="K2564" t="s">
        <v>3915</v>
      </c>
      <c r="L2564" s="13">
        <v>27339</v>
      </c>
      <c r="M2564">
        <v>49</v>
      </c>
      <c r="N2564" t="s">
        <v>90</v>
      </c>
      <c r="O2564" t="s">
        <v>3928</v>
      </c>
      <c r="P2564" t="s">
        <v>95</v>
      </c>
      <c r="Q2564" t="s">
        <v>905</v>
      </c>
      <c r="R2564" t="s">
        <v>95</v>
      </c>
      <c r="S2564" t="s">
        <v>95</v>
      </c>
      <c r="T2564" t="s">
        <v>95</v>
      </c>
      <c r="U2564">
        <v>1</v>
      </c>
      <c r="V2564" s="13">
        <v>45175</v>
      </c>
      <c r="W2564">
        <v>1</v>
      </c>
      <c r="X2564">
        <v>1</v>
      </c>
      <c r="Y2564" t="s">
        <v>3761</v>
      </c>
      <c r="AC2564">
        <v>7128</v>
      </c>
      <c r="AD2564" t="e" vm="2554">
        <v>#VALUE!</v>
      </c>
    </row>
    <row r="2565" spans="2:30" x14ac:dyDescent="0.25">
      <c r="B2565">
        <v>7129</v>
      </c>
      <c r="C2565" t="s">
        <v>3646</v>
      </c>
      <c r="D2565" t="s">
        <v>3760</v>
      </c>
      <c r="E2565" t="s">
        <v>3927</v>
      </c>
      <c r="F2565" t="s">
        <v>97</v>
      </c>
      <c r="G2565" t="s">
        <v>96</v>
      </c>
      <c r="H2565" t="s">
        <v>3913</v>
      </c>
      <c r="I2565" t="s">
        <v>3913</v>
      </c>
      <c r="J2565" t="s">
        <v>3920</v>
      </c>
      <c r="K2565" t="s">
        <v>3915</v>
      </c>
      <c r="L2565" s="13">
        <v>27341</v>
      </c>
      <c r="M2565">
        <v>49</v>
      </c>
      <c r="N2565" t="s">
        <v>90</v>
      </c>
      <c r="O2565" t="s">
        <v>3928</v>
      </c>
      <c r="P2565" t="s">
        <v>95</v>
      </c>
      <c r="Q2565" t="s">
        <v>905</v>
      </c>
      <c r="R2565" t="s">
        <v>95</v>
      </c>
      <c r="S2565" t="s">
        <v>95</v>
      </c>
      <c r="T2565" t="s">
        <v>95</v>
      </c>
      <c r="U2565">
        <v>1</v>
      </c>
      <c r="V2565" s="13">
        <v>45175</v>
      </c>
      <c r="W2565">
        <v>1</v>
      </c>
      <c r="X2565">
        <v>1</v>
      </c>
      <c r="Y2565" t="s">
        <v>3761</v>
      </c>
      <c r="AC2565">
        <v>7129</v>
      </c>
      <c r="AD2565" t="e" vm="2555">
        <v>#VALUE!</v>
      </c>
    </row>
    <row r="2566" spans="2:30" x14ac:dyDescent="0.25">
      <c r="B2566">
        <v>7130</v>
      </c>
      <c r="C2566" t="s">
        <v>3646</v>
      </c>
      <c r="D2566" t="s">
        <v>3760</v>
      </c>
      <c r="E2566" t="s">
        <v>3927</v>
      </c>
      <c r="F2566" t="s">
        <v>97</v>
      </c>
      <c r="G2566" t="s">
        <v>96</v>
      </c>
      <c r="H2566" t="s">
        <v>3913</v>
      </c>
      <c r="I2566" t="s">
        <v>3913</v>
      </c>
      <c r="J2566" t="s">
        <v>3920</v>
      </c>
      <c r="K2566" t="s">
        <v>3915</v>
      </c>
      <c r="L2566" s="13">
        <v>27347</v>
      </c>
      <c r="M2566">
        <v>49</v>
      </c>
      <c r="N2566" t="s">
        <v>90</v>
      </c>
      <c r="O2566" t="s">
        <v>3928</v>
      </c>
      <c r="P2566" t="s">
        <v>95</v>
      </c>
      <c r="Q2566" t="s">
        <v>905</v>
      </c>
      <c r="R2566" t="s">
        <v>95</v>
      </c>
      <c r="S2566" t="s">
        <v>95</v>
      </c>
      <c r="T2566" t="s">
        <v>95</v>
      </c>
      <c r="U2566">
        <v>1</v>
      </c>
      <c r="V2566" s="13">
        <v>45175</v>
      </c>
      <c r="W2566">
        <v>1</v>
      </c>
      <c r="X2566">
        <v>1</v>
      </c>
      <c r="Y2566" t="s">
        <v>3761</v>
      </c>
      <c r="AC2566">
        <v>7130</v>
      </c>
      <c r="AD2566" t="e" vm="2556">
        <v>#VALUE!</v>
      </c>
    </row>
    <row r="2567" spans="2:30" x14ac:dyDescent="0.25">
      <c r="B2567">
        <v>7131</v>
      </c>
      <c r="C2567" t="s">
        <v>3646</v>
      </c>
      <c r="D2567" t="s">
        <v>73</v>
      </c>
      <c r="E2567" t="s">
        <v>73</v>
      </c>
      <c r="F2567" t="s">
        <v>3816</v>
      </c>
      <c r="G2567" t="s">
        <v>3816</v>
      </c>
      <c r="H2567" t="s">
        <v>3913</v>
      </c>
      <c r="I2567" t="s">
        <v>3913</v>
      </c>
      <c r="J2567" t="s">
        <v>3920</v>
      </c>
      <c r="K2567" t="s">
        <v>3915</v>
      </c>
      <c r="L2567" s="13">
        <v>27355</v>
      </c>
      <c r="M2567">
        <v>49</v>
      </c>
      <c r="N2567" t="s">
        <v>90</v>
      </c>
      <c r="O2567" t="s">
        <v>3928</v>
      </c>
      <c r="P2567" t="s">
        <v>95</v>
      </c>
      <c r="Q2567" t="s">
        <v>905</v>
      </c>
      <c r="R2567" t="s">
        <v>95</v>
      </c>
      <c r="S2567" t="s">
        <v>95</v>
      </c>
      <c r="T2567" t="s">
        <v>95</v>
      </c>
      <c r="U2567">
        <v>1</v>
      </c>
      <c r="V2567" s="13">
        <v>45175</v>
      </c>
      <c r="W2567">
        <v>2</v>
      </c>
      <c r="X2567">
        <v>1</v>
      </c>
      <c r="Y2567" t="s">
        <v>3667</v>
      </c>
      <c r="AC2567">
        <v>7131</v>
      </c>
      <c r="AD2567" t="e" vm="2557">
        <v>#VALUE!</v>
      </c>
    </row>
    <row r="2568" spans="2:30" x14ac:dyDescent="0.25">
      <c r="B2568">
        <v>7132</v>
      </c>
      <c r="C2568" t="s">
        <v>3646</v>
      </c>
      <c r="D2568" t="s">
        <v>3760</v>
      </c>
      <c r="E2568" t="s">
        <v>3927</v>
      </c>
      <c r="F2568" t="s">
        <v>97</v>
      </c>
      <c r="G2568" t="s">
        <v>96</v>
      </c>
      <c r="H2568" t="s">
        <v>3913</v>
      </c>
      <c r="I2568" t="s">
        <v>3913</v>
      </c>
      <c r="J2568" t="s">
        <v>3920</v>
      </c>
      <c r="K2568" t="s">
        <v>3915</v>
      </c>
      <c r="L2568" s="13">
        <v>27359</v>
      </c>
      <c r="M2568">
        <v>49</v>
      </c>
      <c r="N2568" t="s">
        <v>90</v>
      </c>
      <c r="O2568" t="s">
        <v>3928</v>
      </c>
      <c r="P2568" t="s">
        <v>95</v>
      </c>
      <c r="Q2568" t="s">
        <v>905</v>
      </c>
      <c r="R2568" t="s">
        <v>95</v>
      </c>
      <c r="S2568" t="s">
        <v>95</v>
      </c>
      <c r="T2568" t="s">
        <v>95</v>
      </c>
      <c r="U2568">
        <v>1</v>
      </c>
      <c r="V2568" s="13">
        <v>45175</v>
      </c>
      <c r="W2568">
        <v>1</v>
      </c>
      <c r="X2568">
        <v>1</v>
      </c>
      <c r="Y2568" t="s">
        <v>3761</v>
      </c>
      <c r="AC2568">
        <v>7132</v>
      </c>
      <c r="AD2568" t="e" vm="2558">
        <v>#VALUE!</v>
      </c>
    </row>
    <row r="2569" spans="2:30" x14ac:dyDescent="0.25">
      <c r="B2569">
        <v>7133</v>
      </c>
      <c r="C2569" t="s">
        <v>3646</v>
      </c>
      <c r="D2569" t="s">
        <v>3760</v>
      </c>
      <c r="E2569" t="s">
        <v>3927</v>
      </c>
      <c r="F2569" t="s">
        <v>97</v>
      </c>
      <c r="G2569" t="s">
        <v>96</v>
      </c>
      <c r="H2569" t="s">
        <v>3913</v>
      </c>
      <c r="I2569" t="s">
        <v>3913</v>
      </c>
      <c r="J2569" t="s">
        <v>3920</v>
      </c>
      <c r="K2569" t="s">
        <v>3915</v>
      </c>
      <c r="L2569" s="13">
        <v>27360</v>
      </c>
      <c r="M2569">
        <v>49</v>
      </c>
      <c r="N2569" t="s">
        <v>90</v>
      </c>
      <c r="O2569" t="s">
        <v>3928</v>
      </c>
      <c r="P2569" t="s">
        <v>95</v>
      </c>
      <c r="Q2569" t="s">
        <v>905</v>
      </c>
      <c r="R2569" t="s">
        <v>95</v>
      </c>
      <c r="S2569" t="s">
        <v>95</v>
      </c>
      <c r="T2569" t="s">
        <v>95</v>
      </c>
      <c r="U2569">
        <v>1</v>
      </c>
      <c r="V2569" s="13">
        <v>45175</v>
      </c>
      <c r="W2569">
        <v>1</v>
      </c>
      <c r="X2569">
        <v>1</v>
      </c>
      <c r="Y2569" t="s">
        <v>3761</v>
      </c>
      <c r="AC2569">
        <v>7133</v>
      </c>
      <c r="AD2569" t="e" vm="2559">
        <v>#VALUE!</v>
      </c>
    </row>
    <row r="2570" spans="2:30" x14ac:dyDescent="0.25">
      <c r="B2570">
        <v>7134</v>
      </c>
      <c r="C2570" t="s">
        <v>3646</v>
      </c>
      <c r="D2570" t="s">
        <v>3760</v>
      </c>
      <c r="E2570" t="s">
        <v>3927</v>
      </c>
      <c r="F2570" t="s">
        <v>97</v>
      </c>
      <c r="G2570" t="s">
        <v>96</v>
      </c>
      <c r="H2570" t="s">
        <v>3913</v>
      </c>
      <c r="I2570" t="s">
        <v>3913</v>
      </c>
      <c r="J2570" t="s">
        <v>3920</v>
      </c>
      <c r="K2570" t="s">
        <v>3915</v>
      </c>
      <c r="L2570" s="13">
        <v>27366</v>
      </c>
      <c r="M2570">
        <v>49</v>
      </c>
      <c r="N2570" t="s">
        <v>90</v>
      </c>
      <c r="O2570" t="s">
        <v>3928</v>
      </c>
      <c r="P2570" t="s">
        <v>95</v>
      </c>
      <c r="Q2570" t="s">
        <v>905</v>
      </c>
      <c r="R2570" t="s">
        <v>95</v>
      </c>
      <c r="S2570" t="s">
        <v>95</v>
      </c>
      <c r="T2570" t="s">
        <v>95</v>
      </c>
      <c r="U2570">
        <v>1</v>
      </c>
      <c r="V2570" s="13">
        <v>45175</v>
      </c>
      <c r="W2570">
        <v>1</v>
      </c>
      <c r="X2570">
        <v>1</v>
      </c>
      <c r="Y2570" t="s">
        <v>3761</v>
      </c>
      <c r="AC2570">
        <v>7134</v>
      </c>
      <c r="AD2570" t="e" vm="2560">
        <v>#VALUE!</v>
      </c>
    </row>
    <row r="2571" spans="2:30" x14ac:dyDescent="0.25">
      <c r="B2571">
        <v>7135</v>
      </c>
      <c r="C2571" t="s">
        <v>3646</v>
      </c>
      <c r="D2571" t="s">
        <v>3760</v>
      </c>
      <c r="E2571" t="s">
        <v>3927</v>
      </c>
      <c r="F2571" t="s">
        <v>97</v>
      </c>
      <c r="G2571" t="s">
        <v>96</v>
      </c>
      <c r="H2571" t="s">
        <v>3913</v>
      </c>
      <c r="I2571" t="s">
        <v>3913</v>
      </c>
      <c r="J2571" t="s">
        <v>3920</v>
      </c>
      <c r="K2571" t="s">
        <v>3915</v>
      </c>
      <c r="L2571" s="13">
        <v>27367</v>
      </c>
      <c r="M2571">
        <v>49</v>
      </c>
      <c r="N2571" t="s">
        <v>90</v>
      </c>
      <c r="O2571" t="s">
        <v>3928</v>
      </c>
      <c r="P2571" t="s">
        <v>95</v>
      </c>
      <c r="Q2571" t="s">
        <v>905</v>
      </c>
      <c r="R2571" t="s">
        <v>95</v>
      </c>
      <c r="S2571" t="s">
        <v>95</v>
      </c>
      <c r="T2571" t="s">
        <v>95</v>
      </c>
      <c r="U2571">
        <v>1</v>
      </c>
      <c r="V2571" s="13">
        <v>45175</v>
      </c>
      <c r="W2571">
        <v>1</v>
      </c>
      <c r="X2571">
        <v>1</v>
      </c>
      <c r="Y2571" t="s">
        <v>3761</v>
      </c>
      <c r="AC2571">
        <v>7135</v>
      </c>
      <c r="AD2571" t="e" vm="2561">
        <v>#VALUE!</v>
      </c>
    </row>
    <row r="2572" spans="2:30" x14ac:dyDescent="0.25">
      <c r="B2572">
        <v>7136</v>
      </c>
      <c r="C2572" t="s">
        <v>3646</v>
      </c>
      <c r="D2572" t="s">
        <v>3760</v>
      </c>
      <c r="E2572" t="s">
        <v>3927</v>
      </c>
      <c r="F2572" t="s">
        <v>97</v>
      </c>
      <c r="G2572" t="s">
        <v>96</v>
      </c>
      <c r="H2572" t="s">
        <v>3913</v>
      </c>
      <c r="I2572" t="s">
        <v>3913</v>
      </c>
      <c r="J2572" t="s">
        <v>3920</v>
      </c>
      <c r="K2572" t="s">
        <v>3915</v>
      </c>
      <c r="L2572" s="13">
        <v>27373</v>
      </c>
      <c r="M2572">
        <v>49</v>
      </c>
      <c r="N2572" t="s">
        <v>90</v>
      </c>
      <c r="O2572" t="s">
        <v>3928</v>
      </c>
      <c r="P2572" t="s">
        <v>95</v>
      </c>
      <c r="Q2572" t="s">
        <v>905</v>
      </c>
      <c r="R2572" t="s">
        <v>95</v>
      </c>
      <c r="S2572" t="s">
        <v>95</v>
      </c>
      <c r="T2572" t="s">
        <v>95</v>
      </c>
      <c r="U2572">
        <v>1</v>
      </c>
      <c r="V2572" s="13">
        <v>45175</v>
      </c>
      <c r="W2572">
        <v>1</v>
      </c>
      <c r="X2572">
        <v>1</v>
      </c>
      <c r="Y2572" t="s">
        <v>3761</v>
      </c>
      <c r="AC2572">
        <v>7136</v>
      </c>
      <c r="AD2572" t="e" vm="2562">
        <v>#VALUE!</v>
      </c>
    </row>
    <row r="2573" spans="2:30" x14ac:dyDescent="0.25">
      <c r="B2573">
        <v>7137</v>
      </c>
      <c r="C2573" t="s">
        <v>3646</v>
      </c>
      <c r="D2573" t="s">
        <v>73</v>
      </c>
      <c r="E2573" t="s">
        <v>73</v>
      </c>
      <c r="F2573" t="s">
        <v>3816</v>
      </c>
      <c r="G2573" t="s">
        <v>3816</v>
      </c>
      <c r="H2573" t="s">
        <v>3913</v>
      </c>
      <c r="I2573" t="s">
        <v>3913</v>
      </c>
      <c r="J2573" t="s">
        <v>3920</v>
      </c>
      <c r="K2573" t="s">
        <v>3915</v>
      </c>
      <c r="L2573" s="13">
        <v>36130</v>
      </c>
      <c r="M2573">
        <v>25</v>
      </c>
      <c r="N2573" t="s">
        <v>90</v>
      </c>
      <c r="O2573" t="s">
        <v>3928</v>
      </c>
      <c r="P2573" t="s">
        <v>95</v>
      </c>
      <c r="Q2573" t="s">
        <v>905</v>
      </c>
      <c r="R2573" t="s">
        <v>95</v>
      </c>
      <c r="S2573" t="s">
        <v>95</v>
      </c>
      <c r="T2573" t="s">
        <v>95</v>
      </c>
      <c r="U2573">
        <v>1</v>
      </c>
      <c r="V2573" s="13">
        <v>45175</v>
      </c>
      <c r="W2573">
        <v>2</v>
      </c>
      <c r="X2573">
        <v>1</v>
      </c>
      <c r="Y2573" t="s">
        <v>3667</v>
      </c>
      <c r="AC2573">
        <v>7137</v>
      </c>
      <c r="AD2573" t="e" vm="2563">
        <v>#VALUE!</v>
      </c>
    </row>
    <row r="2574" spans="2:30" x14ac:dyDescent="0.25">
      <c r="B2574">
        <v>7138</v>
      </c>
      <c r="C2574" t="s">
        <v>3646</v>
      </c>
      <c r="D2574" t="s">
        <v>3760</v>
      </c>
      <c r="E2574" t="s">
        <v>3927</v>
      </c>
      <c r="F2574" t="s">
        <v>97</v>
      </c>
      <c r="G2574" t="s">
        <v>96</v>
      </c>
      <c r="H2574" t="s">
        <v>3913</v>
      </c>
      <c r="I2574" t="s">
        <v>3913</v>
      </c>
      <c r="J2574" t="s">
        <v>3920</v>
      </c>
      <c r="K2574" t="s">
        <v>3915</v>
      </c>
      <c r="L2574" s="13">
        <v>27390</v>
      </c>
      <c r="M2574">
        <v>49</v>
      </c>
      <c r="N2574" t="s">
        <v>90</v>
      </c>
      <c r="O2574" t="s">
        <v>3928</v>
      </c>
      <c r="P2574" t="s">
        <v>95</v>
      </c>
      <c r="Q2574" t="s">
        <v>905</v>
      </c>
      <c r="R2574" t="s">
        <v>95</v>
      </c>
      <c r="S2574" t="s">
        <v>95</v>
      </c>
      <c r="T2574" t="s">
        <v>95</v>
      </c>
      <c r="U2574">
        <v>1</v>
      </c>
      <c r="V2574" s="13">
        <v>45175</v>
      </c>
      <c r="W2574">
        <v>1</v>
      </c>
      <c r="X2574">
        <v>1</v>
      </c>
      <c r="Y2574" t="s">
        <v>3761</v>
      </c>
      <c r="AC2574">
        <v>7138</v>
      </c>
      <c r="AD2574" t="e" vm="2564">
        <v>#VALUE!</v>
      </c>
    </row>
    <row r="2575" spans="2:30" x14ac:dyDescent="0.25">
      <c r="B2575">
        <v>7139</v>
      </c>
      <c r="C2575" t="s">
        <v>3646</v>
      </c>
      <c r="D2575" t="s">
        <v>3760</v>
      </c>
      <c r="E2575" t="s">
        <v>3927</v>
      </c>
      <c r="F2575" t="s">
        <v>97</v>
      </c>
      <c r="G2575" t="s">
        <v>96</v>
      </c>
      <c r="H2575" t="s">
        <v>3913</v>
      </c>
      <c r="I2575" t="s">
        <v>3913</v>
      </c>
      <c r="J2575" t="s">
        <v>3920</v>
      </c>
      <c r="K2575" t="s">
        <v>3915</v>
      </c>
      <c r="L2575" s="13">
        <v>27386</v>
      </c>
      <c r="M2575">
        <v>49</v>
      </c>
      <c r="N2575" t="s">
        <v>90</v>
      </c>
      <c r="O2575" t="s">
        <v>3928</v>
      </c>
      <c r="P2575" t="s">
        <v>95</v>
      </c>
      <c r="Q2575" t="s">
        <v>905</v>
      </c>
      <c r="R2575" t="s">
        <v>95</v>
      </c>
      <c r="S2575" t="s">
        <v>95</v>
      </c>
      <c r="T2575" t="s">
        <v>95</v>
      </c>
      <c r="U2575">
        <v>1</v>
      </c>
      <c r="V2575" s="13">
        <v>45175</v>
      </c>
      <c r="W2575">
        <v>1</v>
      </c>
      <c r="X2575">
        <v>1</v>
      </c>
      <c r="Y2575" t="s">
        <v>3761</v>
      </c>
      <c r="AC2575">
        <v>7139</v>
      </c>
      <c r="AD2575" t="e" vm="2565">
        <v>#VALUE!</v>
      </c>
    </row>
    <row r="2576" spans="2:30" x14ac:dyDescent="0.25">
      <c r="B2576">
        <v>7140</v>
      </c>
      <c r="C2576" t="s">
        <v>3646</v>
      </c>
      <c r="D2576" t="s">
        <v>3760</v>
      </c>
      <c r="E2576" t="s">
        <v>3927</v>
      </c>
      <c r="F2576" t="s">
        <v>97</v>
      </c>
      <c r="G2576" t="s">
        <v>96</v>
      </c>
      <c r="H2576" t="s">
        <v>3913</v>
      </c>
      <c r="I2576" t="s">
        <v>3913</v>
      </c>
      <c r="J2576" t="s">
        <v>3920</v>
      </c>
      <c r="K2576" t="s">
        <v>3915</v>
      </c>
      <c r="L2576" s="13">
        <v>27373</v>
      </c>
      <c r="M2576">
        <v>49</v>
      </c>
      <c r="N2576" t="s">
        <v>90</v>
      </c>
      <c r="O2576" t="s">
        <v>3928</v>
      </c>
      <c r="P2576" t="s">
        <v>95</v>
      </c>
      <c r="Q2576" t="s">
        <v>905</v>
      </c>
      <c r="R2576" t="s">
        <v>95</v>
      </c>
      <c r="S2576" t="s">
        <v>95</v>
      </c>
      <c r="T2576" t="s">
        <v>95</v>
      </c>
      <c r="U2576">
        <v>1</v>
      </c>
      <c r="V2576" s="13">
        <v>45175</v>
      </c>
      <c r="W2576">
        <v>1</v>
      </c>
      <c r="X2576">
        <v>1</v>
      </c>
      <c r="Y2576" t="s">
        <v>3761</v>
      </c>
      <c r="AC2576">
        <v>7140</v>
      </c>
      <c r="AD2576" t="e" vm="2566">
        <v>#VALUE!</v>
      </c>
    </row>
    <row r="2577" spans="2:30" x14ac:dyDescent="0.25">
      <c r="B2577">
        <v>7141</v>
      </c>
      <c r="C2577" t="s">
        <v>3646</v>
      </c>
      <c r="D2577" t="s">
        <v>3760</v>
      </c>
      <c r="E2577" t="s">
        <v>3927</v>
      </c>
      <c r="F2577" t="s">
        <v>97</v>
      </c>
      <c r="G2577" t="s">
        <v>96</v>
      </c>
      <c r="H2577" t="s">
        <v>3913</v>
      </c>
      <c r="I2577" t="s">
        <v>3913</v>
      </c>
      <c r="J2577" t="s">
        <v>3920</v>
      </c>
      <c r="K2577" t="s">
        <v>3915</v>
      </c>
      <c r="L2577" s="13">
        <v>27402</v>
      </c>
      <c r="M2577">
        <v>49</v>
      </c>
      <c r="N2577" t="s">
        <v>90</v>
      </c>
      <c r="O2577" t="s">
        <v>3928</v>
      </c>
      <c r="P2577" t="s">
        <v>95</v>
      </c>
      <c r="Q2577" t="s">
        <v>905</v>
      </c>
      <c r="R2577" t="s">
        <v>95</v>
      </c>
      <c r="S2577" t="s">
        <v>95</v>
      </c>
      <c r="T2577" t="s">
        <v>95</v>
      </c>
      <c r="U2577">
        <v>1</v>
      </c>
      <c r="V2577" s="13">
        <v>45175</v>
      </c>
      <c r="W2577">
        <v>1</v>
      </c>
      <c r="X2577">
        <v>1</v>
      </c>
      <c r="Y2577" t="s">
        <v>3761</v>
      </c>
      <c r="AC2577">
        <v>7141</v>
      </c>
      <c r="AD2577" t="e" vm="2567">
        <v>#VALUE!</v>
      </c>
    </row>
    <row r="2578" spans="2:30" x14ac:dyDescent="0.25">
      <c r="B2578">
        <v>7142</v>
      </c>
      <c r="C2578" t="s">
        <v>3646</v>
      </c>
      <c r="D2578" t="s">
        <v>3760</v>
      </c>
      <c r="E2578" t="s">
        <v>3927</v>
      </c>
      <c r="F2578" t="s">
        <v>97</v>
      </c>
      <c r="G2578" t="s">
        <v>96</v>
      </c>
      <c r="H2578" t="s">
        <v>3913</v>
      </c>
      <c r="I2578" t="s">
        <v>3913</v>
      </c>
      <c r="J2578" t="s">
        <v>3920</v>
      </c>
      <c r="K2578" t="s">
        <v>3915</v>
      </c>
      <c r="L2578" s="13">
        <v>27396</v>
      </c>
      <c r="M2578">
        <v>49</v>
      </c>
      <c r="N2578" t="s">
        <v>90</v>
      </c>
      <c r="O2578" t="s">
        <v>3928</v>
      </c>
      <c r="P2578" t="s">
        <v>95</v>
      </c>
      <c r="Q2578" t="s">
        <v>905</v>
      </c>
      <c r="R2578" t="s">
        <v>95</v>
      </c>
      <c r="S2578" t="s">
        <v>95</v>
      </c>
      <c r="T2578" t="s">
        <v>95</v>
      </c>
      <c r="U2578">
        <v>1</v>
      </c>
      <c r="V2578" s="13">
        <v>45175</v>
      </c>
      <c r="W2578">
        <v>1</v>
      </c>
      <c r="X2578">
        <v>1</v>
      </c>
      <c r="Y2578" t="s">
        <v>3761</v>
      </c>
      <c r="AC2578">
        <v>7142</v>
      </c>
      <c r="AD2578" t="e" vm="2568">
        <v>#VALUE!</v>
      </c>
    </row>
    <row r="2579" spans="2:30" x14ac:dyDescent="0.25">
      <c r="B2579">
        <v>7143</v>
      </c>
      <c r="C2579" t="s">
        <v>3646</v>
      </c>
      <c r="D2579" t="s">
        <v>3760</v>
      </c>
      <c r="E2579" t="s">
        <v>3927</v>
      </c>
      <c r="F2579" t="s">
        <v>97</v>
      </c>
      <c r="G2579" t="s">
        <v>96</v>
      </c>
      <c r="H2579" t="s">
        <v>3913</v>
      </c>
      <c r="I2579" t="s">
        <v>3913</v>
      </c>
      <c r="J2579" t="s">
        <v>3920</v>
      </c>
      <c r="K2579" t="s">
        <v>3915</v>
      </c>
      <c r="L2579" s="13">
        <v>27408</v>
      </c>
      <c r="M2579">
        <v>49</v>
      </c>
      <c r="N2579" t="s">
        <v>90</v>
      </c>
      <c r="O2579" t="s">
        <v>3928</v>
      </c>
      <c r="P2579" t="s">
        <v>95</v>
      </c>
      <c r="Q2579" t="s">
        <v>905</v>
      </c>
      <c r="R2579" t="s">
        <v>95</v>
      </c>
      <c r="S2579" t="s">
        <v>95</v>
      </c>
      <c r="T2579" t="s">
        <v>95</v>
      </c>
      <c r="U2579">
        <v>1</v>
      </c>
      <c r="V2579" s="13">
        <v>45175</v>
      </c>
      <c r="W2579">
        <v>1</v>
      </c>
      <c r="X2579">
        <v>1</v>
      </c>
      <c r="Y2579" t="s">
        <v>3761</v>
      </c>
      <c r="AC2579">
        <v>7143</v>
      </c>
      <c r="AD2579" t="e" vm="2569">
        <v>#VALUE!</v>
      </c>
    </row>
    <row r="2580" spans="2:30" x14ac:dyDescent="0.25">
      <c r="B2580">
        <v>7144</v>
      </c>
      <c r="C2580" t="s">
        <v>3646</v>
      </c>
      <c r="D2580" t="s">
        <v>73</v>
      </c>
      <c r="E2580" t="s">
        <v>73</v>
      </c>
      <c r="F2580" t="s">
        <v>3816</v>
      </c>
      <c r="G2580" t="s">
        <v>3816</v>
      </c>
      <c r="H2580" t="s">
        <v>3913</v>
      </c>
      <c r="I2580" t="s">
        <v>3913</v>
      </c>
      <c r="J2580" t="s">
        <v>3920</v>
      </c>
      <c r="K2580" t="s">
        <v>3915</v>
      </c>
      <c r="L2580" s="13">
        <v>27410</v>
      </c>
      <c r="M2580">
        <v>49</v>
      </c>
      <c r="N2580" t="s">
        <v>90</v>
      </c>
      <c r="O2580" t="s">
        <v>3928</v>
      </c>
      <c r="P2580" t="s">
        <v>95</v>
      </c>
      <c r="Q2580" t="s">
        <v>905</v>
      </c>
      <c r="R2580" t="s">
        <v>95</v>
      </c>
      <c r="S2580" t="s">
        <v>95</v>
      </c>
      <c r="T2580" t="s">
        <v>95</v>
      </c>
      <c r="U2580">
        <v>1</v>
      </c>
      <c r="V2580" s="13">
        <v>45175</v>
      </c>
      <c r="W2580">
        <v>2</v>
      </c>
      <c r="X2580">
        <v>1</v>
      </c>
      <c r="Y2580" t="s">
        <v>3667</v>
      </c>
      <c r="AC2580">
        <v>7144</v>
      </c>
      <c r="AD2580" t="e" vm="2570">
        <v>#VALUE!</v>
      </c>
    </row>
    <row r="2581" spans="2:30" x14ac:dyDescent="0.25">
      <c r="B2581">
        <v>7145</v>
      </c>
      <c r="C2581" t="s">
        <v>3646</v>
      </c>
      <c r="D2581" t="s">
        <v>3760</v>
      </c>
      <c r="E2581" t="s">
        <v>3927</v>
      </c>
      <c r="F2581" t="s">
        <v>97</v>
      </c>
      <c r="G2581" t="s">
        <v>96</v>
      </c>
      <c r="H2581" t="s">
        <v>3913</v>
      </c>
      <c r="I2581" t="s">
        <v>3913</v>
      </c>
      <c r="J2581" t="s">
        <v>3920</v>
      </c>
      <c r="K2581" t="s">
        <v>3915</v>
      </c>
      <c r="L2581" s="13">
        <v>27416</v>
      </c>
      <c r="M2581">
        <v>49</v>
      </c>
      <c r="N2581" t="s">
        <v>90</v>
      </c>
      <c r="O2581" t="s">
        <v>3928</v>
      </c>
      <c r="P2581" t="s">
        <v>95</v>
      </c>
      <c r="Q2581" t="s">
        <v>905</v>
      </c>
      <c r="R2581" t="s">
        <v>95</v>
      </c>
      <c r="S2581" t="s">
        <v>95</v>
      </c>
      <c r="T2581" t="s">
        <v>95</v>
      </c>
      <c r="U2581">
        <v>1</v>
      </c>
      <c r="V2581" s="13">
        <v>45175</v>
      </c>
      <c r="W2581">
        <v>1</v>
      </c>
      <c r="X2581">
        <v>1</v>
      </c>
      <c r="Y2581" t="s">
        <v>3761</v>
      </c>
      <c r="AC2581">
        <v>7145</v>
      </c>
      <c r="AD2581" t="e" vm="2571">
        <v>#VALUE!</v>
      </c>
    </row>
    <row r="2582" spans="2:30" x14ac:dyDescent="0.25">
      <c r="B2582">
        <v>7146</v>
      </c>
      <c r="C2582" t="s">
        <v>3646</v>
      </c>
      <c r="D2582" t="s">
        <v>3760</v>
      </c>
      <c r="E2582" t="s">
        <v>3927</v>
      </c>
      <c r="F2582" t="s">
        <v>97</v>
      </c>
      <c r="G2582" t="s">
        <v>96</v>
      </c>
      <c r="H2582" t="s">
        <v>3913</v>
      </c>
      <c r="I2582" t="s">
        <v>3913</v>
      </c>
      <c r="J2582" t="s">
        <v>3920</v>
      </c>
      <c r="K2582" t="s">
        <v>3915</v>
      </c>
      <c r="L2582" s="13">
        <v>27417</v>
      </c>
      <c r="M2582">
        <v>49</v>
      </c>
      <c r="N2582" t="s">
        <v>90</v>
      </c>
      <c r="O2582" t="s">
        <v>3928</v>
      </c>
      <c r="P2582" t="s">
        <v>95</v>
      </c>
      <c r="Q2582" t="s">
        <v>905</v>
      </c>
      <c r="R2582" t="s">
        <v>95</v>
      </c>
      <c r="S2582" t="s">
        <v>95</v>
      </c>
      <c r="T2582" t="s">
        <v>95</v>
      </c>
      <c r="U2582">
        <v>1</v>
      </c>
      <c r="V2582" s="13">
        <v>45175</v>
      </c>
      <c r="W2582">
        <v>1</v>
      </c>
      <c r="X2582">
        <v>1</v>
      </c>
      <c r="Y2582" t="s">
        <v>3761</v>
      </c>
      <c r="AC2582">
        <v>7146</v>
      </c>
      <c r="AD2582" t="e" vm="2572">
        <v>#VALUE!</v>
      </c>
    </row>
    <row r="2583" spans="2:30" x14ac:dyDescent="0.25">
      <c r="B2583">
        <v>7147</v>
      </c>
      <c r="C2583" t="s">
        <v>3646</v>
      </c>
      <c r="D2583" t="s">
        <v>3760</v>
      </c>
      <c r="E2583" t="s">
        <v>3927</v>
      </c>
      <c r="F2583" t="s">
        <v>97</v>
      </c>
      <c r="G2583" t="s">
        <v>96</v>
      </c>
      <c r="H2583" t="s">
        <v>3913</v>
      </c>
      <c r="I2583" t="s">
        <v>3913</v>
      </c>
      <c r="J2583" t="s">
        <v>3920</v>
      </c>
      <c r="K2583" t="s">
        <v>3915</v>
      </c>
      <c r="L2583" s="13">
        <v>27422</v>
      </c>
      <c r="M2583">
        <v>49</v>
      </c>
      <c r="N2583" t="s">
        <v>90</v>
      </c>
      <c r="O2583" t="s">
        <v>3928</v>
      </c>
      <c r="P2583" t="s">
        <v>95</v>
      </c>
      <c r="Q2583" t="s">
        <v>905</v>
      </c>
      <c r="R2583" t="s">
        <v>95</v>
      </c>
      <c r="S2583" t="s">
        <v>95</v>
      </c>
      <c r="T2583" t="s">
        <v>95</v>
      </c>
      <c r="U2583">
        <v>1</v>
      </c>
      <c r="V2583" s="13">
        <v>45175</v>
      </c>
      <c r="W2583">
        <v>1</v>
      </c>
      <c r="X2583">
        <v>1</v>
      </c>
      <c r="Y2583" t="s">
        <v>3761</v>
      </c>
      <c r="AC2583">
        <v>7147</v>
      </c>
      <c r="AD2583" t="e" vm="2573">
        <v>#VALUE!</v>
      </c>
    </row>
    <row r="2584" spans="2:30" x14ac:dyDescent="0.25">
      <c r="B2584">
        <v>7148</v>
      </c>
      <c r="C2584" t="s">
        <v>3646</v>
      </c>
      <c r="D2584" t="s">
        <v>3760</v>
      </c>
      <c r="E2584" t="s">
        <v>3927</v>
      </c>
      <c r="F2584" t="s">
        <v>97</v>
      </c>
      <c r="G2584" t="s">
        <v>96</v>
      </c>
      <c r="H2584" t="s">
        <v>3913</v>
      </c>
      <c r="I2584" t="s">
        <v>3913</v>
      </c>
      <c r="J2584" t="s">
        <v>3920</v>
      </c>
      <c r="K2584" t="s">
        <v>3915</v>
      </c>
      <c r="L2584" s="13">
        <v>27423</v>
      </c>
      <c r="M2584">
        <v>49</v>
      </c>
      <c r="N2584" t="s">
        <v>90</v>
      </c>
      <c r="O2584" t="s">
        <v>3928</v>
      </c>
      <c r="P2584" t="s">
        <v>95</v>
      </c>
      <c r="Q2584" t="s">
        <v>905</v>
      </c>
      <c r="R2584" t="s">
        <v>95</v>
      </c>
      <c r="S2584" t="s">
        <v>95</v>
      </c>
      <c r="T2584" t="s">
        <v>95</v>
      </c>
      <c r="U2584">
        <v>1</v>
      </c>
      <c r="V2584" s="13">
        <v>45175</v>
      </c>
      <c r="W2584">
        <v>1</v>
      </c>
      <c r="X2584">
        <v>1</v>
      </c>
      <c r="Y2584" t="s">
        <v>3761</v>
      </c>
      <c r="AC2584">
        <v>7148</v>
      </c>
      <c r="AD2584" t="e" vm="2574">
        <v>#VALUE!</v>
      </c>
    </row>
    <row r="2585" spans="2:30" x14ac:dyDescent="0.25">
      <c r="B2585">
        <v>7149</v>
      </c>
      <c r="C2585" t="s">
        <v>3646</v>
      </c>
      <c r="D2585" t="s">
        <v>3760</v>
      </c>
      <c r="E2585" t="s">
        <v>3927</v>
      </c>
      <c r="F2585" t="s">
        <v>97</v>
      </c>
      <c r="G2585" t="s">
        <v>96</v>
      </c>
      <c r="H2585" t="s">
        <v>3913</v>
      </c>
      <c r="I2585" t="s">
        <v>3913</v>
      </c>
      <c r="J2585" t="s">
        <v>3920</v>
      </c>
      <c r="K2585" t="s">
        <v>3915</v>
      </c>
      <c r="L2585" s="13">
        <v>27424</v>
      </c>
      <c r="M2585">
        <v>49</v>
      </c>
      <c r="N2585" t="s">
        <v>90</v>
      </c>
      <c r="O2585" t="s">
        <v>3928</v>
      </c>
      <c r="P2585" t="s">
        <v>95</v>
      </c>
      <c r="Q2585" t="s">
        <v>905</v>
      </c>
      <c r="R2585" t="s">
        <v>95</v>
      </c>
      <c r="S2585" t="s">
        <v>95</v>
      </c>
      <c r="T2585" t="s">
        <v>95</v>
      </c>
      <c r="U2585">
        <v>1</v>
      </c>
      <c r="V2585" s="13">
        <v>45175</v>
      </c>
      <c r="W2585">
        <v>1</v>
      </c>
      <c r="X2585">
        <v>1</v>
      </c>
      <c r="Y2585" t="s">
        <v>3761</v>
      </c>
      <c r="AC2585">
        <v>7149</v>
      </c>
      <c r="AD2585" t="e" vm="2575">
        <v>#VALUE!</v>
      </c>
    </row>
    <row r="2586" spans="2:30" x14ac:dyDescent="0.25">
      <c r="B2586">
        <v>7150</v>
      </c>
      <c r="C2586" t="s">
        <v>3646</v>
      </c>
      <c r="D2586" t="s">
        <v>3760</v>
      </c>
      <c r="E2586" t="s">
        <v>3927</v>
      </c>
      <c r="F2586" t="s">
        <v>97</v>
      </c>
      <c r="G2586" t="s">
        <v>96</v>
      </c>
      <c r="H2586" t="s">
        <v>3913</v>
      </c>
      <c r="I2586" t="s">
        <v>3913</v>
      </c>
      <c r="J2586" t="s">
        <v>3920</v>
      </c>
      <c r="K2586" t="s">
        <v>3915</v>
      </c>
      <c r="L2586" s="13">
        <v>27429</v>
      </c>
      <c r="M2586">
        <v>49</v>
      </c>
      <c r="N2586" t="s">
        <v>90</v>
      </c>
      <c r="O2586" t="s">
        <v>3928</v>
      </c>
      <c r="P2586" t="s">
        <v>95</v>
      </c>
      <c r="Q2586" t="s">
        <v>905</v>
      </c>
      <c r="R2586" t="s">
        <v>95</v>
      </c>
      <c r="S2586" t="s">
        <v>95</v>
      </c>
      <c r="T2586" t="s">
        <v>95</v>
      </c>
      <c r="U2586">
        <v>1</v>
      </c>
      <c r="V2586" s="13">
        <v>45175</v>
      </c>
      <c r="W2586">
        <v>1</v>
      </c>
      <c r="X2586">
        <v>1</v>
      </c>
      <c r="Y2586" t="s">
        <v>3761</v>
      </c>
      <c r="AC2586">
        <v>7150</v>
      </c>
      <c r="AD2586" t="e" vm="2576">
        <v>#VALUE!</v>
      </c>
    </row>
    <row r="2587" spans="2:30" x14ac:dyDescent="0.25">
      <c r="B2587">
        <v>7151</v>
      </c>
      <c r="C2587" t="s">
        <v>3646</v>
      </c>
      <c r="D2587" t="s">
        <v>3760</v>
      </c>
      <c r="E2587" t="s">
        <v>3927</v>
      </c>
      <c r="F2587" t="s">
        <v>97</v>
      </c>
      <c r="G2587" t="s">
        <v>96</v>
      </c>
      <c r="H2587" t="s">
        <v>3913</v>
      </c>
      <c r="I2587" t="s">
        <v>3913</v>
      </c>
      <c r="J2587" t="s">
        <v>3920</v>
      </c>
      <c r="K2587" t="s">
        <v>3915</v>
      </c>
      <c r="L2587" s="13">
        <v>27432</v>
      </c>
      <c r="M2587">
        <v>49</v>
      </c>
      <c r="N2587" t="s">
        <v>90</v>
      </c>
      <c r="O2587" t="s">
        <v>3928</v>
      </c>
      <c r="P2587" t="s">
        <v>95</v>
      </c>
      <c r="Q2587" t="s">
        <v>905</v>
      </c>
      <c r="R2587" t="s">
        <v>95</v>
      </c>
      <c r="S2587" t="s">
        <v>95</v>
      </c>
      <c r="T2587" t="s">
        <v>95</v>
      </c>
      <c r="U2587">
        <v>1</v>
      </c>
      <c r="V2587" s="13">
        <v>45175</v>
      </c>
      <c r="W2587">
        <v>1</v>
      </c>
      <c r="X2587">
        <v>1</v>
      </c>
      <c r="Y2587" t="s">
        <v>3761</v>
      </c>
      <c r="AC2587">
        <v>7151</v>
      </c>
      <c r="AD2587" t="e" vm="2577">
        <v>#VALUE!</v>
      </c>
    </row>
    <row r="2588" spans="2:30" x14ac:dyDescent="0.25">
      <c r="B2588">
        <v>7152</v>
      </c>
      <c r="C2588" t="s">
        <v>3646</v>
      </c>
      <c r="D2588" t="s">
        <v>3760</v>
      </c>
      <c r="E2588" t="s">
        <v>3927</v>
      </c>
      <c r="F2588" t="s">
        <v>97</v>
      </c>
      <c r="G2588" t="s">
        <v>96</v>
      </c>
      <c r="H2588" t="s">
        <v>3913</v>
      </c>
      <c r="I2588" t="s">
        <v>3913</v>
      </c>
      <c r="J2588" t="s">
        <v>3920</v>
      </c>
      <c r="K2588" t="s">
        <v>3915</v>
      </c>
      <c r="L2588" s="13">
        <v>27438</v>
      </c>
      <c r="M2588">
        <v>49</v>
      </c>
      <c r="N2588" t="s">
        <v>90</v>
      </c>
      <c r="O2588" t="s">
        <v>3928</v>
      </c>
      <c r="P2588" t="s">
        <v>95</v>
      </c>
      <c r="Q2588" t="s">
        <v>905</v>
      </c>
      <c r="R2588" t="s">
        <v>95</v>
      </c>
      <c r="S2588" t="s">
        <v>95</v>
      </c>
      <c r="T2588" t="s">
        <v>95</v>
      </c>
      <c r="U2588">
        <v>1</v>
      </c>
      <c r="V2588" s="13">
        <v>45175</v>
      </c>
      <c r="W2588">
        <v>1</v>
      </c>
      <c r="X2588">
        <v>1</v>
      </c>
      <c r="Y2588" t="s">
        <v>3761</v>
      </c>
      <c r="AC2588">
        <v>7152</v>
      </c>
      <c r="AD2588" t="e" vm="2578">
        <v>#VALUE!</v>
      </c>
    </row>
    <row r="2589" spans="2:30" x14ac:dyDescent="0.25">
      <c r="B2589">
        <v>7153</v>
      </c>
      <c r="C2589" t="s">
        <v>3646</v>
      </c>
      <c r="D2589" t="s">
        <v>3760</v>
      </c>
      <c r="E2589" t="s">
        <v>3927</v>
      </c>
      <c r="F2589" t="s">
        <v>97</v>
      </c>
      <c r="G2589" t="s">
        <v>96</v>
      </c>
      <c r="H2589" t="s">
        <v>3913</v>
      </c>
      <c r="I2589" t="s">
        <v>3913</v>
      </c>
      <c r="J2589" t="s">
        <v>3920</v>
      </c>
      <c r="K2589" t="s">
        <v>3915</v>
      </c>
      <c r="L2589" s="13">
        <v>27439</v>
      </c>
      <c r="M2589">
        <v>49</v>
      </c>
      <c r="N2589" t="s">
        <v>90</v>
      </c>
      <c r="O2589" t="s">
        <v>3928</v>
      </c>
      <c r="P2589" t="s">
        <v>95</v>
      </c>
      <c r="Q2589" t="s">
        <v>905</v>
      </c>
      <c r="R2589" t="s">
        <v>95</v>
      </c>
      <c r="S2589" t="s">
        <v>95</v>
      </c>
      <c r="T2589" t="s">
        <v>95</v>
      </c>
      <c r="U2589">
        <v>1</v>
      </c>
      <c r="V2589" s="13">
        <v>45175</v>
      </c>
      <c r="W2589">
        <v>1</v>
      </c>
      <c r="X2589">
        <v>1</v>
      </c>
      <c r="Y2589" t="s">
        <v>3761</v>
      </c>
      <c r="AC2589">
        <v>7153</v>
      </c>
      <c r="AD2589" t="e" vm="2579">
        <v>#VALUE!</v>
      </c>
    </row>
    <row r="2590" spans="2:30" x14ac:dyDescent="0.25">
      <c r="B2590">
        <v>7154</v>
      </c>
      <c r="C2590" t="s">
        <v>3646</v>
      </c>
      <c r="D2590" t="s">
        <v>3760</v>
      </c>
      <c r="E2590" t="s">
        <v>3927</v>
      </c>
      <c r="F2590" t="s">
        <v>97</v>
      </c>
      <c r="G2590" t="s">
        <v>96</v>
      </c>
      <c r="H2590" t="s">
        <v>3913</v>
      </c>
      <c r="I2590" t="s">
        <v>3913</v>
      </c>
      <c r="J2590" t="s">
        <v>3920</v>
      </c>
      <c r="K2590" t="s">
        <v>3915</v>
      </c>
      <c r="L2590" s="13">
        <v>27444</v>
      </c>
      <c r="M2590">
        <v>49</v>
      </c>
      <c r="N2590" t="s">
        <v>90</v>
      </c>
      <c r="O2590" t="s">
        <v>3928</v>
      </c>
      <c r="P2590" t="s">
        <v>95</v>
      </c>
      <c r="Q2590" t="s">
        <v>905</v>
      </c>
      <c r="R2590" t="s">
        <v>95</v>
      </c>
      <c r="S2590" t="s">
        <v>95</v>
      </c>
      <c r="T2590" t="s">
        <v>95</v>
      </c>
      <c r="U2590">
        <v>1</v>
      </c>
      <c r="V2590" s="13">
        <v>45175</v>
      </c>
      <c r="W2590">
        <v>1</v>
      </c>
      <c r="X2590">
        <v>1</v>
      </c>
      <c r="Y2590" t="s">
        <v>3761</v>
      </c>
      <c r="AC2590">
        <v>7154</v>
      </c>
      <c r="AD2590" t="e" vm="2580">
        <v>#VALUE!</v>
      </c>
    </row>
    <row r="2591" spans="2:30" x14ac:dyDescent="0.25">
      <c r="B2591">
        <v>7155</v>
      </c>
      <c r="C2591" t="s">
        <v>3646</v>
      </c>
      <c r="D2591" t="s">
        <v>3760</v>
      </c>
      <c r="E2591" t="s">
        <v>3927</v>
      </c>
      <c r="F2591" t="s">
        <v>97</v>
      </c>
      <c r="G2591" t="s">
        <v>96</v>
      </c>
      <c r="H2591" t="s">
        <v>3913</v>
      </c>
      <c r="I2591" t="s">
        <v>3913</v>
      </c>
      <c r="J2591" t="s">
        <v>3920</v>
      </c>
      <c r="K2591" t="s">
        <v>3915</v>
      </c>
      <c r="L2591" s="13">
        <v>27445</v>
      </c>
      <c r="M2591">
        <v>49</v>
      </c>
      <c r="N2591" t="s">
        <v>90</v>
      </c>
      <c r="O2591" t="s">
        <v>3928</v>
      </c>
      <c r="P2591" t="s">
        <v>95</v>
      </c>
      <c r="Q2591" t="s">
        <v>905</v>
      </c>
      <c r="R2591" t="s">
        <v>95</v>
      </c>
      <c r="S2591" t="s">
        <v>95</v>
      </c>
      <c r="T2591" t="s">
        <v>95</v>
      </c>
      <c r="U2591">
        <v>1</v>
      </c>
      <c r="V2591" s="13">
        <v>45175</v>
      </c>
      <c r="W2591">
        <v>1</v>
      </c>
      <c r="X2591">
        <v>1</v>
      </c>
      <c r="Y2591" t="s">
        <v>3761</v>
      </c>
      <c r="AC2591">
        <v>7155</v>
      </c>
      <c r="AD2591" t="e" vm="2581">
        <v>#VALUE!</v>
      </c>
    </row>
    <row r="2592" spans="2:30" x14ac:dyDescent="0.25">
      <c r="B2592">
        <v>7156</v>
      </c>
      <c r="C2592" t="s">
        <v>3646</v>
      </c>
      <c r="D2592" t="s">
        <v>3760</v>
      </c>
      <c r="E2592" t="s">
        <v>3927</v>
      </c>
      <c r="F2592" t="s">
        <v>97</v>
      </c>
      <c r="G2592" t="s">
        <v>96</v>
      </c>
      <c r="H2592" t="s">
        <v>3913</v>
      </c>
      <c r="I2592" t="s">
        <v>3913</v>
      </c>
      <c r="J2592" t="s">
        <v>3920</v>
      </c>
      <c r="K2592" t="s">
        <v>3915</v>
      </c>
      <c r="L2592" s="13">
        <v>27451</v>
      </c>
      <c r="M2592">
        <v>49</v>
      </c>
      <c r="N2592" t="s">
        <v>90</v>
      </c>
      <c r="O2592" t="s">
        <v>3928</v>
      </c>
      <c r="P2592" t="s">
        <v>95</v>
      </c>
      <c r="Q2592" t="s">
        <v>905</v>
      </c>
      <c r="R2592" t="s">
        <v>95</v>
      </c>
      <c r="S2592" t="s">
        <v>95</v>
      </c>
      <c r="T2592" t="s">
        <v>95</v>
      </c>
      <c r="U2592">
        <v>1</v>
      </c>
      <c r="V2592" s="13">
        <v>45175</v>
      </c>
      <c r="W2592">
        <v>1</v>
      </c>
      <c r="X2592">
        <v>1</v>
      </c>
      <c r="Y2592" t="s">
        <v>3761</v>
      </c>
      <c r="AC2592">
        <v>7156</v>
      </c>
      <c r="AD2592" t="e" vm="2582">
        <v>#VALUE!</v>
      </c>
    </row>
    <row r="2593" spans="2:30" x14ac:dyDescent="0.25">
      <c r="B2593">
        <v>7157</v>
      </c>
      <c r="C2593" t="s">
        <v>3646</v>
      </c>
      <c r="D2593" t="s">
        <v>3760</v>
      </c>
      <c r="E2593" t="s">
        <v>3927</v>
      </c>
      <c r="F2593" t="s">
        <v>97</v>
      </c>
      <c r="G2593" t="s">
        <v>96</v>
      </c>
      <c r="H2593" t="s">
        <v>3913</v>
      </c>
      <c r="I2593" t="s">
        <v>3913</v>
      </c>
      <c r="J2593" t="s">
        <v>3920</v>
      </c>
      <c r="K2593" t="s">
        <v>3915</v>
      </c>
      <c r="L2593" s="13">
        <v>27452</v>
      </c>
      <c r="M2593">
        <v>49</v>
      </c>
      <c r="N2593" t="s">
        <v>90</v>
      </c>
      <c r="O2593" t="s">
        <v>3928</v>
      </c>
      <c r="P2593" t="s">
        <v>95</v>
      </c>
      <c r="Q2593" t="s">
        <v>905</v>
      </c>
      <c r="R2593" t="s">
        <v>95</v>
      </c>
      <c r="S2593" t="s">
        <v>95</v>
      </c>
      <c r="T2593" t="s">
        <v>95</v>
      </c>
      <c r="U2593">
        <v>1</v>
      </c>
      <c r="V2593" s="13">
        <v>45175</v>
      </c>
      <c r="W2593">
        <v>1</v>
      </c>
      <c r="X2593">
        <v>1</v>
      </c>
      <c r="Y2593" t="s">
        <v>3761</v>
      </c>
      <c r="AC2593">
        <v>7157</v>
      </c>
      <c r="AD2593" t="e" vm="2583">
        <v>#VALUE!</v>
      </c>
    </row>
    <row r="2594" spans="2:30" x14ac:dyDescent="0.25">
      <c r="B2594">
        <v>7158</v>
      </c>
      <c r="C2594" t="s">
        <v>3646</v>
      </c>
      <c r="D2594" t="s">
        <v>3760</v>
      </c>
      <c r="E2594" t="s">
        <v>3927</v>
      </c>
      <c r="F2594" t="s">
        <v>97</v>
      </c>
      <c r="G2594" t="s">
        <v>96</v>
      </c>
      <c r="H2594" t="s">
        <v>3913</v>
      </c>
      <c r="I2594" t="s">
        <v>3913</v>
      </c>
      <c r="J2594" t="s">
        <v>3920</v>
      </c>
      <c r="K2594" t="s">
        <v>3915</v>
      </c>
      <c r="L2594" s="13">
        <v>27457</v>
      </c>
      <c r="M2594">
        <v>49</v>
      </c>
      <c r="N2594" t="s">
        <v>90</v>
      </c>
      <c r="O2594" t="s">
        <v>3928</v>
      </c>
      <c r="P2594" t="s">
        <v>95</v>
      </c>
      <c r="Q2594" t="s">
        <v>905</v>
      </c>
      <c r="R2594" t="s">
        <v>95</v>
      </c>
      <c r="S2594" t="s">
        <v>95</v>
      </c>
      <c r="T2594" t="s">
        <v>95</v>
      </c>
      <c r="U2594">
        <v>1</v>
      </c>
      <c r="V2594" s="13">
        <v>45175</v>
      </c>
      <c r="W2594">
        <v>1</v>
      </c>
      <c r="X2594">
        <v>1</v>
      </c>
      <c r="Y2594" t="s">
        <v>3761</v>
      </c>
      <c r="AC2594">
        <v>7158</v>
      </c>
      <c r="AD2594" t="e" vm="2584">
        <v>#VALUE!</v>
      </c>
    </row>
    <row r="2595" spans="2:30" x14ac:dyDescent="0.25">
      <c r="B2595">
        <v>7159</v>
      </c>
      <c r="C2595" t="s">
        <v>3646</v>
      </c>
      <c r="D2595" t="s">
        <v>3760</v>
      </c>
      <c r="E2595" t="s">
        <v>3927</v>
      </c>
      <c r="F2595" t="s">
        <v>97</v>
      </c>
      <c r="G2595" t="s">
        <v>96</v>
      </c>
      <c r="H2595" t="s">
        <v>3913</v>
      </c>
      <c r="I2595" t="s">
        <v>3913</v>
      </c>
      <c r="J2595" t="s">
        <v>3920</v>
      </c>
      <c r="K2595" t="s">
        <v>3915</v>
      </c>
      <c r="L2595" s="13">
        <v>27458</v>
      </c>
      <c r="M2595">
        <v>49</v>
      </c>
      <c r="N2595" t="s">
        <v>90</v>
      </c>
      <c r="O2595" t="s">
        <v>3928</v>
      </c>
      <c r="P2595" t="s">
        <v>95</v>
      </c>
      <c r="Q2595" t="s">
        <v>905</v>
      </c>
      <c r="R2595" t="s">
        <v>95</v>
      </c>
      <c r="S2595" t="s">
        <v>95</v>
      </c>
      <c r="T2595" t="s">
        <v>95</v>
      </c>
      <c r="U2595">
        <v>1</v>
      </c>
      <c r="V2595" s="13">
        <v>45175</v>
      </c>
      <c r="W2595">
        <v>1</v>
      </c>
      <c r="X2595">
        <v>1</v>
      </c>
      <c r="Y2595" t="s">
        <v>3761</v>
      </c>
      <c r="AC2595">
        <v>7159</v>
      </c>
      <c r="AD2595" t="e" vm="2585">
        <v>#VALUE!</v>
      </c>
    </row>
    <row r="2596" spans="2:30" x14ac:dyDescent="0.25">
      <c r="B2596">
        <v>7160</v>
      </c>
      <c r="C2596" t="s">
        <v>3646</v>
      </c>
      <c r="D2596" t="s">
        <v>3760</v>
      </c>
      <c r="E2596" t="s">
        <v>3927</v>
      </c>
      <c r="F2596" t="s">
        <v>97</v>
      </c>
      <c r="G2596" t="s">
        <v>96</v>
      </c>
      <c r="H2596" t="s">
        <v>3913</v>
      </c>
      <c r="I2596" t="s">
        <v>3913</v>
      </c>
      <c r="J2596" t="s">
        <v>3920</v>
      </c>
      <c r="K2596" t="s">
        <v>3915</v>
      </c>
      <c r="L2596" s="13">
        <v>27467</v>
      </c>
      <c r="M2596">
        <v>49</v>
      </c>
      <c r="N2596" t="s">
        <v>90</v>
      </c>
      <c r="O2596" t="s">
        <v>3928</v>
      </c>
      <c r="P2596" t="s">
        <v>95</v>
      </c>
      <c r="Q2596" t="s">
        <v>905</v>
      </c>
      <c r="R2596" t="s">
        <v>95</v>
      </c>
      <c r="S2596" t="s">
        <v>95</v>
      </c>
      <c r="T2596" t="s">
        <v>95</v>
      </c>
      <c r="U2596">
        <v>1</v>
      </c>
      <c r="V2596" s="13">
        <v>45175</v>
      </c>
      <c r="W2596">
        <v>1</v>
      </c>
      <c r="X2596">
        <v>1</v>
      </c>
      <c r="Y2596" t="s">
        <v>3761</v>
      </c>
      <c r="AC2596">
        <v>7160</v>
      </c>
      <c r="AD2596" t="e" vm="2586">
        <v>#VALUE!</v>
      </c>
    </row>
    <row r="2597" spans="2:30" x14ac:dyDescent="0.25">
      <c r="B2597">
        <v>7161</v>
      </c>
      <c r="C2597" t="s">
        <v>3646</v>
      </c>
      <c r="D2597" t="s">
        <v>3760</v>
      </c>
      <c r="E2597" t="s">
        <v>3927</v>
      </c>
      <c r="F2597" t="s">
        <v>97</v>
      </c>
      <c r="G2597" t="s">
        <v>96</v>
      </c>
      <c r="H2597" t="s">
        <v>3913</v>
      </c>
      <c r="I2597" t="s">
        <v>3913</v>
      </c>
      <c r="J2597" t="s">
        <v>3920</v>
      </c>
      <c r="K2597" t="s">
        <v>3915</v>
      </c>
      <c r="L2597" s="13">
        <v>27486</v>
      </c>
      <c r="M2597">
        <v>48</v>
      </c>
      <c r="N2597" t="s">
        <v>90</v>
      </c>
      <c r="O2597" t="s">
        <v>3928</v>
      </c>
      <c r="P2597" t="s">
        <v>95</v>
      </c>
      <c r="Q2597" t="s">
        <v>905</v>
      </c>
      <c r="R2597" t="s">
        <v>95</v>
      </c>
      <c r="S2597" t="s">
        <v>95</v>
      </c>
      <c r="T2597" t="s">
        <v>95</v>
      </c>
      <c r="U2597">
        <v>1</v>
      </c>
      <c r="V2597" s="13">
        <v>45175</v>
      </c>
      <c r="W2597">
        <v>1</v>
      </c>
      <c r="X2597">
        <v>1</v>
      </c>
      <c r="Y2597" t="s">
        <v>3761</v>
      </c>
      <c r="AC2597">
        <v>7161</v>
      </c>
      <c r="AD2597" t="e" vm="2587">
        <v>#VALUE!</v>
      </c>
    </row>
    <row r="2598" spans="2:30" x14ac:dyDescent="0.25">
      <c r="B2598">
        <v>7164</v>
      </c>
      <c r="C2598" t="s">
        <v>3646</v>
      </c>
      <c r="D2598" t="s">
        <v>3760</v>
      </c>
      <c r="E2598" t="s">
        <v>3927</v>
      </c>
      <c r="F2598" t="s">
        <v>97</v>
      </c>
      <c r="G2598" t="s">
        <v>96</v>
      </c>
      <c r="H2598" t="s">
        <v>3913</v>
      </c>
      <c r="I2598" t="s">
        <v>3913</v>
      </c>
      <c r="J2598" t="s">
        <v>3920</v>
      </c>
      <c r="K2598" t="s">
        <v>3915</v>
      </c>
      <c r="L2598" s="13">
        <v>27499</v>
      </c>
      <c r="M2598">
        <v>48</v>
      </c>
      <c r="N2598" t="s">
        <v>90</v>
      </c>
      <c r="O2598" t="s">
        <v>3928</v>
      </c>
      <c r="P2598" t="s">
        <v>95</v>
      </c>
      <c r="Q2598" t="s">
        <v>905</v>
      </c>
      <c r="R2598" t="s">
        <v>95</v>
      </c>
      <c r="S2598" t="s">
        <v>95</v>
      </c>
      <c r="T2598" t="s">
        <v>95</v>
      </c>
      <c r="U2598">
        <v>1</v>
      </c>
      <c r="V2598" s="13">
        <v>45175</v>
      </c>
      <c r="W2598">
        <v>1</v>
      </c>
      <c r="X2598">
        <v>1</v>
      </c>
      <c r="Y2598" t="s">
        <v>3761</v>
      </c>
      <c r="AC2598">
        <v>7164</v>
      </c>
      <c r="AD2598" t="e" vm="2588">
        <v>#VALUE!</v>
      </c>
    </row>
    <row r="2599" spans="2:30" x14ac:dyDescent="0.25">
      <c r="B2599">
        <v>7165</v>
      </c>
      <c r="C2599" t="s">
        <v>3646</v>
      </c>
      <c r="D2599" t="s">
        <v>3760</v>
      </c>
      <c r="E2599" t="s">
        <v>3927</v>
      </c>
      <c r="F2599" t="s">
        <v>97</v>
      </c>
      <c r="G2599" t="s">
        <v>96</v>
      </c>
      <c r="H2599" t="s">
        <v>3913</v>
      </c>
      <c r="I2599" t="s">
        <v>3913</v>
      </c>
      <c r="J2599" t="s">
        <v>3920</v>
      </c>
      <c r="K2599" t="s">
        <v>3915</v>
      </c>
      <c r="L2599" s="13">
        <v>27487</v>
      </c>
      <c r="M2599">
        <v>48</v>
      </c>
      <c r="N2599" t="s">
        <v>90</v>
      </c>
      <c r="O2599" t="s">
        <v>3928</v>
      </c>
      <c r="P2599" t="s">
        <v>95</v>
      </c>
      <c r="Q2599" t="s">
        <v>905</v>
      </c>
      <c r="R2599" t="s">
        <v>95</v>
      </c>
      <c r="S2599" t="s">
        <v>95</v>
      </c>
      <c r="T2599" t="s">
        <v>95</v>
      </c>
      <c r="U2599">
        <v>1</v>
      </c>
      <c r="V2599" s="13">
        <v>45175</v>
      </c>
      <c r="W2599">
        <v>1</v>
      </c>
      <c r="X2599">
        <v>1</v>
      </c>
      <c r="Y2599" t="s">
        <v>3761</v>
      </c>
      <c r="AC2599">
        <v>7165</v>
      </c>
      <c r="AD2599" t="e" vm="2589">
        <v>#VALUE!</v>
      </c>
    </row>
    <row r="2600" spans="2:30" x14ac:dyDescent="0.25">
      <c r="B2600">
        <v>7201</v>
      </c>
      <c r="C2600" t="s">
        <v>3646</v>
      </c>
      <c r="D2600" t="s">
        <v>3756</v>
      </c>
      <c r="E2600" t="s">
        <v>3922</v>
      </c>
      <c r="F2600" t="s">
        <v>93</v>
      </c>
      <c r="G2600" t="s">
        <v>80</v>
      </c>
      <c r="H2600" t="s">
        <v>3913</v>
      </c>
      <c r="I2600" t="s">
        <v>3913</v>
      </c>
      <c r="J2600" t="s">
        <v>3923</v>
      </c>
      <c r="K2600" t="s">
        <v>3915</v>
      </c>
      <c r="L2600" s="13">
        <v>36622</v>
      </c>
      <c r="M2600">
        <v>23</v>
      </c>
      <c r="N2600" t="s">
        <v>90</v>
      </c>
      <c r="O2600" t="s">
        <v>3924</v>
      </c>
      <c r="P2600" t="s">
        <v>76</v>
      </c>
      <c r="Q2600" t="s">
        <v>905</v>
      </c>
      <c r="R2600" t="s">
        <v>76</v>
      </c>
      <c r="S2600" t="s">
        <v>95</v>
      </c>
      <c r="T2600" t="s">
        <v>95</v>
      </c>
      <c r="U2600">
        <v>1</v>
      </c>
      <c r="V2600" s="13">
        <v>45175</v>
      </c>
      <c r="W2600">
        <v>1</v>
      </c>
      <c r="X2600">
        <v>1</v>
      </c>
      <c r="Y2600" t="s">
        <v>3757</v>
      </c>
      <c r="AC2600">
        <v>7201</v>
      </c>
      <c r="AD2600" t="e" vm="2590">
        <v>#VALUE!</v>
      </c>
    </row>
    <row r="2601" spans="2:30" x14ac:dyDescent="0.25">
      <c r="B2601">
        <v>7202</v>
      </c>
      <c r="C2601" t="s">
        <v>3646</v>
      </c>
      <c r="D2601" t="s">
        <v>3756</v>
      </c>
      <c r="E2601" t="s">
        <v>3922</v>
      </c>
      <c r="F2601" t="s">
        <v>93</v>
      </c>
      <c r="G2601" t="s">
        <v>80</v>
      </c>
      <c r="H2601" t="s">
        <v>3913</v>
      </c>
      <c r="I2601" t="s">
        <v>3913</v>
      </c>
      <c r="J2601" t="s">
        <v>3923</v>
      </c>
      <c r="K2601" t="s">
        <v>3915</v>
      </c>
      <c r="L2601" s="13">
        <v>36515</v>
      </c>
      <c r="M2601">
        <v>24</v>
      </c>
      <c r="N2601" t="s">
        <v>90</v>
      </c>
      <c r="O2601" t="s">
        <v>3924</v>
      </c>
      <c r="P2601" t="s">
        <v>76</v>
      </c>
      <c r="Q2601" t="s">
        <v>905</v>
      </c>
      <c r="R2601" t="s">
        <v>76</v>
      </c>
      <c r="S2601" t="s">
        <v>95</v>
      </c>
      <c r="T2601" t="s">
        <v>95</v>
      </c>
      <c r="U2601">
        <v>1</v>
      </c>
      <c r="V2601" s="13">
        <v>45175</v>
      </c>
      <c r="W2601">
        <v>1</v>
      </c>
      <c r="X2601">
        <v>1</v>
      </c>
      <c r="Y2601" t="s">
        <v>3757</v>
      </c>
      <c r="AC2601">
        <v>7202</v>
      </c>
      <c r="AD2601" t="e" vm="2591">
        <v>#VALUE!</v>
      </c>
    </row>
    <row r="2602" spans="2:30" x14ac:dyDescent="0.25">
      <c r="B2602">
        <v>7203</v>
      </c>
      <c r="C2602" t="s">
        <v>3646</v>
      </c>
      <c r="D2602" t="s">
        <v>3756</v>
      </c>
      <c r="E2602" t="s">
        <v>3922</v>
      </c>
      <c r="F2602" t="s">
        <v>93</v>
      </c>
      <c r="G2602" t="s">
        <v>80</v>
      </c>
      <c r="H2602" t="s">
        <v>3913</v>
      </c>
      <c r="I2602" t="s">
        <v>3913</v>
      </c>
      <c r="J2602" t="s">
        <v>3923</v>
      </c>
      <c r="K2602" t="s">
        <v>3915</v>
      </c>
      <c r="L2602" s="13">
        <v>36446</v>
      </c>
      <c r="M2602">
        <v>24</v>
      </c>
      <c r="N2602" t="s">
        <v>90</v>
      </c>
      <c r="O2602" t="s">
        <v>3924</v>
      </c>
      <c r="P2602" t="s">
        <v>76</v>
      </c>
      <c r="Q2602" t="s">
        <v>905</v>
      </c>
      <c r="R2602" t="s">
        <v>76</v>
      </c>
      <c r="S2602" t="s">
        <v>95</v>
      </c>
      <c r="T2602" t="s">
        <v>95</v>
      </c>
      <c r="U2602">
        <v>1</v>
      </c>
      <c r="V2602" s="13">
        <v>45175</v>
      </c>
      <c r="W2602">
        <v>1</v>
      </c>
      <c r="X2602">
        <v>1</v>
      </c>
      <c r="Y2602" t="s">
        <v>3757</v>
      </c>
      <c r="AC2602">
        <v>7203</v>
      </c>
      <c r="AD2602" t="e" vm="2592">
        <v>#VALUE!</v>
      </c>
    </row>
    <row r="2603" spans="2:30" x14ac:dyDescent="0.25">
      <c r="B2603">
        <v>7204</v>
      </c>
      <c r="C2603" t="s">
        <v>3646</v>
      </c>
      <c r="D2603" t="s">
        <v>3756</v>
      </c>
      <c r="E2603" t="s">
        <v>3922</v>
      </c>
      <c r="F2603" t="s">
        <v>93</v>
      </c>
      <c r="G2603" t="s">
        <v>80</v>
      </c>
      <c r="H2603" t="s">
        <v>3913</v>
      </c>
      <c r="I2603" t="s">
        <v>3913</v>
      </c>
      <c r="J2603" t="s">
        <v>3923</v>
      </c>
      <c r="K2603" t="s">
        <v>3915</v>
      </c>
      <c r="L2603" s="13">
        <v>36469</v>
      </c>
      <c r="M2603">
        <v>24</v>
      </c>
      <c r="N2603" t="s">
        <v>90</v>
      </c>
      <c r="O2603" t="s">
        <v>3924</v>
      </c>
      <c r="P2603" t="s">
        <v>76</v>
      </c>
      <c r="Q2603" t="s">
        <v>905</v>
      </c>
      <c r="R2603" t="s">
        <v>76</v>
      </c>
      <c r="S2603" t="s">
        <v>95</v>
      </c>
      <c r="T2603" t="s">
        <v>95</v>
      </c>
      <c r="U2603">
        <v>1</v>
      </c>
      <c r="V2603" s="13">
        <v>45175</v>
      </c>
      <c r="W2603">
        <v>1</v>
      </c>
      <c r="X2603">
        <v>1</v>
      </c>
      <c r="Y2603" t="s">
        <v>3757</v>
      </c>
      <c r="AC2603">
        <v>7204</v>
      </c>
      <c r="AD2603" t="e" vm="2593">
        <v>#VALUE!</v>
      </c>
    </row>
    <row r="2604" spans="2:30" x14ac:dyDescent="0.25">
      <c r="B2604">
        <v>7205</v>
      </c>
      <c r="C2604" t="s">
        <v>3646</v>
      </c>
      <c r="D2604" t="s">
        <v>3756</v>
      </c>
      <c r="E2604" t="s">
        <v>3922</v>
      </c>
      <c r="F2604" t="s">
        <v>93</v>
      </c>
      <c r="G2604" t="s">
        <v>80</v>
      </c>
      <c r="H2604" t="s">
        <v>3913</v>
      </c>
      <c r="I2604" t="s">
        <v>3913</v>
      </c>
      <c r="J2604" t="s">
        <v>3923</v>
      </c>
      <c r="K2604" t="s">
        <v>3915</v>
      </c>
      <c r="L2604" s="13">
        <v>36486</v>
      </c>
      <c r="M2604">
        <v>24</v>
      </c>
      <c r="N2604" t="s">
        <v>90</v>
      </c>
      <c r="O2604" t="s">
        <v>3924</v>
      </c>
      <c r="P2604" t="s">
        <v>76</v>
      </c>
      <c r="Q2604" t="s">
        <v>905</v>
      </c>
      <c r="R2604" t="s">
        <v>76</v>
      </c>
      <c r="S2604" t="s">
        <v>95</v>
      </c>
      <c r="T2604" t="s">
        <v>95</v>
      </c>
      <c r="U2604">
        <v>1</v>
      </c>
      <c r="V2604" s="13">
        <v>45175</v>
      </c>
      <c r="W2604">
        <v>1</v>
      </c>
      <c r="X2604">
        <v>1</v>
      </c>
      <c r="Y2604" t="s">
        <v>3757</v>
      </c>
      <c r="AC2604">
        <v>7205</v>
      </c>
      <c r="AD2604" t="e" vm="2594">
        <v>#VALUE!</v>
      </c>
    </row>
    <row r="2605" spans="2:30" x14ac:dyDescent="0.25">
      <c r="B2605">
        <v>7206</v>
      </c>
      <c r="C2605" t="s">
        <v>3646</v>
      </c>
      <c r="D2605" t="s">
        <v>3756</v>
      </c>
      <c r="E2605" t="s">
        <v>3922</v>
      </c>
      <c r="F2605" t="s">
        <v>93</v>
      </c>
      <c r="G2605" t="s">
        <v>80</v>
      </c>
      <c r="H2605" t="s">
        <v>3913</v>
      </c>
      <c r="I2605" t="s">
        <v>3913</v>
      </c>
      <c r="J2605" t="s">
        <v>3923</v>
      </c>
      <c r="K2605" t="s">
        <v>3915</v>
      </c>
      <c r="L2605" s="13">
        <v>36515</v>
      </c>
      <c r="M2605">
        <v>24</v>
      </c>
      <c r="N2605" t="s">
        <v>90</v>
      </c>
      <c r="O2605" t="s">
        <v>3924</v>
      </c>
      <c r="P2605" t="s">
        <v>76</v>
      </c>
      <c r="Q2605" t="s">
        <v>905</v>
      </c>
      <c r="R2605" t="s">
        <v>76</v>
      </c>
      <c r="S2605" t="s">
        <v>95</v>
      </c>
      <c r="T2605" t="s">
        <v>95</v>
      </c>
      <c r="U2605">
        <v>1</v>
      </c>
      <c r="V2605" s="13">
        <v>45175</v>
      </c>
      <c r="W2605">
        <v>1</v>
      </c>
      <c r="X2605">
        <v>1</v>
      </c>
      <c r="Y2605" t="s">
        <v>3757</v>
      </c>
      <c r="AC2605">
        <v>7206</v>
      </c>
      <c r="AD2605" t="e" vm="2595">
        <v>#VALUE!</v>
      </c>
    </row>
    <row r="2606" spans="2:30" x14ac:dyDescent="0.25">
      <c r="B2606">
        <v>7207</v>
      </c>
      <c r="C2606" t="s">
        <v>3646</v>
      </c>
      <c r="D2606" t="s">
        <v>3756</v>
      </c>
      <c r="E2606" t="s">
        <v>3922</v>
      </c>
      <c r="F2606" t="s">
        <v>93</v>
      </c>
      <c r="G2606" t="s">
        <v>80</v>
      </c>
      <c r="H2606" t="s">
        <v>3913</v>
      </c>
      <c r="I2606" t="s">
        <v>3913</v>
      </c>
      <c r="J2606" t="s">
        <v>3923</v>
      </c>
      <c r="K2606" t="s">
        <v>3915</v>
      </c>
      <c r="L2606" s="13">
        <v>36581</v>
      </c>
      <c r="M2606">
        <v>24</v>
      </c>
      <c r="N2606" t="s">
        <v>90</v>
      </c>
      <c r="O2606" t="s">
        <v>3924</v>
      </c>
      <c r="P2606" t="s">
        <v>76</v>
      </c>
      <c r="Q2606" t="s">
        <v>905</v>
      </c>
      <c r="R2606" t="s">
        <v>76</v>
      </c>
      <c r="S2606" t="s">
        <v>95</v>
      </c>
      <c r="T2606" t="s">
        <v>95</v>
      </c>
      <c r="U2606">
        <v>1</v>
      </c>
      <c r="V2606" s="13">
        <v>45175</v>
      </c>
      <c r="W2606">
        <v>1</v>
      </c>
      <c r="X2606">
        <v>1</v>
      </c>
      <c r="Y2606" t="s">
        <v>3757</v>
      </c>
      <c r="AC2606">
        <v>7207</v>
      </c>
      <c r="AD2606" t="e" vm="2596">
        <v>#VALUE!</v>
      </c>
    </row>
    <row r="2607" spans="2:30" x14ac:dyDescent="0.25">
      <c r="B2607">
        <v>7208</v>
      </c>
      <c r="C2607" t="s">
        <v>3646</v>
      </c>
      <c r="D2607" t="s">
        <v>3756</v>
      </c>
      <c r="E2607" t="s">
        <v>3922</v>
      </c>
      <c r="F2607" t="s">
        <v>93</v>
      </c>
      <c r="G2607" t="s">
        <v>80</v>
      </c>
      <c r="H2607" t="s">
        <v>3913</v>
      </c>
      <c r="I2607" t="s">
        <v>3913</v>
      </c>
      <c r="J2607" t="s">
        <v>3923</v>
      </c>
      <c r="K2607" t="s">
        <v>3915</v>
      </c>
      <c r="L2607" s="13">
        <v>36594</v>
      </c>
      <c r="M2607">
        <v>24</v>
      </c>
      <c r="N2607" t="s">
        <v>90</v>
      </c>
      <c r="O2607" t="s">
        <v>3924</v>
      </c>
      <c r="P2607" t="s">
        <v>76</v>
      </c>
      <c r="Q2607" t="s">
        <v>905</v>
      </c>
      <c r="R2607" t="s">
        <v>76</v>
      </c>
      <c r="S2607" t="s">
        <v>95</v>
      </c>
      <c r="T2607" t="s">
        <v>95</v>
      </c>
      <c r="U2607">
        <v>1</v>
      </c>
      <c r="V2607" s="13">
        <v>45175</v>
      </c>
      <c r="W2607">
        <v>1</v>
      </c>
      <c r="X2607">
        <v>1</v>
      </c>
      <c r="Y2607" t="s">
        <v>3757</v>
      </c>
      <c r="AC2607">
        <v>7208</v>
      </c>
      <c r="AD2607" t="e" vm="2597">
        <v>#VALUE!</v>
      </c>
    </row>
    <row r="2608" spans="2:30" x14ac:dyDescent="0.25">
      <c r="B2608">
        <v>7209</v>
      </c>
      <c r="C2608" t="s">
        <v>3646</v>
      </c>
      <c r="D2608" t="s">
        <v>3756</v>
      </c>
      <c r="E2608" t="s">
        <v>3922</v>
      </c>
      <c r="F2608" t="s">
        <v>93</v>
      </c>
      <c r="G2608" t="s">
        <v>80</v>
      </c>
      <c r="H2608" t="s">
        <v>3913</v>
      </c>
      <c r="I2608" t="s">
        <v>3913</v>
      </c>
      <c r="J2608" t="s">
        <v>3923</v>
      </c>
      <c r="K2608" t="s">
        <v>3915</v>
      </c>
      <c r="L2608" s="13">
        <v>36622</v>
      </c>
      <c r="M2608">
        <v>23</v>
      </c>
      <c r="N2608" t="s">
        <v>90</v>
      </c>
      <c r="O2608" t="s">
        <v>3924</v>
      </c>
      <c r="P2608" t="s">
        <v>76</v>
      </c>
      <c r="Q2608" t="s">
        <v>905</v>
      </c>
      <c r="R2608" t="s">
        <v>76</v>
      </c>
      <c r="S2608" t="s">
        <v>95</v>
      </c>
      <c r="T2608" t="s">
        <v>95</v>
      </c>
      <c r="U2608">
        <v>1</v>
      </c>
      <c r="V2608" s="13">
        <v>45175</v>
      </c>
      <c r="W2608">
        <v>1</v>
      </c>
      <c r="X2608">
        <v>1</v>
      </c>
      <c r="Y2608" t="s">
        <v>3757</v>
      </c>
      <c r="AC2608">
        <v>7209</v>
      </c>
      <c r="AD2608" t="e" vm="2598">
        <v>#VALUE!</v>
      </c>
    </row>
    <row r="2609" spans="2:30" x14ac:dyDescent="0.25">
      <c r="B2609">
        <v>7210</v>
      </c>
      <c r="C2609" t="s">
        <v>3646</v>
      </c>
      <c r="D2609" t="s">
        <v>3756</v>
      </c>
      <c r="E2609" t="s">
        <v>3922</v>
      </c>
      <c r="F2609" t="s">
        <v>93</v>
      </c>
      <c r="G2609" t="s">
        <v>80</v>
      </c>
      <c r="H2609" t="s">
        <v>3913</v>
      </c>
      <c r="I2609" t="s">
        <v>3913</v>
      </c>
      <c r="J2609" t="s">
        <v>3923</v>
      </c>
      <c r="K2609" t="s">
        <v>3915</v>
      </c>
      <c r="L2609" s="13">
        <v>36615</v>
      </c>
      <c r="M2609">
        <v>23</v>
      </c>
      <c r="N2609" t="s">
        <v>90</v>
      </c>
      <c r="O2609" t="s">
        <v>3924</v>
      </c>
      <c r="P2609" t="s">
        <v>76</v>
      </c>
      <c r="Q2609" t="s">
        <v>905</v>
      </c>
      <c r="R2609" t="s">
        <v>76</v>
      </c>
      <c r="S2609" t="s">
        <v>95</v>
      </c>
      <c r="T2609" t="s">
        <v>95</v>
      </c>
      <c r="U2609">
        <v>1</v>
      </c>
      <c r="V2609" s="13">
        <v>45175</v>
      </c>
      <c r="W2609">
        <v>1</v>
      </c>
      <c r="X2609">
        <v>1</v>
      </c>
      <c r="Y2609" t="s">
        <v>3757</v>
      </c>
      <c r="AC2609">
        <v>7210</v>
      </c>
      <c r="AD2609" t="e" vm="2599">
        <v>#VALUE!</v>
      </c>
    </row>
    <row r="2610" spans="2:30" x14ac:dyDescent="0.25">
      <c r="B2610">
        <v>7211</v>
      </c>
      <c r="C2610" t="s">
        <v>3646</v>
      </c>
      <c r="D2610" t="s">
        <v>3756</v>
      </c>
      <c r="E2610" t="s">
        <v>3922</v>
      </c>
      <c r="F2610" t="s">
        <v>93</v>
      </c>
      <c r="G2610" t="s">
        <v>80</v>
      </c>
      <c r="H2610" t="s">
        <v>3913</v>
      </c>
      <c r="I2610" t="s">
        <v>3913</v>
      </c>
      <c r="J2610" t="s">
        <v>3923</v>
      </c>
      <c r="K2610" t="s">
        <v>3915</v>
      </c>
      <c r="L2610" s="13">
        <v>36643</v>
      </c>
      <c r="M2610">
        <v>23</v>
      </c>
      <c r="N2610" t="s">
        <v>90</v>
      </c>
      <c r="O2610" t="s">
        <v>3924</v>
      </c>
      <c r="P2610" t="s">
        <v>76</v>
      </c>
      <c r="Q2610" t="s">
        <v>905</v>
      </c>
      <c r="R2610" t="s">
        <v>76</v>
      </c>
      <c r="S2610" t="s">
        <v>95</v>
      </c>
      <c r="T2610" t="s">
        <v>95</v>
      </c>
      <c r="U2610">
        <v>1</v>
      </c>
      <c r="V2610" s="13">
        <v>45175</v>
      </c>
      <c r="W2610">
        <v>1</v>
      </c>
      <c r="X2610">
        <v>1</v>
      </c>
      <c r="Y2610" t="s">
        <v>3757</v>
      </c>
      <c r="AC2610">
        <v>7211</v>
      </c>
      <c r="AD2610" t="e" vm="2600">
        <v>#VALUE!</v>
      </c>
    </row>
    <row r="2611" spans="2:30" x14ac:dyDescent="0.25">
      <c r="B2611">
        <v>7212</v>
      </c>
      <c r="C2611" t="s">
        <v>3646</v>
      </c>
      <c r="D2611" t="s">
        <v>3756</v>
      </c>
      <c r="E2611" t="s">
        <v>3922</v>
      </c>
      <c r="F2611" t="s">
        <v>93</v>
      </c>
      <c r="G2611" t="s">
        <v>80</v>
      </c>
      <c r="H2611" t="s">
        <v>3913</v>
      </c>
      <c r="I2611" t="s">
        <v>3913</v>
      </c>
      <c r="J2611" t="s">
        <v>3923</v>
      </c>
      <c r="K2611" t="s">
        <v>3915</v>
      </c>
      <c r="L2611" s="13">
        <v>36661</v>
      </c>
      <c r="M2611">
        <v>23</v>
      </c>
      <c r="N2611" t="s">
        <v>90</v>
      </c>
      <c r="O2611" t="s">
        <v>3924</v>
      </c>
      <c r="P2611" t="s">
        <v>76</v>
      </c>
      <c r="Q2611" t="s">
        <v>905</v>
      </c>
      <c r="R2611" t="s">
        <v>76</v>
      </c>
      <c r="S2611" t="s">
        <v>95</v>
      </c>
      <c r="T2611" t="s">
        <v>95</v>
      </c>
      <c r="U2611">
        <v>1</v>
      </c>
      <c r="V2611" s="13">
        <v>45175</v>
      </c>
      <c r="W2611">
        <v>1</v>
      </c>
      <c r="X2611">
        <v>1</v>
      </c>
      <c r="Y2611" t="s">
        <v>3757</v>
      </c>
      <c r="AC2611">
        <v>7212</v>
      </c>
      <c r="AD2611" t="e" vm="2601">
        <v>#VALUE!</v>
      </c>
    </row>
    <row r="2612" spans="2:30" x14ac:dyDescent="0.25">
      <c r="B2612">
        <v>7213</v>
      </c>
      <c r="C2612" t="s">
        <v>3646</v>
      </c>
      <c r="D2612" t="s">
        <v>3756</v>
      </c>
      <c r="E2612" t="s">
        <v>3922</v>
      </c>
      <c r="F2612" t="s">
        <v>93</v>
      </c>
      <c r="G2612" t="s">
        <v>80</v>
      </c>
      <c r="H2612" t="s">
        <v>3913</v>
      </c>
      <c r="I2612" t="s">
        <v>3913</v>
      </c>
      <c r="J2612" t="s">
        <v>3923</v>
      </c>
      <c r="K2612" t="s">
        <v>3915</v>
      </c>
      <c r="L2612" s="13">
        <v>36683</v>
      </c>
      <c r="M2612">
        <v>23</v>
      </c>
      <c r="N2612" t="s">
        <v>90</v>
      </c>
      <c r="O2612" t="s">
        <v>3924</v>
      </c>
      <c r="P2612" t="s">
        <v>76</v>
      </c>
      <c r="Q2612" t="s">
        <v>905</v>
      </c>
      <c r="R2612" t="s">
        <v>76</v>
      </c>
      <c r="S2612" t="s">
        <v>95</v>
      </c>
      <c r="T2612" t="s">
        <v>95</v>
      </c>
      <c r="U2612">
        <v>1</v>
      </c>
      <c r="V2612" s="13">
        <v>45175</v>
      </c>
      <c r="W2612">
        <v>1</v>
      </c>
      <c r="X2612">
        <v>1</v>
      </c>
      <c r="Y2612" t="s">
        <v>3757</v>
      </c>
      <c r="AC2612">
        <v>7213</v>
      </c>
      <c r="AD2612" t="e" vm="2602">
        <v>#VALUE!</v>
      </c>
    </row>
    <row r="2613" spans="2:30" x14ac:dyDescent="0.25">
      <c r="B2613">
        <v>7214</v>
      </c>
      <c r="C2613" t="s">
        <v>3646</v>
      </c>
      <c r="D2613" t="s">
        <v>3756</v>
      </c>
      <c r="E2613" t="s">
        <v>3922</v>
      </c>
      <c r="F2613" t="s">
        <v>93</v>
      </c>
      <c r="G2613" t="s">
        <v>80</v>
      </c>
      <c r="H2613" t="s">
        <v>3913</v>
      </c>
      <c r="I2613" t="s">
        <v>3913</v>
      </c>
      <c r="J2613" t="s">
        <v>3923</v>
      </c>
      <c r="K2613" t="s">
        <v>3915</v>
      </c>
      <c r="L2613" s="13">
        <v>36697</v>
      </c>
      <c r="M2613">
        <v>23</v>
      </c>
      <c r="N2613" t="s">
        <v>90</v>
      </c>
      <c r="O2613" t="s">
        <v>3924</v>
      </c>
      <c r="P2613" t="s">
        <v>76</v>
      </c>
      <c r="Q2613" t="s">
        <v>905</v>
      </c>
      <c r="R2613" t="s">
        <v>76</v>
      </c>
      <c r="S2613" t="s">
        <v>95</v>
      </c>
      <c r="T2613" t="s">
        <v>95</v>
      </c>
      <c r="U2613">
        <v>1</v>
      </c>
      <c r="V2613" s="13">
        <v>45175</v>
      </c>
      <c r="W2613">
        <v>1</v>
      </c>
      <c r="X2613">
        <v>1</v>
      </c>
      <c r="Y2613" t="s">
        <v>3757</v>
      </c>
      <c r="AC2613">
        <v>7214</v>
      </c>
      <c r="AD2613" t="e" vm="2603">
        <v>#VALUE!</v>
      </c>
    </row>
    <row r="2614" spans="2:30" x14ac:dyDescent="0.25">
      <c r="B2614">
        <v>7215</v>
      </c>
      <c r="C2614" t="s">
        <v>3646</v>
      </c>
      <c r="D2614" t="s">
        <v>3756</v>
      </c>
      <c r="E2614" t="s">
        <v>3922</v>
      </c>
      <c r="F2614" t="s">
        <v>93</v>
      </c>
      <c r="G2614" t="s">
        <v>80</v>
      </c>
      <c r="H2614" t="s">
        <v>3913</v>
      </c>
      <c r="I2614" t="s">
        <v>3913</v>
      </c>
      <c r="J2614" t="s">
        <v>3923</v>
      </c>
      <c r="K2614" t="s">
        <v>3915</v>
      </c>
      <c r="L2614" s="13">
        <v>36720</v>
      </c>
      <c r="M2614">
        <v>23</v>
      </c>
      <c r="N2614" t="s">
        <v>90</v>
      </c>
      <c r="O2614" t="s">
        <v>3924</v>
      </c>
      <c r="P2614" t="s">
        <v>76</v>
      </c>
      <c r="Q2614" t="s">
        <v>905</v>
      </c>
      <c r="R2614" t="s">
        <v>76</v>
      </c>
      <c r="S2614" t="s">
        <v>95</v>
      </c>
      <c r="T2614" t="s">
        <v>95</v>
      </c>
      <c r="U2614">
        <v>1</v>
      </c>
      <c r="V2614" s="13">
        <v>45175</v>
      </c>
      <c r="W2614">
        <v>1</v>
      </c>
      <c r="X2614">
        <v>1</v>
      </c>
      <c r="Y2614" t="s">
        <v>3757</v>
      </c>
      <c r="AC2614">
        <v>7215</v>
      </c>
      <c r="AD2614" t="e" vm="2604">
        <v>#VALUE!</v>
      </c>
    </row>
    <row r="2615" spans="2:30" x14ac:dyDescent="0.25">
      <c r="B2615">
        <v>7216</v>
      </c>
      <c r="C2615" t="s">
        <v>3646</v>
      </c>
      <c r="D2615" t="s">
        <v>3756</v>
      </c>
      <c r="E2615" t="s">
        <v>3922</v>
      </c>
      <c r="F2615" t="s">
        <v>93</v>
      </c>
      <c r="G2615" t="s">
        <v>80</v>
      </c>
      <c r="H2615" t="s">
        <v>3913</v>
      </c>
      <c r="I2615" t="s">
        <v>3913</v>
      </c>
      <c r="J2615" t="s">
        <v>3923</v>
      </c>
      <c r="K2615" t="s">
        <v>3915</v>
      </c>
      <c r="L2615" s="13">
        <v>36733</v>
      </c>
      <c r="M2615">
        <v>23</v>
      </c>
      <c r="N2615" t="s">
        <v>90</v>
      </c>
      <c r="O2615" t="s">
        <v>3924</v>
      </c>
      <c r="P2615" t="s">
        <v>76</v>
      </c>
      <c r="Q2615" t="s">
        <v>905</v>
      </c>
      <c r="R2615" t="s">
        <v>76</v>
      </c>
      <c r="S2615" t="s">
        <v>95</v>
      </c>
      <c r="T2615" t="s">
        <v>95</v>
      </c>
      <c r="U2615">
        <v>1</v>
      </c>
      <c r="V2615" s="13">
        <v>45175</v>
      </c>
      <c r="W2615">
        <v>1</v>
      </c>
      <c r="X2615">
        <v>1</v>
      </c>
      <c r="Y2615" t="s">
        <v>3757</v>
      </c>
      <c r="AC2615">
        <v>7216</v>
      </c>
      <c r="AD2615" t="e" vm="2605">
        <v>#VALUE!</v>
      </c>
    </row>
    <row r="2616" spans="2:30" x14ac:dyDescent="0.25">
      <c r="B2616">
        <v>7217</v>
      </c>
      <c r="C2616" t="s">
        <v>3646</v>
      </c>
      <c r="D2616" t="s">
        <v>3756</v>
      </c>
      <c r="E2616" t="s">
        <v>3922</v>
      </c>
      <c r="F2616" t="s">
        <v>93</v>
      </c>
      <c r="G2616" t="s">
        <v>80</v>
      </c>
      <c r="H2616" t="s">
        <v>3913</v>
      </c>
      <c r="I2616" t="s">
        <v>3913</v>
      </c>
      <c r="J2616" t="s">
        <v>3923</v>
      </c>
      <c r="K2616" t="s">
        <v>3915</v>
      </c>
      <c r="L2616" s="13">
        <v>36761</v>
      </c>
      <c r="M2616">
        <v>23</v>
      </c>
      <c r="N2616" t="s">
        <v>90</v>
      </c>
      <c r="O2616" t="s">
        <v>3924</v>
      </c>
      <c r="P2616" t="s">
        <v>76</v>
      </c>
      <c r="Q2616" t="s">
        <v>905</v>
      </c>
      <c r="R2616" t="s">
        <v>76</v>
      </c>
      <c r="S2616" t="s">
        <v>95</v>
      </c>
      <c r="T2616" t="s">
        <v>95</v>
      </c>
      <c r="U2616">
        <v>1</v>
      </c>
      <c r="V2616" s="13">
        <v>45175</v>
      </c>
      <c r="W2616">
        <v>1</v>
      </c>
      <c r="X2616">
        <v>1</v>
      </c>
      <c r="Y2616" t="s">
        <v>3757</v>
      </c>
      <c r="AC2616">
        <v>7217</v>
      </c>
      <c r="AD2616" t="e" vm="2606">
        <v>#VALUE!</v>
      </c>
    </row>
    <row r="2617" spans="2:30" x14ac:dyDescent="0.25">
      <c r="B2617">
        <v>7218</v>
      </c>
      <c r="C2617" t="s">
        <v>3646</v>
      </c>
      <c r="D2617" t="s">
        <v>3756</v>
      </c>
      <c r="E2617" t="s">
        <v>3922</v>
      </c>
      <c r="F2617" t="s">
        <v>93</v>
      </c>
      <c r="G2617" t="s">
        <v>80</v>
      </c>
      <c r="H2617" t="s">
        <v>3913</v>
      </c>
      <c r="I2617" t="s">
        <v>3913</v>
      </c>
      <c r="J2617" t="s">
        <v>3923</v>
      </c>
      <c r="K2617" t="s">
        <v>3915</v>
      </c>
      <c r="L2617" s="13">
        <v>36902</v>
      </c>
      <c r="M2617">
        <v>23</v>
      </c>
      <c r="N2617" t="s">
        <v>90</v>
      </c>
      <c r="O2617" t="s">
        <v>3924</v>
      </c>
      <c r="P2617" t="s">
        <v>76</v>
      </c>
      <c r="Q2617" t="s">
        <v>905</v>
      </c>
      <c r="R2617" t="s">
        <v>76</v>
      </c>
      <c r="S2617" t="s">
        <v>95</v>
      </c>
      <c r="T2617" t="s">
        <v>95</v>
      </c>
      <c r="U2617">
        <v>1</v>
      </c>
      <c r="V2617" s="13">
        <v>45175</v>
      </c>
      <c r="W2617">
        <v>1</v>
      </c>
      <c r="X2617">
        <v>1</v>
      </c>
      <c r="Y2617" t="s">
        <v>3757</v>
      </c>
      <c r="AC2617">
        <v>7218</v>
      </c>
      <c r="AD2617" t="e" vm="2607">
        <v>#VALUE!</v>
      </c>
    </row>
    <row r="2618" spans="2:30" x14ac:dyDescent="0.25">
      <c r="B2618">
        <v>7219</v>
      </c>
      <c r="C2618" t="s">
        <v>3646</v>
      </c>
      <c r="D2618" t="s">
        <v>3756</v>
      </c>
      <c r="E2618" t="s">
        <v>3922</v>
      </c>
      <c r="F2618" t="s">
        <v>93</v>
      </c>
      <c r="G2618" t="s">
        <v>80</v>
      </c>
      <c r="H2618" t="s">
        <v>3913</v>
      </c>
      <c r="I2618" t="s">
        <v>3913</v>
      </c>
      <c r="J2618" t="s">
        <v>3923</v>
      </c>
      <c r="K2618" t="s">
        <v>3915</v>
      </c>
      <c r="L2618" s="13">
        <v>36920</v>
      </c>
      <c r="M2618">
        <v>23</v>
      </c>
      <c r="N2618" t="s">
        <v>90</v>
      </c>
      <c r="O2618" t="s">
        <v>3924</v>
      </c>
      <c r="P2618" t="s">
        <v>76</v>
      </c>
      <c r="Q2618" t="s">
        <v>905</v>
      </c>
      <c r="R2618" t="s">
        <v>76</v>
      </c>
      <c r="S2618" t="s">
        <v>95</v>
      </c>
      <c r="T2618" t="s">
        <v>95</v>
      </c>
      <c r="U2618">
        <v>1</v>
      </c>
      <c r="V2618" s="13">
        <v>45175</v>
      </c>
      <c r="W2618">
        <v>1</v>
      </c>
      <c r="X2618">
        <v>1</v>
      </c>
      <c r="Y2618" t="s">
        <v>3757</v>
      </c>
      <c r="AC2618">
        <v>7219</v>
      </c>
      <c r="AD2618" t="e" vm="2608">
        <v>#VALUE!</v>
      </c>
    </row>
    <row r="2619" spans="2:30" x14ac:dyDescent="0.25">
      <c r="B2619">
        <v>7220</v>
      </c>
      <c r="C2619" t="s">
        <v>3646</v>
      </c>
      <c r="D2619" t="s">
        <v>3756</v>
      </c>
      <c r="E2619" t="s">
        <v>3922</v>
      </c>
      <c r="F2619" t="s">
        <v>93</v>
      </c>
      <c r="G2619" t="s">
        <v>80</v>
      </c>
      <c r="H2619" t="s">
        <v>3913</v>
      </c>
      <c r="I2619" t="s">
        <v>3913</v>
      </c>
      <c r="J2619" t="s">
        <v>3923</v>
      </c>
      <c r="K2619" t="s">
        <v>3915</v>
      </c>
      <c r="L2619" s="13">
        <v>36938</v>
      </c>
      <c r="M2619">
        <v>23</v>
      </c>
      <c r="N2619" t="s">
        <v>90</v>
      </c>
      <c r="O2619" t="s">
        <v>3924</v>
      </c>
      <c r="P2619" t="s">
        <v>76</v>
      </c>
      <c r="Q2619" t="s">
        <v>905</v>
      </c>
      <c r="R2619" t="s">
        <v>76</v>
      </c>
      <c r="S2619" t="s">
        <v>95</v>
      </c>
      <c r="T2619" t="s">
        <v>95</v>
      </c>
      <c r="U2619">
        <v>1</v>
      </c>
      <c r="V2619" s="13">
        <v>45175</v>
      </c>
      <c r="W2619">
        <v>1</v>
      </c>
      <c r="X2619">
        <v>1</v>
      </c>
      <c r="Y2619" t="s">
        <v>3757</v>
      </c>
      <c r="AC2619">
        <v>7220</v>
      </c>
      <c r="AD2619" t="e" vm="2609">
        <v>#VALUE!</v>
      </c>
    </row>
    <row r="2620" spans="2:30" x14ac:dyDescent="0.25">
      <c r="B2620">
        <v>7221</v>
      </c>
      <c r="C2620" t="s">
        <v>3646</v>
      </c>
      <c r="D2620" t="s">
        <v>3756</v>
      </c>
      <c r="E2620" t="s">
        <v>3922</v>
      </c>
      <c r="F2620" t="s">
        <v>93</v>
      </c>
      <c r="G2620" t="s">
        <v>80</v>
      </c>
      <c r="H2620" t="s">
        <v>3913</v>
      </c>
      <c r="I2620" t="s">
        <v>3913</v>
      </c>
      <c r="J2620" t="s">
        <v>3923</v>
      </c>
      <c r="K2620" t="s">
        <v>3915</v>
      </c>
      <c r="L2620" s="13">
        <v>36959</v>
      </c>
      <c r="M2620">
        <v>23</v>
      </c>
      <c r="N2620" t="s">
        <v>90</v>
      </c>
      <c r="O2620" t="s">
        <v>3924</v>
      </c>
      <c r="P2620" t="s">
        <v>76</v>
      </c>
      <c r="Q2620" t="s">
        <v>905</v>
      </c>
      <c r="R2620" t="s">
        <v>76</v>
      </c>
      <c r="S2620" t="s">
        <v>95</v>
      </c>
      <c r="T2620" t="s">
        <v>95</v>
      </c>
      <c r="U2620">
        <v>1</v>
      </c>
      <c r="V2620" s="13">
        <v>45175</v>
      </c>
      <c r="W2620">
        <v>1</v>
      </c>
      <c r="X2620">
        <v>1</v>
      </c>
      <c r="Y2620" t="s">
        <v>3757</v>
      </c>
      <c r="AC2620">
        <v>7221</v>
      </c>
      <c r="AD2620" t="e" vm="2610">
        <v>#VALUE!</v>
      </c>
    </row>
    <row r="2621" spans="2:30" x14ac:dyDescent="0.25">
      <c r="B2621">
        <v>7222</v>
      </c>
      <c r="C2621" t="s">
        <v>3646</v>
      </c>
      <c r="D2621" t="s">
        <v>3756</v>
      </c>
      <c r="E2621" t="s">
        <v>3922</v>
      </c>
      <c r="F2621" t="s">
        <v>93</v>
      </c>
      <c r="G2621" t="s">
        <v>80</v>
      </c>
      <c r="H2621" t="s">
        <v>3913</v>
      </c>
      <c r="I2621" t="s">
        <v>3913</v>
      </c>
      <c r="J2621" t="s">
        <v>3923</v>
      </c>
      <c r="K2621" t="s">
        <v>3915</v>
      </c>
      <c r="L2621" s="13">
        <v>36986</v>
      </c>
      <c r="M2621">
        <v>22</v>
      </c>
      <c r="N2621" t="s">
        <v>90</v>
      </c>
      <c r="O2621" t="s">
        <v>3924</v>
      </c>
      <c r="P2621" t="s">
        <v>76</v>
      </c>
      <c r="Q2621" t="s">
        <v>905</v>
      </c>
      <c r="R2621" t="s">
        <v>76</v>
      </c>
      <c r="S2621" t="s">
        <v>95</v>
      </c>
      <c r="T2621" t="s">
        <v>95</v>
      </c>
      <c r="U2621">
        <v>1</v>
      </c>
      <c r="V2621" s="13">
        <v>45175</v>
      </c>
      <c r="W2621">
        <v>1</v>
      </c>
      <c r="X2621">
        <v>1</v>
      </c>
      <c r="Y2621" t="s">
        <v>3757</v>
      </c>
      <c r="AC2621">
        <v>7222</v>
      </c>
      <c r="AD2621" t="e" vm="2611">
        <v>#VALUE!</v>
      </c>
    </row>
    <row r="2622" spans="2:30" x14ac:dyDescent="0.25">
      <c r="B2622">
        <v>7223</v>
      </c>
      <c r="C2622" t="s">
        <v>3646</v>
      </c>
      <c r="D2622" t="s">
        <v>3756</v>
      </c>
      <c r="E2622" t="s">
        <v>3922</v>
      </c>
      <c r="F2622" t="s">
        <v>93</v>
      </c>
      <c r="G2622" t="s">
        <v>80</v>
      </c>
      <c r="H2622" t="s">
        <v>3913</v>
      </c>
      <c r="I2622" t="s">
        <v>3913</v>
      </c>
      <c r="J2622" t="s">
        <v>3923</v>
      </c>
      <c r="K2622" t="s">
        <v>3915</v>
      </c>
      <c r="L2622" s="13">
        <v>37034</v>
      </c>
      <c r="M2622">
        <v>22</v>
      </c>
      <c r="N2622" t="s">
        <v>90</v>
      </c>
      <c r="O2622" t="s">
        <v>3924</v>
      </c>
      <c r="P2622" t="s">
        <v>76</v>
      </c>
      <c r="Q2622" t="s">
        <v>905</v>
      </c>
      <c r="R2622" t="s">
        <v>76</v>
      </c>
      <c r="S2622" t="s">
        <v>95</v>
      </c>
      <c r="T2622" t="s">
        <v>95</v>
      </c>
      <c r="U2622">
        <v>1</v>
      </c>
      <c r="V2622" s="13">
        <v>45175</v>
      </c>
      <c r="W2622">
        <v>1</v>
      </c>
      <c r="X2622">
        <v>1</v>
      </c>
      <c r="Y2622" t="s">
        <v>3757</v>
      </c>
      <c r="AC2622">
        <v>7223</v>
      </c>
      <c r="AD2622" t="e" vm="2612">
        <v>#VALUE!</v>
      </c>
    </row>
    <row r="2623" spans="2:30" x14ac:dyDescent="0.25">
      <c r="B2623">
        <v>7224</v>
      </c>
      <c r="C2623" t="s">
        <v>3646</v>
      </c>
      <c r="D2623" t="s">
        <v>3756</v>
      </c>
      <c r="E2623" t="s">
        <v>3922</v>
      </c>
      <c r="F2623" t="s">
        <v>93</v>
      </c>
      <c r="G2623" t="s">
        <v>80</v>
      </c>
      <c r="H2623" t="s">
        <v>3913</v>
      </c>
      <c r="I2623" t="s">
        <v>3913</v>
      </c>
      <c r="J2623" t="s">
        <v>3923</v>
      </c>
      <c r="K2623" t="s">
        <v>3915</v>
      </c>
      <c r="L2623" s="13">
        <v>37053</v>
      </c>
      <c r="M2623">
        <v>22</v>
      </c>
      <c r="N2623" t="s">
        <v>90</v>
      </c>
      <c r="O2623" t="s">
        <v>3924</v>
      </c>
      <c r="P2623" t="s">
        <v>76</v>
      </c>
      <c r="Q2623" t="s">
        <v>905</v>
      </c>
      <c r="R2623" t="s">
        <v>76</v>
      </c>
      <c r="S2623" t="s">
        <v>95</v>
      </c>
      <c r="T2623" t="s">
        <v>95</v>
      </c>
      <c r="U2623">
        <v>1</v>
      </c>
      <c r="V2623" s="13">
        <v>45175</v>
      </c>
      <c r="W2623">
        <v>1</v>
      </c>
      <c r="X2623">
        <v>1</v>
      </c>
      <c r="Y2623" t="s">
        <v>3757</v>
      </c>
      <c r="AC2623">
        <v>7224</v>
      </c>
      <c r="AD2623" t="e" vm="2613">
        <v>#VALUE!</v>
      </c>
    </row>
    <row r="2624" spans="2:30" x14ac:dyDescent="0.25">
      <c r="B2624">
        <v>7225</v>
      </c>
      <c r="C2624" t="s">
        <v>3646</v>
      </c>
      <c r="D2624" t="s">
        <v>73</v>
      </c>
      <c r="E2624" t="s">
        <v>73</v>
      </c>
      <c r="F2624" t="s">
        <v>3816</v>
      </c>
      <c r="G2624" t="s">
        <v>3816</v>
      </c>
      <c r="H2624" t="s">
        <v>3913</v>
      </c>
      <c r="I2624" t="s">
        <v>3913</v>
      </c>
      <c r="J2624" t="s">
        <v>3923</v>
      </c>
      <c r="K2624" t="s">
        <v>3915</v>
      </c>
      <c r="L2624" s="13">
        <v>37085</v>
      </c>
      <c r="M2624">
        <v>22</v>
      </c>
      <c r="N2624" t="s">
        <v>90</v>
      </c>
      <c r="O2624" t="s">
        <v>3924</v>
      </c>
      <c r="P2624" t="s">
        <v>76</v>
      </c>
      <c r="Q2624" t="s">
        <v>905</v>
      </c>
      <c r="R2624" t="s">
        <v>76</v>
      </c>
      <c r="S2624" t="s">
        <v>95</v>
      </c>
      <c r="T2624" t="s">
        <v>95</v>
      </c>
      <c r="U2624">
        <v>1</v>
      </c>
      <c r="V2624" s="13">
        <v>45175</v>
      </c>
      <c r="W2624">
        <v>1</v>
      </c>
      <c r="X2624">
        <v>1</v>
      </c>
      <c r="Y2624" t="s">
        <v>3667</v>
      </c>
      <c r="AC2624">
        <v>7225</v>
      </c>
      <c r="AD2624" t="e" vm="2614">
        <v>#VALUE!</v>
      </c>
    </row>
    <row r="2625" spans="2:30" x14ac:dyDescent="0.25">
      <c r="B2625">
        <v>7226</v>
      </c>
      <c r="C2625" t="s">
        <v>3646</v>
      </c>
      <c r="D2625" t="s">
        <v>3756</v>
      </c>
      <c r="E2625" t="s">
        <v>3922</v>
      </c>
      <c r="F2625" t="s">
        <v>93</v>
      </c>
      <c r="G2625" t="s">
        <v>80</v>
      </c>
      <c r="H2625" t="s">
        <v>3913</v>
      </c>
      <c r="I2625" t="s">
        <v>3913</v>
      </c>
      <c r="J2625" t="s">
        <v>3923</v>
      </c>
      <c r="K2625" t="s">
        <v>3915</v>
      </c>
      <c r="L2625" s="13">
        <v>37113</v>
      </c>
      <c r="M2625">
        <v>22</v>
      </c>
      <c r="N2625" t="s">
        <v>90</v>
      </c>
      <c r="O2625" t="s">
        <v>3924</v>
      </c>
      <c r="P2625" t="s">
        <v>76</v>
      </c>
      <c r="Q2625" t="s">
        <v>905</v>
      </c>
      <c r="R2625" t="s">
        <v>76</v>
      </c>
      <c r="S2625" t="s">
        <v>95</v>
      </c>
      <c r="T2625" t="s">
        <v>95</v>
      </c>
      <c r="U2625">
        <v>1</v>
      </c>
      <c r="V2625" s="13">
        <v>45175</v>
      </c>
      <c r="W2625">
        <v>1</v>
      </c>
      <c r="X2625">
        <v>1</v>
      </c>
      <c r="Y2625" t="s">
        <v>3757</v>
      </c>
      <c r="AC2625">
        <v>7226</v>
      </c>
      <c r="AD2625" t="e" vm="2615">
        <v>#VALUE!</v>
      </c>
    </row>
    <row r="2626" spans="2:30" x14ac:dyDescent="0.25">
      <c r="B2626">
        <v>7227</v>
      </c>
      <c r="C2626" t="s">
        <v>3646</v>
      </c>
      <c r="D2626" t="s">
        <v>3756</v>
      </c>
      <c r="E2626" t="s">
        <v>3922</v>
      </c>
      <c r="F2626" t="s">
        <v>93</v>
      </c>
      <c r="G2626" t="s">
        <v>80</v>
      </c>
      <c r="H2626" t="s">
        <v>3913</v>
      </c>
      <c r="I2626" t="s">
        <v>3913</v>
      </c>
      <c r="J2626" t="s">
        <v>3923</v>
      </c>
      <c r="K2626" t="s">
        <v>3915</v>
      </c>
      <c r="L2626" s="13">
        <v>37145</v>
      </c>
      <c r="M2626">
        <v>22</v>
      </c>
      <c r="N2626" t="s">
        <v>90</v>
      </c>
      <c r="O2626" t="s">
        <v>3924</v>
      </c>
      <c r="P2626" t="s">
        <v>76</v>
      </c>
      <c r="Q2626" t="s">
        <v>905</v>
      </c>
      <c r="R2626" t="s">
        <v>76</v>
      </c>
      <c r="S2626" t="s">
        <v>95</v>
      </c>
      <c r="T2626" t="s">
        <v>95</v>
      </c>
      <c r="U2626">
        <v>1</v>
      </c>
      <c r="V2626" s="13">
        <v>45175</v>
      </c>
      <c r="W2626">
        <v>1</v>
      </c>
      <c r="X2626">
        <v>1</v>
      </c>
      <c r="Y2626" t="s">
        <v>3757</v>
      </c>
      <c r="AC2626">
        <v>7227</v>
      </c>
      <c r="AD2626" t="e" vm="2616">
        <v>#VALUE!</v>
      </c>
    </row>
    <row r="2627" spans="2:30" x14ac:dyDescent="0.25">
      <c r="B2627">
        <v>7228</v>
      </c>
      <c r="C2627" t="s">
        <v>3646</v>
      </c>
      <c r="D2627" t="s">
        <v>3756</v>
      </c>
      <c r="E2627" t="s">
        <v>3922</v>
      </c>
      <c r="F2627" t="s">
        <v>93</v>
      </c>
      <c r="G2627" t="s">
        <v>80</v>
      </c>
      <c r="H2627" t="s">
        <v>3913</v>
      </c>
      <c r="I2627" t="s">
        <v>3913</v>
      </c>
      <c r="J2627" t="s">
        <v>3923</v>
      </c>
      <c r="K2627" t="s">
        <v>3915</v>
      </c>
      <c r="L2627" s="13">
        <v>37161</v>
      </c>
      <c r="M2627">
        <v>22</v>
      </c>
      <c r="N2627" t="s">
        <v>90</v>
      </c>
      <c r="O2627" t="s">
        <v>3924</v>
      </c>
      <c r="P2627" t="s">
        <v>76</v>
      </c>
      <c r="Q2627" t="s">
        <v>905</v>
      </c>
      <c r="R2627" t="s">
        <v>76</v>
      </c>
      <c r="S2627" t="s">
        <v>95</v>
      </c>
      <c r="T2627" t="s">
        <v>95</v>
      </c>
      <c r="U2627">
        <v>1</v>
      </c>
      <c r="V2627" s="13">
        <v>45175</v>
      </c>
      <c r="W2627">
        <v>1</v>
      </c>
      <c r="X2627">
        <v>1</v>
      </c>
      <c r="Y2627" t="s">
        <v>3757</v>
      </c>
      <c r="AC2627">
        <v>7228</v>
      </c>
      <c r="AD2627" t="e" vm="2617">
        <v>#VALUE!</v>
      </c>
    </row>
    <row r="2628" spans="2:30" x14ac:dyDescent="0.25">
      <c r="B2628">
        <v>7229</v>
      </c>
      <c r="C2628" t="s">
        <v>3646</v>
      </c>
      <c r="D2628" t="s">
        <v>73</v>
      </c>
      <c r="E2628" t="s">
        <v>73</v>
      </c>
      <c r="F2628" t="s">
        <v>3816</v>
      </c>
      <c r="G2628" t="s">
        <v>3816</v>
      </c>
      <c r="H2628" t="s">
        <v>3913</v>
      </c>
      <c r="I2628" t="s">
        <v>3913</v>
      </c>
      <c r="J2628" t="s">
        <v>3923</v>
      </c>
      <c r="K2628" t="s">
        <v>3915</v>
      </c>
      <c r="L2628" s="13">
        <v>37173</v>
      </c>
      <c r="M2628">
        <v>22</v>
      </c>
      <c r="N2628" t="s">
        <v>90</v>
      </c>
      <c r="O2628" t="s">
        <v>3924</v>
      </c>
      <c r="P2628" t="s">
        <v>76</v>
      </c>
      <c r="Q2628" t="s">
        <v>905</v>
      </c>
      <c r="R2628" t="s">
        <v>76</v>
      </c>
      <c r="S2628" t="s">
        <v>95</v>
      </c>
      <c r="T2628" t="s">
        <v>95</v>
      </c>
      <c r="U2628">
        <v>1</v>
      </c>
      <c r="V2628" s="13">
        <v>45175</v>
      </c>
      <c r="W2628">
        <v>1</v>
      </c>
      <c r="X2628">
        <v>1</v>
      </c>
      <c r="Y2628" t="s">
        <v>3667</v>
      </c>
      <c r="AC2628">
        <v>7229</v>
      </c>
      <c r="AD2628" t="e" vm="2618">
        <v>#VALUE!</v>
      </c>
    </row>
    <row r="2629" spans="2:30" x14ac:dyDescent="0.25">
      <c r="B2629">
        <v>7230</v>
      </c>
      <c r="C2629" t="s">
        <v>3646</v>
      </c>
      <c r="D2629" t="s">
        <v>3756</v>
      </c>
      <c r="E2629" t="s">
        <v>3922</v>
      </c>
      <c r="F2629" t="s">
        <v>93</v>
      </c>
      <c r="G2629" t="s">
        <v>80</v>
      </c>
      <c r="H2629" t="s">
        <v>3913</v>
      </c>
      <c r="I2629" t="s">
        <v>3913</v>
      </c>
      <c r="J2629" t="s">
        <v>3923</v>
      </c>
      <c r="K2629" t="s">
        <v>3915</v>
      </c>
      <c r="L2629" s="13">
        <v>37204</v>
      </c>
      <c r="M2629">
        <v>22</v>
      </c>
      <c r="N2629" t="s">
        <v>90</v>
      </c>
      <c r="O2629" t="s">
        <v>3924</v>
      </c>
      <c r="P2629" t="s">
        <v>76</v>
      </c>
      <c r="Q2629" t="s">
        <v>905</v>
      </c>
      <c r="R2629" t="s">
        <v>76</v>
      </c>
      <c r="S2629" t="s">
        <v>95</v>
      </c>
      <c r="T2629" t="s">
        <v>95</v>
      </c>
      <c r="U2629">
        <v>1</v>
      </c>
      <c r="V2629" s="13">
        <v>45175</v>
      </c>
      <c r="W2629">
        <v>1</v>
      </c>
      <c r="X2629">
        <v>1</v>
      </c>
      <c r="Y2629" t="s">
        <v>3757</v>
      </c>
      <c r="AC2629">
        <v>7230</v>
      </c>
      <c r="AD2629" t="e" vm="2619">
        <v>#VALUE!</v>
      </c>
    </row>
    <row r="2630" spans="2:30" x14ac:dyDescent="0.25">
      <c r="B2630">
        <v>7231</v>
      </c>
      <c r="C2630" t="s">
        <v>3646</v>
      </c>
      <c r="D2630" t="s">
        <v>3756</v>
      </c>
      <c r="E2630" t="s">
        <v>3922</v>
      </c>
      <c r="F2630" t="s">
        <v>93</v>
      </c>
      <c r="G2630" t="s">
        <v>80</v>
      </c>
      <c r="H2630" t="s">
        <v>3913</v>
      </c>
      <c r="I2630" t="s">
        <v>3913</v>
      </c>
      <c r="J2630" t="s">
        <v>3923</v>
      </c>
      <c r="K2630" t="s">
        <v>3915</v>
      </c>
      <c r="L2630" s="13">
        <v>37225</v>
      </c>
      <c r="M2630">
        <v>22</v>
      </c>
      <c r="N2630" t="s">
        <v>90</v>
      </c>
      <c r="O2630" t="s">
        <v>3924</v>
      </c>
      <c r="P2630" t="s">
        <v>76</v>
      </c>
      <c r="Q2630" t="s">
        <v>905</v>
      </c>
      <c r="R2630" t="s">
        <v>76</v>
      </c>
      <c r="S2630" t="s">
        <v>95</v>
      </c>
      <c r="T2630" t="s">
        <v>95</v>
      </c>
      <c r="U2630">
        <v>1</v>
      </c>
      <c r="V2630" s="13">
        <v>45175</v>
      </c>
      <c r="W2630">
        <v>1</v>
      </c>
      <c r="X2630">
        <v>1</v>
      </c>
      <c r="Y2630" t="s">
        <v>3757</v>
      </c>
      <c r="AC2630">
        <v>7231</v>
      </c>
      <c r="AD2630" t="e" vm="2620">
        <v>#VALUE!</v>
      </c>
    </row>
    <row r="2631" spans="2:30" x14ac:dyDescent="0.25">
      <c r="B2631">
        <v>7232</v>
      </c>
      <c r="C2631" t="s">
        <v>3646</v>
      </c>
      <c r="D2631" t="s">
        <v>3756</v>
      </c>
      <c r="E2631" t="s">
        <v>3922</v>
      </c>
      <c r="F2631" t="s">
        <v>93</v>
      </c>
      <c r="G2631" t="s">
        <v>80</v>
      </c>
      <c r="H2631" t="s">
        <v>3913</v>
      </c>
      <c r="I2631" t="s">
        <v>3913</v>
      </c>
      <c r="J2631" t="s">
        <v>3923</v>
      </c>
      <c r="K2631" t="s">
        <v>3915</v>
      </c>
      <c r="L2631" s="13">
        <v>38054</v>
      </c>
      <c r="M2631">
        <v>20</v>
      </c>
      <c r="N2631" t="s">
        <v>90</v>
      </c>
      <c r="O2631" t="s">
        <v>3929</v>
      </c>
      <c r="P2631" t="s">
        <v>76</v>
      </c>
      <c r="Q2631" t="s">
        <v>905</v>
      </c>
      <c r="R2631" t="s">
        <v>76</v>
      </c>
      <c r="S2631" t="s">
        <v>76</v>
      </c>
      <c r="T2631" t="s">
        <v>76</v>
      </c>
      <c r="U2631">
        <v>1</v>
      </c>
      <c r="V2631" s="13">
        <v>45175</v>
      </c>
      <c r="W2631">
        <v>1</v>
      </c>
      <c r="X2631">
        <v>1</v>
      </c>
      <c r="Y2631" t="s">
        <v>3757</v>
      </c>
      <c r="AC2631">
        <v>7232</v>
      </c>
      <c r="AD2631" t="e" vm="2621">
        <v>#VALUE!</v>
      </c>
    </row>
    <row r="2632" spans="2:30" x14ac:dyDescent="0.25">
      <c r="B2632">
        <v>7233</v>
      </c>
      <c r="C2632" t="s">
        <v>3646</v>
      </c>
      <c r="D2632" t="s">
        <v>3756</v>
      </c>
      <c r="E2632" t="s">
        <v>3922</v>
      </c>
      <c r="F2632" t="s">
        <v>93</v>
      </c>
      <c r="G2632" t="s">
        <v>80</v>
      </c>
      <c r="H2632" t="s">
        <v>3913</v>
      </c>
      <c r="I2632" t="s">
        <v>3913</v>
      </c>
      <c r="J2632" t="s">
        <v>3923</v>
      </c>
      <c r="K2632" t="s">
        <v>3915</v>
      </c>
      <c r="L2632" s="13">
        <v>38075</v>
      </c>
      <c r="M2632">
        <v>19</v>
      </c>
      <c r="N2632" t="s">
        <v>90</v>
      </c>
      <c r="O2632" t="s">
        <v>3929</v>
      </c>
      <c r="P2632" t="s">
        <v>76</v>
      </c>
      <c r="Q2632" t="s">
        <v>905</v>
      </c>
      <c r="R2632" t="s">
        <v>76</v>
      </c>
      <c r="S2632" t="s">
        <v>76</v>
      </c>
      <c r="T2632" t="s">
        <v>76</v>
      </c>
      <c r="U2632">
        <v>1</v>
      </c>
      <c r="V2632" s="13">
        <v>45175</v>
      </c>
      <c r="W2632">
        <v>1</v>
      </c>
      <c r="X2632">
        <v>1</v>
      </c>
      <c r="Y2632" t="s">
        <v>3757</v>
      </c>
      <c r="AC2632">
        <v>7233</v>
      </c>
      <c r="AD2632" t="e" vm="2622">
        <v>#VALUE!</v>
      </c>
    </row>
    <row r="2633" spans="2:30" x14ac:dyDescent="0.25">
      <c r="B2633">
        <v>7234</v>
      </c>
      <c r="C2633" t="s">
        <v>3646</v>
      </c>
      <c r="D2633" t="s">
        <v>3756</v>
      </c>
      <c r="E2633" t="s">
        <v>3922</v>
      </c>
      <c r="F2633" t="s">
        <v>93</v>
      </c>
      <c r="G2633" t="s">
        <v>80</v>
      </c>
      <c r="H2633" t="s">
        <v>3913</v>
      </c>
      <c r="I2633" t="s">
        <v>3913</v>
      </c>
      <c r="J2633" t="s">
        <v>3923</v>
      </c>
      <c r="K2633" t="s">
        <v>3915</v>
      </c>
      <c r="L2633" s="13">
        <v>38098</v>
      </c>
      <c r="M2633">
        <v>19</v>
      </c>
      <c r="N2633" t="s">
        <v>90</v>
      </c>
      <c r="O2633" t="s">
        <v>3929</v>
      </c>
      <c r="P2633" t="s">
        <v>76</v>
      </c>
      <c r="Q2633" t="s">
        <v>905</v>
      </c>
      <c r="R2633" t="s">
        <v>76</v>
      </c>
      <c r="S2633" t="s">
        <v>76</v>
      </c>
      <c r="T2633" t="s">
        <v>76</v>
      </c>
      <c r="U2633">
        <v>1</v>
      </c>
      <c r="V2633" s="13">
        <v>45175</v>
      </c>
      <c r="W2633">
        <v>1</v>
      </c>
      <c r="X2633">
        <v>1</v>
      </c>
      <c r="Y2633" t="s">
        <v>3757</v>
      </c>
      <c r="AC2633">
        <v>7234</v>
      </c>
      <c r="AD2633" t="e" vm="2623">
        <v>#VALUE!</v>
      </c>
    </row>
    <row r="2634" spans="2:30" x14ac:dyDescent="0.25">
      <c r="B2634">
        <v>7235</v>
      </c>
      <c r="C2634" t="s">
        <v>3646</v>
      </c>
      <c r="D2634" t="s">
        <v>3756</v>
      </c>
      <c r="E2634" t="s">
        <v>3922</v>
      </c>
      <c r="F2634" t="s">
        <v>93</v>
      </c>
      <c r="G2634" t="s">
        <v>80</v>
      </c>
      <c r="H2634" t="s">
        <v>3913</v>
      </c>
      <c r="I2634" t="s">
        <v>3913</v>
      </c>
      <c r="J2634" t="s">
        <v>3923</v>
      </c>
      <c r="K2634" t="s">
        <v>3915</v>
      </c>
      <c r="L2634" s="13">
        <v>38113</v>
      </c>
      <c r="M2634">
        <v>19</v>
      </c>
      <c r="N2634" t="s">
        <v>90</v>
      </c>
      <c r="O2634" t="s">
        <v>3929</v>
      </c>
      <c r="P2634" t="s">
        <v>76</v>
      </c>
      <c r="Q2634" t="s">
        <v>905</v>
      </c>
      <c r="R2634" t="s">
        <v>76</v>
      </c>
      <c r="S2634" t="s">
        <v>76</v>
      </c>
      <c r="T2634" t="s">
        <v>76</v>
      </c>
      <c r="U2634">
        <v>1</v>
      </c>
      <c r="V2634" s="13">
        <v>45175</v>
      </c>
      <c r="W2634">
        <v>1</v>
      </c>
      <c r="X2634">
        <v>1</v>
      </c>
      <c r="Y2634" t="s">
        <v>3757</v>
      </c>
      <c r="AC2634">
        <v>7235</v>
      </c>
      <c r="AD2634" t="e" vm="2624">
        <v>#VALUE!</v>
      </c>
    </row>
    <row r="2635" spans="2:30" x14ac:dyDescent="0.25">
      <c r="B2635">
        <v>7236</v>
      </c>
      <c r="C2635" t="s">
        <v>3646</v>
      </c>
      <c r="D2635" t="s">
        <v>73</v>
      </c>
      <c r="E2635" t="s">
        <v>73</v>
      </c>
      <c r="F2635" t="s">
        <v>3816</v>
      </c>
      <c r="G2635" t="s">
        <v>3816</v>
      </c>
      <c r="H2635" t="s">
        <v>3913</v>
      </c>
      <c r="I2635" t="s">
        <v>3913</v>
      </c>
      <c r="J2635" t="s">
        <v>3923</v>
      </c>
      <c r="K2635" t="s">
        <v>3915</v>
      </c>
      <c r="L2635" s="13">
        <v>38119</v>
      </c>
      <c r="M2635">
        <v>19</v>
      </c>
      <c r="N2635" t="s">
        <v>90</v>
      </c>
      <c r="O2635" t="s">
        <v>3929</v>
      </c>
      <c r="P2635" t="s">
        <v>76</v>
      </c>
      <c r="Q2635" t="s">
        <v>905</v>
      </c>
      <c r="R2635" t="s">
        <v>76</v>
      </c>
      <c r="S2635" t="s">
        <v>76</v>
      </c>
      <c r="T2635" t="s">
        <v>76</v>
      </c>
      <c r="U2635">
        <v>1</v>
      </c>
      <c r="V2635" s="13">
        <v>45175</v>
      </c>
      <c r="W2635">
        <v>1</v>
      </c>
      <c r="X2635">
        <v>1</v>
      </c>
      <c r="Y2635" t="s">
        <v>3667</v>
      </c>
      <c r="AC2635">
        <v>7236</v>
      </c>
      <c r="AD2635" t="e" vm="2625">
        <v>#VALUE!</v>
      </c>
    </row>
    <row r="2636" spans="2:30" x14ac:dyDescent="0.25">
      <c r="B2636">
        <v>7237</v>
      </c>
      <c r="C2636" t="s">
        <v>3646</v>
      </c>
      <c r="D2636" t="s">
        <v>3756</v>
      </c>
      <c r="E2636" t="s">
        <v>3922</v>
      </c>
      <c r="F2636" t="s">
        <v>93</v>
      </c>
      <c r="G2636" t="s">
        <v>80</v>
      </c>
      <c r="H2636" t="s">
        <v>3913</v>
      </c>
      <c r="I2636" t="s">
        <v>3913</v>
      </c>
      <c r="J2636" t="s">
        <v>3923</v>
      </c>
      <c r="K2636" t="s">
        <v>3915</v>
      </c>
      <c r="L2636" s="13">
        <v>38132</v>
      </c>
      <c r="M2636">
        <v>19</v>
      </c>
      <c r="N2636" t="s">
        <v>90</v>
      </c>
      <c r="O2636" t="s">
        <v>3929</v>
      </c>
      <c r="P2636" t="s">
        <v>76</v>
      </c>
      <c r="Q2636" t="s">
        <v>905</v>
      </c>
      <c r="R2636" t="s">
        <v>76</v>
      </c>
      <c r="S2636" t="s">
        <v>76</v>
      </c>
      <c r="T2636" t="s">
        <v>76</v>
      </c>
      <c r="U2636">
        <v>1</v>
      </c>
      <c r="V2636" s="13">
        <v>45175</v>
      </c>
      <c r="W2636">
        <v>1</v>
      </c>
      <c r="X2636">
        <v>1</v>
      </c>
      <c r="Y2636" t="s">
        <v>3757</v>
      </c>
      <c r="AC2636">
        <v>7237</v>
      </c>
      <c r="AD2636" t="e" vm="2626">
        <v>#VALUE!</v>
      </c>
    </row>
    <row r="2637" spans="2:30" x14ac:dyDescent="0.25">
      <c r="B2637">
        <v>7238</v>
      </c>
      <c r="C2637" t="s">
        <v>3646</v>
      </c>
      <c r="D2637" t="s">
        <v>3756</v>
      </c>
      <c r="E2637" t="s">
        <v>3922</v>
      </c>
      <c r="F2637" t="s">
        <v>93</v>
      </c>
      <c r="G2637" t="s">
        <v>80</v>
      </c>
      <c r="H2637" t="s">
        <v>3913</v>
      </c>
      <c r="I2637" t="s">
        <v>3913</v>
      </c>
      <c r="J2637" t="s">
        <v>3923</v>
      </c>
      <c r="K2637" t="s">
        <v>3915</v>
      </c>
      <c r="L2637" s="13">
        <v>38146</v>
      </c>
      <c r="M2637">
        <v>19</v>
      </c>
      <c r="N2637" t="s">
        <v>90</v>
      </c>
      <c r="O2637" t="s">
        <v>3929</v>
      </c>
      <c r="P2637" t="s">
        <v>76</v>
      </c>
      <c r="Q2637" t="s">
        <v>905</v>
      </c>
      <c r="R2637" t="s">
        <v>76</v>
      </c>
      <c r="S2637" t="s">
        <v>76</v>
      </c>
      <c r="T2637" t="s">
        <v>76</v>
      </c>
      <c r="U2637">
        <v>1</v>
      </c>
      <c r="V2637" s="13">
        <v>45175</v>
      </c>
      <c r="W2637">
        <v>1</v>
      </c>
      <c r="X2637">
        <v>1</v>
      </c>
      <c r="Y2637" t="s">
        <v>3757</v>
      </c>
      <c r="AC2637">
        <v>7238</v>
      </c>
      <c r="AD2637" t="e" vm="2627">
        <v>#VALUE!</v>
      </c>
    </row>
    <row r="2638" spans="2:30" x14ac:dyDescent="0.25">
      <c r="B2638">
        <v>7239</v>
      </c>
      <c r="C2638" t="s">
        <v>3646</v>
      </c>
      <c r="D2638" t="s">
        <v>3756</v>
      </c>
      <c r="E2638" t="s">
        <v>3922</v>
      </c>
      <c r="F2638" t="s">
        <v>93</v>
      </c>
      <c r="G2638" t="s">
        <v>80</v>
      </c>
      <c r="H2638" t="s">
        <v>3913</v>
      </c>
      <c r="I2638" t="s">
        <v>3913</v>
      </c>
      <c r="J2638" t="s">
        <v>3923</v>
      </c>
      <c r="K2638" t="s">
        <v>3915</v>
      </c>
      <c r="L2638" s="13">
        <v>38162</v>
      </c>
      <c r="M2638">
        <v>19</v>
      </c>
      <c r="N2638" t="s">
        <v>90</v>
      </c>
      <c r="O2638" t="s">
        <v>3929</v>
      </c>
      <c r="P2638" t="s">
        <v>76</v>
      </c>
      <c r="Q2638" t="s">
        <v>905</v>
      </c>
      <c r="R2638" t="s">
        <v>76</v>
      </c>
      <c r="S2638" t="s">
        <v>76</v>
      </c>
      <c r="T2638" t="s">
        <v>76</v>
      </c>
      <c r="U2638">
        <v>1</v>
      </c>
      <c r="V2638" s="13">
        <v>45175</v>
      </c>
      <c r="W2638">
        <v>1</v>
      </c>
      <c r="X2638">
        <v>1</v>
      </c>
      <c r="Y2638" t="s">
        <v>3757</v>
      </c>
      <c r="AC2638">
        <v>7239</v>
      </c>
      <c r="AD2638" t="e" vm="2628">
        <v>#VALUE!</v>
      </c>
    </row>
    <row r="2639" spans="2:30" x14ac:dyDescent="0.25">
      <c r="B2639">
        <v>7240</v>
      </c>
      <c r="C2639" t="s">
        <v>3646</v>
      </c>
      <c r="D2639" t="s">
        <v>3756</v>
      </c>
      <c r="E2639" t="s">
        <v>3922</v>
      </c>
      <c r="F2639" t="s">
        <v>93</v>
      </c>
      <c r="G2639" t="s">
        <v>80</v>
      </c>
      <c r="H2639" t="s">
        <v>3913</v>
      </c>
      <c r="I2639" t="s">
        <v>3913</v>
      </c>
      <c r="J2639" t="s">
        <v>3923</v>
      </c>
      <c r="K2639" t="s">
        <v>3915</v>
      </c>
      <c r="L2639" s="13">
        <v>38175</v>
      </c>
      <c r="M2639">
        <v>19</v>
      </c>
      <c r="N2639" t="s">
        <v>90</v>
      </c>
      <c r="O2639" t="s">
        <v>3929</v>
      </c>
      <c r="P2639" t="s">
        <v>76</v>
      </c>
      <c r="Q2639" t="s">
        <v>905</v>
      </c>
      <c r="R2639" t="s">
        <v>76</v>
      </c>
      <c r="S2639" t="s">
        <v>76</v>
      </c>
      <c r="T2639" t="s">
        <v>76</v>
      </c>
      <c r="U2639">
        <v>1</v>
      </c>
      <c r="V2639" s="13">
        <v>45175</v>
      </c>
      <c r="W2639">
        <v>1</v>
      </c>
      <c r="X2639">
        <v>1</v>
      </c>
      <c r="Y2639" t="s">
        <v>3757</v>
      </c>
      <c r="AC2639">
        <v>7240</v>
      </c>
      <c r="AD2639" t="e" vm="2629">
        <v>#VALUE!</v>
      </c>
    </row>
    <row r="2640" spans="2:30" x14ac:dyDescent="0.25">
      <c r="B2640">
        <v>7241</v>
      </c>
      <c r="C2640" t="s">
        <v>3646</v>
      </c>
      <c r="D2640" t="s">
        <v>3756</v>
      </c>
      <c r="E2640" t="s">
        <v>3922</v>
      </c>
      <c r="F2640" t="s">
        <v>93</v>
      </c>
      <c r="G2640" t="s">
        <v>80</v>
      </c>
      <c r="H2640" t="s">
        <v>3913</v>
      </c>
      <c r="I2640" t="s">
        <v>3913</v>
      </c>
      <c r="J2640" t="s">
        <v>3923</v>
      </c>
      <c r="K2640" t="s">
        <v>3915</v>
      </c>
      <c r="L2640" s="13">
        <v>38187</v>
      </c>
      <c r="M2640">
        <v>19</v>
      </c>
      <c r="N2640" t="s">
        <v>90</v>
      </c>
      <c r="O2640" t="s">
        <v>3929</v>
      </c>
      <c r="P2640" t="s">
        <v>76</v>
      </c>
      <c r="Q2640" t="s">
        <v>905</v>
      </c>
      <c r="R2640" t="s">
        <v>76</v>
      </c>
      <c r="S2640" t="s">
        <v>76</v>
      </c>
      <c r="T2640" t="s">
        <v>76</v>
      </c>
      <c r="U2640">
        <v>1</v>
      </c>
      <c r="V2640" s="13">
        <v>45175</v>
      </c>
      <c r="W2640">
        <v>1</v>
      </c>
      <c r="X2640">
        <v>1</v>
      </c>
      <c r="Y2640" t="s">
        <v>3757</v>
      </c>
      <c r="AC2640">
        <v>7241</v>
      </c>
      <c r="AD2640" t="e" vm="2630">
        <v>#VALUE!</v>
      </c>
    </row>
    <row r="2641" spans="2:30" x14ac:dyDescent="0.25">
      <c r="B2641">
        <v>7242</v>
      </c>
      <c r="C2641" t="s">
        <v>3646</v>
      </c>
      <c r="D2641" t="s">
        <v>3756</v>
      </c>
      <c r="E2641" t="s">
        <v>3922</v>
      </c>
      <c r="F2641" t="s">
        <v>93</v>
      </c>
      <c r="G2641" t="s">
        <v>80</v>
      </c>
      <c r="H2641" t="s">
        <v>3913</v>
      </c>
      <c r="I2641" t="s">
        <v>3913</v>
      </c>
      <c r="J2641" t="s">
        <v>3923</v>
      </c>
      <c r="K2641" t="s">
        <v>3915</v>
      </c>
      <c r="L2641" s="13">
        <v>38217</v>
      </c>
      <c r="M2641">
        <v>19</v>
      </c>
      <c r="N2641" t="s">
        <v>90</v>
      </c>
      <c r="O2641" t="s">
        <v>3929</v>
      </c>
      <c r="P2641" t="s">
        <v>76</v>
      </c>
      <c r="Q2641" t="s">
        <v>905</v>
      </c>
      <c r="R2641" t="s">
        <v>76</v>
      </c>
      <c r="S2641" t="s">
        <v>76</v>
      </c>
      <c r="T2641" t="s">
        <v>76</v>
      </c>
      <c r="U2641">
        <v>1</v>
      </c>
      <c r="V2641" s="13">
        <v>45175</v>
      </c>
      <c r="W2641">
        <v>1</v>
      </c>
      <c r="X2641">
        <v>1</v>
      </c>
      <c r="Y2641" t="s">
        <v>3757</v>
      </c>
      <c r="AC2641">
        <v>7242</v>
      </c>
      <c r="AD2641" t="e" vm="2631">
        <v>#VALUE!</v>
      </c>
    </row>
    <row r="2642" spans="2:30" x14ac:dyDescent="0.25">
      <c r="B2642">
        <v>7243</v>
      </c>
      <c r="C2642" t="s">
        <v>3646</v>
      </c>
      <c r="D2642" t="s">
        <v>3756</v>
      </c>
      <c r="E2642" t="s">
        <v>3922</v>
      </c>
      <c r="F2642" t="s">
        <v>93</v>
      </c>
      <c r="G2642" t="s">
        <v>80</v>
      </c>
      <c r="H2642" t="s">
        <v>3913</v>
      </c>
      <c r="I2642" t="s">
        <v>3913</v>
      </c>
      <c r="J2642" t="s">
        <v>3923</v>
      </c>
      <c r="K2642" t="s">
        <v>3915</v>
      </c>
      <c r="L2642" s="13">
        <v>38231</v>
      </c>
      <c r="M2642">
        <v>19</v>
      </c>
      <c r="N2642" t="s">
        <v>90</v>
      </c>
      <c r="O2642" t="s">
        <v>3929</v>
      </c>
      <c r="P2642" t="s">
        <v>76</v>
      </c>
      <c r="Q2642" t="s">
        <v>905</v>
      </c>
      <c r="R2642" t="s">
        <v>76</v>
      </c>
      <c r="S2642" t="s">
        <v>76</v>
      </c>
      <c r="T2642" t="s">
        <v>76</v>
      </c>
      <c r="U2642">
        <v>1</v>
      </c>
      <c r="V2642" s="13">
        <v>45175</v>
      </c>
      <c r="W2642">
        <v>1</v>
      </c>
      <c r="X2642">
        <v>1</v>
      </c>
      <c r="Y2642" t="s">
        <v>3757</v>
      </c>
      <c r="AC2642">
        <v>7243</v>
      </c>
      <c r="AD2642" t="e" vm="2632">
        <v>#VALUE!</v>
      </c>
    </row>
    <row r="2643" spans="2:30" x14ac:dyDescent="0.25">
      <c r="B2643">
        <v>7244</v>
      </c>
      <c r="C2643" t="s">
        <v>3646</v>
      </c>
      <c r="D2643" t="s">
        <v>3756</v>
      </c>
      <c r="E2643" t="s">
        <v>3922</v>
      </c>
      <c r="F2643" t="s">
        <v>93</v>
      </c>
      <c r="G2643" t="s">
        <v>80</v>
      </c>
      <c r="H2643" t="s">
        <v>3913</v>
      </c>
      <c r="I2643" t="s">
        <v>3913</v>
      </c>
      <c r="J2643" t="s">
        <v>3923</v>
      </c>
      <c r="K2643" t="s">
        <v>3915</v>
      </c>
      <c r="L2643" s="13">
        <v>38243</v>
      </c>
      <c r="M2643">
        <v>19</v>
      </c>
      <c r="N2643" t="s">
        <v>90</v>
      </c>
      <c r="O2643" t="s">
        <v>3929</v>
      </c>
      <c r="P2643" t="s">
        <v>76</v>
      </c>
      <c r="Q2643" t="s">
        <v>905</v>
      </c>
      <c r="R2643" t="s">
        <v>76</v>
      </c>
      <c r="S2643" t="s">
        <v>76</v>
      </c>
      <c r="T2643" t="s">
        <v>76</v>
      </c>
      <c r="U2643">
        <v>1</v>
      </c>
      <c r="V2643" s="13">
        <v>45175</v>
      </c>
      <c r="W2643">
        <v>1</v>
      </c>
      <c r="X2643">
        <v>1</v>
      </c>
      <c r="Y2643" t="s">
        <v>3757</v>
      </c>
      <c r="AC2643">
        <v>7244</v>
      </c>
      <c r="AD2643" t="e" vm="2633">
        <v>#VALUE!</v>
      </c>
    </row>
    <row r="2644" spans="2:30" x14ac:dyDescent="0.25">
      <c r="B2644">
        <v>7245</v>
      </c>
      <c r="C2644" t="s">
        <v>3646</v>
      </c>
      <c r="D2644" t="s">
        <v>3756</v>
      </c>
      <c r="E2644" t="s">
        <v>3922</v>
      </c>
      <c r="F2644" t="s">
        <v>93</v>
      </c>
      <c r="G2644" t="s">
        <v>80</v>
      </c>
      <c r="H2644" t="s">
        <v>3913</v>
      </c>
      <c r="I2644" t="s">
        <v>3913</v>
      </c>
      <c r="J2644" t="s">
        <v>3923</v>
      </c>
      <c r="K2644" t="s">
        <v>3915</v>
      </c>
      <c r="L2644" s="13">
        <v>38259</v>
      </c>
      <c r="M2644">
        <v>19</v>
      </c>
      <c r="N2644" t="s">
        <v>90</v>
      </c>
      <c r="O2644" t="s">
        <v>3929</v>
      </c>
      <c r="P2644" t="s">
        <v>76</v>
      </c>
      <c r="Q2644" t="s">
        <v>905</v>
      </c>
      <c r="R2644" t="s">
        <v>76</v>
      </c>
      <c r="S2644" t="s">
        <v>76</v>
      </c>
      <c r="T2644" t="s">
        <v>76</v>
      </c>
      <c r="U2644">
        <v>1</v>
      </c>
      <c r="V2644" s="13">
        <v>45175</v>
      </c>
      <c r="W2644">
        <v>1</v>
      </c>
      <c r="X2644">
        <v>1</v>
      </c>
      <c r="Y2644" t="s">
        <v>3757</v>
      </c>
      <c r="AC2644">
        <v>7245</v>
      </c>
      <c r="AD2644" t="e" vm="2634">
        <v>#VALUE!</v>
      </c>
    </row>
    <row r="2645" spans="2:30" x14ac:dyDescent="0.25">
      <c r="B2645">
        <v>7246</v>
      </c>
      <c r="C2645" t="s">
        <v>3668</v>
      </c>
      <c r="D2645" t="s">
        <v>3754</v>
      </c>
      <c r="E2645" t="s">
        <v>3912</v>
      </c>
      <c r="F2645" t="s">
        <v>85</v>
      </c>
      <c r="G2645" t="s">
        <v>94</v>
      </c>
      <c r="H2645" t="s">
        <v>3913</v>
      </c>
      <c r="I2645" t="s">
        <v>3913</v>
      </c>
      <c r="J2645" t="s">
        <v>3923</v>
      </c>
      <c r="K2645" t="s">
        <v>3915</v>
      </c>
      <c r="L2645" s="13">
        <v>38265</v>
      </c>
      <c r="M2645">
        <v>19</v>
      </c>
      <c r="N2645" t="s">
        <v>82</v>
      </c>
      <c r="O2645" t="s">
        <v>3929</v>
      </c>
      <c r="P2645" t="s">
        <v>76</v>
      </c>
      <c r="Q2645" t="s">
        <v>905</v>
      </c>
      <c r="R2645" t="s">
        <v>76</v>
      </c>
      <c r="S2645" t="s">
        <v>76</v>
      </c>
      <c r="T2645" t="s">
        <v>76</v>
      </c>
      <c r="U2645">
        <v>1</v>
      </c>
      <c r="V2645" s="13">
        <v>45175</v>
      </c>
      <c r="W2645">
        <v>1</v>
      </c>
      <c r="X2645">
        <v>1</v>
      </c>
      <c r="Y2645" t="s">
        <v>3755</v>
      </c>
      <c r="AC2645">
        <v>7246</v>
      </c>
      <c r="AD2645" t="e" vm="2635">
        <v>#VALUE!</v>
      </c>
    </row>
    <row r="2646" spans="2:30" x14ac:dyDescent="0.25">
      <c r="B2646">
        <v>7247</v>
      </c>
      <c r="C2646" t="s">
        <v>3646</v>
      </c>
      <c r="D2646" t="s">
        <v>3756</v>
      </c>
      <c r="E2646" t="s">
        <v>3922</v>
      </c>
      <c r="F2646" t="s">
        <v>93</v>
      </c>
      <c r="G2646" t="s">
        <v>80</v>
      </c>
      <c r="H2646" t="s">
        <v>3913</v>
      </c>
      <c r="I2646" t="s">
        <v>3913</v>
      </c>
      <c r="J2646" t="s">
        <v>3923</v>
      </c>
      <c r="K2646" t="s">
        <v>3915</v>
      </c>
      <c r="L2646" s="13">
        <v>38271</v>
      </c>
      <c r="M2646">
        <v>19</v>
      </c>
      <c r="N2646" t="s">
        <v>90</v>
      </c>
      <c r="O2646" t="s">
        <v>3929</v>
      </c>
      <c r="P2646" t="s">
        <v>76</v>
      </c>
      <c r="Q2646" t="s">
        <v>905</v>
      </c>
      <c r="R2646" t="s">
        <v>76</v>
      </c>
      <c r="S2646" t="s">
        <v>76</v>
      </c>
      <c r="T2646" t="s">
        <v>76</v>
      </c>
      <c r="U2646">
        <v>1</v>
      </c>
      <c r="V2646" s="13">
        <v>45175</v>
      </c>
      <c r="W2646">
        <v>1</v>
      </c>
      <c r="X2646">
        <v>1</v>
      </c>
      <c r="Y2646" t="s">
        <v>3757</v>
      </c>
      <c r="AC2646">
        <v>7247</v>
      </c>
      <c r="AD2646" t="e" vm="2636">
        <v>#VALUE!</v>
      </c>
    </row>
    <row r="2647" spans="2:30" x14ac:dyDescent="0.25">
      <c r="B2647">
        <v>7248</v>
      </c>
      <c r="C2647" t="s">
        <v>3646</v>
      </c>
      <c r="D2647" t="s">
        <v>3756</v>
      </c>
      <c r="E2647" t="s">
        <v>3922</v>
      </c>
      <c r="F2647" t="s">
        <v>93</v>
      </c>
      <c r="G2647" t="s">
        <v>80</v>
      </c>
      <c r="H2647" t="s">
        <v>3913</v>
      </c>
      <c r="I2647" t="s">
        <v>3913</v>
      </c>
      <c r="J2647" t="s">
        <v>3923</v>
      </c>
      <c r="K2647" t="s">
        <v>3915</v>
      </c>
      <c r="L2647" s="13">
        <v>38280</v>
      </c>
      <c r="M2647">
        <v>19</v>
      </c>
      <c r="N2647" t="s">
        <v>90</v>
      </c>
      <c r="O2647" t="s">
        <v>3929</v>
      </c>
      <c r="P2647" t="s">
        <v>76</v>
      </c>
      <c r="Q2647" t="s">
        <v>905</v>
      </c>
      <c r="R2647" t="s">
        <v>76</v>
      </c>
      <c r="S2647" t="s">
        <v>76</v>
      </c>
      <c r="T2647" t="s">
        <v>76</v>
      </c>
      <c r="U2647">
        <v>1</v>
      </c>
      <c r="V2647" s="13">
        <v>45175</v>
      </c>
      <c r="W2647">
        <v>1</v>
      </c>
      <c r="X2647">
        <v>1</v>
      </c>
      <c r="Y2647" t="s">
        <v>3757</v>
      </c>
      <c r="AC2647">
        <v>7248</v>
      </c>
      <c r="AD2647" t="e" vm="2637">
        <v>#VALUE!</v>
      </c>
    </row>
    <row r="2648" spans="2:30" x14ac:dyDescent="0.25">
      <c r="B2648">
        <v>7249</v>
      </c>
      <c r="C2648" t="s">
        <v>3646</v>
      </c>
      <c r="D2648" t="s">
        <v>3756</v>
      </c>
      <c r="E2648" t="s">
        <v>3922</v>
      </c>
      <c r="F2648" t="s">
        <v>93</v>
      </c>
      <c r="G2648" t="s">
        <v>80</v>
      </c>
      <c r="H2648" t="s">
        <v>3913</v>
      </c>
      <c r="I2648" t="s">
        <v>3913</v>
      </c>
      <c r="J2648" t="s">
        <v>3923</v>
      </c>
      <c r="K2648" t="s">
        <v>3915</v>
      </c>
      <c r="L2648" s="13">
        <v>38294</v>
      </c>
      <c r="M2648">
        <v>19</v>
      </c>
      <c r="N2648" t="s">
        <v>90</v>
      </c>
      <c r="O2648" t="s">
        <v>3929</v>
      </c>
      <c r="P2648" t="s">
        <v>76</v>
      </c>
      <c r="Q2648" t="s">
        <v>905</v>
      </c>
      <c r="R2648" t="s">
        <v>76</v>
      </c>
      <c r="S2648" t="s">
        <v>76</v>
      </c>
      <c r="T2648" t="s">
        <v>76</v>
      </c>
      <c r="U2648">
        <v>1</v>
      </c>
      <c r="V2648" s="13">
        <v>45175</v>
      </c>
      <c r="W2648">
        <v>1</v>
      </c>
      <c r="X2648">
        <v>1</v>
      </c>
      <c r="Y2648" t="s">
        <v>3757</v>
      </c>
      <c r="AC2648">
        <v>7249</v>
      </c>
      <c r="AD2648" t="e" vm="2638">
        <v>#VALUE!</v>
      </c>
    </row>
    <row r="2649" spans="2:30" x14ac:dyDescent="0.25">
      <c r="B2649">
        <v>7250</v>
      </c>
      <c r="C2649" t="s">
        <v>3646</v>
      </c>
      <c r="D2649" t="s">
        <v>3756</v>
      </c>
      <c r="E2649" t="s">
        <v>3922</v>
      </c>
      <c r="F2649" t="s">
        <v>93</v>
      </c>
      <c r="G2649" t="s">
        <v>80</v>
      </c>
      <c r="H2649" t="s">
        <v>3913</v>
      </c>
      <c r="I2649" t="s">
        <v>3913</v>
      </c>
      <c r="J2649" t="s">
        <v>3923</v>
      </c>
      <c r="K2649" t="s">
        <v>3915</v>
      </c>
      <c r="L2649" s="13">
        <v>38301</v>
      </c>
      <c r="M2649">
        <v>19</v>
      </c>
      <c r="N2649" t="s">
        <v>90</v>
      </c>
      <c r="O2649" t="s">
        <v>3929</v>
      </c>
      <c r="P2649" t="s">
        <v>76</v>
      </c>
      <c r="Q2649" t="s">
        <v>905</v>
      </c>
      <c r="R2649" t="s">
        <v>76</v>
      </c>
      <c r="S2649" t="s">
        <v>76</v>
      </c>
      <c r="T2649" t="s">
        <v>76</v>
      </c>
      <c r="U2649">
        <v>1</v>
      </c>
      <c r="V2649" s="13">
        <v>45175</v>
      </c>
      <c r="W2649">
        <v>1</v>
      </c>
      <c r="X2649">
        <v>1</v>
      </c>
      <c r="Y2649" t="s">
        <v>3757</v>
      </c>
      <c r="AC2649">
        <v>7250</v>
      </c>
      <c r="AD2649" t="e" vm="2639">
        <v>#VALUE!</v>
      </c>
    </row>
    <row r="2650" spans="2:30" x14ac:dyDescent="0.25">
      <c r="B2650">
        <v>7251</v>
      </c>
      <c r="C2650" t="s">
        <v>3646</v>
      </c>
      <c r="D2650" t="s">
        <v>3756</v>
      </c>
      <c r="E2650" t="s">
        <v>3922</v>
      </c>
      <c r="F2650" t="s">
        <v>93</v>
      </c>
      <c r="G2650" t="s">
        <v>80</v>
      </c>
      <c r="H2650" t="s">
        <v>3913</v>
      </c>
      <c r="I2650" t="s">
        <v>3913</v>
      </c>
      <c r="J2650" t="s">
        <v>3923</v>
      </c>
      <c r="K2650" t="s">
        <v>3915</v>
      </c>
      <c r="L2650" s="13">
        <v>38315</v>
      </c>
      <c r="M2650">
        <v>19</v>
      </c>
      <c r="N2650" t="s">
        <v>90</v>
      </c>
      <c r="O2650" t="s">
        <v>3929</v>
      </c>
      <c r="P2650" t="s">
        <v>76</v>
      </c>
      <c r="Q2650" t="s">
        <v>905</v>
      </c>
      <c r="R2650" t="s">
        <v>76</v>
      </c>
      <c r="S2650" t="s">
        <v>76</v>
      </c>
      <c r="T2650" t="s">
        <v>76</v>
      </c>
      <c r="U2650">
        <v>1</v>
      </c>
      <c r="V2650" s="13">
        <v>45175</v>
      </c>
      <c r="W2650">
        <v>1</v>
      </c>
      <c r="X2650">
        <v>1</v>
      </c>
      <c r="Y2650" t="s">
        <v>3757</v>
      </c>
      <c r="AC2650">
        <v>7251</v>
      </c>
      <c r="AD2650" t="e" vm="2640">
        <v>#VALUE!</v>
      </c>
    </row>
    <row r="2651" spans="2:30" x14ac:dyDescent="0.25">
      <c r="B2651">
        <v>7252</v>
      </c>
      <c r="C2651" t="s">
        <v>3646</v>
      </c>
      <c r="D2651" t="s">
        <v>3756</v>
      </c>
      <c r="E2651" t="s">
        <v>3922</v>
      </c>
      <c r="F2651" t="s">
        <v>93</v>
      </c>
      <c r="G2651" t="s">
        <v>80</v>
      </c>
      <c r="H2651" t="s">
        <v>3913</v>
      </c>
      <c r="I2651" t="s">
        <v>3913</v>
      </c>
      <c r="J2651" t="s">
        <v>3923</v>
      </c>
      <c r="K2651" t="s">
        <v>3915</v>
      </c>
      <c r="L2651" s="13">
        <v>38330</v>
      </c>
      <c r="M2651">
        <v>19</v>
      </c>
      <c r="N2651" t="s">
        <v>90</v>
      </c>
      <c r="O2651" t="s">
        <v>3929</v>
      </c>
      <c r="P2651" t="s">
        <v>76</v>
      </c>
      <c r="Q2651" t="s">
        <v>905</v>
      </c>
      <c r="R2651" t="s">
        <v>76</v>
      </c>
      <c r="S2651" t="s">
        <v>76</v>
      </c>
      <c r="T2651" t="s">
        <v>76</v>
      </c>
      <c r="U2651">
        <v>1</v>
      </c>
      <c r="V2651" s="13">
        <v>45175</v>
      </c>
      <c r="W2651">
        <v>1</v>
      </c>
      <c r="X2651">
        <v>1</v>
      </c>
      <c r="Y2651" t="s">
        <v>3757</v>
      </c>
      <c r="AC2651">
        <v>7252</v>
      </c>
      <c r="AD2651" t="e" vm="2641">
        <v>#VALUE!</v>
      </c>
    </row>
    <row r="2652" spans="2:30" x14ac:dyDescent="0.25">
      <c r="B2652">
        <v>7253</v>
      </c>
      <c r="C2652" t="s">
        <v>3646</v>
      </c>
      <c r="D2652" t="s">
        <v>3756</v>
      </c>
      <c r="E2652" t="s">
        <v>3922</v>
      </c>
      <c r="F2652" t="s">
        <v>93</v>
      </c>
      <c r="G2652" t="s">
        <v>80</v>
      </c>
      <c r="H2652" t="s">
        <v>3913</v>
      </c>
      <c r="I2652" t="s">
        <v>3913</v>
      </c>
      <c r="J2652" t="s">
        <v>3923</v>
      </c>
      <c r="K2652" t="s">
        <v>3915</v>
      </c>
      <c r="L2652" s="13">
        <v>38336</v>
      </c>
      <c r="M2652">
        <v>19</v>
      </c>
      <c r="N2652" t="s">
        <v>90</v>
      </c>
      <c r="O2652" t="s">
        <v>3929</v>
      </c>
      <c r="P2652" t="s">
        <v>76</v>
      </c>
      <c r="Q2652" t="s">
        <v>905</v>
      </c>
      <c r="R2652" t="s">
        <v>76</v>
      </c>
      <c r="S2652" t="s">
        <v>76</v>
      </c>
      <c r="T2652" t="s">
        <v>76</v>
      </c>
      <c r="U2652">
        <v>1</v>
      </c>
      <c r="V2652" s="13">
        <v>45175</v>
      </c>
      <c r="W2652">
        <v>1</v>
      </c>
      <c r="X2652">
        <v>1</v>
      </c>
      <c r="Y2652" t="s">
        <v>3757</v>
      </c>
      <c r="AC2652">
        <v>7253</v>
      </c>
      <c r="AD2652" t="e" vm="2642">
        <v>#VALUE!</v>
      </c>
    </row>
    <row r="2653" spans="2:30" x14ac:dyDescent="0.25">
      <c r="B2653">
        <v>7254</v>
      </c>
      <c r="C2653" t="s">
        <v>3646</v>
      </c>
      <c r="D2653" t="s">
        <v>3756</v>
      </c>
      <c r="E2653" t="s">
        <v>3922</v>
      </c>
      <c r="F2653" t="s">
        <v>93</v>
      </c>
      <c r="G2653" t="s">
        <v>80</v>
      </c>
      <c r="H2653" t="s">
        <v>3913</v>
      </c>
      <c r="I2653" t="s">
        <v>3913</v>
      </c>
      <c r="J2653" t="s">
        <v>3923</v>
      </c>
      <c r="K2653" t="s">
        <v>3915</v>
      </c>
      <c r="L2653" s="13">
        <v>38343</v>
      </c>
      <c r="M2653">
        <v>19</v>
      </c>
      <c r="N2653" t="s">
        <v>90</v>
      </c>
      <c r="O2653" t="s">
        <v>3929</v>
      </c>
      <c r="P2653" t="s">
        <v>76</v>
      </c>
      <c r="Q2653" t="s">
        <v>905</v>
      </c>
      <c r="R2653" t="s">
        <v>76</v>
      </c>
      <c r="S2653" t="s">
        <v>76</v>
      </c>
      <c r="T2653" t="s">
        <v>76</v>
      </c>
      <c r="U2653">
        <v>1</v>
      </c>
      <c r="V2653" s="13">
        <v>45175</v>
      </c>
      <c r="W2653">
        <v>1</v>
      </c>
      <c r="X2653">
        <v>1</v>
      </c>
      <c r="Y2653" t="s">
        <v>3757</v>
      </c>
      <c r="AC2653">
        <v>7254</v>
      </c>
      <c r="AD2653" t="e" vm="2643">
        <v>#VALUE!</v>
      </c>
    </row>
    <row r="2654" spans="2:30" x14ac:dyDescent="0.25">
      <c r="B2654">
        <v>7255</v>
      </c>
      <c r="C2654" t="s">
        <v>3646</v>
      </c>
      <c r="D2654" t="s">
        <v>3756</v>
      </c>
      <c r="E2654" t="s">
        <v>3922</v>
      </c>
      <c r="F2654" t="s">
        <v>93</v>
      </c>
      <c r="G2654" t="s">
        <v>80</v>
      </c>
      <c r="H2654" t="s">
        <v>3913</v>
      </c>
      <c r="I2654" t="s">
        <v>3913</v>
      </c>
      <c r="J2654" t="s">
        <v>3923</v>
      </c>
      <c r="K2654" t="s">
        <v>3915</v>
      </c>
      <c r="L2654" s="13">
        <v>38365</v>
      </c>
      <c r="M2654">
        <v>19</v>
      </c>
      <c r="N2654" t="s">
        <v>90</v>
      </c>
      <c r="O2654" t="s">
        <v>3929</v>
      </c>
      <c r="P2654" t="s">
        <v>76</v>
      </c>
      <c r="Q2654" t="s">
        <v>905</v>
      </c>
      <c r="R2654" t="s">
        <v>76</v>
      </c>
      <c r="S2654" t="s">
        <v>76</v>
      </c>
      <c r="T2654" t="s">
        <v>76</v>
      </c>
      <c r="U2654">
        <v>1</v>
      </c>
      <c r="V2654" s="13">
        <v>45175</v>
      </c>
      <c r="W2654">
        <v>1</v>
      </c>
      <c r="X2654">
        <v>1</v>
      </c>
      <c r="Y2654" t="s">
        <v>3757</v>
      </c>
      <c r="AC2654">
        <v>7255</v>
      </c>
      <c r="AD2654" t="e" vm="2644">
        <v>#VALUE!</v>
      </c>
    </row>
    <row r="2655" spans="2:30" x14ac:dyDescent="0.25">
      <c r="B2655">
        <v>7256</v>
      </c>
      <c r="C2655" t="s">
        <v>3646</v>
      </c>
      <c r="D2655" t="s">
        <v>3756</v>
      </c>
      <c r="E2655" t="s">
        <v>3922</v>
      </c>
      <c r="F2655" t="s">
        <v>93</v>
      </c>
      <c r="G2655" t="s">
        <v>80</v>
      </c>
      <c r="H2655" t="s">
        <v>3913</v>
      </c>
      <c r="I2655" t="s">
        <v>3913</v>
      </c>
      <c r="J2655" t="s">
        <v>3923</v>
      </c>
      <c r="K2655" t="s">
        <v>3915</v>
      </c>
      <c r="L2655" s="13">
        <v>38379</v>
      </c>
      <c r="M2655">
        <v>19</v>
      </c>
      <c r="N2655" t="s">
        <v>90</v>
      </c>
      <c r="O2655" t="s">
        <v>3929</v>
      </c>
      <c r="P2655" t="s">
        <v>76</v>
      </c>
      <c r="Q2655" t="s">
        <v>905</v>
      </c>
      <c r="R2655" t="s">
        <v>76</v>
      </c>
      <c r="S2655" t="s">
        <v>76</v>
      </c>
      <c r="T2655" t="s">
        <v>76</v>
      </c>
      <c r="U2655">
        <v>1</v>
      </c>
      <c r="V2655" s="13">
        <v>45175</v>
      </c>
      <c r="W2655">
        <v>1</v>
      </c>
      <c r="X2655">
        <v>1</v>
      </c>
      <c r="Y2655" t="s">
        <v>3757</v>
      </c>
      <c r="AC2655">
        <v>7256</v>
      </c>
      <c r="AD2655" t="e" vm="2645">
        <v>#VALUE!</v>
      </c>
    </row>
    <row r="2656" spans="2:30" x14ac:dyDescent="0.25">
      <c r="B2656">
        <v>7257</v>
      </c>
      <c r="C2656" t="s">
        <v>3646</v>
      </c>
      <c r="D2656" t="s">
        <v>3756</v>
      </c>
      <c r="E2656" t="s">
        <v>3922</v>
      </c>
      <c r="F2656" t="s">
        <v>93</v>
      </c>
      <c r="G2656" t="s">
        <v>80</v>
      </c>
      <c r="H2656" t="s">
        <v>3913</v>
      </c>
      <c r="I2656" t="s">
        <v>3913</v>
      </c>
      <c r="J2656" t="s">
        <v>3923</v>
      </c>
      <c r="K2656" t="s">
        <v>3915</v>
      </c>
      <c r="L2656" s="13">
        <v>38392</v>
      </c>
      <c r="M2656">
        <v>19</v>
      </c>
      <c r="N2656" t="s">
        <v>90</v>
      </c>
      <c r="O2656" t="s">
        <v>3929</v>
      </c>
      <c r="P2656" t="s">
        <v>76</v>
      </c>
      <c r="Q2656" t="s">
        <v>905</v>
      </c>
      <c r="R2656" t="s">
        <v>76</v>
      </c>
      <c r="S2656" t="s">
        <v>76</v>
      </c>
      <c r="T2656" t="s">
        <v>76</v>
      </c>
      <c r="U2656">
        <v>1</v>
      </c>
      <c r="V2656" s="13">
        <v>45175</v>
      </c>
      <c r="W2656">
        <v>1</v>
      </c>
      <c r="X2656">
        <v>1</v>
      </c>
      <c r="Y2656" t="s">
        <v>3757</v>
      </c>
      <c r="AC2656">
        <v>7257</v>
      </c>
      <c r="AD2656" t="e" vm="2646">
        <v>#VALUE!</v>
      </c>
    </row>
    <row r="2657" spans="2:30" x14ac:dyDescent="0.25">
      <c r="B2657">
        <v>7258</v>
      </c>
      <c r="C2657" t="s">
        <v>3646</v>
      </c>
      <c r="D2657" t="s">
        <v>3756</v>
      </c>
      <c r="E2657" t="s">
        <v>3922</v>
      </c>
      <c r="F2657" t="s">
        <v>93</v>
      </c>
      <c r="G2657" t="s">
        <v>80</v>
      </c>
      <c r="H2657" t="s">
        <v>3913</v>
      </c>
      <c r="I2657" t="s">
        <v>3913</v>
      </c>
      <c r="J2657" t="s">
        <v>3923</v>
      </c>
      <c r="K2657" t="s">
        <v>3915</v>
      </c>
      <c r="L2657" s="13">
        <v>38729</v>
      </c>
      <c r="M2657">
        <v>18</v>
      </c>
      <c r="N2657" t="s">
        <v>90</v>
      </c>
      <c r="O2657" t="s">
        <v>3929</v>
      </c>
      <c r="P2657" t="s">
        <v>76</v>
      </c>
      <c r="Q2657" t="s">
        <v>905</v>
      </c>
      <c r="R2657" t="s">
        <v>76</v>
      </c>
      <c r="S2657" t="s">
        <v>76</v>
      </c>
      <c r="T2657" t="s">
        <v>76</v>
      </c>
      <c r="U2657">
        <v>1</v>
      </c>
      <c r="V2657" s="13">
        <v>45175</v>
      </c>
      <c r="W2657">
        <v>1</v>
      </c>
      <c r="X2657">
        <v>1</v>
      </c>
      <c r="Y2657" t="s">
        <v>3757</v>
      </c>
      <c r="AC2657">
        <v>7258</v>
      </c>
      <c r="AD2657" t="e" vm="2647">
        <v>#VALUE!</v>
      </c>
    </row>
    <row r="2658" spans="2:30" x14ac:dyDescent="0.25">
      <c r="B2658">
        <v>7259</v>
      </c>
      <c r="C2658" t="s">
        <v>3646</v>
      </c>
      <c r="D2658" t="s">
        <v>3756</v>
      </c>
      <c r="E2658" t="s">
        <v>3922</v>
      </c>
      <c r="F2658" t="s">
        <v>93</v>
      </c>
      <c r="G2658" t="s">
        <v>80</v>
      </c>
      <c r="H2658" t="s">
        <v>3913</v>
      </c>
      <c r="I2658" t="s">
        <v>3913</v>
      </c>
      <c r="J2658" t="s">
        <v>3923</v>
      </c>
      <c r="K2658" t="s">
        <v>3915</v>
      </c>
      <c r="L2658" s="13">
        <v>38734</v>
      </c>
      <c r="M2658">
        <v>18</v>
      </c>
      <c r="N2658" t="s">
        <v>90</v>
      </c>
      <c r="O2658" t="s">
        <v>3929</v>
      </c>
      <c r="P2658" t="s">
        <v>76</v>
      </c>
      <c r="Q2658" t="s">
        <v>905</v>
      </c>
      <c r="R2658" t="s">
        <v>76</v>
      </c>
      <c r="S2658" t="s">
        <v>76</v>
      </c>
      <c r="T2658" t="s">
        <v>76</v>
      </c>
      <c r="U2658">
        <v>1</v>
      </c>
      <c r="V2658" s="13">
        <v>45175</v>
      </c>
      <c r="W2658">
        <v>1</v>
      </c>
      <c r="X2658">
        <v>1</v>
      </c>
      <c r="Y2658" t="s">
        <v>3757</v>
      </c>
      <c r="AC2658">
        <v>7259</v>
      </c>
      <c r="AD2658" t="e" vm="2648">
        <v>#VALUE!</v>
      </c>
    </row>
    <row r="2659" spans="2:30" x14ac:dyDescent="0.25">
      <c r="B2659">
        <v>7260</v>
      </c>
      <c r="C2659" t="s">
        <v>3646</v>
      </c>
      <c r="D2659" t="s">
        <v>3756</v>
      </c>
      <c r="E2659" t="s">
        <v>3922</v>
      </c>
      <c r="F2659" t="s">
        <v>93</v>
      </c>
      <c r="G2659" t="s">
        <v>80</v>
      </c>
      <c r="H2659" t="s">
        <v>3913</v>
      </c>
      <c r="I2659" t="s">
        <v>3913</v>
      </c>
      <c r="J2659" t="s">
        <v>3923</v>
      </c>
      <c r="K2659" t="s">
        <v>3915</v>
      </c>
      <c r="L2659" s="13">
        <v>38748</v>
      </c>
      <c r="M2659">
        <v>18</v>
      </c>
      <c r="N2659" t="s">
        <v>90</v>
      </c>
      <c r="O2659" t="s">
        <v>3929</v>
      </c>
      <c r="P2659" t="s">
        <v>76</v>
      </c>
      <c r="Q2659" t="s">
        <v>905</v>
      </c>
      <c r="R2659" t="s">
        <v>76</v>
      </c>
      <c r="S2659" t="s">
        <v>76</v>
      </c>
      <c r="T2659" t="s">
        <v>76</v>
      </c>
      <c r="U2659">
        <v>1</v>
      </c>
      <c r="V2659" s="13">
        <v>45175</v>
      </c>
      <c r="W2659">
        <v>1</v>
      </c>
      <c r="X2659">
        <v>1</v>
      </c>
      <c r="Y2659" t="s">
        <v>3757</v>
      </c>
      <c r="AC2659">
        <v>7260</v>
      </c>
      <c r="AD2659" t="e" vm="2649">
        <v>#VALUE!</v>
      </c>
    </row>
    <row r="2660" spans="2:30" x14ac:dyDescent="0.25">
      <c r="B2660">
        <v>7261</v>
      </c>
      <c r="C2660" t="s">
        <v>3646</v>
      </c>
      <c r="D2660" t="s">
        <v>3756</v>
      </c>
      <c r="E2660" t="s">
        <v>3922</v>
      </c>
      <c r="F2660" t="s">
        <v>93</v>
      </c>
      <c r="G2660" t="s">
        <v>80</v>
      </c>
      <c r="H2660" t="s">
        <v>3913</v>
      </c>
      <c r="I2660" t="s">
        <v>3913</v>
      </c>
      <c r="J2660" t="s">
        <v>3923</v>
      </c>
      <c r="K2660" t="s">
        <v>3915</v>
      </c>
      <c r="L2660" s="13">
        <v>38758</v>
      </c>
      <c r="M2660">
        <v>18</v>
      </c>
      <c r="N2660" t="s">
        <v>90</v>
      </c>
      <c r="O2660" t="s">
        <v>3929</v>
      </c>
      <c r="P2660" t="s">
        <v>76</v>
      </c>
      <c r="Q2660" t="s">
        <v>905</v>
      </c>
      <c r="R2660" t="s">
        <v>76</v>
      </c>
      <c r="S2660" t="s">
        <v>76</v>
      </c>
      <c r="T2660" t="s">
        <v>76</v>
      </c>
      <c r="U2660">
        <v>1</v>
      </c>
      <c r="V2660" s="13">
        <v>45175</v>
      </c>
      <c r="W2660">
        <v>1</v>
      </c>
      <c r="X2660">
        <v>1</v>
      </c>
      <c r="Y2660" t="s">
        <v>3757</v>
      </c>
      <c r="AC2660">
        <v>7261</v>
      </c>
      <c r="AD2660" t="e" vm="2650">
        <v>#VALUE!</v>
      </c>
    </row>
    <row r="2661" spans="2:30" x14ac:dyDescent="0.25">
      <c r="B2661">
        <v>7262</v>
      </c>
      <c r="C2661" t="s">
        <v>3646</v>
      </c>
      <c r="D2661" t="s">
        <v>3756</v>
      </c>
      <c r="E2661" t="s">
        <v>3922</v>
      </c>
      <c r="F2661" t="s">
        <v>93</v>
      </c>
      <c r="G2661" t="s">
        <v>80</v>
      </c>
      <c r="H2661" t="s">
        <v>3913</v>
      </c>
      <c r="I2661" t="s">
        <v>3913</v>
      </c>
      <c r="J2661" t="s">
        <v>3923</v>
      </c>
      <c r="K2661" t="s">
        <v>3915</v>
      </c>
      <c r="L2661" s="13">
        <v>38772</v>
      </c>
      <c r="M2661">
        <v>18</v>
      </c>
      <c r="N2661" t="s">
        <v>90</v>
      </c>
      <c r="O2661" t="s">
        <v>3929</v>
      </c>
      <c r="P2661" t="s">
        <v>76</v>
      </c>
      <c r="Q2661" t="s">
        <v>905</v>
      </c>
      <c r="R2661" t="s">
        <v>76</v>
      </c>
      <c r="S2661" t="s">
        <v>76</v>
      </c>
      <c r="T2661" t="s">
        <v>76</v>
      </c>
      <c r="U2661">
        <v>1</v>
      </c>
      <c r="V2661" s="13">
        <v>45175</v>
      </c>
      <c r="W2661">
        <v>1</v>
      </c>
      <c r="X2661">
        <v>1</v>
      </c>
      <c r="Y2661" t="s">
        <v>3757</v>
      </c>
      <c r="AC2661">
        <v>7262</v>
      </c>
      <c r="AD2661" t="e" vm="2651">
        <v>#VALUE!</v>
      </c>
    </row>
    <row r="2662" spans="2:30" x14ac:dyDescent="0.25">
      <c r="B2662">
        <v>7263</v>
      </c>
      <c r="C2662" t="s">
        <v>3646</v>
      </c>
      <c r="D2662" t="s">
        <v>3756</v>
      </c>
      <c r="E2662" t="s">
        <v>3922</v>
      </c>
      <c r="F2662" t="s">
        <v>93</v>
      </c>
      <c r="G2662" t="s">
        <v>80</v>
      </c>
      <c r="H2662" t="s">
        <v>3913</v>
      </c>
      <c r="I2662" t="s">
        <v>3913</v>
      </c>
      <c r="J2662" t="s">
        <v>3923</v>
      </c>
      <c r="K2662" t="s">
        <v>3915</v>
      </c>
      <c r="L2662" s="13">
        <v>38793</v>
      </c>
      <c r="M2662">
        <v>18</v>
      </c>
      <c r="N2662" t="s">
        <v>90</v>
      </c>
      <c r="O2662" t="s">
        <v>3929</v>
      </c>
      <c r="P2662" t="s">
        <v>76</v>
      </c>
      <c r="Q2662" t="s">
        <v>905</v>
      </c>
      <c r="R2662" t="s">
        <v>76</v>
      </c>
      <c r="S2662" t="s">
        <v>76</v>
      </c>
      <c r="T2662" t="s">
        <v>76</v>
      </c>
      <c r="U2662">
        <v>1</v>
      </c>
      <c r="V2662" s="13">
        <v>45175</v>
      </c>
      <c r="W2662">
        <v>1</v>
      </c>
      <c r="X2662">
        <v>1</v>
      </c>
      <c r="Y2662" t="s">
        <v>3757</v>
      </c>
      <c r="AC2662">
        <v>7263</v>
      </c>
      <c r="AD2662" t="e" vm="2652">
        <v>#VALUE!</v>
      </c>
    </row>
    <row r="2663" spans="2:30" x14ac:dyDescent="0.25">
      <c r="B2663">
        <v>7264</v>
      </c>
      <c r="C2663" t="s">
        <v>3646</v>
      </c>
      <c r="D2663" t="s">
        <v>3756</v>
      </c>
      <c r="E2663" t="s">
        <v>3922</v>
      </c>
      <c r="F2663" t="s">
        <v>93</v>
      </c>
      <c r="G2663" t="s">
        <v>80</v>
      </c>
      <c r="H2663" t="s">
        <v>3913</v>
      </c>
      <c r="I2663" t="s">
        <v>3913</v>
      </c>
      <c r="J2663" t="s">
        <v>3923</v>
      </c>
      <c r="K2663" t="s">
        <v>3915</v>
      </c>
      <c r="L2663" s="13">
        <v>38804</v>
      </c>
      <c r="M2663">
        <v>17</v>
      </c>
      <c r="N2663" t="s">
        <v>90</v>
      </c>
      <c r="O2663" t="s">
        <v>3929</v>
      </c>
      <c r="P2663" t="s">
        <v>76</v>
      </c>
      <c r="Q2663" t="s">
        <v>905</v>
      </c>
      <c r="R2663" t="s">
        <v>76</v>
      </c>
      <c r="S2663" t="s">
        <v>76</v>
      </c>
      <c r="T2663" t="s">
        <v>76</v>
      </c>
      <c r="U2663">
        <v>1</v>
      </c>
      <c r="V2663" s="13">
        <v>45175</v>
      </c>
      <c r="W2663">
        <v>1</v>
      </c>
      <c r="X2663">
        <v>1</v>
      </c>
      <c r="Y2663" t="s">
        <v>3757</v>
      </c>
      <c r="AC2663">
        <v>7264</v>
      </c>
      <c r="AD2663" t="e" vm="2653">
        <v>#VALUE!</v>
      </c>
    </row>
    <row r="2664" spans="2:30" x14ac:dyDescent="0.25">
      <c r="B2664">
        <v>7265</v>
      </c>
      <c r="C2664" t="s">
        <v>3646</v>
      </c>
      <c r="D2664" t="s">
        <v>3756</v>
      </c>
      <c r="E2664" t="s">
        <v>3922</v>
      </c>
      <c r="F2664" t="s">
        <v>93</v>
      </c>
      <c r="G2664" t="s">
        <v>80</v>
      </c>
      <c r="H2664" t="s">
        <v>3913</v>
      </c>
      <c r="I2664" t="s">
        <v>3913</v>
      </c>
      <c r="J2664" t="s">
        <v>3923</v>
      </c>
      <c r="K2664" t="s">
        <v>3915</v>
      </c>
      <c r="L2664" s="13">
        <v>38814</v>
      </c>
      <c r="M2664">
        <v>17</v>
      </c>
      <c r="N2664" t="s">
        <v>90</v>
      </c>
      <c r="O2664" t="s">
        <v>3929</v>
      </c>
      <c r="P2664" t="s">
        <v>76</v>
      </c>
      <c r="Q2664" t="s">
        <v>905</v>
      </c>
      <c r="R2664" t="s">
        <v>76</v>
      </c>
      <c r="S2664" t="s">
        <v>76</v>
      </c>
      <c r="T2664" t="s">
        <v>76</v>
      </c>
      <c r="U2664">
        <v>1</v>
      </c>
      <c r="V2664" s="13">
        <v>45175</v>
      </c>
      <c r="W2664">
        <v>1</v>
      </c>
      <c r="X2664">
        <v>1</v>
      </c>
      <c r="Y2664" t="s">
        <v>3757</v>
      </c>
      <c r="AC2664">
        <v>7265</v>
      </c>
      <c r="AD2664" t="e" vm="2654">
        <v>#VALUE!</v>
      </c>
    </row>
    <row r="2665" spans="2:30" x14ac:dyDescent="0.25">
      <c r="B2665">
        <v>7266</v>
      </c>
      <c r="C2665" t="s">
        <v>3646</v>
      </c>
      <c r="D2665" t="s">
        <v>3756</v>
      </c>
      <c r="E2665" t="s">
        <v>3922</v>
      </c>
      <c r="F2665" t="s">
        <v>93</v>
      </c>
      <c r="G2665" t="s">
        <v>80</v>
      </c>
      <c r="H2665" t="s">
        <v>3913</v>
      </c>
      <c r="I2665" t="s">
        <v>3913</v>
      </c>
      <c r="J2665" t="s">
        <v>3923</v>
      </c>
      <c r="K2665" t="s">
        <v>3915</v>
      </c>
      <c r="L2665" s="13">
        <v>38854</v>
      </c>
      <c r="M2665">
        <v>17</v>
      </c>
      <c r="N2665" t="s">
        <v>90</v>
      </c>
      <c r="O2665" t="s">
        <v>3929</v>
      </c>
      <c r="P2665" t="s">
        <v>76</v>
      </c>
      <c r="Q2665" t="s">
        <v>905</v>
      </c>
      <c r="R2665" t="s">
        <v>76</v>
      </c>
      <c r="S2665" t="s">
        <v>76</v>
      </c>
      <c r="T2665" t="s">
        <v>76</v>
      </c>
      <c r="U2665">
        <v>1</v>
      </c>
      <c r="V2665" s="13">
        <v>45175</v>
      </c>
      <c r="W2665">
        <v>1</v>
      </c>
      <c r="X2665">
        <v>1</v>
      </c>
      <c r="Y2665" t="s">
        <v>3757</v>
      </c>
      <c r="AC2665">
        <v>7266</v>
      </c>
      <c r="AD2665" t="e" vm="2655">
        <v>#VALUE!</v>
      </c>
    </row>
    <row r="2666" spans="2:30" x14ac:dyDescent="0.25">
      <c r="B2666">
        <v>7267</v>
      </c>
      <c r="C2666" t="s">
        <v>3646</v>
      </c>
      <c r="D2666" t="s">
        <v>3756</v>
      </c>
      <c r="E2666" t="s">
        <v>3922</v>
      </c>
      <c r="F2666" t="s">
        <v>93</v>
      </c>
      <c r="G2666" t="s">
        <v>80</v>
      </c>
      <c r="H2666" t="s">
        <v>3913</v>
      </c>
      <c r="I2666" t="s">
        <v>3913</v>
      </c>
      <c r="J2666" t="s">
        <v>3923</v>
      </c>
      <c r="K2666" t="s">
        <v>3915</v>
      </c>
      <c r="L2666" s="13">
        <v>38867</v>
      </c>
      <c r="M2666">
        <v>17</v>
      </c>
      <c r="N2666" t="s">
        <v>90</v>
      </c>
      <c r="O2666" t="s">
        <v>3929</v>
      </c>
      <c r="P2666" t="s">
        <v>76</v>
      </c>
      <c r="Q2666" t="s">
        <v>905</v>
      </c>
      <c r="R2666" t="s">
        <v>76</v>
      </c>
      <c r="S2666" t="s">
        <v>76</v>
      </c>
      <c r="T2666" t="s">
        <v>76</v>
      </c>
      <c r="U2666">
        <v>1</v>
      </c>
      <c r="V2666" s="13">
        <v>45175</v>
      </c>
      <c r="W2666">
        <v>1</v>
      </c>
      <c r="X2666">
        <v>1</v>
      </c>
      <c r="Y2666" t="s">
        <v>3757</v>
      </c>
      <c r="AC2666">
        <v>7267</v>
      </c>
      <c r="AD2666" t="e" vm="2656">
        <v>#VALUE!</v>
      </c>
    </row>
    <row r="2667" spans="2:30" x14ac:dyDescent="0.25">
      <c r="B2667">
        <v>7268</v>
      </c>
      <c r="C2667" t="s">
        <v>3646</v>
      </c>
      <c r="D2667" t="s">
        <v>3756</v>
      </c>
      <c r="E2667" t="s">
        <v>3922</v>
      </c>
      <c r="F2667" t="s">
        <v>93</v>
      </c>
      <c r="G2667" t="s">
        <v>80</v>
      </c>
      <c r="H2667" t="s">
        <v>3913</v>
      </c>
      <c r="I2667" t="s">
        <v>3913</v>
      </c>
      <c r="J2667" t="s">
        <v>3923</v>
      </c>
      <c r="K2667" t="s">
        <v>3915</v>
      </c>
      <c r="L2667" s="13">
        <v>38887</v>
      </c>
      <c r="M2667">
        <v>17</v>
      </c>
      <c r="N2667" t="s">
        <v>90</v>
      </c>
      <c r="O2667" t="s">
        <v>3929</v>
      </c>
      <c r="P2667" t="s">
        <v>76</v>
      </c>
      <c r="Q2667" t="s">
        <v>905</v>
      </c>
      <c r="R2667" t="s">
        <v>76</v>
      </c>
      <c r="S2667" t="s">
        <v>76</v>
      </c>
      <c r="T2667" t="s">
        <v>76</v>
      </c>
      <c r="U2667">
        <v>1</v>
      </c>
      <c r="V2667" s="13">
        <v>45175</v>
      </c>
      <c r="W2667">
        <v>1</v>
      </c>
      <c r="X2667">
        <v>1</v>
      </c>
      <c r="Y2667" t="s">
        <v>3757</v>
      </c>
      <c r="AC2667">
        <v>7268</v>
      </c>
      <c r="AD2667" t="e" vm="2657">
        <v>#VALUE!</v>
      </c>
    </row>
    <row r="2668" spans="2:30" x14ac:dyDescent="0.25">
      <c r="B2668">
        <v>7269</v>
      </c>
      <c r="C2668" t="s">
        <v>3646</v>
      </c>
      <c r="D2668" t="s">
        <v>3756</v>
      </c>
      <c r="E2668" t="s">
        <v>3922</v>
      </c>
      <c r="F2668" t="s">
        <v>93</v>
      </c>
      <c r="G2668" t="s">
        <v>80</v>
      </c>
      <c r="H2668" t="s">
        <v>3913</v>
      </c>
      <c r="I2668" t="s">
        <v>3913</v>
      </c>
      <c r="J2668" t="s">
        <v>3923</v>
      </c>
      <c r="K2668" t="s">
        <v>3915</v>
      </c>
      <c r="L2668" s="13">
        <v>38898</v>
      </c>
      <c r="M2668">
        <v>17</v>
      </c>
      <c r="N2668" t="s">
        <v>90</v>
      </c>
      <c r="O2668" t="s">
        <v>3929</v>
      </c>
      <c r="P2668" t="s">
        <v>76</v>
      </c>
      <c r="Q2668" t="s">
        <v>905</v>
      </c>
      <c r="R2668" t="s">
        <v>76</v>
      </c>
      <c r="S2668" t="s">
        <v>76</v>
      </c>
      <c r="T2668" t="s">
        <v>76</v>
      </c>
      <c r="U2668">
        <v>1</v>
      </c>
      <c r="V2668" s="13">
        <v>45175</v>
      </c>
      <c r="W2668">
        <v>1</v>
      </c>
      <c r="X2668">
        <v>1</v>
      </c>
      <c r="Y2668" t="s">
        <v>3757</v>
      </c>
      <c r="AC2668">
        <v>7269</v>
      </c>
      <c r="AD2668" t="e" vm="2658">
        <v>#VALUE!</v>
      </c>
    </row>
    <row r="2669" spans="2:30" x14ac:dyDescent="0.25">
      <c r="B2669">
        <v>7270</v>
      </c>
      <c r="C2669" t="s">
        <v>3646</v>
      </c>
      <c r="D2669" t="s">
        <v>3756</v>
      </c>
      <c r="E2669" t="s">
        <v>3922</v>
      </c>
      <c r="F2669" t="s">
        <v>93</v>
      </c>
      <c r="G2669" t="s">
        <v>80</v>
      </c>
      <c r="H2669" t="s">
        <v>3913</v>
      </c>
      <c r="I2669" t="s">
        <v>3913</v>
      </c>
      <c r="J2669" t="s">
        <v>3923</v>
      </c>
      <c r="K2669" t="s">
        <v>3915</v>
      </c>
      <c r="L2669" s="13">
        <v>38915</v>
      </c>
      <c r="M2669">
        <v>17</v>
      </c>
      <c r="N2669" t="s">
        <v>90</v>
      </c>
      <c r="O2669" t="s">
        <v>3929</v>
      </c>
      <c r="P2669" t="s">
        <v>76</v>
      </c>
      <c r="Q2669" t="s">
        <v>905</v>
      </c>
      <c r="R2669" t="s">
        <v>76</v>
      </c>
      <c r="S2669" t="s">
        <v>76</v>
      </c>
      <c r="T2669" t="s">
        <v>76</v>
      </c>
      <c r="U2669">
        <v>1</v>
      </c>
      <c r="V2669" s="13">
        <v>45175</v>
      </c>
      <c r="W2669">
        <v>1</v>
      </c>
      <c r="X2669">
        <v>1</v>
      </c>
      <c r="Y2669" t="s">
        <v>3757</v>
      </c>
      <c r="AC2669">
        <v>7270</v>
      </c>
      <c r="AD2669" t="e" vm="2659">
        <v>#VALUE!</v>
      </c>
    </row>
    <row r="2670" spans="2:30" x14ac:dyDescent="0.25">
      <c r="B2670">
        <v>7271</v>
      </c>
      <c r="C2670" t="s">
        <v>3646</v>
      </c>
      <c r="D2670" t="s">
        <v>3756</v>
      </c>
      <c r="E2670" t="s">
        <v>3922</v>
      </c>
      <c r="F2670" t="s">
        <v>93</v>
      </c>
      <c r="G2670" t="s">
        <v>80</v>
      </c>
      <c r="H2670" t="s">
        <v>3913</v>
      </c>
      <c r="I2670" t="s">
        <v>3913</v>
      </c>
      <c r="J2670" t="s">
        <v>3923</v>
      </c>
      <c r="K2670" t="s">
        <v>3915</v>
      </c>
      <c r="L2670" s="13">
        <v>39051</v>
      </c>
      <c r="M2670">
        <v>17</v>
      </c>
      <c r="N2670" t="s">
        <v>90</v>
      </c>
      <c r="O2670" t="s">
        <v>3929</v>
      </c>
      <c r="P2670" t="s">
        <v>76</v>
      </c>
      <c r="Q2670" t="s">
        <v>905</v>
      </c>
      <c r="R2670" t="s">
        <v>76</v>
      </c>
      <c r="S2670" t="s">
        <v>76</v>
      </c>
      <c r="T2670" t="s">
        <v>76</v>
      </c>
      <c r="U2670">
        <v>1</v>
      </c>
      <c r="V2670" s="13">
        <v>45175</v>
      </c>
      <c r="W2670">
        <v>1</v>
      </c>
      <c r="X2670">
        <v>1</v>
      </c>
      <c r="Y2670" t="s">
        <v>3757</v>
      </c>
      <c r="AC2670">
        <v>7271</v>
      </c>
      <c r="AD2670" t="e" vm="2660">
        <v>#VALUE!</v>
      </c>
    </row>
    <row r="2671" spans="2:30" x14ac:dyDescent="0.25">
      <c r="B2671">
        <v>7272</v>
      </c>
      <c r="C2671" t="s">
        <v>3646</v>
      </c>
      <c r="D2671" t="s">
        <v>3756</v>
      </c>
      <c r="E2671" t="s">
        <v>3919</v>
      </c>
      <c r="F2671" t="s">
        <v>89</v>
      </c>
      <c r="G2671" t="s">
        <v>80</v>
      </c>
      <c r="H2671" t="s">
        <v>3913</v>
      </c>
      <c r="I2671" t="s">
        <v>3913</v>
      </c>
      <c r="J2671" t="s">
        <v>3923</v>
      </c>
      <c r="K2671" t="s">
        <v>3915</v>
      </c>
      <c r="L2671" s="13">
        <v>41255</v>
      </c>
      <c r="M2671">
        <v>11</v>
      </c>
      <c r="N2671" t="s">
        <v>90</v>
      </c>
      <c r="O2671" t="s">
        <v>3929</v>
      </c>
      <c r="P2671" t="s">
        <v>76</v>
      </c>
      <c r="Q2671" t="s">
        <v>905</v>
      </c>
      <c r="R2671" t="s">
        <v>76</v>
      </c>
      <c r="S2671" t="s">
        <v>76</v>
      </c>
      <c r="T2671" t="s">
        <v>76</v>
      </c>
      <c r="U2671">
        <v>1</v>
      </c>
      <c r="V2671" s="13">
        <v>45175</v>
      </c>
      <c r="W2671">
        <v>1</v>
      </c>
      <c r="X2671">
        <v>1</v>
      </c>
      <c r="Y2671" t="s">
        <v>3757</v>
      </c>
      <c r="AC2671">
        <v>7272</v>
      </c>
      <c r="AD2671" t="e" vm="2661">
        <v>#VALUE!</v>
      </c>
    </row>
    <row r="2672" spans="2:30" x14ac:dyDescent="0.25">
      <c r="B2672">
        <v>7273</v>
      </c>
      <c r="C2672" t="s">
        <v>3646</v>
      </c>
      <c r="D2672" t="s">
        <v>3756</v>
      </c>
      <c r="E2672" t="s">
        <v>3919</v>
      </c>
      <c r="F2672" t="s">
        <v>89</v>
      </c>
      <c r="G2672" t="s">
        <v>80</v>
      </c>
      <c r="H2672" t="s">
        <v>3913</v>
      </c>
      <c r="I2672" t="s">
        <v>3913</v>
      </c>
      <c r="J2672" t="s">
        <v>3923</v>
      </c>
      <c r="K2672" t="s">
        <v>3915</v>
      </c>
      <c r="L2672" s="13">
        <v>41011</v>
      </c>
      <c r="M2672">
        <v>11</v>
      </c>
      <c r="N2672" t="s">
        <v>90</v>
      </c>
      <c r="O2672" t="s">
        <v>3929</v>
      </c>
      <c r="P2672" t="s">
        <v>76</v>
      </c>
      <c r="Q2672" t="s">
        <v>905</v>
      </c>
      <c r="R2672" t="s">
        <v>76</v>
      </c>
      <c r="S2672" t="s">
        <v>76</v>
      </c>
      <c r="T2672" t="s">
        <v>76</v>
      </c>
      <c r="U2672">
        <v>1</v>
      </c>
      <c r="V2672" s="13">
        <v>45175</v>
      </c>
      <c r="W2672">
        <v>1</v>
      </c>
      <c r="X2672">
        <v>1</v>
      </c>
      <c r="Y2672" t="s">
        <v>3757</v>
      </c>
      <c r="AC2672">
        <v>7273</v>
      </c>
      <c r="AD2672" t="e" vm="2662">
        <v>#VALUE!</v>
      </c>
    </row>
    <row r="2673" spans="2:30" x14ac:dyDescent="0.25">
      <c r="B2673">
        <v>7274</v>
      </c>
      <c r="C2673" t="s">
        <v>3646</v>
      </c>
      <c r="D2673" t="s">
        <v>3756</v>
      </c>
      <c r="E2673" t="s">
        <v>3919</v>
      </c>
      <c r="F2673" t="s">
        <v>89</v>
      </c>
      <c r="G2673" t="s">
        <v>80</v>
      </c>
      <c r="H2673" t="s">
        <v>3913</v>
      </c>
      <c r="I2673" t="s">
        <v>3913</v>
      </c>
      <c r="J2673" t="s">
        <v>3923</v>
      </c>
      <c r="K2673" t="s">
        <v>3915</v>
      </c>
      <c r="L2673" s="13">
        <v>41060</v>
      </c>
      <c r="M2673">
        <v>11</v>
      </c>
      <c r="N2673" t="s">
        <v>90</v>
      </c>
      <c r="O2673" t="s">
        <v>3929</v>
      </c>
      <c r="P2673" t="s">
        <v>76</v>
      </c>
      <c r="Q2673" t="s">
        <v>905</v>
      </c>
      <c r="R2673" t="s">
        <v>76</v>
      </c>
      <c r="S2673" t="s">
        <v>76</v>
      </c>
      <c r="T2673" t="s">
        <v>76</v>
      </c>
      <c r="U2673">
        <v>1</v>
      </c>
      <c r="V2673" s="13">
        <v>45175</v>
      </c>
      <c r="W2673">
        <v>1</v>
      </c>
      <c r="X2673">
        <v>1</v>
      </c>
      <c r="Y2673" t="s">
        <v>3757</v>
      </c>
      <c r="AC2673">
        <v>7274</v>
      </c>
      <c r="AD2673" t="e" vm="2663">
        <v>#VALUE!</v>
      </c>
    </row>
    <row r="2674" spans="2:30" x14ac:dyDescent="0.25">
      <c r="B2674">
        <v>7275</v>
      </c>
      <c r="C2674" t="s">
        <v>3646</v>
      </c>
      <c r="D2674" t="s">
        <v>3756</v>
      </c>
      <c r="E2674" t="s">
        <v>3919</v>
      </c>
      <c r="F2674" t="s">
        <v>89</v>
      </c>
      <c r="G2674" t="s">
        <v>80</v>
      </c>
      <c r="H2674" t="s">
        <v>3913</v>
      </c>
      <c r="I2674" t="s">
        <v>3913</v>
      </c>
      <c r="J2674" t="s">
        <v>3923</v>
      </c>
      <c r="K2674" t="s">
        <v>3915</v>
      </c>
      <c r="L2674" s="13">
        <v>41264</v>
      </c>
      <c r="M2674">
        <v>11</v>
      </c>
      <c r="N2674" t="s">
        <v>90</v>
      </c>
      <c r="O2674" t="s">
        <v>3929</v>
      </c>
      <c r="P2674" t="s">
        <v>76</v>
      </c>
      <c r="Q2674" t="s">
        <v>905</v>
      </c>
      <c r="R2674" t="s">
        <v>76</v>
      </c>
      <c r="S2674" t="s">
        <v>76</v>
      </c>
      <c r="T2674" t="s">
        <v>76</v>
      </c>
      <c r="U2674">
        <v>1</v>
      </c>
      <c r="V2674" s="13">
        <v>45175</v>
      </c>
      <c r="W2674">
        <v>1</v>
      </c>
      <c r="X2674">
        <v>1</v>
      </c>
      <c r="Y2674" t="s">
        <v>3757</v>
      </c>
      <c r="AC2674">
        <v>7275</v>
      </c>
      <c r="AD2674" t="e" vm="2664">
        <v>#VALUE!</v>
      </c>
    </row>
    <row r="2675" spans="2:30" x14ac:dyDescent="0.25">
      <c r="B2675">
        <v>7276</v>
      </c>
      <c r="C2675" t="s">
        <v>3646</v>
      </c>
      <c r="D2675" t="s">
        <v>3756</v>
      </c>
      <c r="E2675" t="s">
        <v>3919</v>
      </c>
      <c r="F2675" t="s">
        <v>89</v>
      </c>
      <c r="G2675" t="s">
        <v>80</v>
      </c>
      <c r="H2675" t="s">
        <v>3913</v>
      </c>
      <c r="I2675" t="s">
        <v>3913</v>
      </c>
      <c r="J2675" t="s">
        <v>3923</v>
      </c>
      <c r="K2675" t="s">
        <v>3915</v>
      </c>
      <c r="L2675" s="13">
        <v>41107</v>
      </c>
      <c r="M2675">
        <v>11</v>
      </c>
      <c r="N2675" t="s">
        <v>90</v>
      </c>
      <c r="O2675" t="s">
        <v>3929</v>
      </c>
      <c r="P2675" t="s">
        <v>76</v>
      </c>
      <c r="Q2675" t="s">
        <v>905</v>
      </c>
      <c r="R2675" t="s">
        <v>76</v>
      </c>
      <c r="S2675" t="s">
        <v>76</v>
      </c>
      <c r="T2675" t="s">
        <v>76</v>
      </c>
      <c r="U2675">
        <v>1</v>
      </c>
      <c r="V2675" s="13">
        <v>45175</v>
      </c>
      <c r="W2675">
        <v>1</v>
      </c>
      <c r="X2675">
        <v>1</v>
      </c>
      <c r="Y2675" t="s">
        <v>3757</v>
      </c>
      <c r="AC2675">
        <v>7276</v>
      </c>
      <c r="AD2675" t="e" vm="2665">
        <v>#VALUE!</v>
      </c>
    </row>
    <row r="2676" spans="2:30" x14ac:dyDescent="0.25">
      <c r="B2676">
        <v>7277</v>
      </c>
      <c r="C2676" t="s">
        <v>3646</v>
      </c>
      <c r="D2676" t="s">
        <v>3756</v>
      </c>
      <c r="E2676" t="s">
        <v>3919</v>
      </c>
      <c r="F2676" t="s">
        <v>89</v>
      </c>
      <c r="G2676" t="s">
        <v>80</v>
      </c>
      <c r="H2676" t="s">
        <v>3913</v>
      </c>
      <c r="I2676" t="s">
        <v>3913</v>
      </c>
      <c r="J2676" t="s">
        <v>3923</v>
      </c>
      <c r="K2676" t="s">
        <v>3915</v>
      </c>
      <c r="L2676" s="13">
        <v>41243</v>
      </c>
      <c r="M2676">
        <v>11</v>
      </c>
      <c r="N2676" t="s">
        <v>90</v>
      </c>
      <c r="O2676" t="s">
        <v>3929</v>
      </c>
      <c r="P2676" t="s">
        <v>76</v>
      </c>
      <c r="Q2676" t="s">
        <v>905</v>
      </c>
      <c r="R2676" t="s">
        <v>76</v>
      </c>
      <c r="S2676" t="s">
        <v>76</v>
      </c>
      <c r="T2676" t="s">
        <v>76</v>
      </c>
      <c r="U2676">
        <v>1</v>
      </c>
      <c r="V2676" s="13">
        <v>45175</v>
      </c>
      <c r="W2676">
        <v>1</v>
      </c>
      <c r="X2676">
        <v>1</v>
      </c>
      <c r="Y2676" t="s">
        <v>3757</v>
      </c>
      <c r="AC2676">
        <v>7277</v>
      </c>
      <c r="AD2676" t="e" vm="2666">
        <v>#VALUE!</v>
      </c>
    </row>
    <row r="2677" spans="2:30" x14ac:dyDescent="0.25">
      <c r="B2677">
        <v>7278</v>
      </c>
      <c r="C2677" t="s">
        <v>3646</v>
      </c>
      <c r="D2677" t="s">
        <v>3756</v>
      </c>
      <c r="E2677" t="s">
        <v>3919</v>
      </c>
      <c r="F2677" t="s">
        <v>89</v>
      </c>
      <c r="G2677" t="s">
        <v>80</v>
      </c>
      <c r="H2677" t="s">
        <v>3913</v>
      </c>
      <c r="I2677" t="s">
        <v>3913</v>
      </c>
      <c r="J2677" t="s">
        <v>3923</v>
      </c>
      <c r="K2677" t="s">
        <v>3915</v>
      </c>
      <c r="L2677" s="13">
        <v>41158</v>
      </c>
      <c r="M2677">
        <v>11</v>
      </c>
      <c r="N2677" t="s">
        <v>90</v>
      </c>
      <c r="O2677" t="s">
        <v>3929</v>
      </c>
      <c r="P2677" t="s">
        <v>76</v>
      </c>
      <c r="Q2677" t="s">
        <v>905</v>
      </c>
      <c r="R2677" t="s">
        <v>76</v>
      </c>
      <c r="S2677" t="s">
        <v>76</v>
      </c>
      <c r="T2677" t="s">
        <v>76</v>
      </c>
      <c r="U2677">
        <v>1</v>
      </c>
      <c r="V2677" s="13">
        <v>45175</v>
      </c>
      <c r="W2677">
        <v>1</v>
      </c>
      <c r="X2677">
        <v>1</v>
      </c>
      <c r="Y2677" t="s">
        <v>3757</v>
      </c>
      <c r="AC2677">
        <v>7278</v>
      </c>
      <c r="AD2677" t="e" vm="2667">
        <v>#VALUE!</v>
      </c>
    </row>
    <row r="2678" spans="2:30" x14ac:dyDescent="0.25">
      <c r="B2678">
        <v>7279</v>
      </c>
      <c r="C2678" t="s">
        <v>3646</v>
      </c>
      <c r="D2678" t="s">
        <v>3756</v>
      </c>
      <c r="E2678" t="s">
        <v>3919</v>
      </c>
      <c r="F2678" t="s">
        <v>89</v>
      </c>
      <c r="G2678" t="s">
        <v>80</v>
      </c>
      <c r="H2678" t="s">
        <v>3913</v>
      </c>
      <c r="I2678" t="s">
        <v>3913</v>
      </c>
      <c r="J2678" t="s">
        <v>3923</v>
      </c>
      <c r="K2678" t="s">
        <v>3915</v>
      </c>
      <c r="L2678" s="13">
        <v>41171</v>
      </c>
      <c r="M2678">
        <v>11</v>
      </c>
      <c r="N2678" t="s">
        <v>90</v>
      </c>
      <c r="O2678" t="s">
        <v>3929</v>
      </c>
      <c r="P2678" t="s">
        <v>76</v>
      </c>
      <c r="Q2678" t="s">
        <v>905</v>
      </c>
      <c r="R2678" t="s">
        <v>76</v>
      </c>
      <c r="S2678" t="s">
        <v>76</v>
      </c>
      <c r="T2678" t="s">
        <v>76</v>
      </c>
      <c r="U2678">
        <v>1</v>
      </c>
      <c r="V2678" s="13">
        <v>45175</v>
      </c>
      <c r="W2678">
        <v>1</v>
      </c>
      <c r="X2678">
        <v>1</v>
      </c>
      <c r="Y2678" t="s">
        <v>3757</v>
      </c>
      <c r="AC2678">
        <v>7279</v>
      </c>
      <c r="AD2678" t="e" vm="2668">
        <v>#VALUE!</v>
      </c>
    </row>
    <row r="2679" spans="2:30" x14ac:dyDescent="0.25">
      <c r="B2679">
        <v>7280</v>
      </c>
      <c r="C2679" t="s">
        <v>3646</v>
      </c>
      <c r="D2679" t="s">
        <v>3756</v>
      </c>
      <c r="E2679" t="s">
        <v>3919</v>
      </c>
      <c r="F2679" t="s">
        <v>89</v>
      </c>
      <c r="G2679" t="s">
        <v>80</v>
      </c>
      <c r="H2679" t="s">
        <v>3913</v>
      </c>
      <c r="I2679" t="s">
        <v>3913</v>
      </c>
      <c r="J2679" t="s">
        <v>3923</v>
      </c>
      <c r="K2679" t="s">
        <v>3915</v>
      </c>
      <c r="L2679" s="13">
        <v>41187</v>
      </c>
      <c r="M2679">
        <v>11</v>
      </c>
      <c r="N2679" t="s">
        <v>90</v>
      </c>
      <c r="O2679" t="s">
        <v>3929</v>
      </c>
      <c r="P2679" t="s">
        <v>76</v>
      </c>
      <c r="Q2679" t="s">
        <v>905</v>
      </c>
      <c r="R2679" t="s">
        <v>76</v>
      </c>
      <c r="S2679" t="s">
        <v>76</v>
      </c>
      <c r="T2679" t="s">
        <v>76</v>
      </c>
      <c r="U2679">
        <v>1</v>
      </c>
      <c r="V2679" s="13">
        <v>45175</v>
      </c>
      <c r="W2679">
        <v>1</v>
      </c>
      <c r="X2679">
        <v>1</v>
      </c>
      <c r="Y2679" t="s">
        <v>3757</v>
      </c>
      <c r="AC2679">
        <v>7280</v>
      </c>
      <c r="AD2679" t="e" vm="2669">
        <v>#VALUE!</v>
      </c>
    </row>
    <row r="2680" spans="2:30" x14ac:dyDescent="0.25">
      <c r="B2680">
        <v>7281</v>
      </c>
      <c r="C2680" t="s">
        <v>3646</v>
      </c>
      <c r="D2680" t="s">
        <v>3756</v>
      </c>
      <c r="E2680" t="s">
        <v>3919</v>
      </c>
      <c r="F2680" t="s">
        <v>89</v>
      </c>
      <c r="G2680" t="s">
        <v>80</v>
      </c>
      <c r="H2680" t="s">
        <v>3913</v>
      </c>
      <c r="I2680" t="s">
        <v>3913</v>
      </c>
      <c r="J2680" t="s">
        <v>3923</v>
      </c>
      <c r="K2680" t="s">
        <v>3915</v>
      </c>
      <c r="L2680" s="13">
        <v>41220</v>
      </c>
      <c r="M2680">
        <v>11</v>
      </c>
      <c r="N2680" t="s">
        <v>90</v>
      </c>
      <c r="O2680" t="s">
        <v>3929</v>
      </c>
      <c r="P2680" t="s">
        <v>76</v>
      </c>
      <c r="Q2680" t="s">
        <v>905</v>
      </c>
      <c r="R2680" t="s">
        <v>76</v>
      </c>
      <c r="S2680" t="s">
        <v>76</v>
      </c>
      <c r="T2680" t="s">
        <v>76</v>
      </c>
      <c r="U2680">
        <v>1</v>
      </c>
      <c r="V2680" s="13">
        <v>45175</v>
      </c>
      <c r="W2680">
        <v>1</v>
      </c>
      <c r="X2680">
        <v>1</v>
      </c>
      <c r="Y2680" t="s">
        <v>3757</v>
      </c>
      <c r="AC2680">
        <v>7281</v>
      </c>
      <c r="AD2680" t="e" vm="2670">
        <v>#VALUE!</v>
      </c>
    </row>
    <row r="2681" spans="2:30" x14ac:dyDescent="0.25">
      <c r="B2681">
        <v>7282</v>
      </c>
      <c r="C2681" t="s">
        <v>3646</v>
      </c>
      <c r="D2681" t="s">
        <v>3756</v>
      </c>
      <c r="E2681" t="s">
        <v>3919</v>
      </c>
      <c r="F2681" t="s">
        <v>89</v>
      </c>
      <c r="G2681" t="s">
        <v>80</v>
      </c>
      <c r="H2681" t="s">
        <v>3913</v>
      </c>
      <c r="I2681" t="s">
        <v>3913</v>
      </c>
      <c r="J2681" t="s">
        <v>3923</v>
      </c>
      <c r="K2681" t="s">
        <v>3915</v>
      </c>
      <c r="L2681" s="13">
        <v>41220</v>
      </c>
      <c r="M2681">
        <v>11</v>
      </c>
      <c r="N2681" t="s">
        <v>90</v>
      </c>
      <c r="O2681" t="s">
        <v>3929</v>
      </c>
      <c r="P2681" t="s">
        <v>76</v>
      </c>
      <c r="Q2681" t="s">
        <v>905</v>
      </c>
      <c r="R2681" t="s">
        <v>76</v>
      </c>
      <c r="S2681" t="s">
        <v>76</v>
      </c>
      <c r="T2681" t="s">
        <v>76</v>
      </c>
      <c r="U2681">
        <v>1</v>
      </c>
      <c r="V2681" s="13">
        <v>45175</v>
      </c>
      <c r="W2681">
        <v>1</v>
      </c>
      <c r="X2681">
        <v>1</v>
      </c>
      <c r="Y2681" t="s">
        <v>3757</v>
      </c>
      <c r="AC2681">
        <v>7282</v>
      </c>
      <c r="AD2681" t="e" vm="2671">
        <v>#VALUE!</v>
      </c>
    </row>
    <row r="2682" spans="2:30" x14ac:dyDescent="0.25">
      <c r="B2682">
        <v>7283</v>
      </c>
      <c r="C2682" t="s">
        <v>3646</v>
      </c>
      <c r="D2682" t="s">
        <v>3756</v>
      </c>
      <c r="E2682" t="s">
        <v>3919</v>
      </c>
      <c r="F2682" t="s">
        <v>89</v>
      </c>
      <c r="G2682" t="s">
        <v>80</v>
      </c>
      <c r="H2682" t="s">
        <v>3913</v>
      </c>
      <c r="I2682" t="s">
        <v>3913</v>
      </c>
      <c r="J2682" t="s">
        <v>3923</v>
      </c>
      <c r="K2682" t="s">
        <v>3915</v>
      </c>
      <c r="L2682" s="13">
        <v>41222</v>
      </c>
      <c r="M2682">
        <v>11</v>
      </c>
      <c r="N2682" t="s">
        <v>90</v>
      </c>
      <c r="O2682" t="s">
        <v>3929</v>
      </c>
      <c r="P2682" t="s">
        <v>76</v>
      </c>
      <c r="Q2682" t="s">
        <v>905</v>
      </c>
      <c r="R2682" t="s">
        <v>76</v>
      </c>
      <c r="S2682" t="s">
        <v>76</v>
      </c>
      <c r="T2682" t="s">
        <v>76</v>
      </c>
      <c r="U2682">
        <v>1</v>
      </c>
      <c r="V2682" s="13">
        <v>45175</v>
      </c>
      <c r="W2682">
        <v>1</v>
      </c>
      <c r="X2682">
        <v>1</v>
      </c>
      <c r="Y2682" t="s">
        <v>3757</v>
      </c>
      <c r="AC2682">
        <v>7283</v>
      </c>
      <c r="AD2682" t="e" vm="2672">
        <v>#VALUE!</v>
      </c>
    </row>
    <row r="2683" spans="2:30" x14ac:dyDescent="0.25">
      <c r="B2683">
        <v>7284</v>
      </c>
      <c r="C2683" t="s">
        <v>3646</v>
      </c>
      <c r="D2683" t="s">
        <v>3756</v>
      </c>
      <c r="E2683" t="s">
        <v>3919</v>
      </c>
      <c r="F2683" t="s">
        <v>89</v>
      </c>
      <c r="G2683" t="s">
        <v>80</v>
      </c>
      <c r="H2683" t="s">
        <v>3913</v>
      </c>
      <c r="I2683" t="s">
        <v>3913</v>
      </c>
      <c r="J2683" t="s">
        <v>3923</v>
      </c>
      <c r="K2683" t="s">
        <v>3915</v>
      </c>
      <c r="L2683" s="13">
        <v>41234</v>
      </c>
      <c r="M2683">
        <v>11</v>
      </c>
      <c r="N2683" t="s">
        <v>90</v>
      </c>
      <c r="O2683" t="s">
        <v>3929</v>
      </c>
      <c r="P2683" t="s">
        <v>76</v>
      </c>
      <c r="Q2683" t="s">
        <v>905</v>
      </c>
      <c r="R2683" t="s">
        <v>76</v>
      </c>
      <c r="S2683" t="s">
        <v>76</v>
      </c>
      <c r="T2683" t="s">
        <v>76</v>
      </c>
      <c r="U2683">
        <v>1</v>
      </c>
      <c r="V2683" s="13">
        <v>45175</v>
      </c>
      <c r="W2683">
        <v>1</v>
      </c>
      <c r="X2683">
        <v>1</v>
      </c>
      <c r="Y2683" t="s">
        <v>3757</v>
      </c>
      <c r="AC2683">
        <v>7284</v>
      </c>
      <c r="AD2683" t="e" vm="2673">
        <v>#VALUE!</v>
      </c>
    </row>
    <row r="2684" spans="2:30" x14ac:dyDescent="0.25">
      <c r="B2684">
        <v>7301</v>
      </c>
      <c r="C2684" t="s">
        <v>3646</v>
      </c>
      <c r="D2684" t="s">
        <v>3756</v>
      </c>
      <c r="E2684" t="s">
        <v>3919</v>
      </c>
      <c r="F2684" t="s">
        <v>89</v>
      </c>
      <c r="G2684" t="s">
        <v>80</v>
      </c>
      <c r="H2684" t="s">
        <v>3913</v>
      </c>
      <c r="I2684" t="s">
        <v>3913</v>
      </c>
      <c r="J2684" t="s">
        <v>3925</v>
      </c>
      <c r="K2684" t="s">
        <v>905</v>
      </c>
      <c r="L2684" s="13">
        <v>42181</v>
      </c>
      <c r="M2684">
        <v>8</v>
      </c>
      <c r="N2684" t="s">
        <v>90</v>
      </c>
      <c r="O2684" t="s">
        <v>3926</v>
      </c>
      <c r="P2684" t="s">
        <v>76</v>
      </c>
      <c r="Q2684" t="s">
        <v>905</v>
      </c>
      <c r="R2684" t="s">
        <v>76</v>
      </c>
      <c r="S2684" t="s">
        <v>76</v>
      </c>
      <c r="T2684" t="s">
        <v>76</v>
      </c>
      <c r="U2684">
        <v>1</v>
      </c>
      <c r="V2684" s="13">
        <v>45175</v>
      </c>
      <c r="W2684">
        <v>1</v>
      </c>
      <c r="X2684">
        <v>1</v>
      </c>
      <c r="Y2684" t="s">
        <v>3757</v>
      </c>
      <c r="AC2684">
        <v>7301</v>
      </c>
      <c r="AD2684" t="e" vm="2674">
        <v>#VALUE!</v>
      </c>
    </row>
    <row r="2685" spans="2:30" x14ac:dyDescent="0.25">
      <c r="B2685">
        <v>7302</v>
      </c>
      <c r="C2685" t="s">
        <v>3646</v>
      </c>
      <c r="D2685" t="s">
        <v>3756</v>
      </c>
      <c r="E2685" t="s">
        <v>3919</v>
      </c>
      <c r="F2685" t="s">
        <v>89</v>
      </c>
      <c r="G2685" t="s">
        <v>80</v>
      </c>
      <c r="H2685" t="s">
        <v>3913</v>
      </c>
      <c r="I2685" t="s">
        <v>3913</v>
      </c>
      <c r="J2685" t="s">
        <v>3925</v>
      </c>
      <c r="K2685" t="s">
        <v>905</v>
      </c>
      <c r="L2685" s="13">
        <v>42158</v>
      </c>
      <c r="M2685">
        <v>8</v>
      </c>
      <c r="N2685" t="s">
        <v>90</v>
      </c>
      <c r="O2685" t="s">
        <v>3926</v>
      </c>
      <c r="P2685" t="s">
        <v>76</v>
      </c>
      <c r="Q2685" t="s">
        <v>905</v>
      </c>
      <c r="R2685" t="s">
        <v>76</v>
      </c>
      <c r="S2685" t="s">
        <v>76</v>
      </c>
      <c r="T2685" t="s">
        <v>76</v>
      </c>
      <c r="U2685">
        <v>1</v>
      </c>
      <c r="V2685" s="13">
        <v>45175</v>
      </c>
      <c r="W2685">
        <v>1</v>
      </c>
      <c r="X2685">
        <v>1</v>
      </c>
      <c r="Y2685" t="s">
        <v>3757</v>
      </c>
      <c r="AC2685">
        <v>7302</v>
      </c>
      <c r="AD2685" t="e" vm="2675">
        <v>#VALUE!</v>
      </c>
    </row>
    <row r="2686" spans="2:30" x14ac:dyDescent="0.25">
      <c r="B2686">
        <v>7303</v>
      </c>
      <c r="C2686" t="s">
        <v>3646</v>
      </c>
      <c r="D2686" t="s">
        <v>3756</v>
      </c>
      <c r="E2686" t="s">
        <v>3919</v>
      </c>
      <c r="F2686" t="s">
        <v>89</v>
      </c>
      <c r="G2686" t="s">
        <v>80</v>
      </c>
      <c r="H2686" t="s">
        <v>3913</v>
      </c>
      <c r="I2686" t="s">
        <v>3913</v>
      </c>
      <c r="J2686" t="s">
        <v>3925</v>
      </c>
      <c r="K2686" t="s">
        <v>905</v>
      </c>
      <c r="L2686" s="13">
        <v>42173</v>
      </c>
      <c r="M2686">
        <v>8</v>
      </c>
      <c r="N2686" t="s">
        <v>90</v>
      </c>
      <c r="O2686" t="s">
        <v>3926</v>
      </c>
      <c r="P2686" t="s">
        <v>76</v>
      </c>
      <c r="Q2686" t="s">
        <v>905</v>
      </c>
      <c r="R2686" t="s">
        <v>76</v>
      </c>
      <c r="S2686" t="s">
        <v>76</v>
      </c>
      <c r="T2686" t="s">
        <v>76</v>
      </c>
      <c r="U2686">
        <v>1</v>
      </c>
      <c r="V2686" s="13">
        <v>45175</v>
      </c>
      <c r="W2686">
        <v>1</v>
      </c>
      <c r="X2686">
        <v>1</v>
      </c>
      <c r="Y2686" t="s">
        <v>3757</v>
      </c>
      <c r="AC2686">
        <v>7303</v>
      </c>
      <c r="AD2686" t="e" vm="2676">
        <v>#VALUE!</v>
      </c>
    </row>
    <row r="2687" spans="2:30" x14ac:dyDescent="0.25">
      <c r="B2687">
        <v>7304</v>
      </c>
      <c r="C2687" t="s">
        <v>3646</v>
      </c>
      <c r="D2687" t="s">
        <v>3756</v>
      </c>
      <c r="E2687" t="s">
        <v>3919</v>
      </c>
      <c r="F2687" t="s">
        <v>89</v>
      </c>
      <c r="G2687" t="s">
        <v>80</v>
      </c>
      <c r="H2687" t="s">
        <v>3913</v>
      </c>
      <c r="I2687" t="s">
        <v>3913</v>
      </c>
      <c r="J2687" t="s">
        <v>3925</v>
      </c>
      <c r="K2687" t="s">
        <v>905</v>
      </c>
      <c r="L2687" s="13">
        <v>42181</v>
      </c>
      <c r="M2687">
        <v>8</v>
      </c>
      <c r="N2687" t="s">
        <v>90</v>
      </c>
      <c r="O2687" t="s">
        <v>3926</v>
      </c>
      <c r="P2687" t="s">
        <v>76</v>
      </c>
      <c r="Q2687" t="s">
        <v>905</v>
      </c>
      <c r="R2687" t="s">
        <v>76</v>
      </c>
      <c r="S2687" t="s">
        <v>76</v>
      </c>
      <c r="T2687" t="s">
        <v>76</v>
      </c>
      <c r="U2687">
        <v>1</v>
      </c>
      <c r="V2687" s="13">
        <v>45175</v>
      </c>
      <c r="W2687">
        <v>1</v>
      </c>
      <c r="X2687">
        <v>1</v>
      </c>
      <c r="Y2687" t="s">
        <v>3757</v>
      </c>
      <c r="AC2687">
        <v>7304</v>
      </c>
      <c r="AD2687" t="e" vm="2677">
        <v>#VALUE!</v>
      </c>
    </row>
    <row r="2688" spans="2:30" x14ac:dyDescent="0.25">
      <c r="B2688">
        <v>7305</v>
      </c>
      <c r="C2688" t="s">
        <v>3646</v>
      </c>
      <c r="D2688" t="s">
        <v>3756</v>
      </c>
      <c r="E2688" t="s">
        <v>3919</v>
      </c>
      <c r="F2688" t="s">
        <v>89</v>
      </c>
      <c r="G2688" t="s">
        <v>80</v>
      </c>
      <c r="H2688" t="s">
        <v>3913</v>
      </c>
      <c r="I2688" t="s">
        <v>3913</v>
      </c>
      <c r="J2688" t="s">
        <v>3925</v>
      </c>
      <c r="K2688" t="s">
        <v>905</v>
      </c>
      <c r="L2688" s="13">
        <v>42200</v>
      </c>
      <c r="M2688">
        <v>8</v>
      </c>
      <c r="N2688" t="s">
        <v>90</v>
      </c>
      <c r="O2688" t="s">
        <v>3926</v>
      </c>
      <c r="P2688" t="s">
        <v>76</v>
      </c>
      <c r="Q2688" t="s">
        <v>905</v>
      </c>
      <c r="R2688" t="s">
        <v>76</v>
      </c>
      <c r="S2688" t="s">
        <v>76</v>
      </c>
      <c r="T2688" t="s">
        <v>76</v>
      </c>
      <c r="U2688">
        <v>1</v>
      </c>
      <c r="V2688" s="13">
        <v>45175</v>
      </c>
      <c r="W2688">
        <v>1</v>
      </c>
      <c r="X2688">
        <v>1</v>
      </c>
      <c r="Y2688" t="s">
        <v>3757</v>
      </c>
      <c r="AC2688">
        <v>7305</v>
      </c>
      <c r="AD2688" t="e" vm="2678">
        <v>#VALUE!</v>
      </c>
    </row>
    <row r="2689" spans="2:30" x14ac:dyDescent="0.25">
      <c r="B2689">
        <v>7306</v>
      </c>
      <c r="C2689" t="s">
        <v>3646</v>
      </c>
      <c r="D2689" t="s">
        <v>3756</v>
      </c>
      <c r="E2689" t="s">
        <v>3919</v>
      </c>
      <c r="F2689" t="s">
        <v>89</v>
      </c>
      <c r="G2689" t="s">
        <v>80</v>
      </c>
      <c r="H2689" t="s">
        <v>3913</v>
      </c>
      <c r="I2689" t="s">
        <v>3913</v>
      </c>
      <c r="J2689" t="s">
        <v>3925</v>
      </c>
      <c r="K2689" t="s">
        <v>905</v>
      </c>
      <c r="L2689" s="13">
        <v>42219</v>
      </c>
      <c r="M2689">
        <v>8</v>
      </c>
      <c r="N2689" t="s">
        <v>90</v>
      </c>
      <c r="O2689" t="s">
        <v>3926</v>
      </c>
      <c r="P2689" t="s">
        <v>76</v>
      </c>
      <c r="Q2689" t="s">
        <v>905</v>
      </c>
      <c r="R2689" t="s">
        <v>76</v>
      </c>
      <c r="S2689" t="s">
        <v>76</v>
      </c>
      <c r="T2689" t="s">
        <v>76</v>
      </c>
      <c r="U2689">
        <v>1</v>
      </c>
      <c r="V2689" s="13">
        <v>45175</v>
      </c>
      <c r="W2689">
        <v>1</v>
      </c>
      <c r="X2689">
        <v>1</v>
      </c>
      <c r="Y2689" t="s">
        <v>3757</v>
      </c>
      <c r="AC2689">
        <v>7306</v>
      </c>
      <c r="AD2689" t="e" vm="2679">
        <v>#VALUE!</v>
      </c>
    </row>
    <row r="2690" spans="2:30" x14ac:dyDescent="0.25">
      <c r="B2690">
        <v>7307</v>
      </c>
      <c r="C2690" t="s">
        <v>3646</v>
      </c>
      <c r="D2690" t="s">
        <v>3756</v>
      </c>
      <c r="E2690" t="s">
        <v>3919</v>
      </c>
      <c r="F2690" t="s">
        <v>89</v>
      </c>
      <c r="G2690" t="s">
        <v>80</v>
      </c>
      <c r="H2690" t="s">
        <v>3913</v>
      </c>
      <c r="I2690" t="s">
        <v>3913</v>
      </c>
      <c r="J2690" t="s">
        <v>3925</v>
      </c>
      <c r="K2690" t="s">
        <v>905</v>
      </c>
      <c r="L2690" s="13">
        <v>42249</v>
      </c>
      <c r="M2690">
        <v>8</v>
      </c>
      <c r="N2690" t="s">
        <v>90</v>
      </c>
      <c r="O2690" t="s">
        <v>3926</v>
      </c>
      <c r="P2690" t="s">
        <v>76</v>
      </c>
      <c r="Q2690" t="s">
        <v>905</v>
      </c>
      <c r="R2690" t="s">
        <v>76</v>
      </c>
      <c r="S2690" t="s">
        <v>76</v>
      </c>
      <c r="T2690" t="s">
        <v>76</v>
      </c>
      <c r="U2690">
        <v>1</v>
      </c>
      <c r="V2690" s="13">
        <v>45175</v>
      </c>
      <c r="W2690">
        <v>1</v>
      </c>
      <c r="X2690">
        <v>1</v>
      </c>
      <c r="Y2690" t="s">
        <v>3757</v>
      </c>
      <c r="AC2690">
        <v>7307</v>
      </c>
      <c r="AD2690" t="e" vm="2680">
        <v>#VALUE!</v>
      </c>
    </row>
    <row r="2691" spans="2:30" x14ac:dyDescent="0.25">
      <c r="B2691">
        <v>7308</v>
      </c>
      <c r="C2691" t="s">
        <v>3646</v>
      </c>
      <c r="D2691" t="s">
        <v>3756</v>
      </c>
      <c r="E2691" t="s">
        <v>3919</v>
      </c>
      <c r="F2691" t="s">
        <v>89</v>
      </c>
      <c r="G2691" t="s">
        <v>80</v>
      </c>
      <c r="H2691" t="s">
        <v>3913</v>
      </c>
      <c r="I2691" t="s">
        <v>3913</v>
      </c>
      <c r="J2691" t="s">
        <v>3925</v>
      </c>
      <c r="K2691" t="s">
        <v>905</v>
      </c>
      <c r="L2691" s="13">
        <v>42265</v>
      </c>
      <c r="M2691">
        <v>8</v>
      </c>
      <c r="N2691" t="s">
        <v>90</v>
      </c>
      <c r="O2691" t="s">
        <v>3926</v>
      </c>
      <c r="P2691" t="s">
        <v>76</v>
      </c>
      <c r="Q2691" t="s">
        <v>905</v>
      </c>
      <c r="R2691" t="s">
        <v>76</v>
      </c>
      <c r="S2691" t="s">
        <v>76</v>
      </c>
      <c r="T2691" t="s">
        <v>76</v>
      </c>
      <c r="U2691">
        <v>1</v>
      </c>
      <c r="V2691" s="13">
        <v>45175</v>
      </c>
      <c r="W2691">
        <v>1</v>
      </c>
      <c r="X2691">
        <v>1</v>
      </c>
      <c r="Y2691" t="s">
        <v>3757</v>
      </c>
      <c r="AC2691">
        <v>7308</v>
      </c>
      <c r="AD2691" t="e" vm="2681">
        <v>#VALUE!</v>
      </c>
    </row>
    <row r="2692" spans="2:30" x14ac:dyDescent="0.25">
      <c r="B2692">
        <v>7309</v>
      </c>
      <c r="C2692" t="s">
        <v>3646</v>
      </c>
      <c r="D2692" t="s">
        <v>3756</v>
      </c>
      <c r="E2692" t="s">
        <v>3919</v>
      </c>
      <c r="F2692" t="s">
        <v>89</v>
      </c>
      <c r="G2692" t="s">
        <v>80</v>
      </c>
      <c r="H2692" t="s">
        <v>3913</v>
      </c>
      <c r="I2692" t="s">
        <v>3913</v>
      </c>
      <c r="J2692" t="s">
        <v>3925</v>
      </c>
      <c r="K2692" t="s">
        <v>905</v>
      </c>
      <c r="L2692" s="13">
        <v>42277</v>
      </c>
      <c r="M2692">
        <v>8</v>
      </c>
      <c r="N2692" t="s">
        <v>90</v>
      </c>
      <c r="O2692" t="s">
        <v>3926</v>
      </c>
      <c r="P2692" t="s">
        <v>76</v>
      </c>
      <c r="Q2692" t="s">
        <v>905</v>
      </c>
      <c r="R2692" t="s">
        <v>76</v>
      </c>
      <c r="S2692" t="s">
        <v>76</v>
      </c>
      <c r="T2692" t="s">
        <v>76</v>
      </c>
      <c r="U2692">
        <v>1</v>
      </c>
      <c r="V2692" s="13">
        <v>45175</v>
      </c>
      <c r="W2692">
        <v>1</v>
      </c>
      <c r="X2692">
        <v>1</v>
      </c>
      <c r="Y2692" t="s">
        <v>3757</v>
      </c>
      <c r="AC2692">
        <v>7309</v>
      </c>
      <c r="AD2692" t="e" vm="2682">
        <v>#VALUE!</v>
      </c>
    </row>
    <row r="2693" spans="2:30" x14ac:dyDescent="0.25">
      <c r="B2693">
        <v>7310</v>
      </c>
      <c r="C2693" t="s">
        <v>3646</v>
      </c>
      <c r="D2693" t="s">
        <v>3756</v>
      </c>
      <c r="E2693" t="s">
        <v>3919</v>
      </c>
      <c r="F2693" t="s">
        <v>89</v>
      </c>
      <c r="G2693" t="s">
        <v>80</v>
      </c>
      <c r="H2693" t="s">
        <v>3913</v>
      </c>
      <c r="I2693" t="s">
        <v>3913</v>
      </c>
      <c r="J2693" t="s">
        <v>3925</v>
      </c>
      <c r="K2693" t="s">
        <v>905</v>
      </c>
      <c r="L2693" s="13">
        <v>42284</v>
      </c>
      <c r="M2693">
        <v>8</v>
      </c>
      <c r="N2693" t="s">
        <v>90</v>
      </c>
      <c r="O2693" t="s">
        <v>3926</v>
      </c>
      <c r="P2693" t="s">
        <v>76</v>
      </c>
      <c r="Q2693" t="s">
        <v>905</v>
      </c>
      <c r="R2693" t="s">
        <v>76</v>
      </c>
      <c r="S2693" t="s">
        <v>76</v>
      </c>
      <c r="T2693" t="s">
        <v>76</v>
      </c>
      <c r="U2693">
        <v>1</v>
      </c>
      <c r="V2693" s="13">
        <v>45175</v>
      </c>
      <c r="W2693">
        <v>1</v>
      </c>
      <c r="X2693">
        <v>1</v>
      </c>
      <c r="Y2693" t="s">
        <v>3757</v>
      </c>
      <c r="AC2693">
        <v>7310</v>
      </c>
      <c r="AD2693" t="e" vm="2683">
        <v>#VALUE!</v>
      </c>
    </row>
    <row r="2694" spans="2:30" x14ac:dyDescent="0.25">
      <c r="B2694">
        <v>7311</v>
      </c>
      <c r="C2694" t="s">
        <v>3646</v>
      </c>
      <c r="D2694" t="s">
        <v>3758</v>
      </c>
      <c r="E2694" t="s">
        <v>3930</v>
      </c>
      <c r="F2694" t="s">
        <v>92</v>
      </c>
      <c r="G2694" t="s">
        <v>91</v>
      </c>
      <c r="H2694" t="s">
        <v>3913</v>
      </c>
      <c r="I2694" t="s">
        <v>3913</v>
      </c>
      <c r="J2694" t="s">
        <v>3931</v>
      </c>
      <c r="K2694" t="s">
        <v>905</v>
      </c>
      <c r="L2694" s="13">
        <v>42314</v>
      </c>
      <c r="M2694">
        <v>8</v>
      </c>
      <c r="N2694" t="s">
        <v>90</v>
      </c>
      <c r="O2694" t="s">
        <v>3926</v>
      </c>
      <c r="P2694" t="s">
        <v>76</v>
      </c>
      <c r="Q2694" t="s">
        <v>905</v>
      </c>
      <c r="R2694" t="s">
        <v>76</v>
      </c>
      <c r="S2694" t="s">
        <v>76</v>
      </c>
      <c r="T2694" t="s">
        <v>76</v>
      </c>
      <c r="U2694">
        <v>1</v>
      </c>
      <c r="V2694" s="13">
        <v>45175</v>
      </c>
      <c r="W2694">
        <v>1</v>
      </c>
      <c r="X2694">
        <v>1</v>
      </c>
      <c r="Y2694" t="s">
        <v>3759</v>
      </c>
      <c r="AC2694">
        <v>7311</v>
      </c>
      <c r="AD2694" t="e" vm="2684">
        <v>#VALUE!</v>
      </c>
    </row>
    <row r="2695" spans="2:30" x14ac:dyDescent="0.25">
      <c r="B2695">
        <v>7312</v>
      </c>
      <c r="C2695" t="s">
        <v>3646</v>
      </c>
      <c r="D2695" t="s">
        <v>3758</v>
      </c>
      <c r="E2695" t="s">
        <v>3930</v>
      </c>
      <c r="F2695" t="s">
        <v>92</v>
      </c>
      <c r="G2695" t="s">
        <v>91</v>
      </c>
      <c r="H2695" t="s">
        <v>3913</v>
      </c>
      <c r="I2695" t="s">
        <v>3913</v>
      </c>
      <c r="J2695" t="s">
        <v>3931</v>
      </c>
      <c r="K2695" t="s">
        <v>905</v>
      </c>
      <c r="L2695" s="13">
        <v>42290</v>
      </c>
      <c r="M2695">
        <v>8</v>
      </c>
      <c r="N2695" t="s">
        <v>90</v>
      </c>
      <c r="O2695" t="s">
        <v>3926</v>
      </c>
      <c r="P2695" t="s">
        <v>76</v>
      </c>
      <c r="Q2695" t="s">
        <v>905</v>
      </c>
      <c r="R2695" t="s">
        <v>76</v>
      </c>
      <c r="S2695" t="s">
        <v>76</v>
      </c>
      <c r="T2695" t="s">
        <v>76</v>
      </c>
      <c r="U2695">
        <v>1</v>
      </c>
      <c r="V2695" s="13">
        <v>45175</v>
      </c>
      <c r="W2695">
        <v>1</v>
      </c>
      <c r="X2695">
        <v>1</v>
      </c>
      <c r="Y2695" t="s">
        <v>3759</v>
      </c>
      <c r="AC2695">
        <v>7312</v>
      </c>
      <c r="AD2695" t="e" vm="2685">
        <v>#VALUE!</v>
      </c>
    </row>
    <row r="2696" spans="2:30" x14ac:dyDescent="0.25">
      <c r="B2696">
        <v>7313</v>
      </c>
      <c r="C2696" t="s">
        <v>3646</v>
      </c>
      <c r="D2696" t="s">
        <v>3758</v>
      </c>
      <c r="E2696" t="s">
        <v>3930</v>
      </c>
      <c r="F2696" t="s">
        <v>92</v>
      </c>
      <c r="G2696" t="s">
        <v>91</v>
      </c>
      <c r="H2696" t="s">
        <v>3913</v>
      </c>
      <c r="I2696" t="s">
        <v>3913</v>
      </c>
      <c r="J2696" t="s">
        <v>3931</v>
      </c>
      <c r="K2696" t="s">
        <v>905</v>
      </c>
      <c r="L2696" s="13">
        <v>42314</v>
      </c>
      <c r="M2696">
        <v>8</v>
      </c>
      <c r="N2696" t="s">
        <v>90</v>
      </c>
      <c r="O2696" t="s">
        <v>3926</v>
      </c>
      <c r="P2696" t="s">
        <v>76</v>
      </c>
      <c r="Q2696" t="s">
        <v>905</v>
      </c>
      <c r="R2696" t="s">
        <v>76</v>
      </c>
      <c r="S2696" t="s">
        <v>76</v>
      </c>
      <c r="T2696" t="s">
        <v>76</v>
      </c>
      <c r="U2696">
        <v>1</v>
      </c>
      <c r="V2696" s="13">
        <v>45175</v>
      </c>
      <c r="W2696">
        <v>1</v>
      </c>
      <c r="X2696">
        <v>1</v>
      </c>
      <c r="Y2696" t="s">
        <v>3759</v>
      </c>
      <c r="AC2696">
        <v>7313</v>
      </c>
      <c r="AD2696" t="e" vm="2686">
        <v>#VALUE!</v>
      </c>
    </row>
    <row r="2697" spans="2:30" x14ac:dyDescent="0.25">
      <c r="B2697">
        <v>7314</v>
      </c>
      <c r="C2697" t="s">
        <v>3646</v>
      </c>
      <c r="D2697" t="s">
        <v>3758</v>
      </c>
      <c r="E2697" t="s">
        <v>3930</v>
      </c>
      <c r="F2697" t="s">
        <v>92</v>
      </c>
      <c r="G2697" t="s">
        <v>91</v>
      </c>
      <c r="H2697" t="s">
        <v>3913</v>
      </c>
      <c r="I2697" t="s">
        <v>3913</v>
      </c>
      <c r="J2697" t="s">
        <v>3931</v>
      </c>
      <c r="K2697" t="s">
        <v>905</v>
      </c>
      <c r="L2697" s="13">
        <v>42314</v>
      </c>
      <c r="M2697">
        <v>8</v>
      </c>
      <c r="N2697" t="s">
        <v>90</v>
      </c>
      <c r="O2697" t="s">
        <v>3926</v>
      </c>
      <c r="P2697" t="s">
        <v>76</v>
      </c>
      <c r="Q2697" t="s">
        <v>905</v>
      </c>
      <c r="R2697" t="s">
        <v>76</v>
      </c>
      <c r="S2697" t="s">
        <v>76</v>
      </c>
      <c r="T2697" t="s">
        <v>76</v>
      </c>
      <c r="U2697">
        <v>1</v>
      </c>
      <c r="V2697" s="13">
        <v>45175</v>
      </c>
      <c r="W2697">
        <v>1</v>
      </c>
      <c r="X2697">
        <v>1</v>
      </c>
      <c r="Y2697" t="s">
        <v>3759</v>
      </c>
      <c r="AC2697">
        <v>7314</v>
      </c>
      <c r="AD2697" t="e" vm="2687">
        <v>#VALUE!</v>
      </c>
    </row>
    <row r="2698" spans="2:30" x14ac:dyDescent="0.25">
      <c r="B2698">
        <v>7315</v>
      </c>
      <c r="C2698" t="s">
        <v>3646</v>
      </c>
      <c r="D2698" t="s">
        <v>3758</v>
      </c>
      <c r="E2698" t="s">
        <v>3930</v>
      </c>
      <c r="F2698" t="s">
        <v>92</v>
      </c>
      <c r="G2698" t="s">
        <v>91</v>
      </c>
      <c r="H2698" t="s">
        <v>3913</v>
      </c>
      <c r="I2698" t="s">
        <v>3913</v>
      </c>
      <c r="J2698" t="s">
        <v>3931</v>
      </c>
      <c r="K2698" t="s">
        <v>905</v>
      </c>
      <c r="L2698" s="13">
        <v>42326</v>
      </c>
      <c r="M2698">
        <v>8</v>
      </c>
      <c r="N2698" t="s">
        <v>90</v>
      </c>
      <c r="O2698" t="s">
        <v>3926</v>
      </c>
      <c r="P2698" t="s">
        <v>76</v>
      </c>
      <c r="Q2698" t="s">
        <v>905</v>
      </c>
      <c r="R2698" t="s">
        <v>76</v>
      </c>
      <c r="S2698" t="s">
        <v>76</v>
      </c>
      <c r="T2698" t="s">
        <v>76</v>
      </c>
      <c r="U2698">
        <v>1</v>
      </c>
      <c r="V2698" s="13">
        <v>45175</v>
      </c>
      <c r="W2698">
        <v>1</v>
      </c>
      <c r="X2698">
        <v>1</v>
      </c>
      <c r="Y2698" t="s">
        <v>3759</v>
      </c>
      <c r="AC2698">
        <v>7315</v>
      </c>
      <c r="AD2698" t="e" vm="2688">
        <v>#VALUE!</v>
      </c>
    </row>
    <row r="2699" spans="2:30" x14ac:dyDescent="0.25">
      <c r="B2699">
        <v>7316</v>
      </c>
      <c r="C2699" t="s">
        <v>3646</v>
      </c>
      <c r="D2699" t="s">
        <v>3758</v>
      </c>
      <c r="E2699" t="s">
        <v>3930</v>
      </c>
      <c r="F2699" t="s">
        <v>92</v>
      </c>
      <c r="G2699" t="s">
        <v>91</v>
      </c>
      <c r="H2699" t="s">
        <v>3913</v>
      </c>
      <c r="I2699" t="s">
        <v>3913</v>
      </c>
      <c r="J2699" t="s">
        <v>3931</v>
      </c>
      <c r="K2699" t="s">
        <v>905</v>
      </c>
      <c r="L2699" s="13">
        <v>42339</v>
      </c>
      <c r="M2699">
        <v>8</v>
      </c>
      <c r="N2699" t="s">
        <v>90</v>
      </c>
      <c r="O2699" t="s">
        <v>3926</v>
      </c>
      <c r="P2699" t="s">
        <v>76</v>
      </c>
      <c r="Q2699" t="s">
        <v>905</v>
      </c>
      <c r="R2699" t="s">
        <v>76</v>
      </c>
      <c r="S2699" t="s">
        <v>76</v>
      </c>
      <c r="T2699" t="s">
        <v>76</v>
      </c>
      <c r="U2699">
        <v>1</v>
      </c>
      <c r="V2699" s="13">
        <v>45175</v>
      </c>
      <c r="W2699">
        <v>1</v>
      </c>
      <c r="X2699">
        <v>1</v>
      </c>
      <c r="Y2699" t="s">
        <v>3759</v>
      </c>
      <c r="AC2699">
        <v>7316</v>
      </c>
      <c r="AD2699" t="e" vm="2689">
        <v>#VALUE!</v>
      </c>
    </row>
    <row r="2700" spans="2:30" x14ac:dyDescent="0.25">
      <c r="B2700">
        <v>7317</v>
      </c>
      <c r="C2700" t="s">
        <v>3646</v>
      </c>
      <c r="D2700" t="s">
        <v>3758</v>
      </c>
      <c r="E2700" t="s">
        <v>3930</v>
      </c>
      <c r="F2700" t="s">
        <v>92</v>
      </c>
      <c r="G2700" t="s">
        <v>91</v>
      </c>
      <c r="H2700" t="s">
        <v>3913</v>
      </c>
      <c r="I2700" t="s">
        <v>3913</v>
      </c>
      <c r="J2700" t="s">
        <v>3931</v>
      </c>
      <c r="K2700" t="s">
        <v>905</v>
      </c>
      <c r="L2700" s="13">
        <v>42377</v>
      </c>
      <c r="M2700">
        <v>8</v>
      </c>
      <c r="N2700" t="s">
        <v>90</v>
      </c>
      <c r="O2700" t="s">
        <v>3926</v>
      </c>
      <c r="P2700" t="s">
        <v>76</v>
      </c>
      <c r="Q2700" t="s">
        <v>905</v>
      </c>
      <c r="R2700" t="s">
        <v>76</v>
      </c>
      <c r="S2700" t="s">
        <v>76</v>
      </c>
      <c r="T2700" t="s">
        <v>76</v>
      </c>
      <c r="U2700">
        <v>1</v>
      </c>
      <c r="V2700" s="13">
        <v>45175</v>
      </c>
      <c r="W2700">
        <v>1</v>
      </c>
      <c r="X2700">
        <v>1</v>
      </c>
      <c r="Y2700" t="s">
        <v>3759</v>
      </c>
      <c r="AC2700">
        <v>7317</v>
      </c>
      <c r="AD2700" t="e" vm="2690">
        <v>#VALUE!</v>
      </c>
    </row>
    <row r="2701" spans="2:30" x14ac:dyDescent="0.25">
      <c r="B2701">
        <v>7318</v>
      </c>
      <c r="C2701" t="s">
        <v>3646</v>
      </c>
      <c r="D2701" t="s">
        <v>3758</v>
      </c>
      <c r="E2701" t="s">
        <v>3930</v>
      </c>
      <c r="F2701" t="s">
        <v>92</v>
      </c>
      <c r="G2701" t="s">
        <v>91</v>
      </c>
      <c r="H2701" t="s">
        <v>3913</v>
      </c>
      <c r="I2701" t="s">
        <v>3913</v>
      </c>
      <c r="J2701" t="s">
        <v>3931</v>
      </c>
      <c r="K2701" t="s">
        <v>905</v>
      </c>
      <c r="L2701" s="13">
        <v>42353</v>
      </c>
      <c r="M2701">
        <v>8</v>
      </c>
      <c r="N2701" t="s">
        <v>90</v>
      </c>
      <c r="O2701" t="s">
        <v>3926</v>
      </c>
      <c r="P2701" t="s">
        <v>76</v>
      </c>
      <c r="Q2701" t="s">
        <v>905</v>
      </c>
      <c r="R2701" t="s">
        <v>76</v>
      </c>
      <c r="S2701" t="s">
        <v>76</v>
      </c>
      <c r="T2701" t="s">
        <v>76</v>
      </c>
      <c r="U2701">
        <v>1</v>
      </c>
      <c r="V2701" s="13">
        <v>45175</v>
      </c>
      <c r="W2701">
        <v>1</v>
      </c>
      <c r="X2701">
        <v>1</v>
      </c>
      <c r="Y2701" t="s">
        <v>3759</v>
      </c>
      <c r="AC2701">
        <v>7318</v>
      </c>
      <c r="AD2701" t="e" vm="2691">
        <v>#VALUE!</v>
      </c>
    </row>
    <row r="2702" spans="2:30" x14ac:dyDescent="0.25">
      <c r="B2702">
        <v>7319</v>
      </c>
      <c r="C2702" t="s">
        <v>3646</v>
      </c>
      <c r="D2702" t="s">
        <v>3758</v>
      </c>
      <c r="E2702" t="s">
        <v>3930</v>
      </c>
      <c r="F2702" t="s">
        <v>92</v>
      </c>
      <c r="G2702" t="s">
        <v>91</v>
      </c>
      <c r="H2702" t="s">
        <v>3913</v>
      </c>
      <c r="I2702" t="s">
        <v>3913</v>
      </c>
      <c r="J2702" t="s">
        <v>3931</v>
      </c>
      <c r="K2702" t="s">
        <v>905</v>
      </c>
      <c r="L2702" s="13">
        <v>42339</v>
      </c>
      <c r="M2702">
        <v>8</v>
      </c>
      <c r="N2702" t="s">
        <v>90</v>
      </c>
      <c r="O2702" t="s">
        <v>3926</v>
      </c>
      <c r="P2702" t="s">
        <v>76</v>
      </c>
      <c r="Q2702" t="s">
        <v>905</v>
      </c>
      <c r="R2702" t="s">
        <v>76</v>
      </c>
      <c r="S2702" t="s">
        <v>76</v>
      </c>
      <c r="T2702" t="s">
        <v>76</v>
      </c>
      <c r="U2702">
        <v>1</v>
      </c>
      <c r="V2702" s="13">
        <v>45175</v>
      </c>
      <c r="W2702">
        <v>1</v>
      </c>
      <c r="X2702">
        <v>1</v>
      </c>
      <c r="Y2702" t="s">
        <v>3759</v>
      </c>
      <c r="AC2702">
        <v>7319</v>
      </c>
      <c r="AD2702" t="e" vm="2692">
        <v>#VALUE!</v>
      </c>
    </row>
    <row r="2703" spans="2:30" x14ac:dyDescent="0.25">
      <c r="B2703">
        <v>7320</v>
      </c>
      <c r="C2703" t="s">
        <v>3646</v>
      </c>
      <c r="D2703" t="s">
        <v>3758</v>
      </c>
      <c r="E2703" t="s">
        <v>3930</v>
      </c>
      <c r="F2703" t="s">
        <v>92</v>
      </c>
      <c r="G2703" t="s">
        <v>91</v>
      </c>
      <c r="H2703" t="s">
        <v>3913</v>
      </c>
      <c r="I2703" t="s">
        <v>3913</v>
      </c>
      <c r="J2703" t="s">
        <v>3931</v>
      </c>
      <c r="K2703" t="s">
        <v>905</v>
      </c>
      <c r="L2703" s="13">
        <v>42353</v>
      </c>
      <c r="M2703">
        <v>8</v>
      </c>
      <c r="N2703" t="s">
        <v>90</v>
      </c>
      <c r="O2703" t="s">
        <v>3926</v>
      </c>
      <c r="P2703" t="s">
        <v>76</v>
      </c>
      <c r="Q2703" t="s">
        <v>905</v>
      </c>
      <c r="R2703" t="s">
        <v>76</v>
      </c>
      <c r="S2703" t="s">
        <v>76</v>
      </c>
      <c r="T2703" t="s">
        <v>76</v>
      </c>
      <c r="U2703">
        <v>1</v>
      </c>
      <c r="V2703" s="13">
        <v>45175</v>
      </c>
      <c r="W2703">
        <v>1</v>
      </c>
      <c r="X2703">
        <v>1</v>
      </c>
      <c r="Y2703" t="s">
        <v>3759</v>
      </c>
      <c r="AC2703">
        <v>7320</v>
      </c>
      <c r="AD2703" t="e" vm="2693">
        <v>#VALUE!</v>
      </c>
    </row>
    <row r="2704" spans="2:30" x14ac:dyDescent="0.25">
      <c r="B2704">
        <v>7321</v>
      </c>
      <c r="C2704" t="s">
        <v>3646</v>
      </c>
      <c r="D2704" t="s">
        <v>3758</v>
      </c>
      <c r="E2704" t="s">
        <v>3930</v>
      </c>
      <c r="F2704" t="s">
        <v>92</v>
      </c>
      <c r="G2704" t="s">
        <v>91</v>
      </c>
      <c r="H2704" t="s">
        <v>3913</v>
      </c>
      <c r="I2704" t="s">
        <v>3913</v>
      </c>
      <c r="J2704" t="s">
        <v>3931</v>
      </c>
      <c r="K2704" t="s">
        <v>905</v>
      </c>
      <c r="L2704" s="13">
        <v>42377</v>
      </c>
      <c r="M2704">
        <v>8</v>
      </c>
      <c r="N2704" t="s">
        <v>90</v>
      </c>
      <c r="O2704" t="s">
        <v>3926</v>
      </c>
      <c r="P2704" t="s">
        <v>76</v>
      </c>
      <c r="Q2704" t="s">
        <v>905</v>
      </c>
      <c r="R2704" t="s">
        <v>76</v>
      </c>
      <c r="S2704" t="s">
        <v>76</v>
      </c>
      <c r="T2704" t="s">
        <v>76</v>
      </c>
      <c r="U2704">
        <v>1</v>
      </c>
      <c r="V2704" s="13">
        <v>45175</v>
      </c>
      <c r="W2704">
        <v>1</v>
      </c>
      <c r="X2704">
        <v>1</v>
      </c>
      <c r="Y2704" t="s">
        <v>3759</v>
      </c>
      <c r="AC2704">
        <v>7321</v>
      </c>
      <c r="AD2704" t="e" vm="2694">
        <v>#VALUE!</v>
      </c>
    </row>
    <row r="2705" spans="2:30" x14ac:dyDescent="0.25">
      <c r="B2705">
        <v>7322</v>
      </c>
      <c r="C2705" t="s">
        <v>3646</v>
      </c>
      <c r="D2705" t="s">
        <v>3758</v>
      </c>
      <c r="E2705" t="s">
        <v>3930</v>
      </c>
      <c r="F2705" t="s">
        <v>92</v>
      </c>
      <c r="G2705" t="s">
        <v>91</v>
      </c>
      <c r="H2705" t="s">
        <v>3913</v>
      </c>
      <c r="I2705" t="s">
        <v>3913</v>
      </c>
      <c r="J2705" t="s">
        <v>3931</v>
      </c>
      <c r="K2705" t="s">
        <v>905</v>
      </c>
      <c r="L2705" s="13">
        <v>42396</v>
      </c>
      <c r="M2705">
        <v>8</v>
      </c>
      <c r="N2705" t="s">
        <v>90</v>
      </c>
      <c r="O2705" t="s">
        <v>3926</v>
      </c>
      <c r="P2705" t="s">
        <v>76</v>
      </c>
      <c r="Q2705" t="s">
        <v>905</v>
      </c>
      <c r="R2705" t="s">
        <v>76</v>
      </c>
      <c r="S2705" t="s">
        <v>76</v>
      </c>
      <c r="T2705" t="s">
        <v>76</v>
      </c>
      <c r="U2705">
        <v>1</v>
      </c>
      <c r="V2705" s="13">
        <v>45175</v>
      </c>
      <c r="W2705">
        <v>1</v>
      </c>
      <c r="X2705">
        <v>1</v>
      </c>
      <c r="Y2705" t="s">
        <v>3759</v>
      </c>
      <c r="AC2705">
        <v>7322</v>
      </c>
      <c r="AD2705" t="e" vm="2695">
        <v>#VALUE!</v>
      </c>
    </row>
    <row r="2706" spans="2:30" x14ac:dyDescent="0.25">
      <c r="B2706">
        <v>7323</v>
      </c>
      <c r="C2706" t="s">
        <v>3646</v>
      </c>
      <c r="D2706" t="s">
        <v>3758</v>
      </c>
      <c r="E2706" t="s">
        <v>3930</v>
      </c>
      <c r="F2706" t="s">
        <v>92</v>
      </c>
      <c r="G2706" t="s">
        <v>91</v>
      </c>
      <c r="H2706" t="s">
        <v>3913</v>
      </c>
      <c r="I2706" t="s">
        <v>3913</v>
      </c>
      <c r="J2706" t="s">
        <v>3931</v>
      </c>
      <c r="K2706" t="s">
        <v>905</v>
      </c>
      <c r="L2706" s="13">
        <v>42403</v>
      </c>
      <c r="M2706">
        <v>8</v>
      </c>
      <c r="N2706" t="s">
        <v>90</v>
      </c>
      <c r="O2706" t="s">
        <v>3926</v>
      </c>
      <c r="P2706" t="s">
        <v>76</v>
      </c>
      <c r="Q2706" t="s">
        <v>905</v>
      </c>
      <c r="R2706" t="s">
        <v>76</v>
      </c>
      <c r="S2706" t="s">
        <v>76</v>
      </c>
      <c r="T2706" t="s">
        <v>76</v>
      </c>
      <c r="U2706">
        <v>1</v>
      </c>
      <c r="V2706" s="13">
        <v>45175</v>
      </c>
      <c r="W2706">
        <v>1</v>
      </c>
      <c r="X2706">
        <v>1</v>
      </c>
      <c r="Y2706" t="s">
        <v>3759</v>
      </c>
      <c r="AC2706">
        <v>7323</v>
      </c>
      <c r="AD2706" t="e" vm="2696">
        <v>#VALUE!</v>
      </c>
    </row>
    <row r="2707" spans="2:30" x14ac:dyDescent="0.25">
      <c r="B2707">
        <v>7324</v>
      </c>
      <c r="C2707" t="s">
        <v>3646</v>
      </c>
      <c r="D2707" t="s">
        <v>3758</v>
      </c>
      <c r="E2707" t="s">
        <v>3930</v>
      </c>
      <c r="F2707" t="s">
        <v>92</v>
      </c>
      <c r="G2707" t="s">
        <v>91</v>
      </c>
      <c r="H2707" t="s">
        <v>3913</v>
      </c>
      <c r="I2707" t="s">
        <v>3913</v>
      </c>
      <c r="J2707" t="s">
        <v>3931</v>
      </c>
      <c r="K2707" t="s">
        <v>905</v>
      </c>
      <c r="L2707" s="13">
        <v>42405</v>
      </c>
      <c r="M2707">
        <v>8</v>
      </c>
      <c r="N2707" t="s">
        <v>90</v>
      </c>
      <c r="O2707" t="s">
        <v>3926</v>
      </c>
      <c r="P2707" t="s">
        <v>76</v>
      </c>
      <c r="Q2707" t="s">
        <v>905</v>
      </c>
      <c r="R2707" t="s">
        <v>76</v>
      </c>
      <c r="S2707" t="s">
        <v>76</v>
      </c>
      <c r="T2707" t="s">
        <v>76</v>
      </c>
      <c r="U2707">
        <v>1</v>
      </c>
      <c r="V2707" s="13">
        <v>45175</v>
      </c>
      <c r="W2707">
        <v>1</v>
      </c>
      <c r="X2707">
        <v>1</v>
      </c>
      <c r="Y2707" t="s">
        <v>3759</v>
      </c>
      <c r="AC2707">
        <v>7324</v>
      </c>
      <c r="AD2707" t="e" vm="2697">
        <v>#VALUE!</v>
      </c>
    </row>
    <row r="2708" spans="2:30" x14ac:dyDescent="0.25">
      <c r="B2708">
        <v>7325</v>
      </c>
      <c r="C2708" t="s">
        <v>3646</v>
      </c>
      <c r="D2708" t="s">
        <v>3758</v>
      </c>
      <c r="E2708" t="s">
        <v>3930</v>
      </c>
      <c r="F2708" t="s">
        <v>92</v>
      </c>
      <c r="G2708" t="s">
        <v>91</v>
      </c>
      <c r="H2708" t="s">
        <v>3913</v>
      </c>
      <c r="I2708" t="s">
        <v>3913</v>
      </c>
      <c r="J2708" t="s">
        <v>3931</v>
      </c>
      <c r="K2708" t="s">
        <v>905</v>
      </c>
      <c r="L2708" s="13">
        <v>42507</v>
      </c>
      <c r="M2708">
        <v>7</v>
      </c>
      <c r="N2708" t="s">
        <v>90</v>
      </c>
      <c r="O2708" t="s">
        <v>3926</v>
      </c>
      <c r="P2708" t="s">
        <v>76</v>
      </c>
      <c r="Q2708" t="s">
        <v>905</v>
      </c>
      <c r="R2708" t="s">
        <v>76</v>
      </c>
      <c r="S2708" t="s">
        <v>76</v>
      </c>
      <c r="T2708" t="s">
        <v>76</v>
      </c>
      <c r="U2708">
        <v>1</v>
      </c>
      <c r="V2708" s="13">
        <v>45175</v>
      </c>
      <c r="W2708">
        <v>1</v>
      </c>
      <c r="X2708">
        <v>1</v>
      </c>
      <c r="Y2708" t="s">
        <v>3759</v>
      </c>
      <c r="AC2708">
        <v>7325</v>
      </c>
      <c r="AD2708" t="e" vm="2698">
        <v>#VALUE!</v>
      </c>
    </row>
    <row r="2709" spans="2:30" x14ac:dyDescent="0.25">
      <c r="B2709">
        <v>7326</v>
      </c>
      <c r="C2709" t="s">
        <v>3646</v>
      </c>
      <c r="D2709" t="s">
        <v>3758</v>
      </c>
      <c r="E2709" t="s">
        <v>3919</v>
      </c>
      <c r="F2709" t="s">
        <v>89</v>
      </c>
      <c r="G2709" t="s">
        <v>91</v>
      </c>
      <c r="H2709" t="s">
        <v>3913</v>
      </c>
      <c r="I2709" t="s">
        <v>3913</v>
      </c>
      <c r="J2709" t="s">
        <v>3931</v>
      </c>
      <c r="K2709" t="s">
        <v>905</v>
      </c>
      <c r="L2709" s="13">
        <v>42555</v>
      </c>
      <c r="M2709">
        <v>7</v>
      </c>
      <c r="N2709" t="s">
        <v>90</v>
      </c>
      <c r="O2709" t="s">
        <v>3926</v>
      </c>
      <c r="P2709" t="s">
        <v>76</v>
      </c>
      <c r="Q2709" t="s">
        <v>905</v>
      </c>
      <c r="R2709" t="s">
        <v>76</v>
      </c>
      <c r="S2709" t="s">
        <v>76</v>
      </c>
      <c r="T2709" t="s">
        <v>76</v>
      </c>
      <c r="U2709">
        <v>1</v>
      </c>
      <c r="V2709" s="13">
        <v>45175</v>
      </c>
      <c r="W2709">
        <v>1</v>
      </c>
      <c r="X2709">
        <v>1</v>
      </c>
      <c r="Y2709" t="s">
        <v>3759</v>
      </c>
      <c r="AC2709">
        <v>7326</v>
      </c>
      <c r="AD2709" t="e" vm="2699">
        <v>#VALUE!</v>
      </c>
    </row>
    <row r="2710" spans="2:30" x14ac:dyDescent="0.25">
      <c r="B2710">
        <v>7327</v>
      </c>
      <c r="C2710" t="s">
        <v>3646</v>
      </c>
      <c r="D2710" t="s">
        <v>3758</v>
      </c>
      <c r="E2710" t="s">
        <v>3930</v>
      </c>
      <c r="F2710" t="s">
        <v>92</v>
      </c>
      <c r="G2710" t="s">
        <v>91</v>
      </c>
      <c r="H2710" t="s">
        <v>3913</v>
      </c>
      <c r="I2710" t="s">
        <v>3913</v>
      </c>
      <c r="J2710" t="s">
        <v>3931</v>
      </c>
      <c r="K2710" t="s">
        <v>905</v>
      </c>
      <c r="L2710" s="13">
        <v>42423</v>
      </c>
      <c r="M2710">
        <v>8</v>
      </c>
      <c r="N2710" t="s">
        <v>90</v>
      </c>
      <c r="O2710" t="s">
        <v>3926</v>
      </c>
      <c r="P2710" t="s">
        <v>76</v>
      </c>
      <c r="Q2710" t="s">
        <v>905</v>
      </c>
      <c r="R2710" t="s">
        <v>76</v>
      </c>
      <c r="S2710" t="s">
        <v>76</v>
      </c>
      <c r="T2710" t="s">
        <v>76</v>
      </c>
      <c r="U2710">
        <v>1</v>
      </c>
      <c r="V2710" s="13">
        <v>45175</v>
      </c>
      <c r="W2710">
        <v>1</v>
      </c>
      <c r="X2710">
        <v>1</v>
      </c>
      <c r="Y2710" t="s">
        <v>3759</v>
      </c>
      <c r="AC2710">
        <v>7327</v>
      </c>
      <c r="AD2710" t="e" vm="2700">
        <v>#VALUE!</v>
      </c>
    </row>
    <row r="2711" spans="2:30" x14ac:dyDescent="0.25">
      <c r="B2711">
        <v>7328</v>
      </c>
      <c r="C2711" t="s">
        <v>3646</v>
      </c>
      <c r="D2711" t="s">
        <v>3758</v>
      </c>
      <c r="E2711" t="s">
        <v>3930</v>
      </c>
      <c r="F2711" t="s">
        <v>92</v>
      </c>
      <c r="G2711" t="s">
        <v>91</v>
      </c>
      <c r="H2711" t="s">
        <v>3913</v>
      </c>
      <c r="I2711" t="s">
        <v>3913</v>
      </c>
      <c r="J2711" t="s">
        <v>3931</v>
      </c>
      <c r="K2711" t="s">
        <v>905</v>
      </c>
      <c r="L2711" s="13">
        <v>42429</v>
      </c>
      <c r="M2711">
        <v>8</v>
      </c>
      <c r="N2711" t="s">
        <v>90</v>
      </c>
      <c r="O2711" t="s">
        <v>3926</v>
      </c>
      <c r="P2711" t="s">
        <v>76</v>
      </c>
      <c r="Q2711" t="s">
        <v>905</v>
      </c>
      <c r="R2711" t="s">
        <v>76</v>
      </c>
      <c r="S2711" t="s">
        <v>76</v>
      </c>
      <c r="T2711" t="s">
        <v>76</v>
      </c>
      <c r="U2711">
        <v>1</v>
      </c>
      <c r="V2711" s="13">
        <v>45175</v>
      </c>
      <c r="W2711">
        <v>1</v>
      </c>
      <c r="X2711">
        <v>1</v>
      </c>
      <c r="Y2711" t="s">
        <v>3759</v>
      </c>
      <c r="AC2711">
        <v>7328</v>
      </c>
      <c r="AD2711" t="e" vm="2701">
        <v>#VALUE!</v>
      </c>
    </row>
    <row r="2712" spans="2:30" x14ac:dyDescent="0.25">
      <c r="B2712">
        <v>7329</v>
      </c>
      <c r="C2712" t="s">
        <v>3646</v>
      </c>
      <c r="D2712" t="s">
        <v>3758</v>
      </c>
      <c r="E2712" t="s">
        <v>3930</v>
      </c>
      <c r="F2712" t="s">
        <v>92</v>
      </c>
      <c r="G2712" t="s">
        <v>91</v>
      </c>
      <c r="H2712" t="s">
        <v>3913</v>
      </c>
      <c r="I2712" t="s">
        <v>3913</v>
      </c>
      <c r="J2712" t="s">
        <v>3931</v>
      </c>
      <c r="K2712" t="s">
        <v>905</v>
      </c>
      <c r="L2712" s="13">
        <v>42439</v>
      </c>
      <c r="M2712">
        <v>8</v>
      </c>
      <c r="N2712" t="s">
        <v>90</v>
      </c>
      <c r="O2712" t="s">
        <v>3926</v>
      </c>
      <c r="P2712" t="s">
        <v>76</v>
      </c>
      <c r="Q2712" t="s">
        <v>905</v>
      </c>
      <c r="R2712" t="s">
        <v>76</v>
      </c>
      <c r="S2712" t="s">
        <v>76</v>
      </c>
      <c r="T2712" t="s">
        <v>76</v>
      </c>
      <c r="U2712">
        <v>1</v>
      </c>
      <c r="V2712" s="13">
        <v>45175</v>
      </c>
      <c r="W2712">
        <v>1</v>
      </c>
      <c r="X2712">
        <v>1</v>
      </c>
      <c r="Y2712" t="s">
        <v>3759</v>
      </c>
      <c r="AC2712">
        <v>7329</v>
      </c>
      <c r="AD2712" t="e" vm="2702">
        <v>#VALUE!</v>
      </c>
    </row>
    <row r="2713" spans="2:30" x14ac:dyDescent="0.25">
      <c r="B2713">
        <v>7330</v>
      </c>
      <c r="C2713" t="s">
        <v>3646</v>
      </c>
      <c r="D2713" t="s">
        <v>3758</v>
      </c>
      <c r="E2713" t="s">
        <v>3930</v>
      </c>
      <c r="F2713" t="s">
        <v>92</v>
      </c>
      <c r="G2713" t="s">
        <v>91</v>
      </c>
      <c r="H2713" t="s">
        <v>3913</v>
      </c>
      <c r="I2713" t="s">
        <v>3913</v>
      </c>
      <c r="J2713" t="s">
        <v>3931</v>
      </c>
      <c r="K2713" t="s">
        <v>905</v>
      </c>
      <c r="L2713" s="13">
        <v>42452</v>
      </c>
      <c r="M2713">
        <v>7</v>
      </c>
      <c r="N2713" t="s">
        <v>90</v>
      </c>
      <c r="O2713" t="s">
        <v>3926</v>
      </c>
      <c r="P2713" t="s">
        <v>76</v>
      </c>
      <c r="Q2713" t="s">
        <v>905</v>
      </c>
      <c r="R2713" t="s">
        <v>76</v>
      </c>
      <c r="S2713" t="s">
        <v>76</v>
      </c>
      <c r="T2713" t="s">
        <v>76</v>
      </c>
      <c r="U2713">
        <v>1</v>
      </c>
      <c r="V2713" s="13">
        <v>45175</v>
      </c>
      <c r="W2713">
        <v>1</v>
      </c>
      <c r="X2713">
        <v>1</v>
      </c>
      <c r="Y2713" t="s">
        <v>3759</v>
      </c>
      <c r="AC2713">
        <v>7330</v>
      </c>
      <c r="AD2713" t="e" vm="2703">
        <v>#VALUE!</v>
      </c>
    </row>
    <row r="2714" spans="2:30" x14ac:dyDescent="0.25">
      <c r="B2714">
        <v>7331</v>
      </c>
      <c r="C2714" t="s">
        <v>3646</v>
      </c>
      <c r="D2714" t="s">
        <v>3758</v>
      </c>
      <c r="E2714" t="s">
        <v>3930</v>
      </c>
      <c r="F2714" t="s">
        <v>92</v>
      </c>
      <c r="G2714" t="s">
        <v>91</v>
      </c>
      <c r="H2714" t="s">
        <v>3913</v>
      </c>
      <c r="I2714" t="s">
        <v>3913</v>
      </c>
      <c r="J2714" t="s">
        <v>3931</v>
      </c>
      <c r="K2714" t="s">
        <v>905</v>
      </c>
      <c r="L2714" s="13">
        <v>42461</v>
      </c>
      <c r="M2714">
        <v>7</v>
      </c>
      <c r="N2714" t="s">
        <v>90</v>
      </c>
      <c r="O2714" t="s">
        <v>3926</v>
      </c>
      <c r="P2714" t="s">
        <v>76</v>
      </c>
      <c r="Q2714" t="s">
        <v>905</v>
      </c>
      <c r="R2714" t="s">
        <v>76</v>
      </c>
      <c r="S2714" t="s">
        <v>76</v>
      </c>
      <c r="T2714" t="s">
        <v>76</v>
      </c>
      <c r="U2714">
        <v>1</v>
      </c>
      <c r="V2714" s="13">
        <v>45175</v>
      </c>
      <c r="W2714">
        <v>1</v>
      </c>
      <c r="X2714">
        <v>1</v>
      </c>
      <c r="Y2714" t="s">
        <v>3759</v>
      </c>
      <c r="AC2714">
        <v>7331</v>
      </c>
      <c r="AD2714" t="e" vm="2704">
        <v>#VALUE!</v>
      </c>
    </row>
    <row r="2715" spans="2:30" x14ac:dyDescent="0.25">
      <c r="B2715">
        <v>7332</v>
      </c>
      <c r="C2715" t="s">
        <v>3646</v>
      </c>
      <c r="D2715" t="s">
        <v>3758</v>
      </c>
      <c r="E2715" t="s">
        <v>3930</v>
      </c>
      <c r="F2715" t="s">
        <v>92</v>
      </c>
      <c r="G2715" t="s">
        <v>91</v>
      </c>
      <c r="H2715" t="s">
        <v>3913</v>
      </c>
      <c r="I2715" t="s">
        <v>3913</v>
      </c>
      <c r="J2715" t="s">
        <v>3931</v>
      </c>
      <c r="K2715" t="s">
        <v>905</v>
      </c>
      <c r="L2715" s="13">
        <v>42474</v>
      </c>
      <c r="M2715">
        <v>7</v>
      </c>
      <c r="N2715" t="s">
        <v>90</v>
      </c>
      <c r="O2715" t="s">
        <v>3926</v>
      </c>
      <c r="P2715" t="s">
        <v>76</v>
      </c>
      <c r="Q2715" t="s">
        <v>905</v>
      </c>
      <c r="R2715" t="s">
        <v>76</v>
      </c>
      <c r="S2715" t="s">
        <v>76</v>
      </c>
      <c r="T2715" t="s">
        <v>76</v>
      </c>
      <c r="U2715">
        <v>1</v>
      </c>
      <c r="V2715" s="13">
        <v>45175</v>
      </c>
      <c r="W2715">
        <v>1</v>
      </c>
      <c r="X2715">
        <v>1</v>
      </c>
      <c r="Y2715" t="s">
        <v>3759</v>
      </c>
      <c r="AC2715">
        <v>7332</v>
      </c>
      <c r="AD2715" t="e" vm="2705">
        <v>#VALUE!</v>
      </c>
    </row>
    <row r="2716" spans="2:30" x14ac:dyDescent="0.25">
      <c r="B2716">
        <v>7333</v>
      </c>
      <c r="C2716" t="s">
        <v>3646</v>
      </c>
      <c r="D2716" t="s">
        <v>3758</v>
      </c>
      <c r="E2716" t="s">
        <v>3930</v>
      </c>
      <c r="F2716" t="s">
        <v>92</v>
      </c>
      <c r="G2716" t="s">
        <v>91</v>
      </c>
      <c r="H2716" t="s">
        <v>3913</v>
      </c>
      <c r="I2716" t="s">
        <v>3913</v>
      </c>
      <c r="J2716" t="s">
        <v>3931</v>
      </c>
      <c r="K2716" t="s">
        <v>905</v>
      </c>
      <c r="L2716" s="13">
        <v>42482</v>
      </c>
      <c r="M2716">
        <v>7</v>
      </c>
      <c r="N2716" t="s">
        <v>90</v>
      </c>
      <c r="O2716" t="s">
        <v>3926</v>
      </c>
      <c r="P2716" t="s">
        <v>76</v>
      </c>
      <c r="Q2716" t="s">
        <v>905</v>
      </c>
      <c r="R2716" t="s">
        <v>76</v>
      </c>
      <c r="S2716" t="s">
        <v>76</v>
      </c>
      <c r="T2716" t="s">
        <v>76</v>
      </c>
      <c r="U2716">
        <v>1</v>
      </c>
      <c r="V2716" s="13">
        <v>45175</v>
      </c>
      <c r="W2716">
        <v>1</v>
      </c>
      <c r="X2716">
        <v>1</v>
      </c>
      <c r="Y2716" t="s">
        <v>3759</v>
      </c>
      <c r="AC2716">
        <v>7333</v>
      </c>
      <c r="AD2716" t="e" vm="2706">
        <v>#VALUE!</v>
      </c>
    </row>
    <row r="2717" spans="2:30" x14ac:dyDescent="0.25">
      <c r="B2717">
        <v>7334</v>
      </c>
      <c r="C2717" t="s">
        <v>3646</v>
      </c>
      <c r="D2717" t="s">
        <v>3758</v>
      </c>
      <c r="E2717" t="s">
        <v>3930</v>
      </c>
      <c r="F2717" t="s">
        <v>92</v>
      </c>
      <c r="G2717" t="s">
        <v>91</v>
      </c>
      <c r="H2717" t="s">
        <v>3913</v>
      </c>
      <c r="I2717" t="s">
        <v>3913</v>
      </c>
      <c r="J2717" t="s">
        <v>3931</v>
      </c>
      <c r="K2717" t="s">
        <v>905</v>
      </c>
      <c r="L2717" s="13">
        <v>42494</v>
      </c>
      <c r="M2717">
        <v>7</v>
      </c>
      <c r="N2717" t="s">
        <v>90</v>
      </c>
      <c r="O2717" t="s">
        <v>3926</v>
      </c>
      <c r="P2717" t="s">
        <v>76</v>
      </c>
      <c r="Q2717" t="s">
        <v>905</v>
      </c>
      <c r="R2717" t="s">
        <v>76</v>
      </c>
      <c r="S2717" t="s">
        <v>76</v>
      </c>
      <c r="T2717" t="s">
        <v>76</v>
      </c>
      <c r="U2717">
        <v>1</v>
      </c>
      <c r="V2717" s="13">
        <v>45175</v>
      </c>
      <c r="W2717">
        <v>1</v>
      </c>
      <c r="X2717">
        <v>1</v>
      </c>
      <c r="Y2717" t="s">
        <v>3759</v>
      </c>
      <c r="AC2717">
        <v>7334</v>
      </c>
      <c r="AD2717" t="e" vm="2707">
        <v>#VALUE!</v>
      </c>
    </row>
    <row r="2718" spans="2:30" x14ac:dyDescent="0.25">
      <c r="B2718">
        <v>7335</v>
      </c>
      <c r="C2718" t="s">
        <v>3646</v>
      </c>
      <c r="D2718" t="s">
        <v>3758</v>
      </c>
      <c r="E2718" t="s">
        <v>3930</v>
      </c>
      <c r="F2718" t="s">
        <v>92</v>
      </c>
      <c r="G2718" t="s">
        <v>91</v>
      </c>
      <c r="H2718" t="s">
        <v>3913</v>
      </c>
      <c r="I2718" t="s">
        <v>3913</v>
      </c>
      <c r="J2718" t="s">
        <v>3931</v>
      </c>
      <c r="K2718" t="s">
        <v>905</v>
      </c>
      <c r="L2718" s="13">
        <v>42523</v>
      </c>
      <c r="M2718">
        <v>7</v>
      </c>
      <c r="N2718" t="s">
        <v>90</v>
      </c>
      <c r="O2718" t="s">
        <v>3926</v>
      </c>
      <c r="P2718" t="s">
        <v>76</v>
      </c>
      <c r="Q2718" t="s">
        <v>905</v>
      </c>
      <c r="R2718" t="s">
        <v>76</v>
      </c>
      <c r="S2718" t="s">
        <v>76</v>
      </c>
      <c r="T2718" t="s">
        <v>76</v>
      </c>
      <c r="U2718">
        <v>1</v>
      </c>
      <c r="V2718" s="13">
        <v>45175</v>
      </c>
      <c r="W2718">
        <v>1</v>
      </c>
      <c r="X2718">
        <v>1</v>
      </c>
      <c r="Y2718" t="s">
        <v>3759</v>
      </c>
      <c r="AC2718">
        <v>7335</v>
      </c>
      <c r="AD2718" t="e" vm="2708">
        <v>#VALUE!</v>
      </c>
    </row>
    <row r="2719" spans="2:30" x14ac:dyDescent="0.25">
      <c r="B2719">
        <v>7336</v>
      </c>
      <c r="C2719" t="s">
        <v>3646</v>
      </c>
      <c r="D2719" t="s">
        <v>3758</v>
      </c>
      <c r="E2719" t="s">
        <v>3930</v>
      </c>
      <c r="F2719" t="s">
        <v>92</v>
      </c>
      <c r="G2719" t="s">
        <v>91</v>
      </c>
      <c r="H2719" t="s">
        <v>3913</v>
      </c>
      <c r="I2719" t="s">
        <v>3913</v>
      </c>
      <c r="J2719" t="s">
        <v>3931</v>
      </c>
      <c r="K2719" t="s">
        <v>905</v>
      </c>
      <c r="L2719" s="13">
        <v>42534</v>
      </c>
      <c r="M2719">
        <v>7</v>
      </c>
      <c r="N2719" t="s">
        <v>90</v>
      </c>
      <c r="O2719" t="s">
        <v>3926</v>
      </c>
      <c r="P2719" t="s">
        <v>76</v>
      </c>
      <c r="Q2719" t="s">
        <v>905</v>
      </c>
      <c r="R2719" t="s">
        <v>76</v>
      </c>
      <c r="S2719" t="s">
        <v>76</v>
      </c>
      <c r="T2719" t="s">
        <v>76</v>
      </c>
      <c r="U2719">
        <v>1</v>
      </c>
      <c r="V2719" s="13">
        <v>45175</v>
      </c>
      <c r="W2719">
        <v>1</v>
      </c>
      <c r="X2719">
        <v>1</v>
      </c>
      <c r="Y2719" t="s">
        <v>3759</v>
      </c>
      <c r="AC2719">
        <v>7336</v>
      </c>
      <c r="AD2719" t="e" vm="2709">
        <v>#VALUE!</v>
      </c>
    </row>
    <row r="2720" spans="2:30" x14ac:dyDescent="0.25">
      <c r="B2720">
        <v>7337</v>
      </c>
      <c r="C2720" t="s">
        <v>3646</v>
      </c>
      <c r="D2720" t="s">
        <v>3758</v>
      </c>
      <c r="E2720" t="s">
        <v>3930</v>
      </c>
      <c r="F2720" t="s">
        <v>92</v>
      </c>
      <c r="G2720" t="s">
        <v>91</v>
      </c>
      <c r="H2720" t="s">
        <v>3913</v>
      </c>
      <c r="I2720" t="s">
        <v>3913</v>
      </c>
      <c r="J2720" t="s">
        <v>3931</v>
      </c>
      <c r="K2720" t="s">
        <v>905</v>
      </c>
      <c r="L2720" s="13">
        <v>42544</v>
      </c>
      <c r="M2720">
        <v>7</v>
      </c>
      <c r="N2720" t="s">
        <v>90</v>
      </c>
      <c r="O2720" t="s">
        <v>3926</v>
      </c>
      <c r="P2720" t="s">
        <v>76</v>
      </c>
      <c r="Q2720" t="s">
        <v>905</v>
      </c>
      <c r="R2720" t="s">
        <v>76</v>
      </c>
      <c r="S2720" t="s">
        <v>76</v>
      </c>
      <c r="T2720" t="s">
        <v>76</v>
      </c>
      <c r="U2720">
        <v>1</v>
      </c>
      <c r="V2720" s="13">
        <v>45175</v>
      </c>
      <c r="W2720">
        <v>1</v>
      </c>
      <c r="X2720">
        <v>1</v>
      </c>
      <c r="Y2720" t="s">
        <v>3759</v>
      </c>
      <c r="AC2720">
        <v>7337</v>
      </c>
      <c r="AD2720" t="e" vm="2710">
        <v>#VALUE!</v>
      </c>
    </row>
    <row r="2721" spans="2:30" x14ac:dyDescent="0.25">
      <c r="B2721">
        <v>7338</v>
      </c>
      <c r="C2721" t="s">
        <v>3646</v>
      </c>
      <c r="D2721" t="s">
        <v>3758</v>
      </c>
      <c r="E2721" t="s">
        <v>3930</v>
      </c>
      <c r="F2721" t="s">
        <v>92</v>
      </c>
      <c r="G2721" t="s">
        <v>91</v>
      </c>
      <c r="H2721" t="s">
        <v>3913</v>
      </c>
      <c r="I2721" t="s">
        <v>3913</v>
      </c>
      <c r="J2721" t="s">
        <v>3931</v>
      </c>
      <c r="K2721" t="s">
        <v>905</v>
      </c>
      <c r="L2721" s="13">
        <v>42571</v>
      </c>
      <c r="M2721">
        <v>7</v>
      </c>
      <c r="N2721" t="s">
        <v>90</v>
      </c>
      <c r="O2721" t="s">
        <v>3926</v>
      </c>
      <c r="P2721" t="s">
        <v>76</v>
      </c>
      <c r="Q2721" t="s">
        <v>905</v>
      </c>
      <c r="R2721" t="s">
        <v>76</v>
      </c>
      <c r="S2721" t="s">
        <v>76</v>
      </c>
      <c r="T2721" t="s">
        <v>76</v>
      </c>
      <c r="U2721">
        <v>1</v>
      </c>
      <c r="V2721" s="13">
        <v>45175</v>
      </c>
      <c r="W2721">
        <v>1</v>
      </c>
      <c r="X2721">
        <v>1</v>
      </c>
      <c r="Y2721" t="s">
        <v>3759</v>
      </c>
      <c r="AC2721">
        <v>7338</v>
      </c>
      <c r="AD2721" t="e" vm="2711">
        <v>#VALUE!</v>
      </c>
    </row>
    <row r="2722" spans="2:30" x14ac:dyDescent="0.25">
      <c r="B2722">
        <v>7339</v>
      </c>
      <c r="C2722" t="s">
        <v>3646</v>
      </c>
      <c r="D2722" t="s">
        <v>3758</v>
      </c>
      <c r="E2722" t="s">
        <v>3930</v>
      </c>
      <c r="F2722" t="s">
        <v>92</v>
      </c>
      <c r="G2722" t="s">
        <v>91</v>
      </c>
      <c r="H2722" t="s">
        <v>3913</v>
      </c>
      <c r="I2722" t="s">
        <v>3913</v>
      </c>
      <c r="J2722" t="s">
        <v>3931</v>
      </c>
      <c r="K2722" t="s">
        <v>905</v>
      </c>
      <c r="L2722" s="13">
        <v>42647</v>
      </c>
      <c r="M2722">
        <v>7</v>
      </c>
      <c r="N2722" t="s">
        <v>90</v>
      </c>
      <c r="O2722" t="s">
        <v>3926</v>
      </c>
      <c r="P2722" t="s">
        <v>76</v>
      </c>
      <c r="Q2722" t="s">
        <v>905</v>
      </c>
      <c r="R2722" t="s">
        <v>76</v>
      </c>
      <c r="S2722" t="s">
        <v>76</v>
      </c>
      <c r="T2722" t="s">
        <v>76</v>
      </c>
      <c r="U2722">
        <v>1</v>
      </c>
      <c r="V2722" s="13">
        <v>45175</v>
      </c>
      <c r="W2722">
        <v>1</v>
      </c>
      <c r="X2722">
        <v>1</v>
      </c>
      <c r="Y2722" t="s">
        <v>3759</v>
      </c>
      <c r="AC2722">
        <v>7339</v>
      </c>
      <c r="AD2722" t="e" vm="2712">
        <v>#VALUE!</v>
      </c>
    </row>
    <row r="2723" spans="2:30" x14ac:dyDescent="0.25">
      <c r="B2723">
        <v>7340</v>
      </c>
      <c r="C2723" t="s">
        <v>3646</v>
      </c>
      <c r="D2723" t="s">
        <v>3758</v>
      </c>
      <c r="E2723" t="s">
        <v>3930</v>
      </c>
      <c r="F2723" t="s">
        <v>92</v>
      </c>
      <c r="G2723" t="s">
        <v>91</v>
      </c>
      <c r="H2723" t="s">
        <v>3913</v>
      </c>
      <c r="I2723" t="s">
        <v>3913</v>
      </c>
      <c r="J2723" t="s">
        <v>3931</v>
      </c>
      <c r="K2723" t="s">
        <v>905</v>
      </c>
      <c r="L2723" s="13">
        <v>42650</v>
      </c>
      <c r="M2723">
        <v>7</v>
      </c>
      <c r="N2723" t="s">
        <v>90</v>
      </c>
      <c r="O2723" t="s">
        <v>3926</v>
      </c>
      <c r="P2723" t="s">
        <v>76</v>
      </c>
      <c r="Q2723" t="s">
        <v>905</v>
      </c>
      <c r="R2723" t="s">
        <v>76</v>
      </c>
      <c r="S2723" t="s">
        <v>76</v>
      </c>
      <c r="T2723" t="s">
        <v>76</v>
      </c>
      <c r="U2723">
        <v>1</v>
      </c>
      <c r="V2723" s="13">
        <v>45175</v>
      </c>
      <c r="W2723">
        <v>1</v>
      </c>
      <c r="X2723">
        <v>1</v>
      </c>
      <c r="Y2723" t="s">
        <v>3759</v>
      </c>
      <c r="AC2723">
        <v>7340</v>
      </c>
      <c r="AD2723" t="e" vm="2713">
        <v>#VALUE!</v>
      </c>
    </row>
    <row r="2724" spans="2:30" x14ac:dyDescent="0.25">
      <c r="B2724">
        <v>7341</v>
      </c>
      <c r="C2724" t="s">
        <v>3646</v>
      </c>
      <c r="D2724" t="s">
        <v>3758</v>
      </c>
      <c r="E2724" t="s">
        <v>3930</v>
      </c>
      <c r="F2724" t="s">
        <v>92</v>
      </c>
      <c r="G2724" t="s">
        <v>91</v>
      </c>
      <c r="H2724" t="s">
        <v>3913</v>
      </c>
      <c r="I2724" t="s">
        <v>3913</v>
      </c>
      <c r="J2724" t="s">
        <v>3931</v>
      </c>
      <c r="K2724" t="s">
        <v>905</v>
      </c>
      <c r="L2724" s="13">
        <v>42657</v>
      </c>
      <c r="M2724">
        <v>7</v>
      </c>
      <c r="N2724" t="s">
        <v>90</v>
      </c>
      <c r="O2724" t="s">
        <v>3926</v>
      </c>
      <c r="P2724" t="s">
        <v>76</v>
      </c>
      <c r="Q2724" t="s">
        <v>905</v>
      </c>
      <c r="R2724" t="s">
        <v>76</v>
      </c>
      <c r="S2724" t="s">
        <v>76</v>
      </c>
      <c r="T2724" t="s">
        <v>76</v>
      </c>
      <c r="U2724">
        <v>1</v>
      </c>
      <c r="V2724" s="13">
        <v>45175</v>
      </c>
      <c r="W2724">
        <v>1</v>
      </c>
      <c r="X2724">
        <v>1</v>
      </c>
      <c r="Y2724" t="s">
        <v>3759</v>
      </c>
      <c r="AC2724">
        <v>7341</v>
      </c>
      <c r="AD2724" t="e" vm="2714">
        <v>#VALUE!</v>
      </c>
    </row>
    <row r="2725" spans="2:30" x14ac:dyDescent="0.25">
      <c r="B2725">
        <v>7342</v>
      </c>
      <c r="C2725" t="s">
        <v>3646</v>
      </c>
      <c r="D2725" t="s">
        <v>3758</v>
      </c>
      <c r="E2725" t="s">
        <v>3930</v>
      </c>
      <c r="F2725" t="s">
        <v>92</v>
      </c>
      <c r="G2725" t="s">
        <v>91</v>
      </c>
      <c r="H2725" t="s">
        <v>3913</v>
      </c>
      <c r="I2725" t="s">
        <v>3913</v>
      </c>
      <c r="J2725" t="s">
        <v>3931</v>
      </c>
      <c r="K2725" t="s">
        <v>905</v>
      </c>
      <c r="L2725" s="13">
        <v>42664</v>
      </c>
      <c r="M2725">
        <v>7</v>
      </c>
      <c r="N2725" t="s">
        <v>90</v>
      </c>
      <c r="O2725" t="s">
        <v>3926</v>
      </c>
      <c r="P2725" t="s">
        <v>76</v>
      </c>
      <c r="Q2725" t="s">
        <v>905</v>
      </c>
      <c r="R2725" t="s">
        <v>76</v>
      </c>
      <c r="S2725" t="s">
        <v>76</v>
      </c>
      <c r="T2725" t="s">
        <v>76</v>
      </c>
      <c r="U2725">
        <v>1</v>
      </c>
      <c r="V2725" s="13">
        <v>45175</v>
      </c>
      <c r="W2725">
        <v>1</v>
      </c>
      <c r="X2725">
        <v>1</v>
      </c>
      <c r="Y2725" t="s">
        <v>3759</v>
      </c>
      <c r="AC2725">
        <v>7342</v>
      </c>
      <c r="AD2725" t="e" vm="2715">
        <v>#VALUE!</v>
      </c>
    </row>
    <row r="2726" spans="2:30" x14ac:dyDescent="0.25">
      <c r="B2726">
        <v>7343</v>
      </c>
      <c r="C2726" t="s">
        <v>3646</v>
      </c>
      <c r="D2726" t="s">
        <v>3758</v>
      </c>
      <c r="E2726" t="s">
        <v>3930</v>
      </c>
      <c r="F2726" t="s">
        <v>92</v>
      </c>
      <c r="G2726" t="s">
        <v>91</v>
      </c>
      <c r="H2726" t="s">
        <v>3913</v>
      </c>
      <c r="I2726" t="s">
        <v>3913</v>
      </c>
      <c r="J2726" t="s">
        <v>3931</v>
      </c>
      <c r="K2726" t="s">
        <v>905</v>
      </c>
      <c r="L2726" s="13">
        <v>42692</v>
      </c>
      <c r="M2726">
        <v>7</v>
      </c>
      <c r="N2726" t="s">
        <v>90</v>
      </c>
      <c r="O2726" t="s">
        <v>3926</v>
      </c>
      <c r="P2726" t="s">
        <v>76</v>
      </c>
      <c r="Q2726" t="s">
        <v>905</v>
      </c>
      <c r="R2726" t="s">
        <v>76</v>
      </c>
      <c r="S2726" t="s">
        <v>76</v>
      </c>
      <c r="T2726" t="s">
        <v>76</v>
      </c>
      <c r="U2726">
        <v>1</v>
      </c>
      <c r="V2726" s="13">
        <v>45175</v>
      </c>
      <c r="W2726">
        <v>1</v>
      </c>
      <c r="X2726">
        <v>1</v>
      </c>
      <c r="Y2726" t="s">
        <v>3759</v>
      </c>
      <c r="AC2726">
        <v>7343</v>
      </c>
      <c r="AD2726" t="e" vm="2716">
        <v>#VALUE!</v>
      </c>
    </row>
    <row r="2727" spans="2:30" x14ac:dyDescent="0.25">
      <c r="B2727">
        <v>7344</v>
      </c>
      <c r="C2727" t="s">
        <v>3646</v>
      </c>
      <c r="D2727" t="s">
        <v>3758</v>
      </c>
      <c r="E2727" t="s">
        <v>3930</v>
      </c>
      <c r="F2727" t="s">
        <v>92</v>
      </c>
      <c r="G2727" t="s">
        <v>91</v>
      </c>
      <c r="H2727" t="s">
        <v>3913</v>
      </c>
      <c r="I2727" t="s">
        <v>3913</v>
      </c>
      <c r="J2727" t="s">
        <v>3931</v>
      </c>
      <c r="K2727" t="s">
        <v>905</v>
      </c>
      <c r="L2727" s="13">
        <v>42731</v>
      </c>
      <c r="M2727">
        <v>7</v>
      </c>
      <c r="N2727" t="s">
        <v>90</v>
      </c>
      <c r="O2727" t="s">
        <v>3926</v>
      </c>
      <c r="P2727" t="s">
        <v>76</v>
      </c>
      <c r="Q2727" t="s">
        <v>905</v>
      </c>
      <c r="R2727" t="s">
        <v>76</v>
      </c>
      <c r="S2727" t="s">
        <v>76</v>
      </c>
      <c r="T2727" t="s">
        <v>76</v>
      </c>
      <c r="U2727">
        <v>1</v>
      </c>
      <c r="V2727" s="13">
        <v>45175</v>
      </c>
      <c r="W2727">
        <v>1</v>
      </c>
      <c r="X2727">
        <v>1</v>
      </c>
      <c r="Y2727" t="s">
        <v>3759</v>
      </c>
      <c r="AC2727">
        <v>7344</v>
      </c>
      <c r="AD2727" t="e" vm="2717">
        <v>#VALUE!</v>
      </c>
    </row>
    <row r="2728" spans="2:30" x14ac:dyDescent="0.25">
      <c r="B2728">
        <v>7345</v>
      </c>
      <c r="C2728" t="s">
        <v>3646</v>
      </c>
      <c r="D2728" t="s">
        <v>3758</v>
      </c>
      <c r="E2728" t="s">
        <v>3930</v>
      </c>
      <c r="F2728" t="s">
        <v>92</v>
      </c>
      <c r="G2728" t="s">
        <v>91</v>
      </c>
      <c r="H2728" t="s">
        <v>3913</v>
      </c>
      <c r="I2728" t="s">
        <v>3913</v>
      </c>
      <c r="J2728" t="s">
        <v>3931</v>
      </c>
      <c r="K2728" t="s">
        <v>905</v>
      </c>
      <c r="L2728" s="13">
        <v>42740</v>
      </c>
      <c r="M2728">
        <v>7</v>
      </c>
      <c r="N2728" t="s">
        <v>90</v>
      </c>
      <c r="O2728" t="s">
        <v>3926</v>
      </c>
      <c r="P2728" t="s">
        <v>76</v>
      </c>
      <c r="Q2728" t="s">
        <v>905</v>
      </c>
      <c r="R2728" t="s">
        <v>76</v>
      </c>
      <c r="S2728" t="s">
        <v>76</v>
      </c>
      <c r="T2728" t="s">
        <v>76</v>
      </c>
      <c r="U2728">
        <v>1</v>
      </c>
      <c r="V2728" s="13">
        <v>45175</v>
      </c>
      <c r="W2728">
        <v>1</v>
      </c>
      <c r="X2728">
        <v>1</v>
      </c>
      <c r="Y2728" t="s">
        <v>3759</v>
      </c>
      <c r="AC2728">
        <v>7345</v>
      </c>
      <c r="AD2728" t="e" vm="2718">
        <v>#VALUE!</v>
      </c>
    </row>
    <row r="2729" spans="2:30" x14ac:dyDescent="0.25">
      <c r="B2729">
        <v>7346</v>
      </c>
      <c r="C2729" t="s">
        <v>3646</v>
      </c>
      <c r="D2729" t="s">
        <v>3758</v>
      </c>
      <c r="E2729" t="s">
        <v>3930</v>
      </c>
      <c r="F2729" t="s">
        <v>92</v>
      </c>
      <c r="G2729" t="s">
        <v>91</v>
      </c>
      <c r="H2729" t="s">
        <v>3913</v>
      </c>
      <c r="I2729" t="s">
        <v>3913</v>
      </c>
      <c r="J2729" t="s">
        <v>3931</v>
      </c>
      <c r="K2729" t="s">
        <v>905</v>
      </c>
      <c r="L2729" s="13">
        <v>42741</v>
      </c>
      <c r="M2729">
        <v>7</v>
      </c>
      <c r="N2729" t="s">
        <v>90</v>
      </c>
      <c r="O2729" t="s">
        <v>3926</v>
      </c>
      <c r="P2729" t="s">
        <v>76</v>
      </c>
      <c r="Q2729" t="s">
        <v>905</v>
      </c>
      <c r="R2729" t="s">
        <v>76</v>
      </c>
      <c r="S2729" t="s">
        <v>76</v>
      </c>
      <c r="T2729" t="s">
        <v>76</v>
      </c>
      <c r="U2729">
        <v>1</v>
      </c>
      <c r="V2729" s="13">
        <v>45175</v>
      </c>
      <c r="W2729">
        <v>1</v>
      </c>
      <c r="X2729">
        <v>1</v>
      </c>
      <c r="Y2729" t="s">
        <v>3759</v>
      </c>
      <c r="AC2729">
        <v>7346</v>
      </c>
      <c r="AD2729" t="e" vm="2719">
        <v>#VALUE!</v>
      </c>
    </row>
    <row r="2730" spans="2:30" x14ac:dyDescent="0.25">
      <c r="B2730">
        <v>7347</v>
      </c>
      <c r="C2730" t="s">
        <v>3646</v>
      </c>
      <c r="D2730" t="s">
        <v>3758</v>
      </c>
      <c r="E2730" t="s">
        <v>3930</v>
      </c>
      <c r="F2730" t="s">
        <v>92</v>
      </c>
      <c r="G2730" t="s">
        <v>91</v>
      </c>
      <c r="H2730" t="s">
        <v>3913</v>
      </c>
      <c r="I2730" t="s">
        <v>3913</v>
      </c>
      <c r="J2730" t="s">
        <v>3931</v>
      </c>
      <c r="K2730" t="s">
        <v>905</v>
      </c>
      <c r="L2730" s="13">
        <v>42744</v>
      </c>
      <c r="M2730">
        <v>7</v>
      </c>
      <c r="N2730" t="s">
        <v>90</v>
      </c>
      <c r="O2730" t="s">
        <v>3926</v>
      </c>
      <c r="P2730" t="s">
        <v>76</v>
      </c>
      <c r="Q2730" t="s">
        <v>905</v>
      </c>
      <c r="R2730" t="s">
        <v>76</v>
      </c>
      <c r="S2730" t="s">
        <v>76</v>
      </c>
      <c r="T2730" t="s">
        <v>76</v>
      </c>
      <c r="U2730">
        <v>1</v>
      </c>
      <c r="V2730" s="13">
        <v>45175</v>
      </c>
      <c r="W2730">
        <v>1</v>
      </c>
      <c r="X2730">
        <v>1</v>
      </c>
      <c r="Y2730" t="s">
        <v>3759</v>
      </c>
      <c r="AC2730">
        <v>7347</v>
      </c>
      <c r="AD2730" t="e" vm="2720">
        <v>#VALUE!</v>
      </c>
    </row>
    <row r="2731" spans="2:30" x14ac:dyDescent="0.25">
      <c r="B2731">
        <v>7348</v>
      </c>
      <c r="C2731" t="s">
        <v>3646</v>
      </c>
      <c r="D2731" t="s">
        <v>3758</v>
      </c>
      <c r="E2731" t="s">
        <v>3930</v>
      </c>
      <c r="F2731" t="s">
        <v>92</v>
      </c>
      <c r="G2731" t="s">
        <v>91</v>
      </c>
      <c r="H2731" t="s">
        <v>3913</v>
      </c>
      <c r="I2731" t="s">
        <v>3913</v>
      </c>
      <c r="J2731" t="s">
        <v>3931</v>
      </c>
      <c r="K2731" t="s">
        <v>905</v>
      </c>
      <c r="L2731" s="13">
        <v>42768</v>
      </c>
      <c r="M2731">
        <v>7</v>
      </c>
      <c r="N2731" t="s">
        <v>90</v>
      </c>
      <c r="O2731" t="s">
        <v>3926</v>
      </c>
      <c r="P2731" t="s">
        <v>76</v>
      </c>
      <c r="Q2731" t="s">
        <v>905</v>
      </c>
      <c r="R2731" t="s">
        <v>76</v>
      </c>
      <c r="S2731" t="s">
        <v>76</v>
      </c>
      <c r="T2731" t="s">
        <v>76</v>
      </c>
      <c r="U2731">
        <v>1</v>
      </c>
      <c r="V2731" s="13">
        <v>45175</v>
      </c>
      <c r="W2731">
        <v>1</v>
      </c>
      <c r="X2731">
        <v>1</v>
      </c>
      <c r="Y2731" t="s">
        <v>3759</v>
      </c>
      <c r="AC2731">
        <v>7348</v>
      </c>
      <c r="AD2731" t="e" vm="2721">
        <v>#VALUE!</v>
      </c>
    </row>
    <row r="2732" spans="2:30" x14ac:dyDescent="0.25">
      <c r="B2732">
        <v>7349</v>
      </c>
      <c r="C2732" t="s">
        <v>3646</v>
      </c>
      <c r="D2732" t="s">
        <v>3756</v>
      </c>
      <c r="E2732" t="s">
        <v>3919</v>
      </c>
      <c r="F2732" t="s">
        <v>89</v>
      </c>
      <c r="G2732" t="s">
        <v>80</v>
      </c>
      <c r="H2732" t="s">
        <v>3913</v>
      </c>
      <c r="I2732" t="s">
        <v>3913</v>
      </c>
      <c r="J2732" t="s">
        <v>3925</v>
      </c>
      <c r="K2732" t="s">
        <v>905</v>
      </c>
      <c r="L2732" s="13">
        <v>43048</v>
      </c>
      <c r="M2732">
        <v>6</v>
      </c>
      <c r="N2732" t="s">
        <v>90</v>
      </c>
      <c r="O2732" t="s">
        <v>3926</v>
      </c>
      <c r="P2732" t="s">
        <v>76</v>
      </c>
      <c r="Q2732" t="s">
        <v>905</v>
      </c>
      <c r="R2732" t="s">
        <v>76</v>
      </c>
      <c r="S2732" t="s">
        <v>76</v>
      </c>
      <c r="T2732" t="s">
        <v>76</v>
      </c>
      <c r="U2732">
        <v>1</v>
      </c>
      <c r="V2732" s="13">
        <v>45175</v>
      </c>
      <c r="W2732">
        <v>1</v>
      </c>
      <c r="X2732">
        <v>1</v>
      </c>
      <c r="Y2732" t="s">
        <v>3757</v>
      </c>
      <c r="AC2732">
        <v>7349</v>
      </c>
      <c r="AD2732" t="e" vm="2722">
        <v>#VALUE!</v>
      </c>
    </row>
    <row r="2733" spans="2:30" x14ac:dyDescent="0.25">
      <c r="B2733">
        <v>7350</v>
      </c>
      <c r="C2733" t="s">
        <v>3646</v>
      </c>
      <c r="D2733" t="s">
        <v>3756</v>
      </c>
      <c r="E2733" t="s">
        <v>3919</v>
      </c>
      <c r="F2733" t="s">
        <v>89</v>
      </c>
      <c r="G2733" t="s">
        <v>80</v>
      </c>
      <c r="H2733" t="s">
        <v>3913</v>
      </c>
      <c r="I2733" t="s">
        <v>3913</v>
      </c>
      <c r="J2733" t="s">
        <v>3925</v>
      </c>
      <c r="K2733" t="s">
        <v>905</v>
      </c>
      <c r="L2733" s="13">
        <v>43053</v>
      </c>
      <c r="M2733">
        <v>6</v>
      </c>
      <c r="N2733" t="s">
        <v>90</v>
      </c>
      <c r="O2733" t="s">
        <v>3926</v>
      </c>
      <c r="P2733" t="s">
        <v>76</v>
      </c>
      <c r="Q2733" t="s">
        <v>905</v>
      </c>
      <c r="R2733" t="s">
        <v>76</v>
      </c>
      <c r="S2733" t="s">
        <v>76</v>
      </c>
      <c r="T2733" t="s">
        <v>76</v>
      </c>
      <c r="U2733">
        <v>1</v>
      </c>
      <c r="V2733" s="13">
        <v>45175</v>
      </c>
      <c r="W2733">
        <v>1</v>
      </c>
      <c r="X2733">
        <v>1</v>
      </c>
      <c r="Y2733" t="s">
        <v>3757</v>
      </c>
      <c r="AC2733">
        <v>7350</v>
      </c>
      <c r="AD2733" t="e" vm="2723">
        <v>#VALUE!</v>
      </c>
    </row>
    <row r="2734" spans="2:30" x14ac:dyDescent="0.25">
      <c r="B2734">
        <v>7351</v>
      </c>
      <c r="C2734" t="s">
        <v>3646</v>
      </c>
      <c r="D2734" t="s">
        <v>3756</v>
      </c>
      <c r="E2734" t="s">
        <v>3919</v>
      </c>
      <c r="F2734" t="s">
        <v>89</v>
      </c>
      <c r="G2734" t="s">
        <v>80</v>
      </c>
      <c r="H2734" t="s">
        <v>3913</v>
      </c>
      <c r="I2734" t="s">
        <v>3913</v>
      </c>
      <c r="J2734" t="s">
        <v>3925</v>
      </c>
      <c r="K2734" t="s">
        <v>905</v>
      </c>
      <c r="L2734" s="13">
        <v>43062</v>
      </c>
      <c r="M2734">
        <v>6</v>
      </c>
      <c r="N2734" t="s">
        <v>90</v>
      </c>
      <c r="O2734" t="s">
        <v>3926</v>
      </c>
      <c r="P2734" t="s">
        <v>76</v>
      </c>
      <c r="Q2734" t="s">
        <v>905</v>
      </c>
      <c r="R2734" t="s">
        <v>76</v>
      </c>
      <c r="S2734" t="s">
        <v>76</v>
      </c>
      <c r="T2734" t="s">
        <v>76</v>
      </c>
      <c r="U2734">
        <v>1</v>
      </c>
      <c r="V2734" s="13">
        <v>45175</v>
      </c>
      <c r="W2734">
        <v>1</v>
      </c>
      <c r="X2734">
        <v>1</v>
      </c>
      <c r="Y2734" t="s">
        <v>3757</v>
      </c>
      <c r="AC2734">
        <v>7351</v>
      </c>
      <c r="AD2734" t="e" vm="2724">
        <v>#VALUE!</v>
      </c>
    </row>
    <row r="2735" spans="2:30" x14ac:dyDescent="0.25">
      <c r="B2735">
        <v>7352</v>
      </c>
      <c r="C2735" t="s">
        <v>3646</v>
      </c>
      <c r="D2735" t="s">
        <v>3756</v>
      </c>
      <c r="E2735" t="s">
        <v>3919</v>
      </c>
      <c r="F2735" t="s">
        <v>89</v>
      </c>
      <c r="G2735" t="s">
        <v>80</v>
      </c>
      <c r="H2735" t="s">
        <v>3913</v>
      </c>
      <c r="I2735" t="s">
        <v>3913</v>
      </c>
      <c r="J2735" t="s">
        <v>3925</v>
      </c>
      <c r="K2735" t="s">
        <v>905</v>
      </c>
      <c r="L2735" s="13">
        <v>43069</v>
      </c>
      <c r="M2735">
        <v>6</v>
      </c>
      <c r="N2735" t="s">
        <v>90</v>
      </c>
      <c r="O2735" t="s">
        <v>3926</v>
      </c>
      <c r="P2735" t="s">
        <v>76</v>
      </c>
      <c r="Q2735" t="s">
        <v>905</v>
      </c>
      <c r="R2735" t="s">
        <v>76</v>
      </c>
      <c r="S2735" t="s">
        <v>76</v>
      </c>
      <c r="T2735" t="s">
        <v>76</v>
      </c>
      <c r="U2735">
        <v>1</v>
      </c>
      <c r="V2735" s="13">
        <v>45175</v>
      </c>
      <c r="W2735">
        <v>1</v>
      </c>
      <c r="X2735">
        <v>1</v>
      </c>
      <c r="Y2735" t="s">
        <v>3757</v>
      </c>
      <c r="AC2735">
        <v>7352</v>
      </c>
      <c r="AD2735" t="e" vm="2725">
        <v>#VALUE!</v>
      </c>
    </row>
    <row r="2736" spans="2:30" x14ac:dyDescent="0.25">
      <c r="B2736">
        <v>7353</v>
      </c>
      <c r="C2736" t="s">
        <v>3646</v>
      </c>
      <c r="D2736" t="s">
        <v>3756</v>
      </c>
      <c r="E2736" t="s">
        <v>3919</v>
      </c>
      <c r="F2736" t="s">
        <v>89</v>
      </c>
      <c r="G2736" t="s">
        <v>80</v>
      </c>
      <c r="H2736" t="s">
        <v>3913</v>
      </c>
      <c r="I2736" t="s">
        <v>3913</v>
      </c>
      <c r="J2736" t="s">
        <v>3925</v>
      </c>
      <c r="K2736" t="s">
        <v>905</v>
      </c>
      <c r="L2736" s="13">
        <v>43083</v>
      </c>
      <c r="M2736">
        <v>6</v>
      </c>
      <c r="N2736" t="s">
        <v>90</v>
      </c>
      <c r="O2736" t="s">
        <v>3926</v>
      </c>
      <c r="P2736" t="s">
        <v>76</v>
      </c>
      <c r="Q2736" t="s">
        <v>905</v>
      </c>
      <c r="R2736" t="s">
        <v>76</v>
      </c>
      <c r="S2736" t="s">
        <v>76</v>
      </c>
      <c r="T2736" t="s">
        <v>76</v>
      </c>
      <c r="U2736">
        <v>1</v>
      </c>
      <c r="V2736" s="13">
        <v>45175</v>
      </c>
      <c r="W2736">
        <v>1</v>
      </c>
      <c r="X2736">
        <v>1</v>
      </c>
      <c r="Y2736" t="s">
        <v>3757</v>
      </c>
      <c r="AC2736">
        <v>7353</v>
      </c>
      <c r="AD2736" t="e" vm="2726">
        <v>#VALUE!</v>
      </c>
    </row>
    <row r="2737" spans="2:30" x14ac:dyDescent="0.25">
      <c r="B2737">
        <v>7354</v>
      </c>
      <c r="C2737" t="s">
        <v>3646</v>
      </c>
      <c r="D2737" t="s">
        <v>3756</v>
      </c>
      <c r="E2737" t="s">
        <v>3919</v>
      </c>
      <c r="F2737" t="s">
        <v>89</v>
      </c>
      <c r="G2737" t="s">
        <v>80</v>
      </c>
      <c r="H2737" t="s">
        <v>3913</v>
      </c>
      <c r="I2737" t="s">
        <v>3913</v>
      </c>
      <c r="J2737" t="s">
        <v>3925</v>
      </c>
      <c r="K2737" t="s">
        <v>905</v>
      </c>
      <c r="L2737" s="13">
        <v>43097</v>
      </c>
      <c r="M2737">
        <v>6</v>
      </c>
      <c r="N2737" t="s">
        <v>90</v>
      </c>
      <c r="O2737" t="s">
        <v>3926</v>
      </c>
      <c r="P2737" t="s">
        <v>76</v>
      </c>
      <c r="Q2737" t="s">
        <v>905</v>
      </c>
      <c r="R2737" t="s">
        <v>76</v>
      </c>
      <c r="S2737" t="s">
        <v>76</v>
      </c>
      <c r="T2737" t="s">
        <v>76</v>
      </c>
      <c r="U2737">
        <v>1</v>
      </c>
      <c r="V2737" s="13">
        <v>45175</v>
      </c>
      <c r="W2737">
        <v>1</v>
      </c>
      <c r="X2737">
        <v>1</v>
      </c>
      <c r="Y2737" t="s">
        <v>3757</v>
      </c>
      <c r="AC2737">
        <v>7354</v>
      </c>
      <c r="AD2737" t="e" vm="2727">
        <v>#VALUE!</v>
      </c>
    </row>
    <row r="2738" spans="2:30" x14ac:dyDescent="0.25">
      <c r="B2738">
        <v>7355</v>
      </c>
      <c r="C2738" t="s">
        <v>3646</v>
      </c>
      <c r="D2738" t="s">
        <v>3756</v>
      </c>
      <c r="E2738" t="s">
        <v>3919</v>
      </c>
      <c r="F2738" t="s">
        <v>89</v>
      </c>
      <c r="G2738" t="s">
        <v>80</v>
      </c>
      <c r="H2738" t="s">
        <v>3913</v>
      </c>
      <c r="I2738" t="s">
        <v>3913</v>
      </c>
      <c r="J2738" t="s">
        <v>3925</v>
      </c>
      <c r="K2738" t="s">
        <v>905</v>
      </c>
      <c r="L2738" s="13">
        <v>43116</v>
      </c>
      <c r="M2738">
        <v>6</v>
      </c>
      <c r="N2738" t="s">
        <v>90</v>
      </c>
      <c r="O2738" t="s">
        <v>3926</v>
      </c>
      <c r="P2738" t="s">
        <v>76</v>
      </c>
      <c r="Q2738" t="s">
        <v>905</v>
      </c>
      <c r="R2738" t="s">
        <v>76</v>
      </c>
      <c r="S2738" t="s">
        <v>76</v>
      </c>
      <c r="T2738" t="s">
        <v>76</v>
      </c>
      <c r="U2738">
        <v>1</v>
      </c>
      <c r="V2738" s="13">
        <v>45175</v>
      </c>
      <c r="W2738">
        <v>1</v>
      </c>
      <c r="X2738">
        <v>1</v>
      </c>
      <c r="Y2738" t="s">
        <v>3757</v>
      </c>
      <c r="AC2738">
        <v>7355</v>
      </c>
      <c r="AD2738" t="e" vm="2728">
        <v>#VALUE!</v>
      </c>
    </row>
    <row r="2739" spans="2:30" x14ac:dyDescent="0.25">
      <c r="B2739">
        <v>7356</v>
      </c>
      <c r="C2739" t="s">
        <v>3646</v>
      </c>
      <c r="D2739" t="s">
        <v>3756</v>
      </c>
      <c r="E2739" t="s">
        <v>3919</v>
      </c>
      <c r="F2739" t="s">
        <v>89</v>
      </c>
      <c r="G2739" t="s">
        <v>80</v>
      </c>
      <c r="H2739" t="s">
        <v>3913</v>
      </c>
      <c r="I2739" t="s">
        <v>3913</v>
      </c>
      <c r="J2739" t="s">
        <v>3925</v>
      </c>
      <c r="K2739" t="s">
        <v>905</v>
      </c>
      <c r="L2739" s="13">
        <v>43126</v>
      </c>
      <c r="M2739">
        <v>6</v>
      </c>
      <c r="N2739" t="s">
        <v>90</v>
      </c>
      <c r="O2739" t="s">
        <v>3926</v>
      </c>
      <c r="P2739" t="s">
        <v>76</v>
      </c>
      <c r="Q2739" t="s">
        <v>905</v>
      </c>
      <c r="R2739" t="s">
        <v>76</v>
      </c>
      <c r="S2739" t="s">
        <v>76</v>
      </c>
      <c r="T2739" t="s">
        <v>76</v>
      </c>
      <c r="U2739">
        <v>1</v>
      </c>
      <c r="V2739" s="13">
        <v>45175</v>
      </c>
      <c r="W2739">
        <v>1</v>
      </c>
      <c r="X2739">
        <v>1</v>
      </c>
      <c r="Y2739" t="s">
        <v>3757</v>
      </c>
      <c r="AC2739">
        <v>7356</v>
      </c>
      <c r="AD2739" t="e" vm="2729">
        <v>#VALUE!</v>
      </c>
    </row>
    <row r="2740" spans="2:30" x14ac:dyDescent="0.25">
      <c r="B2740">
        <v>7357</v>
      </c>
      <c r="C2740" t="s">
        <v>3646</v>
      </c>
      <c r="D2740" t="s">
        <v>3756</v>
      </c>
      <c r="E2740" t="s">
        <v>3919</v>
      </c>
      <c r="F2740" t="s">
        <v>89</v>
      </c>
      <c r="G2740" t="s">
        <v>80</v>
      </c>
      <c r="H2740" t="s">
        <v>3913</v>
      </c>
      <c r="I2740" t="s">
        <v>3913</v>
      </c>
      <c r="J2740" t="s">
        <v>3925</v>
      </c>
      <c r="K2740" t="s">
        <v>905</v>
      </c>
      <c r="L2740" s="13">
        <v>43138</v>
      </c>
      <c r="M2740">
        <v>6</v>
      </c>
      <c r="N2740" t="s">
        <v>90</v>
      </c>
      <c r="O2740" t="s">
        <v>3926</v>
      </c>
      <c r="P2740" t="s">
        <v>76</v>
      </c>
      <c r="Q2740" t="s">
        <v>905</v>
      </c>
      <c r="R2740" t="s">
        <v>76</v>
      </c>
      <c r="S2740" t="s">
        <v>76</v>
      </c>
      <c r="T2740" t="s">
        <v>76</v>
      </c>
      <c r="U2740">
        <v>1</v>
      </c>
      <c r="V2740" s="13">
        <v>45175</v>
      </c>
      <c r="W2740">
        <v>1</v>
      </c>
      <c r="X2740">
        <v>1</v>
      </c>
      <c r="Y2740" t="s">
        <v>3757</v>
      </c>
      <c r="AC2740">
        <v>7357</v>
      </c>
      <c r="AD2740" t="e" vm="2730">
        <v>#VALUE!</v>
      </c>
    </row>
    <row r="2741" spans="2:30" x14ac:dyDescent="0.25">
      <c r="B2741">
        <v>7358</v>
      </c>
      <c r="C2741" t="s">
        <v>3646</v>
      </c>
      <c r="D2741" t="s">
        <v>3756</v>
      </c>
      <c r="E2741" t="s">
        <v>3919</v>
      </c>
      <c r="F2741" t="s">
        <v>89</v>
      </c>
      <c r="G2741" t="s">
        <v>80</v>
      </c>
      <c r="H2741" t="s">
        <v>3913</v>
      </c>
      <c r="I2741" t="s">
        <v>3913</v>
      </c>
      <c r="J2741" t="s">
        <v>3925</v>
      </c>
      <c r="K2741" t="s">
        <v>905</v>
      </c>
      <c r="L2741" s="13">
        <v>43157</v>
      </c>
      <c r="M2741">
        <v>6</v>
      </c>
      <c r="N2741" t="s">
        <v>90</v>
      </c>
      <c r="O2741" t="s">
        <v>3926</v>
      </c>
      <c r="P2741" t="s">
        <v>76</v>
      </c>
      <c r="Q2741" t="s">
        <v>905</v>
      </c>
      <c r="R2741" t="s">
        <v>76</v>
      </c>
      <c r="S2741" t="s">
        <v>76</v>
      </c>
      <c r="T2741" t="s">
        <v>76</v>
      </c>
      <c r="U2741">
        <v>1</v>
      </c>
      <c r="V2741" s="13">
        <v>45175</v>
      </c>
      <c r="W2741">
        <v>1</v>
      </c>
      <c r="X2741">
        <v>1</v>
      </c>
      <c r="Y2741" t="s">
        <v>3757</v>
      </c>
      <c r="AC2741">
        <v>7358</v>
      </c>
      <c r="AD2741" t="e" vm="2731">
        <v>#VALUE!</v>
      </c>
    </row>
    <row r="2742" spans="2:30" x14ac:dyDescent="0.25">
      <c r="B2742">
        <v>7359</v>
      </c>
      <c r="C2742" t="s">
        <v>3646</v>
      </c>
      <c r="D2742" t="s">
        <v>3756</v>
      </c>
      <c r="E2742" t="s">
        <v>3919</v>
      </c>
      <c r="F2742" t="s">
        <v>89</v>
      </c>
      <c r="G2742" t="s">
        <v>80</v>
      </c>
      <c r="H2742" t="s">
        <v>3913</v>
      </c>
      <c r="I2742" t="s">
        <v>3913</v>
      </c>
      <c r="J2742" t="s">
        <v>3925</v>
      </c>
      <c r="K2742" t="s">
        <v>905</v>
      </c>
      <c r="L2742" s="13">
        <v>43167</v>
      </c>
      <c r="M2742">
        <v>6</v>
      </c>
      <c r="N2742" t="s">
        <v>90</v>
      </c>
      <c r="O2742" t="s">
        <v>3926</v>
      </c>
      <c r="P2742" t="s">
        <v>76</v>
      </c>
      <c r="Q2742" t="s">
        <v>905</v>
      </c>
      <c r="R2742" t="s">
        <v>76</v>
      </c>
      <c r="S2742" t="s">
        <v>76</v>
      </c>
      <c r="T2742" t="s">
        <v>76</v>
      </c>
      <c r="U2742">
        <v>1</v>
      </c>
      <c r="V2742" s="13">
        <v>45175</v>
      </c>
      <c r="W2742">
        <v>1</v>
      </c>
      <c r="X2742">
        <v>1</v>
      </c>
      <c r="Y2742" t="s">
        <v>3757</v>
      </c>
      <c r="AC2742">
        <v>7359</v>
      </c>
      <c r="AD2742" t="e" vm="2732">
        <v>#VALUE!</v>
      </c>
    </row>
    <row r="2743" spans="2:30" x14ac:dyDescent="0.25">
      <c r="B2743">
        <v>7360</v>
      </c>
      <c r="C2743" t="s">
        <v>3646</v>
      </c>
      <c r="D2743" t="s">
        <v>3756</v>
      </c>
      <c r="E2743" t="s">
        <v>3919</v>
      </c>
      <c r="F2743" t="s">
        <v>89</v>
      </c>
      <c r="G2743" t="s">
        <v>80</v>
      </c>
      <c r="H2743" t="s">
        <v>3913</v>
      </c>
      <c r="I2743" t="s">
        <v>3913</v>
      </c>
      <c r="J2743" t="s">
        <v>3925</v>
      </c>
      <c r="K2743" t="s">
        <v>905</v>
      </c>
      <c r="L2743" s="13">
        <v>43182</v>
      </c>
      <c r="M2743">
        <v>5</v>
      </c>
      <c r="N2743" t="s">
        <v>90</v>
      </c>
      <c r="O2743" t="s">
        <v>3926</v>
      </c>
      <c r="P2743" t="s">
        <v>76</v>
      </c>
      <c r="Q2743" t="s">
        <v>905</v>
      </c>
      <c r="R2743" t="s">
        <v>76</v>
      </c>
      <c r="S2743" t="s">
        <v>76</v>
      </c>
      <c r="T2743" t="s">
        <v>76</v>
      </c>
      <c r="U2743">
        <v>1</v>
      </c>
      <c r="V2743" s="13">
        <v>45175</v>
      </c>
      <c r="W2743">
        <v>1</v>
      </c>
      <c r="X2743">
        <v>1</v>
      </c>
      <c r="Y2743" t="s">
        <v>3757</v>
      </c>
      <c r="AC2743">
        <v>7360</v>
      </c>
      <c r="AD2743" t="e" vm="2733">
        <v>#VALUE!</v>
      </c>
    </row>
    <row r="2744" spans="2:30" x14ac:dyDescent="0.25">
      <c r="B2744">
        <v>7361</v>
      </c>
      <c r="C2744" t="s">
        <v>3646</v>
      </c>
      <c r="D2744" t="s">
        <v>3756</v>
      </c>
      <c r="E2744" t="s">
        <v>3919</v>
      </c>
      <c r="F2744" t="s">
        <v>89</v>
      </c>
      <c r="G2744" t="s">
        <v>80</v>
      </c>
      <c r="H2744" t="s">
        <v>3913</v>
      </c>
      <c r="I2744" t="s">
        <v>3913</v>
      </c>
      <c r="J2744" t="s">
        <v>3925</v>
      </c>
      <c r="K2744" t="s">
        <v>905</v>
      </c>
      <c r="L2744" s="13">
        <v>43196</v>
      </c>
      <c r="M2744">
        <v>5</v>
      </c>
      <c r="N2744" t="s">
        <v>90</v>
      </c>
      <c r="O2744" t="s">
        <v>3926</v>
      </c>
      <c r="P2744" t="s">
        <v>76</v>
      </c>
      <c r="Q2744" t="s">
        <v>905</v>
      </c>
      <c r="R2744" t="s">
        <v>76</v>
      </c>
      <c r="S2744" t="s">
        <v>76</v>
      </c>
      <c r="T2744" t="s">
        <v>76</v>
      </c>
      <c r="U2744">
        <v>1</v>
      </c>
      <c r="V2744" s="13">
        <v>45175</v>
      </c>
      <c r="W2744">
        <v>1</v>
      </c>
      <c r="X2744">
        <v>1</v>
      </c>
      <c r="Y2744" t="s">
        <v>3757</v>
      </c>
      <c r="AC2744">
        <v>7361</v>
      </c>
      <c r="AD2744" t="e" vm="2734">
        <v>#VALUE!</v>
      </c>
    </row>
    <row r="2745" spans="2:30" x14ac:dyDescent="0.25">
      <c r="B2745">
        <v>7362</v>
      </c>
      <c r="C2745" t="s">
        <v>3646</v>
      </c>
      <c r="D2745" t="s">
        <v>3756</v>
      </c>
      <c r="E2745" t="s">
        <v>3919</v>
      </c>
      <c r="F2745" t="s">
        <v>89</v>
      </c>
      <c r="G2745" t="s">
        <v>80</v>
      </c>
      <c r="H2745" t="s">
        <v>3913</v>
      </c>
      <c r="I2745" t="s">
        <v>3913</v>
      </c>
      <c r="J2745" t="s">
        <v>3925</v>
      </c>
      <c r="K2745" t="s">
        <v>905</v>
      </c>
      <c r="L2745" s="13">
        <v>43231</v>
      </c>
      <c r="M2745">
        <v>5</v>
      </c>
      <c r="N2745" t="s">
        <v>90</v>
      </c>
      <c r="O2745" t="s">
        <v>3926</v>
      </c>
      <c r="P2745" t="s">
        <v>76</v>
      </c>
      <c r="Q2745" t="s">
        <v>905</v>
      </c>
      <c r="R2745" t="s">
        <v>76</v>
      </c>
      <c r="S2745" t="s">
        <v>76</v>
      </c>
      <c r="T2745" t="s">
        <v>76</v>
      </c>
      <c r="U2745">
        <v>1</v>
      </c>
      <c r="V2745" s="13">
        <v>45175</v>
      </c>
      <c r="W2745">
        <v>1</v>
      </c>
      <c r="X2745">
        <v>1</v>
      </c>
      <c r="Y2745" t="s">
        <v>3757</v>
      </c>
      <c r="AC2745">
        <v>7362</v>
      </c>
      <c r="AD2745" t="e" vm="2735">
        <v>#VALUE!</v>
      </c>
    </row>
    <row r="2746" spans="2:30" x14ac:dyDescent="0.25">
      <c r="B2746">
        <v>7401</v>
      </c>
      <c r="C2746" t="s">
        <v>3646</v>
      </c>
      <c r="D2746" t="s">
        <v>3756</v>
      </c>
      <c r="E2746" t="s">
        <v>3919</v>
      </c>
      <c r="F2746" t="s">
        <v>89</v>
      </c>
      <c r="G2746" t="s">
        <v>80</v>
      </c>
      <c r="H2746" t="s">
        <v>3913</v>
      </c>
      <c r="I2746" t="s">
        <v>3913</v>
      </c>
      <c r="J2746" t="s">
        <v>3917</v>
      </c>
      <c r="K2746" t="s">
        <v>905</v>
      </c>
      <c r="L2746" s="13">
        <v>44645</v>
      </c>
      <c r="M2746">
        <v>1</v>
      </c>
      <c r="N2746" t="s">
        <v>90</v>
      </c>
      <c r="O2746" t="s">
        <v>3932</v>
      </c>
      <c r="P2746" t="s">
        <v>76</v>
      </c>
      <c r="Q2746" t="s">
        <v>905</v>
      </c>
      <c r="R2746" t="s">
        <v>76</v>
      </c>
      <c r="S2746" t="s">
        <v>76</v>
      </c>
      <c r="T2746" t="s">
        <v>76</v>
      </c>
      <c r="U2746">
        <v>1</v>
      </c>
      <c r="V2746" s="13">
        <v>45175</v>
      </c>
      <c r="W2746">
        <v>1</v>
      </c>
      <c r="X2746">
        <v>1</v>
      </c>
      <c r="Y2746" t="s">
        <v>3757</v>
      </c>
      <c r="AC2746">
        <v>7401</v>
      </c>
      <c r="AD2746" t="e" vm="2736">
        <v>#VALUE!</v>
      </c>
    </row>
    <row r="2747" spans="2:30" x14ac:dyDescent="0.25">
      <c r="B2747">
        <v>7402</v>
      </c>
      <c r="C2747" t="s">
        <v>3646</v>
      </c>
      <c r="D2747" t="s">
        <v>3756</v>
      </c>
      <c r="E2747" t="s">
        <v>3919</v>
      </c>
      <c r="F2747" t="s">
        <v>89</v>
      </c>
      <c r="G2747" t="s">
        <v>80</v>
      </c>
      <c r="H2747" t="s">
        <v>3913</v>
      </c>
      <c r="I2747" t="s">
        <v>3913</v>
      </c>
      <c r="J2747" t="s">
        <v>3917</v>
      </c>
      <c r="K2747" t="s">
        <v>905</v>
      </c>
      <c r="L2747" s="13">
        <v>44645</v>
      </c>
      <c r="M2747">
        <v>1</v>
      </c>
      <c r="N2747" t="s">
        <v>90</v>
      </c>
      <c r="O2747" t="s">
        <v>3932</v>
      </c>
      <c r="P2747" t="s">
        <v>76</v>
      </c>
      <c r="Q2747" t="s">
        <v>905</v>
      </c>
      <c r="R2747" t="s">
        <v>76</v>
      </c>
      <c r="S2747" t="s">
        <v>76</v>
      </c>
      <c r="T2747" t="s">
        <v>76</v>
      </c>
      <c r="U2747">
        <v>1</v>
      </c>
      <c r="V2747" s="13">
        <v>45175</v>
      </c>
      <c r="W2747">
        <v>1</v>
      </c>
      <c r="X2747">
        <v>1</v>
      </c>
      <c r="Y2747" t="s">
        <v>3757</v>
      </c>
      <c r="AC2747">
        <v>7402</v>
      </c>
      <c r="AD2747" t="e" vm="2737">
        <v>#VALUE!</v>
      </c>
    </row>
    <row r="2748" spans="2:30" x14ac:dyDescent="0.25">
      <c r="B2748">
        <v>7403</v>
      </c>
      <c r="C2748" t="s">
        <v>3646</v>
      </c>
      <c r="D2748" t="s">
        <v>3756</v>
      </c>
      <c r="E2748" t="s">
        <v>3919</v>
      </c>
      <c r="F2748" t="s">
        <v>89</v>
      </c>
      <c r="G2748" t="s">
        <v>80</v>
      </c>
      <c r="H2748" t="s">
        <v>3913</v>
      </c>
      <c r="I2748" t="s">
        <v>3913</v>
      </c>
      <c r="J2748" t="s">
        <v>3917</v>
      </c>
      <c r="K2748" t="s">
        <v>905</v>
      </c>
      <c r="L2748" s="13">
        <v>44651</v>
      </c>
      <c r="M2748">
        <v>1</v>
      </c>
      <c r="N2748" t="s">
        <v>90</v>
      </c>
      <c r="O2748" t="s">
        <v>3932</v>
      </c>
      <c r="P2748" t="s">
        <v>76</v>
      </c>
      <c r="Q2748" t="s">
        <v>905</v>
      </c>
      <c r="R2748" t="s">
        <v>76</v>
      </c>
      <c r="S2748" t="s">
        <v>76</v>
      </c>
      <c r="T2748" t="s">
        <v>76</v>
      </c>
      <c r="U2748">
        <v>1</v>
      </c>
      <c r="V2748" s="13">
        <v>45175</v>
      </c>
      <c r="W2748">
        <v>1</v>
      </c>
      <c r="X2748">
        <v>1</v>
      </c>
      <c r="Y2748" t="s">
        <v>3757</v>
      </c>
      <c r="AC2748">
        <v>7403</v>
      </c>
      <c r="AD2748" t="e" vm="2738">
        <v>#VALUE!</v>
      </c>
    </row>
    <row r="2749" spans="2:30" x14ac:dyDescent="0.25">
      <c r="B2749">
        <v>7404</v>
      </c>
      <c r="C2749" t="s">
        <v>3646</v>
      </c>
      <c r="D2749" t="s">
        <v>3756</v>
      </c>
      <c r="E2749" t="s">
        <v>3922</v>
      </c>
      <c r="F2749" t="s">
        <v>93</v>
      </c>
      <c r="G2749" t="s">
        <v>80</v>
      </c>
      <c r="H2749" t="s">
        <v>3913</v>
      </c>
      <c r="I2749" t="s">
        <v>3913</v>
      </c>
      <c r="J2749" t="s">
        <v>3917</v>
      </c>
      <c r="K2749" t="s">
        <v>905</v>
      </c>
      <c r="L2749" s="13">
        <v>44671</v>
      </c>
      <c r="M2749">
        <v>1</v>
      </c>
      <c r="N2749" t="s">
        <v>90</v>
      </c>
      <c r="O2749" t="s">
        <v>3932</v>
      </c>
      <c r="P2749" t="s">
        <v>76</v>
      </c>
      <c r="Q2749" t="s">
        <v>905</v>
      </c>
      <c r="R2749" t="s">
        <v>76</v>
      </c>
      <c r="S2749" t="s">
        <v>76</v>
      </c>
      <c r="T2749" t="s">
        <v>76</v>
      </c>
      <c r="U2749">
        <v>1</v>
      </c>
      <c r="V2749" s="13">
        <v>45175</v>
      </c>
      <c r="W2749">
        <v>1</v>
      </c>
      <c r="X2749">
        <v>1</v>
      </c>
      <c r="Y2749" t="s">
        <v>3757</v>
      </c>
      <c r="AC2749">
        <v>7404</v>
      </c>
      <c r="AD2749" t="e" vm="2739">
        <v>#VALUE!</v>
      </c>
    </row>
    <row r="2750" spans="2:30" x14ac:dyDescent="0.25">
      <c r="B2750">
        <v>7405</v>
      </c>
      <c r="C2750" t="s">
        <v>3646</v>
      </c>
      <c r="D2750" t="s">
        <v>3756</v>
      </c>
      <c r="E2750" t="s">
        <v>3922</v>
      </c>
      <c r="F2750" t="s">
        <v>93</v>
      </c>
      <c r="G2750" t="s">
        <v>80</v>
      </c>
      <c r="H2750" t="s">
        <v>3913</v>
      </c>
      <c r="I2750" t="s">
        <v>3913</v>
      </c>
      <c r="J2750" t="s">
        <v>3917</v>
      </c>
      <c r="K2750" t="s">
        <v>905</v>
      </c>
      <c r="L2750" s="13">
        <v>44697</v>
      </c>
      <c r="M2750">
        <v>1</v>
      </c>
      <c r="N2750" t="s">
        <v>90</v>
      </c>
      <c r="O2750" t="s">
        <v>3932</v>
      </c>
      <c r="P2750" t="s">
        <v>76</v>
      </c>
      <c r="Q2750" t="s">
        <v>905</v>
      </c>
      <c r="R2750" t="s">
        <v>76</v>
      </c>
      <c r="S2750" t="s">
        <v>76</v>
      </c>
      <c r="T2750" t="s">
        <v>76</v>
      </c>
      <c r="U2750">
        <v>1</v>
      </c>
      <c r="V2750" s="13">
        <v>45175</v>
      </c>
      <c r="W2750">
        <v>1</v>
      </c>
      <c r="X2750">
        <v>1</v>
      </c>
      <c r="Y2750" t="s">
        <v>3757</v>
      </c>
      <c r="AC2750">
        <v>7405</v>
      </c>
      <c r="AD2750" t="e" vm="2740">
        <v>#VALUE!</v>
      </c>
    </row>
    <row r="2751" spans="2:30" x14ac:dyDescent="0.25">
      <c r="B2751">
        <v>7406</v>
      </c>
      <c r="C2751" t="s">
        <v>3646</v>
      </c>
      <c r="D2751" t="s">
        <v>3756</v>
      </c>
      <c r="E2751" t="s">
        <v>3919</v>
      </c>
      <c r="F2751" t="s">
        <v>89</v>
      </c>
      <c r="G2751" t="s">
        <v>80</v>
      </c>
      <c r="H2751" t="s">
        <v>3913</v>
      </c>
      <c r="I2751" t="s">
        <v>3913</v>
      </c>
      <c r="J2751" t="s">
        <v>3917</v>
      </c>
      <c r="K2751" t="s">
        <v>905</v>
      </c>
      <c r="L2751" s="13">
        <v>44896</v>
      </c>
      <c r="M2751">
        <v>1</v>
      </c>
      <c r="N2751" t="s">
        <v>90</v>
      </c>
      <c r="O2751" t="s">
        <v>3932</v>
      </c>
      <c r="P2751" t="s">
        <v>76</v>
      </c>
      <c r="Q2751" t="s">
        <v>905</v>
      </c>
      <c r="R2751" t="s">
        <v>76</v>
      </c>
      <c r="S2751" t="s">
        <v>76</v>
      </c>
      <c r="T2751" t="s">
        <v>76</v>
      </c>
      <c r="U2751">
        <v>1</v>
      </c>
      <c r="V2751" s="13">
        <v>45175</v>
      </c>
      <c r="W2751">
        <v>1</v>
      </c>
      <c r="X2751">
        <v>1</v>
      </c>
      <c r="Y2751" t="s">
        <v>3757</v>
      </c>
      <c r="AC2751">
        <v>7406</v>
      </c>
      <c r="AD2751" t="e" vm="2741">
        <v>#VALUE!</v>
      </c>
    </row>
    <row r="2752" spans="2:30" x14ac:dyDescent="0.25">
      <c r="B2752">
        <v>7407</v>
      </c>
      <c r="C2752" t="s">
        <v>3646</v>
      </c>
      <c r="D2752" t="s">
        <v>3756</v>
      </c>
      <c r="E2752" t="s">
        <v>3919</v>
      </c>
      <c r="F2752" t="s">
        <v>89</v>
      </c>
      <c r="G2752" t="s">
        <v>80</v>
      </c>
      <c r="H2752" t="s">
        <v>3913</v>
      </c>
      <c r="I2752" t="s">
        <v>3913</v>
      </c>
      <c r="J2752" t="s">
        <v>3917</v>
      </c>
      <c r="K2752" t="s">
        <v>905</v>
      </c>
      <c r="L2752" s="13">
        <v>45093</v>
      </c>
      <c r="M2752">
        <v>0</v>
      </c>
      <c r="N2752" t="s">
        <v>90</v>
      </c>
      <c r="O2752" t="s">
        <v>3932</v>
      </c>
      <c r="P2752" t="s">
        <v>76</v>
      </c>
      <c r="Q2752" t="s">
        <v>905</v>
      </c>
      <c r="R2752" t="s">
        <v>76</v>
      </c>
      <c r="S2752" t="s">
        <v>76</v>
      </c>
      <c r="T2752" t="s">
        <v>76</v>
      </c>
      <c r="U2752">
        <v>1</v>
      </c>
      <c r="V2752" s="13">
        <v>45175</v>
      </c>
      <c r="W2752">
        <v>1</v>
      </c>
      <c r="X2752">
        <v>1</v>
      </c>
      <c r="Y2752" t="s">
        <v>3757</v>
      </c>
      <c r="AC2752">
        <v>7407</v>
      </c>
      <c r="AD2752" t="e" vm="2742">
        <v>#VALUE!</v>
      </c>
    </row>
    <row r="2753" spans="2:30" x14ac:dyDescent="0.25">
      <c r="B2753">
        <v>7408</v>
      </c>
      <c r="C2753" t="s">
        <v>3646</v>
      </c>
      <c r="D2753" t="s">
        <v>3756</v>
      </c>
      <c r="E2753" t="s">
        <v>3922</v>
      </c>
      <c r="F2753" t="s">
        <v>93</v>
      </c>
      <c r="G2753" t="s">
        <v>80</v>
      </c>
      <c r="H2753" t="s">
        <v>3913</v>
      </c>
      <c r="I2753" t="s">
        <v>3913</v>
      </c>
      <c r="J2753" t="s">
        <v>3917</v>
      </c>
      <c r="K2753" t="s">
        <v>905</v>
      </c>
      <c r="L2753" s="13">
        <v>44697</v>
      </c>
      <c r="M2753">
        <v>1</v>
      </c>
      <c r="N2753" t="s">
        <v>90</v>
      </c>
      <c r="O2753" t="s">
        <v>3932</v>
      </c>
      <c r="P2753" t="s">
        <v>76</v>
      </c>
      <c r="Q2753" t="s">
        <v>905</v>
      </c>
      <c r="R2753" t="s">
        <v>76</v>
      </c>
      <c r="S2753" t="s">
        <v>76</v>
      </c>
      <c r="T2753" t="s">
        <v>76</v>
      </c>
      <c r="U2753">
        <v>1</v>
      </c>
      <c r="V2753" s="13">
        <v>45175</v>
      </c>
      <c r="W2753">
        <v>1</v>
      </c>
      <c r="X2753">
        <v>1</v>
      </c>
      <c r="Y2753" t="s">
        <v>3757</v>
      </c>
      <c r="AC2753">
        <v>7408</v>
      </c>
      <c r="AD2753" t="e" vm="2743">
        <v>#VALUE!</v>
      </c>
    </row>
    <row r="2754" spans="2:30" x14ac:dyDescent="0.25">
      <c r="B2754">
        <v>7409</v>
      </c>
      <c r="C2754" t="s">
        <v>3646</v>
      </c>
      <c r="D2754" t="s">
        <v>3756</v>
      </c>
      <c r="E2754" t="s">
        <v>3919</v>
      </c>
      <c r="F2754" t="s">
        <v>89</v>
      </c>
      <c r="G2754" t="s">
        <v>80</v>
      </c>
      <c r="H2754" t="s">
        <v>3913</v>
      </c>
      <c r="I2754" t="s">
        <v>3913</v>
      </c>
      <c r="J2754" t="s">
        <v>3917</v>
      </c>
      <c r="K2754" t="s">
        <v>905</v>
      </c>
      <c r="L2754" s="13">
        <v>44719</v>
      </c>
      <c r="M2754">
        <v>1</v>
      </c>
      <c r="N2754" t="s">
        <v>90</v>
      </c>
      <c r="O2754" t="s">
        <v>3932</v>
      </c>
      <c r="P2754" t="s">
        <v>76</v>
      </c>
      <c r="Q2754" t="s">
        <v>905</v>
      </c>
      <c r="R2754" t="s">
        <v>76</v>
      </c>
      <c r="S2754" t="s">
        <v>76</v>
      </c>
      <c r="T2754" t="s">
        <v>76</v>
      </c>
      <c r="U2754">
        <v>1</v>
      </c>
      <c r="V2754" s="13">
        <v>45175</v>
      </c>
      <c r="W2754">
        <v>1</v>
      </c>
      <c r="X2754">
        <v>1</v>
      </c>
      <c r="Y2754" t="s">
        <v>3757</v>
      </c>
      <c r="AC2754">
        <v>7409</v>
      </c>
      <c r="AD2754" t="e" vm="2744">
        <v>#VALUE!</v>
      </c>
    </row>
    <row r="2755" spans="2:30" x14ac:dyDescent="0.25">
      <c r="B2755">
        <v>7410</v>
      </c>
      <c r="C2755" t="s">
        <v>3646</v>
      </c>
      <c r="D2755" t="s">
        <v>3756</v>
      </c>
      <c r="E2755" t="s">
        <v>3922</v>
      </c>
      <c r="F2755" t="s">
        <v>93</v>
      </c>
      <c r="G2755" t="s">
        <v>80</v>
      </c>
      <c r="H2755" t="s">
        <v>3913</v>
      </c>
      <c r="I2755" t="s">
        <v>3913</v>
      </c>
      <c r="J2755" t="s">
        <v>3917</v>
      </c>
      <c r="K2755" t="s">
        <v>905</v>
      </c>
      <c r="L2755" s="13">
        <v>44701</v>
      </c>
      <c r="M2755">
        <v>1</v>
      </c>
      <c r="N2755" t="s">
        <v>90</v>
      </c>
      <c r="O2755" t="s">
        <v>3932</v>
      </c>
      <c r="P2755" t="s">
        <v>76</v>
      </c>
      <c r="Q2755" t="s">
        <v>905</v>
      </c>
      <c r="R2755" t="s">
        <v>76</v>
      </c>
      <c r="S2755" t="s">
        <v>76</v>
      </c>
      <c r="T2755" t="s">
        <v>76</v>
      </c>
      <c r="U2755">
        <v>1</v>
      </c>
      <c r="V2755" s="13">
        <v>45175</v>
      </c>
      <c r="W2755">
        <v>1</v>
      </c>
      <c r="X2755">
        <v>1</v>
      </c>
      <c r="Y2755" t="s">
        <v>3757</v>
      </c>
      <c r="AC2755">
        <v>7410</v>
      </c>
      <c r="AD2755" t="e" vm="2745">
        <v>#VALUE!</v>
      </c>
    </row>
    <row r="2756" spans="2:30" x14ac:dyDescent="0.25">
      <c r="B2756">
        <v>7411</v>
      </c>
      <c r="C2756" t="s">
        <v>3646</v>
      </c>
      <c r="D2756" t="s">
        <v>3756</v>
      </c>
      <c r="E2756" t="s">
        <v>3919</v>
      </c>
      <c r="F2756" t="s">
        <v>89</v>
      </c>
      <c r="G2756" t="s">
        <v>80</v>
      </c>
      <c r="H2756" t="s">
        <v>3913</v>
      </c>
      <c r="I2756" t="s">
        <v>3913</v>
      </c>
      <c r="J2756" t="s">
        <v>3917</v>
      </c>
      <c r="K2756" t="s">
        <v>905</v>
      </c>
      <c r="L2756" s="13">
        <v>44889</v>
      </c>
      <c r="M2756">
        <v>1</v>
      </c>
      <c r="N2756" t="s">
        <v>90</v>
      </c>
      <c r="O2756" t="s">
        <v>3932</v>
      </c>
      <c r="P2756" t="s">
        <v>76</v>
      </c>
      <c r="Q2756" t="s">
        <v>905</v>
      </c>
      <c r="R2756" t="s">
        <v>76</v>
      </c>
      <c r="S2756" t="s">
        <v>76</v>
      </c>
      <c r="T2756" t="s">
        <v>76</v>
      </c>
      <c r="U2756">
        <v>1</v>
      </c>
      <c r="V2756" s="13">
        <v>45175</v>
      </c>
      <c r="W2756">
        <v>1</v>
      </c>
      <c r="X2756">
        <v>1</v>
      </c>
      <c r="Y2756" t="s">
        <v>3757</v>
      </c>
      <c r="AC2756">
        <v>7411</v>
      </c>
      <c r="AD2756" t="e" vm="2746">
        <v>#VALUE!</v>
      </c>
    </row>
    <row r="2757" spans="2:30" x14ac:dyDescent="0.25">
      <c r="B2757">
        <v>7412</v>
      </c>
      <c r="C2757" t="s">
        <v>3646</v>
      </c>
      <c r="D2757" t="s">
        <v>3756</v>
      </c>
      <c r="E2757" t="s">
        <v>3919</v>
      </c>
      <c r="F2757" t="s">
        <v>89</v>
      </c>
      <c r="G2757" t="s">
        <v>80</v>
      </c>
      <c r="H2757" t="s">
        <v>3913</v>
      </c>
      <c r="I2757" t="s">
        <v>3913</v>
      </c>
      <c r="J2757" t="s">
        <v>3917</v>
      </c>
      <c r="K2757" t="s">
        <v>905</v>
      </c>
      <c r="L2757" s="13">
        <v>44746</v>
      </c>
      <c r="M2757">
        <v>1</v>
      </c>
      <c r="N2757" t="s">
        <v>90</v>
      </c>
      <c r="O2757" t="s">
        <v>3932</v>
      </c>
      <c r="P2757" t="s">
        <v>76</v>
      </c>
      <c r="Q2757" t="s">
        <v>905</v>
      </c>
      <c r="R2757" t="s">
        <v>76</v>
      </c>
      <c r="S2757" t="s">
        <v>76</v>
      </c>
      <c r="T2757" t="s">
        <v>76</v>
      </c>
      <c r="U2757">
        <v>1</v>
      </c>
      <c r="V2757" s="13">
        <v>45175</v>
      </c>
      <c r="W2757">
        <v>1</v>
      </c>
      <c r="X2757">
        <v>1</v>
      </c>
      <c r="Y2757" t="s">
        <v>3757</v>
      </c>
      <c r="AC2757">
        <v>7412</v>
      </c>
      <c r="AD2757" t="e" vm="2747">
        <v>#VALUE!</v>
      </c>
    </row>
    <row r="2758" spans="2:30" x14ac:dyDescent="0.25">
      <c r="B2758">
        <v>7413</v>
      </c>
      <c r="C2758" t="s">
        <v>3646</v>
      </c>
      <c r="D2758" t="s">
        <v>3756</v>
      </c>
      <c r="E2758" t="s">
        <v>3919</v>
      </c>
      <c r="F2758" t="s">
        <v>89</v>
      </c>
      <c r="G2758" t="s">
        <v>80</v>
      </c>
      <c r="H2758" t="s">
        <v>3913</v>
      </c>
      <c r="I2758" t="s">
        <v>3913</v>
      </c>
      <c r="J2758" t="s">
        <v>3917</v>
      </c>
      <c r="K2758" t="s">
        <v>905</v>
      </c>
      <c r="L2758" s="13">
        <v>44749</v>
      </c>
      <c r="M2758">
        <v>1</v>
      </c>
      <c r="N2758" t="s">
        <v>90</v>
      </c>
      <c r="O2758" t="s">
        <v>3932</v>
      </c>
      <c r="P2758" t="s">
        <v>76</v>
      </c>
      <c r="Q2758" t="s">
        <v>905</v>
      </c>
      <c r="R2758" t="s">
        <v>76</v>
      </c>
      <c r="S2758" t="s">
        <v>76</v>
      </c>
      <c r="T2758" t="s">
        <v>76</v>
      </c>
      <c r="U2758">
        <v>1</v>
      </c>
      <c r="V2758" s="13">
        <v>45175</v>
      </c>
      <c r="W2758">
        <v>1</v>
      </c>
      <c r="X2758">
        <v>1</v>
      </c>
      <c r="Y2758" t="s">
        <v>3757</v>
      </c>
      <c r="AC2758">
        <v>7413</v>
      </c>
      <c r="AD2758" t="e" vm="2748">
        <v>#VALUE!</v>
      </c>
    </row>
    <row r="2759" spans="2:30" x14ac:dyDescent="0.25">
      <c r="B2759">
        <v>7414</v>
      </c>
      <c r="C2759" t="s">
        <v>3646</v>
      </c>
      <c r="D2759" t="s">
        <v>3756</v>
      </c>
      <c r="E2759" t="s">
        <v>3919</v>
      </c>
      <c r="F2759" t="s">
        <v>89</v>
      </c>
      <c r="G2759" t="s">
        <v>80</v>
      </c>
      <c r="H2759" t="s">
        <v>3913</v>
      </c>
      <c r="I2759" t="s">
        <v>3913</v>
      </c>
      <c r="J2759" t="s">
        <v>3917</v>
      </c>
      <c r="K2759" t="s">
        <v>905</v>
      </c>
      <c r="L2759" s="13">
        <v>44767</v>
      </c>
      <c r="M2759">
        <v>1</v>
      </c>
      <c r="N2759" t="s">
        <v>90</v>
      </c>
      <c r="O2759" t="s">
        <v>3932</v>
      </c>
      <c r="P2759" t="s">
        <v>76</v>
      </c>
      <c r="Q2759" t="s">
        <v>905</v>
      </c>
      <c r="R2759" t="s">
        <v>76</v>
      </c>
      <c r="S2759" t="s">
        <v>76</v>
      </c>
      <c r="T2759" t="s">
        <v>76</v>
      </c>
      <c r="U2759">
        <v>1</v>
      </c>
      <c r="V2759" s="13">
        <v>45175</v>
      </c>
      <c r="W2759">
        <v>1</v>
      </c>
      <c r="X2759">
        <v>1</v>
      </c>
      <c r="Y2759" t="s">
        <v>3757</v>
      </c>
      <c r="AC2759">
        <v>7414</v>
      </c>
      <c r="AD2759" t="e" vm="2749">
        <v>#VALUE!</v>
      </c>
    </row>
    <row r="2760" spans="2:30" x14ac:dyDescent="0.25">
      <c r="B2760">
        <v>7415</v>
      </c>
      <c r="C2760" t="s">
        <v>3646</v>
      </c>
      <c r="D2760" t="s">
        <v>3756</v>
      </c>
      <c r="E2760" t="s">
        <v>3919</v>
      </c>
      <c r="F2760" t="s">
        <v>89</v>
      </c>
      <c r="G2760" t="s">
        <v>80</v>
      </c>
      <c r="H2760" t="s">
        <v>3913</v>
      </c>
      <c r="I2760" t="s">
        <v>3913</v>
      </c>
      <c r="J2760" t="s">
        <v>3917</v>
      </c>
      <c r="K2760" t="s">
        <v>905</v>
      </c>
      <c r="L2760" s="13">
        <v>44791</v>
      </c>
      <c r="M2760">
        <v>1</v>
      </c>
      <c r="N2760" t="s">
        <v>90</v>
      </c>
      <c r="O2760" t="s">
        <v>3932</v>
      </c>
      <c r="P2760" t="s">
        <v>76</v>
      </c>
      <c r="Q2760" t="s">
        <v>905</v>
      </c>
      <c r="R2760" t="s">
        <v>76</v>
      </c>
      <c r="S2760" t="s">
        <v>76</v>
      </c>
      <c r="T2760" t="s">
        <v>76</v>
      </c>
      <c r="U2760">
        <v>1</v>
      </c>
      <c r="V2760" s="13">
        <v>45175</v>
      </c>
      <c r="W2760">
        <v>1</v>
      </c>
      <c r="X2760">
        <v>1</v>
      </c>
      <c r="Y2760" t="s">
        <v>3757</v>
      </c>
      <c r="AC2760">
        <v>7415</v>
      </c>
      <c r="AD2760" t="e" vm="2750">
        <v>#VALUE!</v>
      </c>
    </row>
    <row r="2761" spans="2:30" x14ac:dyDescent="0.25">
      <c r="B2761">
        <v>7416</v>
      </c>
      <c r="C2761" t="s">
        <v>3646</v>
      </c>
      <c r="D2761" t="s">
        <v>3756</v>
      </c>
      <c r="E2761" t="s">
        <v>3919</v>
      </c>
      <c r="F2761" t="s">
        <v>89</v>
      </c>
      <c r="G2761" t="s">
        <v>80</v>
      </c>
      <c r="H2761" t="s">
        <v>3913</v>
      </c>
      <c r="I2761" t="s">
        <v>3913</v>
      </c>
      <c r="J2761" t="s">
        <v>3917</v>
      </c>
      <c r="K2761" t="s">
        <v>905</v>
      </c>
      <c r="L2761" s="13">
        <v>44803</v>
      </c>
      <c r="M2761">
        <v>1</v>
      </c>
      <c r="N2761" t="s">
        <v>90</v>
      </c>
      <c r="O2761" t="s">
        <v>3932</v>
      </c>
      <c r="P2761" t="s">
        <v>76</v>
      </c>
      <c r="Q2761" t="s">
        <v>905</v>
      </c>
      <c r="R2761" t="s">
        <v>76</v>
      </c>
      <c r="S2761" t="s">
        <v>76</v>
      </c>
      <c r="T2761" t="s">
        <v>76</v>
      </c>
      <c r="U2761">
        <v>1</v>
      </c>
      <c r="V2761" s="13">
        <v>45175</v>
      </c>
      <c r="W2761">
        <v>1</v>
      </c>
      <c r="X2761">
        <v>1</v>
      </c>
      <c r="Y2761" t="s">
        <v>3757</v>
      </c>
      <c r="AC2761">
        <v>7416</v>
      </c>
      <c r="AD2761" t="e" vm="2751">
        <v>#VALUE!</v>
      </c>
    </row>
    <row r="2762" spans="2:30" x14ac:dyDescent="0.25">
      <c r="B2762">
        <v>7417</v>
      </c>
      <c r="C2762" t="s">
        <v>3646</v>
      </c>
      <c r="D2762" t="s">
        <v>3756</v>
      </c>
      <c r="E2762" t="s">
        <v>3919</v>
      </c>
      <c r="F2762" t="s">
        <v>89</v>
      </c>
      <c r="G2762" t="s">
        <v>80</v>
      </c>
      <c r="H2762" t="s">
        <v>3913</v>
      </c>
      <c r="I2762" t="s">
        <v>3913</v>
      </c>
      <c r="J2762" t="s">
        <v>3917</v>
      </c>
      <c r="K2762" t="s">
        <v>905</v>
      </c>
      <c r="L2762" s="13">
        <v>44803</v>
      </c>
      <c r="M2762">
        <v>1</v>
      </c>
      <c r="N2762" t="s">
        <v>90</v>
      </c>
      <c r="O2762" t="s">
        <v>3932</v>
      </c>
      <c r="P2762" t="s">
        <v>76</v>
      </c>
      <c r="Q2762" t="s">
        <v>905</v>
      </c>
      <c r="R2762" t="s">
        <v>76</v>
      </c>
      <c r="S2762" t="s">
        <v>76</v>
      </c>
      <c r="T2762" t="s">
        <v>76</v>
      </c>
      <c r="U2762">
        <v>1</v>
      </c>
      <c r="V2762" s="13">
        <v>45175</v>
      </c>
      <c r="W2762">
        <v>1</v>
      </c>
      <c r="X2762">
        <v>1</v>
      </c>
      <c r="Y2762" t="s">
        <v>3757</v>
      </c>
      <c r="AC2762">
        <v>7417</v>
      </c>
      <c r="AD2762" t="e" vm="2752">
        <v>#VALUE!</v>
      </c>
    </row>
    <row r="2763" spans="2:30" x14ac:dyDescent="0.25">
      <c r="B2763">
        <v>7418</v>
      </c>
      <c r="C2763" t="s">
        <v>3646</v>
      </c>
      <c r="D2763" t="s">
        <v>3756</v>
      </c>
      <c r="E2763" t="s">
        <v>3919</v>
      </c>
      <c r="F2763" t="s">
        <v>89</v>
      </c>
      <c r="G2763" t="s">
        <v>80</v>
      </c>
      <c r="H2763" t="s">
        <v>3913</v>
      </c>
      <c r="I2763" t="s">
        <v>3913</v>
      </c>
      <c r="J2763" t="s">
        <v>3917</v>
      </c>
      <c r="K2763" t="s">
        <v>905</v>
      </c>
      <c r="L2763" s="13">
        <v>44839</v>
      </c>
      <c r="M2763">
        <v>1</v>
      </c>
      <c r="N2763" t="s">
        <v>90</v>
      </c>
      <c r="O2763" t="s">
        <v>3932</v>
      </c>
      <c r="P2763" t="s">
        <v>76</v>
      </c>
      <c r="Q2763" t="s">
        <v>905</v>
      </c>
      <c r="R2763" t="s">
        <v>76</v>
      </c>
      <c r="S2763" t="s">
        <v>76</v>
      </c>
      <c r="T2763" t="s">
        <v>76</v>
      </c>
      <c r="U2763">
        <v>1</v>
      </c>
      <c r="V2763" s="13">
        <v>45175</v>
      </c>
      <c r="W2763">
        <v>1</v>
      </c>
      <c r="X2763">
        <v>1</v>
      </c>
      <c r="Y2763" t="s">
        <v>3757</v>
      </c>
      <c r="AC2763">
        <v>7418</v>
      </c>
      <c r="AD2763" t="e" vm="2753">
        <v>#VALUE!</v>
      </c>
    </row>
    <row r="2764" spans="2:30" x14ac:dyDescent="0.25">
      <c r="B2764">
        <v>7419</v>
      </c>
      <c r="C2764" t="s">
        <v>3646</v>
      </c>
      <c r="D2764" t="s">
        <v>3756</v>
      </c>
      <c r="E2764" t="s">
        <v>3919</v>
      </c>
      <c r="F2764" t="s">
        <v>89</v>
      </c>
      <c r="G2764" t="s">
        <v>80</v>
      </c>
      <c r="H2764" t="s">
        <v>3913</v>
      </c>
      <c r="I2764" t="s">
        <v>3913</v>
      </c>
      <c r="J2764" t="s">
        <v>3917</v>
      </c>
      <c r="K2764" t="s">
        <v>905</v>
      </c>
      <c r="L2764" s="13">
        <v>44846</v>
      </c>
      <c r="M2764">
        <v>1</v>
      </c>
      <c r="N2764" t="s">
        <v>90</v>
      </c>
      <c r="O2764" t="s">
        <v>3932</v>
      </c>
      <c r="P2764" t="s">
        <v>76</v>
      </c>
      <c r="Q2764" t="s">
        <v>905</v>
      </c>
      <c r="R2764" t="s">
        <v>76</v>
      </c>
      <c r="S2764" t="s">
        <v>76</v>
      </c>
      <c r="T2764" t="s">
        <v>76</v>
      </c>
      <c r="U2764">
        <v>1</v>
      </c>
      <c r="V2764" s="13">
        <v>45175</v>
      </c>
      <c r="W2764">
        <v>1</v>
      </c>
      <c r="X2764">
        <v>1</v>
      </c>
      <c r="Y2764" t="s">
        <v>3757</v>
      </c>
      <c r="AC2764">
        <v>7419</v>
      </c>
      <c r="AD2764" t="e" vm="2754">
        <v>#VALUE!</v>
      </c>
    </row>
    <row r="2765" spans="2:30" x14ac:dyDescent="0.25">
      <c r="B2765">
        <v>7420</v>
      </c>
      <c r="C2765" t="s">
        <v>3646</v>
      </c>
      <c r="D2765" t="s">
        <v>3756</v>
      </c>
      <c r="E2765" t="s">
        <v>3919</v>
      </c>
      <c r="F2765" t="s">
        <v>89</v>
      </c>
      <c r="G2765" t="s">
        <v>80</v>
      </c>
      <c r="H2765" t="s">
        <v>3913</v>
      </c>
      <c r="I2765" t="s">
        <v>3913</v>
      </c>
      <c r="J2765" t="s">
        <v>3917</v>
      </c>
      <c r="K2765" t="s">
        <v>905</v>
      </c>
      <c r="L2765" s="13">
        <v>44860</v>
      </c>
      <c r="M2765">
        <v>1</v>
      </c>
      <c r="N2765" t="s">
        <v>90</v>
      </c>
      <c r="O2765" t="s">
        <v>3932</v>
      </c>
      <c r="P2765" t="s">
        <v>76</v>
      </c>
      <c r="Q2765" t="s">
        <v>905</v>
      </c>
      <c r="R2765" t="s">
        <v>76</v>
      </c>
      <c r="S2765" t="s">
        <v>76</v>
      </c>
      <c r="T2765" t="s">
        <v>76</v>
      </c>
      <c r="U2765">
        <v>1</v>
      </c>
      <c r="V2765" s="13">
        <v>45175</v>
      </c>
      <c r="W2765">
        <v>1</v>
      </c>
      <c r="X2765">
        <v>1</v>
      </c>
      <c r="Y2765" t="s">
        <v>3757</v>
      </c>
      <c r="AC2765">
        <v>7420</v>
      </c>
      <c r="AD2765" t="e" vm="2755">
        <v>#VALUE!</v>
      </c>
    </row>
    <row r="2766" spans="2:30" x14ac:dyDescent="0.25">
      <c r="B2766">
        <v>7421</v>
      </c>
      <c r="C2766" t="s">
        <v>3646</v>
      </c>
      <c r="D2766" t="s">
        <v>3756</v>
      </c>
      <c r="E2766" t="s">
        <v>3919</v>
      </c>
      <c r="F2766" t="s">
        <v>89</v>
      </c>
      <c r="G2766" t="s">
        <v>80</v>
      </c>
      <c r="H2766" t="s">
        <v>3913</v>
      </c>
      <c r="I2766" t="s">
        <v>3913</v>
      </c>
      <c r="J2766" t="s">
        <v>3917</v>
      </c>
      <c r="K2766" t="s">
        <v>905</v>
      </c>
      <c r="L2766" s="13">
        <v>44890</v>
      </c>
      <c r="M2766">
        <v>1</v>
      </c>
      <c r="N2766" t="s">
        <v>90</v>
      </c>
      <c r="O2766" t="s">
        <v>3932</v>
      </c>
      <c r="P2766" t="s">
        <v>76</v>
      </c>
      <c r="Q2766" t="s">
        <v>905</v>
      </c>
      <c r="R2766" t="s">
        <v>76</v>
      </c>
      <c r="S2766" t="s">
        <v>76</v>
      </c>
      <c r="T2766" t="s">
        <v>76</v>
      </c>
      <c r="U2766">
        <v>1</v>
      </c>
      <c r="V2766" s="13">
        <v>45175</v>
      </c>
      <c r="W2766">
        <v>1</v>
      </c>
      <c r="X2766">
        <v>1</v>
      </c>
      <c r="Y2766" t="s">
        <v>3757</v>
      </c>
      <c r="AC2766">
        <v>7421</v>
      </c>
      <c r="AD2766" t="e" vm="2756">
        <v>#VALUE!</v>
      </c>
    </row>
    <row r="2767" spans="2:30" x14ac:dyDescent="0.25">
      <c r="B2767">
        <v>7422</v>
      </c>
      <c r="C2767" t="s">
        <v>75</v>
      </c>
      <c r="D2767" t="s">
        <v>73</v>
      </c>
      <c r="E2767" t="s">
        <v>73</v>
      </c>
      <c r="F2767" t="s">
        <v>3816</v>
      </c>
      <c r="G2767" t="s">
        <v>3816</v>
      </c>
      <c r="H2767" t="s">
        <v>3913</v>
      </c>
      <c r="I2767" t="s">
        <v>3913</v>
      </c>
      <c r="J2767" t="s">
        <v>3917</v>
      </c>
      <c r="K2767" t="s">
        <v>905</v>
      </c>
      <c r="L2767" s="13">
        <v>401768</v>
      </c>
      <c r="N2767" t="s">
        <v>74</v>
      </c>
      <c r="O2767" t="s">
        <v>3932</v>
      </c>
      <c r="P2767" t="s">
        <v>76</v>
      </c>
      <c r="Q2767" t="s">
        <v>905</v>
      </c>
      <c r="R2767" t="s">
        <v>76</v>
      </c>
      <c r="S2767" t="s">
        <v>76</v>
      </c>
      <c r="T2767" t="s">
        <v>76</v>
      </c>
      <c r="U2767">
        <v>1</v>
      </c>
      <c r="V2767" s="13">
        <v>45175</v>
      </c>
      <c r="W2767">
        <v>1</v>
      </c>
      <c r="X2767">
        <v>1</v>
      </c>
      <c r="Y2767" t="s">
        <v>3720</v>
      </c>
      <c r="AC2767">
        <v>7422</v>
      </c>
      <c r="AD2767" t="e" vm="2757">
        <v>#VALUE!</v>
      </c>
    </row>
    <row r="2768" spans="2:30" x14ac:dyDescent="0.25">
      <c r="B2768">
        <v>7423</v>
      </c>
      <c r="C2768" t="s">
        <v>3646</v>
      </c>
      <c r="D2768" t="s">
        <v>3756</v>
      </c>
      <c r="E2768" t="s">
        <v>3919</v>
      </c>
      <c r="F2768" t="s">
        <v>89</v>
      </c>
      <c r="G2768" t="s">
        <v>80</v>
      </c>
      <c r="H2768" t="s">
        <v>3913</v>
      </c>
      <c r="I2768" t="s">
        <v>3913</v>
      </c>
      <c r="J2768" t="s">
        <v>3917</v>
      </c>
      <c r="K2768" t="s">
        <v>905</v>
      </c>
      <c r="L2768" s="13">
        <v>44908</v>
      </c>
      <c r="M2768">
        <v>1</v>
      </c>
      <c r="N2768" t="s">
        <v>90</v>
      </c>
      <c r="O2768" t="s">
        <v>3932</v>
      </c>
      <c r="P2768" t="s">
        <v>76</v>
      </c>
      <c r="Q2768" t="s">
        <v>905</v>
      </c>
      <c r="R2768" t="s">
        <v>76</v>
      </c>
      <c r="S2768" t="s">
        <v>76</v>
      </c>
      <c r="T2768" t="s">
        <v>76</v>
      </c>
      <c r="U2768">
        <v>1</v>
      </c>
      <c r="V2768" s="13">
        <v>45175</v>
      </c>
      <c r="W2768">
        <v>1</v>
      </c>
      <c r="X2768">
        <v>1</v>
      </c>
      <c r="Y2768" t="s">
        <v>3757</v>
      </c>
      <c r="AC2768">
        <v>7423</v>
      </c>
      <c r="AD2768" t="e" vm="2758">
        <v>#VALUE!</v>
      </c>
    </row>
    <row r="2769" spans="2:30" x14ac:dyDescent="0.25">
      <c r="B2769">
        <v>7424</v>
      </c>
      <c r="C2769" t="s">
        <v>3646</v>
      </c>
      <c r="D2769" t="s">
        <v>73</v>
      </c>
      <c r="E2769" t="s">
        <v>73</v>
      </c>
      <c r="F2769" t="s">
        <v>3816</v>
      </c>
      <c r="G2769" t="s">
        <v>3816</v>
      </c>
      <c r="H2769" t="s">
        <v>3913</v>
      </c>
      <c r="I2769" t="s">
        <v>3913</v>
      </c>
      <c r="J2769" t="s">
        <v>3917</v>
      </c>
      <c r="K2769" t="s">
        <v>905</v>
      </c>
      <c r="L2769" s="13">
        <v>44908</v>
      </c>
      <c r="M2769">
        <v>1</v>
      </c>
      <c r="N2769" t="s">
        <v>90</v>
      </c>
      <c r="O2769" t="s">
        <v>3932</v>
      </c>
      <c r="P2769" t="s">
        <v>76</v>
      </c>
      <c r="Q2769" t="s">
        <v>905</v>
      </c>
      <c r="R2769" t="s">
        <v>76</v>
      </c>
      <c r="S2769" t="s">
        <v>76</v>
      </c>
      <c r="T2769" t="s">
        <v>76</v>
      </c>
      <c r="U2769">
        <v>1</v>
      </c>
      <c r="V2769" s="13">
        <v>45175</v>
      </c>
      <c r="W2769">
        <v>1</v>
      </c>
      <c r="X2769">
        <v>1</v>
      </c>
      <c r="Y2769" t="s">
        <v>3667</v>
      </c>
      <c r="AC2769">
        <v>7424</v>
      </c>
      <c r="AD2769" t="e" vm="2759">
        <v>#VALUE!</v>
      </c>
    </row>
    <row r="2770" spans="2:30" x14ac:dyDescent="0.25">
      <c r="B2770">
        <v>7425</v>
      </c>
      <c r="C2770" t="s">
        <v>3646</v>
      </c>
      <c r="D2770" t="s">
        <v>3756</v>
      </c>
      <c r="E2770" t="s">
        <v>3919</v>
      </c>
      <c r="F2770" t="s">
        <v>89</v>
      </c>
      <c r="G2770" t="s">
        <v>80</v>
      </c>
      <c r="H2770" t="s">
        <v>3913</v>
      </c>
      <c r="I2770" t="s">
        <v>3913</v>
      </c>
      <c r="J2770" t="s">
        <v>3917</v>
      </c>
      <c r="K2770" t="s">
        <v>905</v>
      </c>
      <c r="L2770" s="13">
        <v>44956</v>
      </c>
      <c r="M2770">
        <v>1</v>
      </c>
      <c r="N2770" t="s">
        <v>90</v>
      </c>
      <c r="O2770" t="s">
        <v>3932</v>
      </c>
      <c r="P2770" t="s">
        <v>76</v>
      </c>
      <c r="Q2770" t="s">
        <v>905</v>
      </c>
      <c r="R2770" t="s">
        <v>76</v>
      </c>
      <c r="S2770" t="s">
        <v>76</v>
      </c>
      <c r="T2770" t="s">
        <v>76</v>
      </c>
      <c r="U2770">
        <v>1</v>
      </c>
      <c r="V2770" s="13">
        <v>45175</v>
      </c>
      <c r="W2770">
        <v>1</v>
      </c>
      <c r="X2770">
        <v>1</v>
      </c>
      <c r="Y2770" t="s">
        <v>3757</v>
      </c>
      <c r="AC2770">
        <v>7425</v>
      </c>
      <c r="AD2770" t="e" vm="2760">
        <v>#VALUE!</v>
      </c>
    </row>
    <row r="2771" spans="2:30" x14ac:dyDescent="0.25">
      <c r="B2771">
        <v>7426</v>
      </c>
      <c r="C2771" t="s">
        <v>3646</v>
      </c>
      <c r="D2771" t="s">
        <v>3756</v>
      </c>
      <c r="E2771" t="s">
        <v>3919</v>
      </c>
      <c r="F2771" t="s">
        <v>89</v>
      </c>
      <c r="G2771" t="s">
        <v>80</v>
      </c>
      <c r="H2771" t="s">
        <v>3913</v>
      </c>
      <c r="I2771" t="s">
        <v>3913</v>
      </c>
      <c r="J2771" t="s">
        <v>3917</v>
      </c>
      <c r="K2771" t="s">
        <v>905</v>
      </c>
      <c r="L2771" s="13">
        <v>44960</v>
      </c>
      <c r="M2771">
        <v>1</v>
      </c>
      <c r="N2771" t="s">
        <v>90</v>
      </c>
      <c r="O2771" t="s">
        <v>3932</v>
      </c>
      <c r="P2771" t="s">
        <v>76</v>
      </c>
      <c r="Q2771" t="s">
        <v>905</v>
      </c>
      <c r="R2771" t="s">
        <v>76</v>
      </c>
      <c r="S2771" t="s">
        <v>76</v>
      </c>
      <c r="T2771" t="s">
        <v>76</v>
      </c>
      <c r="U2771">
        <v>1</v>
      </c>
      <c r="V2771" s="13">
        <v>45175</v>
      </c>
      <c r="W2771">
        <v>1</v>
      </c>
      <c r="X2771">
        <v>1</v>
      </c>
      <c r="Y2771" t="s">
        <v>3757</v>
      </c>
      <c r="AC2771">
        <v>7426</v>
      </c>
      <c r="AD2771" t="e" vm="2761">
        <v>#VALUE!</v>
      </c>
    </row>
    <row r="2772" spans="2:30" x14ac:dyDescent="0.25">
      <c r="B2772">
        <v>7427</v>
      </c>
      <c r="C2772" t="s">
        <v>3646</v>
      </c>
      <c r="D2772" t="s">
        <v>3756</v>
      </c>
      <c r="E2772" t="s">
        <v>3919</v>
      </c>
      <c r="F2772" t="s">
        <v>89</v>
      </c>
      <c r="G2772" t="s">
        <v>80</v>
      </c>
      <c r="H2772" t="s">
        <v>3913</v>
      </c>
      <c r="I2772" t="s">
        <v>3913</v>
      </c>
      <c r="J2772" t="s">
        <v>3917</v>
      </c>
      <c r="K2772" t="s">
        <v>905</v>
      </c>
      <c r="L2772" s="13">
        <v>44984</v>
      </c>
      <c r="M2772">
        <v>1</v>
      </c>
      <c r="N2772" t="s">
        <v>90</v>
      </c>
      <c r="O2772" t="s">
        <v>3932</v>
      </c>
      <c r="P2772" t="s">
        <v>76</v>
      </c>
      <c r="Q2772" t="s">
        <v>905</v>
      </c>
      <c r="R2772" t="s">
        <v>76</v>
      </c>
      <c r="S2772" t="s">
        <v>76</v>
      </c>
      <c r="T2772" t="s">
        <v>76</v>
      </c>
      <c r="U2772">
        <v>1</v>
      </c>
      <c r="V2772" s="13">
        <v>45175</v>
      </c>
      <c r="W2772">
        <v>1</v>
      </c>
      <c r="X2772">
        <v>1</v>
      </c>
      <c r="Y2772" t="s">
        <v>3757</v>
      </c>
      <c r="AC2772">
        <v>7427</v>
      </c>
      <c r="AD2772" t="e" vm="2762">
        <v>#VALUE!</v>
      </c>
    </row>
    <row r="2773" spans="2:30" x14ac:dyDescent="0.25">
      <c r="B2773">
        <v>7428</v>
      </c>
      <c r="C2773" t="s">
        <v>3646</v>
      </c>
      <c r="D2773" t="s">
        <v>3756</v>
      </c>
      <c r="E2773" t="s">
        <v>3919</v>
      </c>
      <c r="F2773" t="s">
        <v>89</v>
      </c>
      <c r="G2773" t="s">
        <v>80</v>
      </c>
      <c r="H2773" t="s">
        <v>3913</v>
      </c>
      <c r="I2773" t="s">
        <v>3913</v>
      </c>
      <c r="J2773" t="s">
        <v>3917</v>
      </c>
      <c r="K2773" t="s">
        <v>905</v>
      </c>
      <c r="L2773" s="13">
        <v>44985</v>
      </c>
      <c r="M2773">
        <v>1</v>
      </c>
      <c r="N2773" t="s">
        <v>90</v>
      </c>
      <c r="O2773" t="s">
        <v>3932</v>
      </c>
      <c r="P2773" t="s">
        <v>76</v>
      </c>
      <c r="Q2773" t="s">
        <v>905</v>
      </c>
      <c r="R2773" t="s">
        <v>76</v>
      </c>
      <c r="S2773" t="s">
        <v>76</v>
      </c>
      <c r="T2773" t="s">
        <v>76</v>
      </c>
      <c r="U2773">
        <v>1</v>
      </c>
      <c r="V2773" s="13">
        <v>45175</v>
      </c>
      <c r="W2773">
        <v>1</v>
      </c>
      <c r="X2773">
        <v>1</v>
      </c>
      <c r="Y2773" t="s">
        <v>3757</v>
      </c>
      <c r="AC2773">
        <v>7428</v>
      </c>
      <c r="AD2773" t="e" vm="2763">
        <v>#VALUE!</v>
      </c>
    </row>
    <row r="2774" spans="2:30" x14ac:dyDescent="0.25">
      <c r="B2774">
        <v>7429</v>
      </c>
      <c r="C2774" t="s">
        <v>3646</v>
      </c>
      <c r="D2774" t="s">
        <v>3756</v>
      </c>
      <c r="E2774" t="s">
        <v>3919</v>
      </c>
      <c r="F2774" t="s">
        <v>89</v>
      </c>
      <c r="G2774" t="s">
        <v>80</v>
      </c>
      <c r="H2774" t="s">
        <v>3913</v>
      </c>
      <c r="I2774" t="s">
        <v>3913</v>
      </c>
      <c r="J2774" t="s">
        <v>3917</v>
      </c>
      <c r="K2774" t="s">
        <v>905</v>
      </c>
      <c r="L2774" s="13">
        <v>45049</v>
      </c>
      <c r="M2774">
        <v>0</v>
      </c>
      <c r="N2774" t="s">
        <v>90</v>
      </c>
      <c r="O2774" t="s">
        <v>3932</v>
      </c>
      <c r="P2774" t="s">
        <v>76</v>
      </c>
      <c r="Q2774" t="s">
        <v>905</v>
      </c>
      <c r="R2774" t="s">
        <v>76</v>
      </c>
      <c r="S2774" t="s">
        <v>76</v>
      </c>
      <c r="T2774" t="s">
        <v>76</v>
      </c>
      <c r="U2774">
        <v>1</v>
      </c>
      <c r="V2774" s="13">
        <v>45175</v>
      </c>
      <c r="W2774">
        <v>1</v>
      </c>
      <c r="X2774">
        <v>1</v>
      </c>
      <c r="Y2774" t="s">
        <v>3757</v>
      </c>
      <c r="AC2774">
        <v>7429</v>
      </c>
      <c r="AD2774" t="e" vm="2764">
        <v>#VALUE!</v>
      </c>
    </row>
    <row r="2775" spans="2:30" x14ac:dyDescent="0.25">
      <c r="B2775">
        <v>7430</v>
      </c>
      <c r="C2775" t="s">
        <v>75</v>
      </c>
      <c r="D2775" t="s">
        <v>73</v>
      </c>
      <c r="E2775" t="s">
        <v>73</v>
      </c>
      <c r="F2775" t="s">
        <v>3816</v>
      </c>
      <c r="G2775" t="s">
        <v>3816</v>
      </c>
      <c r="H2775" t="s">
        <v>3913</v>
      </c>
      <c r="I2775" t="s">
        <v>3913</v>
      </c>
      <c r="J2775" t="s">
        <v>3917</v>
      </c>
      <c r="K2775" t="s">
        <v>905</v>
      </c>
      <c r="L2775" s="13">
        <v>401768</v>
      </c>
      <c r="N2775" t="s">
        <v>74</v>
      </c>
      <c r="O2775" t="s">
        <v>3932</v>
      </c>
      <c r="P2775" t="s">
        <v>76</v>
      </c>
      <c r="Q2775" t="s">
        <v>905</v>
      </c>
      <c r="R2775" t="s">
        <v>76</v>
      </c>
      <c r="S2775" t="s">
        <v>76</v>
      </c>
      <c r="T2775" t="s">
        <v>76</v>
      </c>
      <c r="U2775">
        <v>1</v>
      </c>
      <c r="V2775" s="13">
        <v>45175</v>
      </c>
      <c r="W2775">
        <v>1</v>
      </c>
      <c r="X2775">
        <v>1</v>
      </c>
      <c r="Y2775" t="s">
        <v>3720</v>
      </c>
      <c r="AC2775">
        <v>7430</v>
      </c>
      <c r="AD2775" t="e" vm="2765">
        <v>#VALUE!</v>
      </c>
    </row>
    <row r="2776" spans="2:30" x14ac:dyDescent="0.25">
      <c r="B2776">
        <v>7431</v>
      </c>
      <c r="C2776" t="s">
        <v>75</v>
      </c>
      <c r="D2776" t="s">
        <v>73</v>
      </c>
      <c r="E2776" t="s">
        <v>73</v>
      </c>
      <c r="F2776" t="s">
        <v>3816</v>
      </c>
      <c r="G2776" t="s">
        <v>3816</v>
      </c>
      <c r="H2776" t="s">
        <v>3913</v>
      </c>
      <c r="I2776" t="s">
        <v>3913</v>
      </c>
      <c r="J2776" t="s">
        <v>3917</v>
      </c>
      <c r="K2776" t="s">
        <v>905</v>
      </c>
      <c r="L2776" s="13">
        <v>401768</v>
      </c>
      <c r="N2776" t="s">
        <v>74</v>
      </c>
      <c r="O2776" t="s">
        <v>3932</v>
      </c>
      <c r="P2776" t="s">
        <v>76</v>
      </c>
      <c r="Q2776" t="s">
        <v>905</v>
      </c>
      <c r="R2776" t="s">
        <v>76</v>
      </c>
      <c r="S2776" t="s">
        <v>76</v>
      </c>
      <c r="T2776" t="s">
        <v>76</v>
      </c>
      <c r="U2776">
        <v>1</v>
      </c>
      <c r="V2776" s="13">
        <v>45175</v>
      </c>
      <c r="W2776">
        <v>1</v>
      </c>
      <c r="X2776">
        <v>1</v>
      </c>
      <c r="Y2776" t="s">
        <v>3720</v>
      </c>
      <c r="AC2776">
        <v>7431</v>
      </c>
      <c r="AD2776" t="e" vm="2766">
        <v>#VALUE!</v>
      </c>
    </row>
    <row r="2777" spans="2:30" x14ac:dyDescent="0.25">
      <c r="B2777">
        <v>7432</v>
      </c>
      <c r="C2777" t="s">
        <v>3646</v>
      </c>
      <c r="D2777" t="s">
        <v>73</v>
      </c>
      <c r="E2777" t="s">
        <v>73</v>
      </c>
      <c r="F2777" t="s">
        <v>3816</v>
      </c>
      <c r="G2777" t="s">
        <v>3816</v>
      </c>
      <c r="H2777" t="s">
        <v>3913</v>
      </c>
      <c r="I2777" t="s">
        <v>3913</v>
      </c>
      <c r="J2777" t="s">
        <v>3917</v>
      </c>
      <c r="K2777" t="s">
        <v>905</v>
      </c>
      <c r="L2777" s="13">
        <v>45142</v>
      </c>
      <c r="M2777">
        <v>0</v>
      </c>
      <c r="N2777" t="s">
        <v>90</v>
      </c>
      <c r="O2777" t="s">
        <v>3932</v>
      </c>
      <c r="P2777" t="s">
        <v>76</v>
      </c>
      <c r="Q2777" t="s">
        <v>905</v>
      </c>
      <c r="R2777" t="s">
        <v>76</v>
      </c>
      <c r="S2777" t="s">
        <v>76</v>
      </c>
      <c r="T2777" t="s">
        <v>76</v>
      </c>
      <c r="U2777">
        <v>1</v>
      </c>
      <c r="V2777" s="13">
        <v>45175</v>
      </c>
      <c r="W2777">
        <v>1</v>
      </c>
      <c r="X2777">
        <v>1</v>
      </c>
      <c r="Y2777" t="s">
        <v>3667</v>
      </c>
      <c r="AC2777">
        <v>7432</v>
      </c>
      <c r="AD2777" t="e" vm="2767">
        <v>#VALUE!</v>
      </c>
    </row>
    <row r="2778" spans="2:30" x14ac:dyDescent="0.25">
      <c r="B2778">
        <v>7433</v>
      </c>
      <c r="C2778" t="s">
        <v>3646</v>
      </c>
      <c r="D2778" t="s">
        <v>3756</v>
      </c>
      <c r="E2778" t="s">
        <v>3919</v>
      </c>
      <c r="F2778" t="s">
        <v>89</v>
      </c>
      <c r="G2778" t="s">
        <v>80</v>
      </c>
      <c r="H2778" t="s">
        <v>3913</v>
      </c>
      <c r="I2778" t="s">
        <v>3913</v>
      </c>
      <c r="J2778" t="s">
        <v>3917</v>
      </c>
      <c r="K2778" t="s">
        <v>905</v>
      </c>
      <c r="L2778" s="13">
        <v>45049</v>
      </c>
      <c r="M2778">
        <v>0</v>
      </c>
      <c r="N2778" t="s">
        <v>90</v>
      </c>
      <c r="O2778" t="s">
        <v>3932</v>
      </c>
      <c r="P2778" t="s">
        <v>76</v>
      </c>
      <c r="Q2778" t="s">
        <v>905</v>
      </c>
      <c r="R2778" t="s">
        <v>76</v>
      </c>
      <c r="S2778" t="s">
        <v>76</v>
      </c>
      <c r="T2778" t="s">
        <v>76</v>
      </c>
      <c r="U2778">
        <v>1</v>
      </c>
      <c r="V2778" s="13">
        <v>45175</v>
      </c>
      <c r="W2778">
        <v>1</v>
      </c>
      <c r="X2778">
        <v>1</v>
      </c>
      <c r="Y2778" t="s">
        <v>3757</v>
      </c>
      <c r="AC2778">
        <v>7433</v>
      </c>
      <c r="AD2778" t="e" vm="2768">
        <v>#VALUE!</v>
      </c>
    </row>
    <row r="2779" spans="2:30" x14ac:dyDescent="0.25">
      <c r="B2779">
        <v>7434</v>
      </c>
      <c r="C2779" t="s">
        <v>3646</v>
      </c>
      <c r="D2779" t="s">
        <v>3756</v>
      </c>
      <c r="E2779" t="s">
        <v>3919</v>
      </c>
      <c r="F2779" t="s">
        <v>89</v>
      </c>
      <c r="G2779" t="s">
        <v>80</v>
      </c>
      <c r="H2779" t="s">
        <v>3913</v>
      </c>
      <c r="I2779" t="s">
        <v>3913</v>
      </c>
      <c r="J2779" t="s">
        <v>3917</v>
      </c>
      <c r="K2779" t="s">
        <v>905</v>
      </c>
      <c r="L2779" s="13">
        <v>45056</v>
      </c>
      <c r="M2779">
        <v>0</v>
      </c>
      <c r="N2779" t="s">
        <v>90</v>
      </c>
      <c r="O2779" t="s">
        <v>3932</v>
      </c>
      <c r="P2779" t="s">
        <v>76</v>
      </c>
      <c r="Q2779" t="s">
        <v>905</v>
      </c>
      <c r="R2779" t="s">
        <v>76</v>
      </c>
      <c r="S2779" t="s">
        <v>76</v>
      </c>
      <c r="T2779" t="s">
        <v>76</v>
      </c>
      <c r="U2779">
        <v>1</v>
      </c>
      <c r="V2779" s="13">
        <v>45175</v>
      </c>
      <c r="W2779">
        <v>1</v>
      </c>
      <c r="X2779">
        <v>1</v>
      </c>
      <c r="Y2779" t="s">
        <v>3757</v>
      </c>
      <c r="AC2779">
        <v>7434</v>
      </c>
      <c r="AD2779" t="e" vm="2769">
        <v>#VALUE!</v>
      </c>
    </row>
    <row r="2780" spans="2:30" x14ac:dyDescent="0.25">
      <c r="B2780">
        <v>7435</v>
      </c>
      <c r="C2780" t="s">
        <v>3646</v>
      </c>
      <c r="D2780" t="s">
        <v>3756</v>
      </c>
      <c r="E2780" t="s">
        <v>3919</v>
      </c>
      <c r="F2780" t="s">
        <v>89</v>
      </c>
      <c r="G2780" t="s">
        <v>80</v>
      </c>
      <c r="H2780" t="s">
        <v>3913</v>
      </c>
      <c r="I2780" t="s">
        <v>3913</v>
      </c>
      <c r="J2780" t="s">
        <v>3917</v>
      </c>
      <c r="K2780" t="s">
        <v>905</v>
      </c>
      <c r="L2780" s="13">
        <v>45078</v>
      </c>
      <c r="M2780">
        <v>0</v>
      </c>
      <c r="N2780" t="s">
        <v>90</v>
      </c>
      <c r="O2780" t="s">
        <v>3932</v>
      </c>
      <c r="P2780" t="s">
        <v>76</v>
      </c>
      <c r="Q2780" t="s">
        <v>905</v>
      </c>
      <c r="R2780" t="s">
        <v>76</v>
      </c>
      <c r="S2780" t="s">
        <v>76</v>
      </c>
      <c r="T2780" t="s">
        <v>76</v>
      </c>
      <c r="U2780">
        <v>1</v>
      </c>
      <c r="V2780" s="13">
        <v>45175</v>
      </c>
      <c r="W2780">
        <v>1</v>
      </c>
      <c r="X2780">
        <v>1</v>
      </c>
      <c r="Y2780" t="s">
        <v>3757</v>
      </c>
      <c r="AC2780">
        <v>7435</v>
      </c>
      <c r="AD2780" t="e" vm="2770">
        <v>#VALUE!</v>
      </c>
    </row>
    <row r="2781" spans="2:30" x14ac:dyDescent="0.25">
      <c r="B2781">
        <v>7436</v>
      </c>
      <c r="C2781" t="s">
        <v>75</v>
      </c>
      <c r="D2781" t="s">
        <v>73</v>
      </c>
      <c r="E2781" t="s">
        <v>73</v>
      </c>
      <c r="F2781" t="s">
        <v>3816</v>
      </c>
      <c r="G2781" t="s">
        <v>3816</v>
      </c>
      <c r="H2781" t="s">
        <v>3913</v>
      </c>
      <c r="I2781" t="s">
        <v>3913</v>
      </c>
      <c r="J2781" t="s">
        <v>3917</v>
      </c>
      <c r="K2781" t="s">
        <v>905</v>
      </c>
      <c r="L2781" s="13">
        <v>401768</v>
      </c>
      <c r="N2781" t="s">
        <v>74</v>
      </c>
      <c r="O2781" t="s">
        <v>3932</v>
      </c>
      <c r="P2781" t="s">
        <v>76</v>
      </c>
      <c r="Q2781" t="s">
        <v>905</v>
      </c>
      <c r="R2781" t="s">
        <v>76</v>
      </c>
      <c r="S2781" t="s">
        <v>76</v>
      </c>
      <c r="T2781" t="s">
        <v>76</v>
      </c>
      <c r="U2781">
        <v>1</v>
      </c>
      <c r="V2781" s="13">
        <v>45175</v>
      </c>
      <c r="W2781">
        <v>1</v>
      </c>
      <c r="X2781">
        <v>1</v>
      </c>
      <c r="Y2781" t="s">
        <v>3720</v>
      </c>
      <c r="AC2781">
        <v>7436</v>
      </c>
      <c r="AD2781" t="e" vm="2771">
        <v>#VALUE!</v>
      </c>
    </row>
    <row r="2782" spans="2:30" x14ac:dyDescent="0.25">
      <c r="B2782">
        <v>7437</v>
      </c>
      <c r="C2782" t="s">
        <v>3646</v>
      </c>
      <c r="D2782" t="s">
        <v>73</v>
      </c>
      <c r="E2782" t="s">
        <v>73</v>
      </c>
      <c r="F2782" t="s">
        <v>3816</v>
      </c>
      <c r="G2782" t="s">
        <v>3816</v>
      </c>
      <c r="H2782" t="s">
        <v>3913</v>
      </c>
      <c r="I2782" t="s">
        <v>3913</v>
      </c>
      <c r="J2782" t="s">
        <v>3917</v>
      </c>
      <c r="K2782" t="s">
        <v>905</v>
      </c>
      <c r="L2782" s="13">
        <v>45114</v>
      </c>
      <c r="M2782">
        <v>0</v>
      </c>
      <c r="N2782" t="s">
        <v>90</v>
      </c>
      <c r="O2782" t="s">
        <v>3932</v>
      </c>
      <c r="P2782" t="s">
        <v>76</v>
      </c>
      <c r="Q2782" t="s">
        <v>905</v>
      </c>
      <c r="R2782" t="s">
        <v>76</v>
      </c>
      <c r="S2782" t="s">
        <v>76</v>
      </c>
      <c r="T2782" t="s">
        <v>76</v>
      </c>
      <c r="U2782">
        <v>1</v>
      </c>
      <c r="V2782" s="13">
        <v>45175</v>
      </c>
      <c r="W2782">
        <v>1</v>
      </c>
      <c r="X2782">
        <v>1</v>
      </c>
      <c r="Y2782" t="s">
        <v>3667</v>
      </c>
      <c r="AC2782">
        <v>7437</v>
      </c>
      <c r="AD2782" t="e" vm="2772">
        <v>#VALUE!</v>
      </c>
    </row>
    <row r="2783" spans="2:30" x14ac:dyDescent="0.25">
      <c r="B2783">
        <v>7438</v>
      </c>
      <c r="C2783" t="s">
        <v>3646</v>
      </c>
      <c r="D2783" t="s">
        <v>73</v>
      </c>
      <c r="E2783" t="s">
        <v>73</v>
      </c>
      <c r="F2783" t="s">
        <v>3816</v>
      </c>
      <c r="G2783" t="s">
        <v>3816</v>
      </c>
      <c r="H2783" t="s">
        <v>3913</v>
      </c>
      <c r="I2783" t="s">
        <v>3913</v>
      </c>
      <c r="J2783" t="s">
        <v>3917</v>
      </c>
      <c r="K2783" t="s">
        <v>905</v>
      </c>
      <c r="L2783" s="13">
        <v>45142</v>
      </c>
      <c r="M2783">
        <v>0</v>
      </c>
      <c r="N2783" t="s">
        <v>90</v>
      </c>
      <c r="O2783" t="s">
        <v>3932</v>
      </c>
      <c r="P2783" t="s">
        <v>76</v>
      </c>
      <c r="Q2783" t="s">
        <v>905</v>
      </c>
      <c r="R2783" t="s">
        <v>76</v>
      </c>
      <c r="S2783" t="s">
        <v>76</v>
      </c>
      <c r="T2783" t="s">
        <v>76</v>
      </c>
      <c r="U2783">
        <v>1</v>
      </c>
      <c r="V2783" s="13">
        <v>45175</v>
      </c>
      <c r="W2783">
        <v>1</v>
      </c>
      <c r="X2783">
        <v>1</v>
      </c>
      <c r="Y2783" t="s">
        <v>3667</v>
      </c>
      <c r="AC2783">
        <v>7438</v>
      </c>
      <c r="AD2783" t="e" vm="2773">
        <v>#VALUE!</v>
      </c>
    </row>
    <row r="2784" spans="2:30" x14ac:dyDescent="0.25">
      <c r="B2784">
        <v>7439</v>
      </c>
      <c r="C2784" t="s">
        <v>3646</v>
      </c>
      <c r="D2784" t="s">
        <v>73</v>
      </c>
      <c r="E2784" t="s">
        <v>73</v>
      </c>
      <c r="F2784" t="s">
        <v>3816</v>
      </c>
      <c r="G2784" t="s">
        <v>3816</v>
      </c>
      <c r="H2784" t="s">
        <v>3913</v>
      </c>
      <c r="I2784" t="s">
        <v>3913</v>
      </c>
      <c r="J2784" t="s">
        <v>3917</v>
      </c>
      <c r="K2784" t="s">
        <v>905</v>
      </c>
      <c r="L2784" s="13">
        <v>45114</v>
      </c>
      <c r="M2784">
        <v>0</v>
      </c>
      <c r="N2784" t="s">
        <v>90</v>
      </c>
      <c r="O2784" t="s">
        <v>3932</v>
      </c>
      <c r="P2784" t="s">
        <v>76</v>
      </c>
      <c r="Q2784" t="s">
        <v>905</v>
      </c>
      <c r="R2784" t="s">
        <v>76</v>
      </c>
      <c r="S2784" t="s">
        <v>76</v>
      </c>
      <c r="T2784" t="s">
        <v>76</v>
      </c>
      <c r="U2784">
        <v>1</v>
      </c>
      <c r="V2784" s="13">
        <v>45175</v>
      </c>
      <c r="W2784">
        <v>1</v>
      </c>
      <c r="X2784">
        <v>1</v>
      </c>
      <c r="Y2784" t="s">
        <v>3667</v>
      </c>
      <c r="AC2784">
        <v>7439</v>
      </c>
      <c r="AD2784" t="e" vm="2774">
        <v>#VALUE!</v>
      </c>
    </row>
    <row r="2785" spans="2:30" x14ac:dyDescent="0.25">
      <c r="B2785">
        <v>7440</v>
      </c>
      <c r="C2785" t="s">
        <v>75</v>
      </c>
      <c r="D2785" t="s">
        <v>73</v>
      </c>
      <c r="E2785" t="s">
        <v>73</v>
      </c>
      <c r="F2785" t="s">
        <v>3816</v>
      </c>
      <c r="G2785" t="s">
        <v>3816</v>
      </c>
      <c r="H2785" t="s">
        <v>3913</v>
      </c>
      <c r="I2785" t="s">
        <v>3913</v>
      </c>
      <c r="J2785" t="s">
        <v>3917</v>
      </c>
      <c r="K2785" t="s">
        <v>905</v>
      </c>
      <c r="L2785" s="13">
        <v>401768</v>
      </c>
      <c r="N2785" t="s">
        <v>74</v>
      </c>
      <c r="O2785" t="s">
        <v>3932</v>
      </c>
      <c r="P2785" t="s">
        <v>76</v>
      </c>
      <c r="Q2785" t="s">
        <v>905</v>
      </c>
      <c r="R2785" t="s">
        <v>76</v>
      </c>
      <c r="S2785" t="s">
        <v>76</v>
      </c>
      <c r="T2785" t="s">
        <v>76</v>
      </c>
      <c r="U2785">
        <v>1</v>
      </c>
      <c r="V2785" s="13">
        <v>45175</v>
      </c>
      <c r="W2785">
        <v>1</v>
      </c>
      <c r="X2785">
        <v>1</v>
      </c>
      <c r="Y2785" t="s">
        <v>3720</v>
      </c>
      <c r="AC2785">
        <v>7440</v>
      </c>
      <c r="AD2785" t="e" vm="2775">
        <v>#VALUE!</v>
      </c>
    </row>
    <row r="2786" spans="2:30" x14ac:dyDescent="0.25">
      <c r="B2786">
        <v>7441</v>
      </c>
      <c r="C2786" t="s">
        <v>75</v>
      </c>
      <c r="D2786" t="s">
        <v>73</v>
      </c>
      <c r="E2786" t="s">
        <v>73</v>
      </c>
      <c r="F2786" t="s">
        <v>3816</v>
      </c>
      <c r="G2786" t="s">
        <v>3816</v>
      </c>
      <c r="H2786" t="s">
        <v>3913</v>
      </c>
      <c r="I2786" t="s">
        <v>3913</v>
      </c>
      <c r="J2786" t="s">
        <v>3917</v>
      </c>
      <c r="K2786" t="s">
        <v>905</v>
      </c>
      <c r="L2786" s="13">
        <v>401768</v>
      </c>
      <c r="N2786" t="s">
        <v>74</v>
      </c>
      <c r="O2786" t="s">
        <v>3933</v>
      </c>
      <c r="P2786" t="s">
        <v>76</v>
      </c>
      <c r="Q2786" t="s">
        <v>905</v>
      </c>
      <c r="R2786" t="s">
        <v>76</v>
      </c>
      <c r="S2786" t="s">
        <v>76</v>
      </c>
      <c r="T2786" t="s">
        <v>76</v>
      </c>
      <c r="U2786">
        <v>1</v>
      </c>
      <c r="V2786" s="13">
        <v>45175</v>
      </c>
      <c r="W2786">
        <v>1</v>
      </c>
      <c r="X2786">
        <v>1</v>
      </c>
      <c r="Y2786" t="s">
        <v>3720</v>
      </c>
      <c r="AC2786">
        <v>7441</v>
      </c>
      <c r="AD2786" t="e" vm="2776">
        <v>#VALUE!</v>
      </c>
    </row>
    <row r="2787" spans="2:30" x14ac:dyDescent="0.25">
      <c r="B2787">
        <v>7442</v>
      </c>
      <c r="C2787" t="s">
        <v>75</v>
      </c>
      <c r="D2787" t="s">
        <v>73</v>
      </c>
      <c r="E2787" t="s">
        <v>73</v>
      </c>
      <c r="F2787" t="s">
        <v>3816</v>
      </c>
      <c r="G2787" t="s">
        <v>3816</v>
      </c>
      <c r="H2787" t="s">
        <v>3913</v>
      </c>
      <c r="I2787" t="s">
        <v>3913</v>
      </c>
      <c r="J2787" t="s">
        <v>3917</v>
      </c>
      <c r="K2787" t="s">
        <v>905</v>
      </c>
      <c r="L2787" s="13">
        <v>401768</v>
      </c>
      <c r="N2787" t="s">
        <v>74</v>
      </c>
      <c r="O2787" t="s">
        <v>3933</v>
      </c>
      <c r="P2787" t="s">
        <v>76</v>
      </c>
      <c r="Q2787" t="s">
        <v>905</v>
      </c>
      <c r="R2787" t="s">
        <v>76</v>
      </c>
      <c r="S2787" t="s">
        <v>76</v>
      </c>
      <c r="T2787" t="s">
        <v>76</v>
      </c>
      <c r="U2787">
        <v>1</v>
      </c>
      <c r="V2787" s="13">
        <v>45175</v>
      </c>
      <c r="W2787">
        <v>1</v>
      </c>
      <c r="X2787">
        <v>1</v>
      </c>
      <c r="Y2787" t="s">
        <v>3720</v>
      </c>
      <c r="AC2787">
        <v>7442</v>
      </c>
      <c r="AD2787" t="e" vm="2777">
        <v>#VALUE!</v>
      </c>
    </row>
    <row r="2788" spans="2:30" x14ac:dyDescent="0.25">
      <c r="B2788">
        <v>7443</v>
      </c>
      <c r="C2788" t="s">
        <v>75</v>
      </c>
      <c r="D2788" t="s">
        <v>73</v>
      </c>
      <c r="E2788" t="s">
        <v>73</v>
      </c>
      <c r="F2788" t="s">
        <v>3816</v>
      </c>
      <c r="G2788" t="s">
        <v>3816</v>
      </c>
      <c r="H2788" t="s">
        <v>3913</v>
      </c>
      <c r="I2788" t="s">
        <v>3913</v>
      </c>
      <c r="J2788" t="s">
        <v>3917</v>
      </c>
      <c r="K2788" t="s">
        <v>905</v>
      </c>
      <c r="L2788" s="13">
        <v>401768</v>
      </c>
      <c r="N2788" t="s">
        <v>74</v>
      </c>
      <c r="O2788" t="s">
        <v>3933</v>
      </c>
      <c r="P2788" t="s">
        <v>76</v>
      </c>
      <c r="Q2788" t="s">
        <v>905</v>
      </c>
      <c r="R2788" t="s">
        <v>76</v>
      </c>
      <c r="S2788" t="s">
        <v>76</v>
      </c>
      <c r="T2788" t="s">
        <v>76</v>
      </c>
      <c r="U2788">
        <v>1</v>
      </c>
      <c r="V2788" s="13">
        <v>45175</v>
      </c>
      <c r="W2788">
        <v>1</v>
      </c>
      <c r="X2788">
        <v>1</v>
      </c>
      <c r="Y2788" t="s">
        <v>3720</v>
      </c>
      <c r="AC2788">
        <v>7443</v>
      </c>
      <c r="AD2788" t="e" vm="2778">
        <v>#VALUE!</v>
      </c>
    </row>
    <row r="2789" spans="2:30" x14ac:dyDescent="0.25">
      <c r="B2789">
        <v>7444</v>
      </c>
      <c r="C2789" t="s">
        <v>75</v>
      </c>
      <c r="D2789" t="s">
        <v>73</v>
      </c>
      <c r="E2789" t="s">
        <v>73</v>
      </c>
      <c r="F2789" t="s">
        <v>3816</v>
      </c>
      <c r="G2789" t="s">
        <v>3816</v>
      </c>
      <c r="H2789" t="s">
        <v>3913</v>
      </c>
      <c r="I2789" t="s">
        <v>3913</v>
      </c>
      <c r="J2789" t="s">
        <v>3917</v>
      </c>
      <c r="K2789" t="s">
        <v>905</v>
      </c>
      <c r="L2789" s="13">
        <v>401768</v>
      </c>
      <c r="N2789" t="s">
        <v>74</v>
      </c>
      <c r="O2789" t="s">
        <v>3933</v>
      </c>
      <c r="P2789" t="s">
        <v>76</v>
      </c>
      <c r="Q2789" t="s">
        <v>905</v>
      </c>
      <c r="R2789" t="s">
        <v>76</v>
      </c>
      <c r="S2789" t="s">
        <v>76</v>
      </c>
      <c r="T2789" t="s">
        <v>76</v>
      </c>
      <c r="U2789">
        <v>1</v>
      </c>
      <c r="V2789" s="13">
        <v>45175</v>
      </c>
      <c r="W2789">
        <v>1</v>
      </c>
      <c r="X2789">
        <v>1</v>
      </c>
      <c r="Y2789" t="s">
        <v>3720</v>
      </c>
      <c r="AC2789">
        <v>7444</v>
      </c>
      <c r="AD2789" t="e" vm="2779">
        <v>#VALUE!</v>
      </c>
    </row>
    <row r="2790" spans="2:30" x14ac:dyDescent="0.25">
      <c r="B2790">
        <v>7445</v>
      </c>
      <c r="C2790" t="s">
        <v>75</v>
      </c>
      <c r="D2790" t="s">
        <v>73</v>
      </c>
      <c r="E2790" t="s">
        <v>73</v>
      </c>
      <c r="F2790" t="s">
        <v>3816</v>
      </c>
      <c r="G2790" t="s">
        <v>3816</v>
      </c>
      <c r="H2790" t="s">
        <v>3913</v>
      </c>
      <c r="I2790" t="s">
        <v>3913</v>
      </c>
      <c r="J2790" t="s">
        <v>3917</v>
      </c>
      <c r="K2790" t="s">
        <v>905</v>
      </c>
      <c r="L2790" s="13">
        <v>401768</v>
      </c>
      <c r="N2790" t="s">
        <v>74</v>
      </c>
      <c r="O2790" t="s">
        <v>3933</v>
      </c>
      <c r="P2790" t="s">
        <v>76</v>
      </c>
      <c r="Q2790" t="s">
        <v>905</v>
      </c>
      <c r="R2790" t="s">
        <v>76</v>
      </c>
      <c r="S2790" t="s">
        <v>76</v>
      </c>
      <c r="T2790" t="s">
        <v>76</v>
      </c>
      <c r="U2790">
        <v>1</v>
      </c>
      <c r="V2790" s="13">
        <v>45175</v>
      </c>
      <c r="W2790">
        <v>1</v>
      </c>
      <c r="X2790">
        <v>1</v>
      </c>
      <c r="Y2790" t="s">
        <v>3720</v>
      </c>
      <c r="AC2790">
        <v>7445</v>
      </c>
      <c r="AD2790" t="e" vm="2780">
        <v>#VALUE!</v>
      </c>
    </row>
    <row r="2791" spans="2:30" x14ac:dyDescent="0.25">
      <c r="B2791">
        <v>7446</v>
      </c>
      <c r="C2791" t="s">
        <v>75</v>
      </c>
      <c r="D2791" t="s">
        <v>73</v>
      </c>
      <c r="E2791" t="s">
        <v>73</v>
      </c>
      <c r="F2791" t="s">
        <v>3816</v>
      </c>
      <c r="G2791" t="s">
        <v>3816</v>
      </c>
      <c r="H2791" t="s">
        <v>3913</v>
      </c>
      <c r="I2791" t="s">
        <v>3913</v>
      </c>
      <c r="J2791" t="s">
        <v>3917</v>
      </c>
      <c r="K2791" t="s">
        <v>905</v>
      </c>
      <c r="L2791" s="13">
        <v>401768</v>
      </c>
      <c r="N2791" t="s">
        <v>74</v>
      </c>
      <c r="O2791" t="s">
        <v>3933</v>
      </c>
      <c r="P2791" t="s">
        <v>76</v>
      </c>
      <c r="Q2791" t="s">
        <v>905</v>
      </c>
      <c r="R2791" t="s">
        <v>76</v>
      </c>
      <c r="S2791" t="s">
        <v>76</v>
      </c>
      <c r="T2791" t="s">
        <v>76</v>
      </c>
      <c r="U2791">
        <v>1</v>
      </c>
      <c r="V2791" s="13">
        <v>45175</v>
      </c>
      <c r="W2791">
        <v>1</v>
      </c>
      <c r="X2791">
        <v>1</v>
      </c>
      <c r="Y2791" t="s">
        <v>3720</v>
      </c>
      <c r="AC2791">
        <v>7446</v>
      </c>
      <c r="AD2791" t="e" vm="2781">
        <v>#VALUE!</v>
      </c>
    </row>
    <row r="2792" spans="2:30" x14ac:dyDescent="0.25">
      <c r="B2792">
        <v>7447</v>
      </c>
      <c r="C2792" t="s">
        <v>75</v>
      </c>
      <c r="D2792" t="s">
        <v>73</v>
      </c>
      <c r="E2792" t="s">
        <v>73</v>
      </c>
      <c r="F2792" t="s">
        <v>3816</v>
      </c>
      <c r="G2792" t="s">
        <v>3816</v>
      </c>
      <c r="H2792" t="s">
        <v>3913</v>
      </c>
      <c r="I2792" t="s">
        <v>3913</v>
      </c>
      <c r="J2792" t="s">
        <v>3917</v>
      </c>
      <c r="K2792" t="s">
        <v>905</v>
      </c>
      <c r="L2792" s="13">
        <v>401768</v>
      </c>
      <c r="N2792" t="s">
        <v>74</v>
      </c>
      <c r="O2792" t="s">
        <v>3933</v>
      </c>
      <c r="P2792" t="s">
        <v>76</v>
      </c>
      <c r="Q2792" t="s">
        <v>905</v>
      </c>
      <c r="R2792" t="s">
        <v>76</v>
      </c>
      <c r="S2792" t="s">
        <v>76</v>
      </c>
      <c r="T2792" t="s">
        <v>76</v>
      </c>
      <c r="U2792">
        <v>1</v>
      </c>
      <c r="V2792" s="13">
        <v>45175</v>
      </c>
      <c r="W2792">
        <v>1</v>
      </c>
      <c r="X2792">
        <v>1</v>
      </c>
      <c r="Y2792" t="s">
        <v>3720</v>
      </c>
      <c r="AC2792">
        <v>7447</v>
      </c>
      <c r="AD2792" t="e" vm="2782">
        <v>#VALUE!</v>
      </c>
    </row>
    <row r="2793" spans="2:30" x14ac:dyDescent="0.25">
      <c r="B2793">
        <v>7448</v>
      </c>
      <c r="C2793" t="s">
        <v>75</v>
      </c>
      <c r="D2793" t="s">
        <v>73</v>
      </c>
      <c r="E2793" t="s">
        <v>73</v>
      </c>
      <c r="F2793" t="s">
        <v>3816</v>
      </c>
      <c r="G2793" t="s">
        <v>3816</v>
      </c>
      <c r="H2793" t="s">
        <v>3913</v>
      </c>
      <c r="I2793" t="s">
        <v>3913</v>
      </c>
      <c r="J2793" t="s">
        <v>3917</v>
      </c>
      <c r="K2793" t="s">
        <v>905</v>
      </c>
      <c r="L2793" s="13">
        <v>401768</v>
      </c>
      <c r="N2793" t="s">
        <v>74</v>
      </c>
      <c r="O2793" t="s">
        <v>3933</v>
      </c>
      <c r="P2793" t="s">
        <v>76</v>
      </c>
      <c r="Q2793" t="s">
        <v>905</v>
      </c>
      <c r="R2793" t="s">
        <v>76</v>
      </c>
      <c r="S2793" t="s">
        <v>76</v>
      </c>
      <c r="T2793" t="s">
        <v>76</v>
      </c>
      <c r="U2793">
        <v>1</v>
      </c>
      <c r="V2793" s="13">
        <v>45175</v>
      </c>
      <c r="W2793">
        <v>1</v>
      </c>
      <c r="X2793">
        <v>1</v>
      </c>
      <c r="Y2793" t="s">
        <v>3720</v>
      </c>
      <c r="AC2793">
        <v>7448</v>
      </c>
      <c r="AD2793" t="e" vm="2783">
        <v>#VALUE!</v>
      </c>
    </row>
    <row r="2794" spans="2:30" x14ac:dyDescent="0.25">
      <c r="B2794">
        <v>7449</v>
      </c>
      <c r="C2794" t="s">
        <v>75</v>
      </c>
      <c r="D2794" t="s">
        <v>73</v>
      </c>
      <c r="E2794" t="s">
        <v>73</v>
      </c>
      <c r="F2794" t="s">
        <v>3816</v>
      </c>
      <c r="G2794" t="s">
        <v>3816</v>
      </c>
      <c r="H2794" t="s">
        <v>3913</v>
      </c>
      <c r="I2794" t="s">
        <v>3913</v>
      </c>
      <c r="J2794" t="s">
        <v>3917</v>
      </c>
      <c r="K2794" t="s">
        <v>905</v>
      </c>
      <c r="L2794" s="13">
        <v>401768</v>
      </c>
      <c r="N2794" t="s">
        <v>74</v>
      </c>
      <c r="O2794" t="s">
        <v>3933</v>
      </c>
      <c r="P2794" t="s">
        <v>76</v>
      </c>
      <c r="Q2794" t="s">
        <v>905</v>
      </c>
      <c r="R2794" t="s">
        <v>76</v>
      </c>
      <c r="S2794" t="s">
        <v>76</v>
      </c>
      <c r="T2794" t="s">
        <v>76</v>
      </c>
      <c r="U2794">
        <v>1</v>
      </c>
      <c r="V2794" s="13">
        <v>45175</v>
      </c>
      <c r="W2794">
        <v>1</v>
      </c>
      <c r="X2794">
        <v>1</v>
      </c>
      <c r="Y2794" t="s">
        <v>3720</v>
      </c>
      <c r="AC2794">
        <v>7449</v>
      </c>
      <c r="AD2794" t="e" vm="2784">
        <v>#VALUE!</v>
      </c>
    </row>
    <row r="2795" spans="2:30" x14ac:dyDescent="0.25">
      <c r="B2795">
        <v>7450</v>
      </c>
      <c r="C2795" t="s">
        <v>75</v>
      </c>
      <c r="D2795" t="s">
        <v>73</v>
      </c>
      <c r="E2795" t="s">
        <v>73</v>
      </c>
      <c r="F2795" t="s">
        <v>3816</v>
      </c>
      <c r="G2795" t="s">
        <v>3816</v>
      </c>
      <c r="H2795" t="s">
        <v>3913</v>
      </c>
      <c r="I2795" t="s">
        <v>3913</v>
      </c>
      <c r="J2795" t="s">
        <v>3917</v>
      </c>
      <c r="K2795" t="s">
        <v>905</v>
      </c>
      <c r="L2795" s="13">
        <v>401768</v>
      </c>
      <c r="N2795" t="s">
        <v>74</v>
      </c>
      <c r="O2795" t="s">
        <v>3933</v>
      </c>
      <c r="P2795" t="s">
        <v>76</v>
      </c>
      <c r="Q2795" t="s">
        <v>905</v>
      </c>
      <c r="R2795" t="s">
        <v>76</v>
      </c>
      <c r="S2795" t="s">
        <v>76</v>
      </c>
      <c r="T2795" t="s">
        <v>76</v>
      </c>
      <c r="U2795">
        <v>1</v>
      </c>
      <c r="V2795" s="13">
        <v>45175</v>
      </c>
      <c r="W2795">
        <v>1</v>
      </c>
      <c r="X2795">
        <v>1</v>
      </c>
      <c r="Y2795" t="s">
        <v>3720</v>
      </c>
      <c r="AC2795">
        <v>7450</v>
      </c>
      <c r="AD2795" t="e" vm="2785">
        <v>#VALUE!</v>
      </c>
    </row>
    <row r="2796" spans="2:30" x14ac:dyDescent="0.25">
      <c r="B2796">
        <v>7451</v>
      </c>
      <c r="C2796" t="s">
        <v>75</v>
      </c>
      <c r="D2796" t="s">
        <v>73</v>
      </c>
      <c r="E2796" t="s">
        <v>73</v>
      </c>
      <c r="F2796" t="s">
        <v>3816</v>
      </c>
      <c r="G2796" t="s">
        <v>3816</v>
      </c>
      <c r="H2796" t="s">
        <v>3913</v>
      </c>
      <c r="I2796" t="s">
        <v>3913</v>
      </c>
      <c r="J2796" t="s">
        <v>3917</v>
      </c>
      <c r="K2796" t="s">
        <v>905</v>
      </c>
      <c r="L2796" s="13">
        <v>401768</v>
      </c>
      <c r="N2796" t="s">
        <v>74</v>
      </c>
      <c r="O2796" t="s">
        <v>3933</v>
      </c>
      <c r="P2796" t="s">
        <v>76</v>
      </c>
      <c r="Q2796" t="s">
        <v>905</v>
      </c>
      <c r="R2796" t="s">
        <v>76</v>
      </c>
      <c r="S2796" t="s">
        <v>76</v>
      </c>
      <c r="T2796" t="s">
        <v>76</v>
      </c>
      <c r="U2796">
        <v>1</v>
      </c>
      <c r="V2796" s="13">
        <v>45175</v>
      </c>
      <c r="W2796">
        <v>1</v>
      </c>
      <c r="X2796">
        <v>1</v>
      </c>
      <c r="Y2796" t="s">
        <v>3720</v>
      </c>
      <c r="AC2796">
        <v>7451</v>
      </c>
      <c r="AD2796" t="e" vm="2786">
        <v>#VALUE!</v>
      </c>
    </row>
    <row r="2797" spans="2:30" x14ac:dyDescent="0.25">
      <c r="B2797">
        <v>7452</v>
      </c>
      <c r="C2797" t="s">
        <v>75</v>
      </c>
      <c r="D2797" t="s">
        <v>73</v>
      </c>
      <c r="E2797" t="s">
        <v>73</v>
      </c>
      <c r="F2797" t="s">
        <v>3816</v>
      </c>
      <c r="G2797" t="s">
        <v>3816</v>
      </c>
      <c r="H2797" t="s">
        <v>3913</v>
      </c>
      <c r="I2797" t="s">
        <v>3913</v>
      </c>
      <c r="J2797" t="s">
        <v>3917</v>
      </c>
      <c r="K2797" t="s">
        <v>905</v>
      </c>
      <c r="L2797" s="13">
        <v>401768</v>
      </c>
      <c r="N2797" t="s">
        <v>74</v>
      </c>
      <c r="O2797" t="s">
        <v>3933</v>
      </c>
      <c r="P2797" t="s">
        <v>76</v>
      </c>
      <c r="Q2797" t="s">
        <v>905</v>
      </c>
      <c r="R2797" t="s">
        <v>76</v>
      </c>
      <c r="S2797" t="s">
        <v>76</v>
      </c>
      <c r="T2797" t="s">
        <v>76</v>
      </c>
      <c r="U2797">
        <v>1</v>
      </c>
      <c r="V2797" s="13">
        <v>45175</v>
      </c>
      <c r="W2797">
        <v>1</v>
      </c>
      <c r="X2797">
        <v>1</v>
      </c>
      <c r="Y2797" t="s">
        <v>3720</v>
      </c>
      <c r="AC2797">
        <v>7452</v>
      </c>
      <c r="AD2797" t="e" vm="2787">
        <v>#VALUE!</v>
      </c>
    </row>
    <row r="2798" spans="2:30" x14ac:dyDescent="0.25">
      <c r="B2798">
        <v>7453</v>
      </c>
      <c r="C2798" t="s">
        <v>75</v>
      </c>
      <c r="D2798" t="s">
        <v>73</v>
      </c>
      <c r="E2798" t="s">
        <v>73</v>
      </c>
      <c r="F2798" t="s">
        <v>3816</v>
      </c>
      <c r="G2798" t="s">
        <v>3816</v>
      </c>
      <c r="H2798" t="s">
        <v>3913</v>
      </c>
      <c r="I2798" t="s">
        <v>3913</v>
      </c>
      <c r="J2798" t="s">
        <v>3917</v>
      </c>
      <c r="K2798" t="s">
        <v>905</v>
      </c>
      <c r="L2798" s="13">
        <v>401768</v>
      </c>
      <c r="N2798" t="s">
        <v>74</v>
      </c>
      <c r="O2798" t="s">
        <v>3933</v>
      </c>
      <c r="P2798" t="s">
        <v>76</v>
      </c>
      <c r="Q2798" t="s">
        <v>905</v>
      </c>
      <c r="R2798" t="s">
        <v>76</v>
      </c>
      <c r="S2798" t="s">
        <v>76</v>
      </c>
      <c r="T2798" t="s">
        <v>76</v>
      </c>
      <c r="U2798">
        <v>1</v>
      </c>
      <c r="V2798" s="13">
        <v>45175</v>
      </c>
      <c r="W2798">
        <v>1</v>
      </c>
      <c r="X2798">
        <v>1</v>
      </c>
      <c r="Y2798" t="s">
        <v>3720</v>
      </c>
      <c r="AC2798">
        <v>7453</v>
      </c>
      <c r="AD2798" t="e" vm="2788">
        <v>#VALUE!</v>
      </c>
    </row>
    <row r="2799" spans="2:30" x14ac:dyDescent="0.25">
      <c r="B2799">
        <v>7454</v>
      </c>
      <c r="C2799" t="s">
        <v>75</v>
      </c>
      <c r="D2799" t="s">
        <v>73</v>
      </c>
      <c r="E2799" t="s">
        <v>73</v>
      </c>
      <c r="F2799" t="s">
        <v>3816</v>
      </c>
      <c r="G2799" t="s">
        <v>3816</v>
      </c>
      <c r="H2799" t="s">
        <v>3913</v>
      </c>
      <c r="I2799" t="s">
        <v>3913</v>
      </c>
      <c r="J2799" t="s">
        <v>3917</v>
      </c>
      <c r="K2799" t="s">
        <v>905</v>
      </c>
      <c r="L2799" s="13">
        <v>401768</v>
      </c>
      <c r="N2799" t="s">
        <v>74</v>
      </c>
      <c r="O2799" t="s">
        <v>3933</v>
      </c>
      <c r="P2799" t="s">
        <v>76</v>
      </c>
      <c r="Q2799" t="s">
        <v>905</v>
      </c>
      <c r="R2799" t="s">
        <v>76</v>
      </c>
      <c r="S2799" t="s">
        <v>76</v>
      </c>
      <c r="T2799" t="s">
        <v>76</v>
      </c>
      <c r="U2799">
        <v>1</v>
      </c>
      <c r="V2799" s="13">
        <v>45175</v>
      </c>
      <c r="W2799">
        <v>1</v>
      </c>
      <c r="X2799">
        <v>1</v>
      </c>
      <c r="Y2799" t="s">
        <v>3720</v>
      </c>
      <c r="AC2799">
        <v>7454</v>
      </c>
      <c r="AD2799" t="e" vm="2789">
        <v>#VALUE!</v>
      </c>
    </row>
    <row r="2800" spans="2:30" x14ac:dyDescent="0.25">
      <c r="B2800">
        <v>7455</v>
      </c>
      <c r="C2800" t="s">
        <v>75</v>
      </c>
      <c r="D2800" t="s">
        <v>73</v>
      </c>
      <c r="E2800" t="s">
        <v>73</v>
      </c>
      <c r="F2800" t="s">
        <v>3816</v>
      </c>
      <c r="G2800" t="s">
        <v>3816</v>
      </c>
      <c r="H2800" t="s">
        <v>3913</v>
      </c>
      <c r="I2800" t="s">
        <v>3913</v>
      </c>
      <c r="J2800" t="s">
        <v>3917</v>
      </c>
      <c r="K2800" t="s">
        <v>905</v>
      </c>
      <c r="L2800" s="13">
        <v>401768</v>
      </c>
      <c r="N2800" t="s">
        <v>74</v>
      </c>
      <c r="O2800" t="s">
        <v>3933</v>
      </c>
      <c r="P2800" t="s">
        <v>76</v>
      </c>
      <c r="Q2800" t="s">
        <v>905</v>
      </c>
      <c r="R2800" t="s">
        <v>76</v>
      </c>
      <c r="S2800" t="s">
        <v>76</v>
      </c>
      <c r="T2800" t="s">
        <v>76</v>
      </c>
      <c r="U2800">
        <v>1</v>
      </c>
      <c r="V2800" s="13">
        <v>45175</v>
      </c>
      <c r="W2800">
        <v>1</v>
      </c>
      <c r="X2800">
        <v>1</v>
      </c>
      <c r="Y2800" t="s">
        <v>3720</v>
      </c>
      <c r="AC2800">
        <v>7455</v>
      </c>
      <c r="AD2800" t="e" vm="2790">
        <v>#VALUE!</v>
      </c>
    </row>
    <row r="2801" spans="2:30" x14ac:dyDescent="0.25">
      <c r="B2801">
        <v>7456</v>
      </c>
      <c r="C2801" t="s">
        <v>75</v>
      </c>
      <c r="D2801" t="s">
        <v>73</v>
      </c>
      <c r="E2801" t="s">
        <v>73</v>
      </c>
      <c r="F2801" t="s">
        <v>3816</v>
      </c>
      <c r="G2801" t="s">
        <v>3816</v>
      </c>
      <c r="H2801" t="s">
        <v>3913</v>
      </c>
      <c r="I2801" t="s">
        <v>3913</v>
      </c>
      <c r="J2801" t="s">
        <v>3917</v>
      </c>
      <c r="K2801" t="s">
        <v>905</v>
      </c>
      <c r="L2801" s="13">
        <v>401768</v>
      </c>
      <c r="N2801" t="s">
        <v>74</v>
      </c>
      <c r="O2801" t="s">
        <v>3933</v>
      </c>
      <c r="P2801" t="s">
        <v>76</v>
      </c>
      <c r="Q2801" t="s">
        <v>905</v>
      </c>
      <c r="R2801" t="s">
        <v>76</v>
      </c>
      <c r="S2801" t="s">
        <v>76</v>
      </c>
      <c r="T2801" t="s">
        <v>76</v>
      </c>
      <c r="U2801">
        <v>1</v>
      </c>
      <c r="V2801" s="13">
        <v>45175</v>
      </c>
      <c r="W2801">
        <v>1</v>
      </c>
      <c r="X2801">
        <v>1</v>
      </c>
      <c r="Y2801" t="s">
        <v>3720</v>
      </c>
      <c r="AC2801">
        <v>7456</v>
      </c>
      <c r="AD2801" t="e" vm="2791">
        <v>#VALUE!</v>
      </c>
    </row>
    <row r="2802" spans="2:30" x14ac:dyDescent="0.25">
      <c r="B2802">
        <v>7457</v>
      </c>
      <c r="C2802" t="s">
        <v>75</v>
      </c>
      <c r="D2802" t="s">
        <v>73</v>
      </c>
      <c r="E2802" t="s">
        <v>73</v>
      </c>
      <c r="F2802" t="s">
        <v>3816</v>
      </c>
      <c r="G2802" t="s">
        <v>3816</v>
      </c>
      <c r="H2802" t="s">
        <v>3913</v>
      </c>
      <c r="I2802" t="s">
        <v>3913</v>
      </c>
      <c r="J2802" t="s">
        <v>3917</v>
      </c>
      <c r="K2802" t="s">
        <v>905</v>
      </c>
      <c r="L2802" s="13">
        <v>401768</v>
      </c>
      <c r="N2802" t="s">
        <v>74</v>
      </c>
      <c r="O2802" t="s">
        <v>3933</v>
      </c>
      <c r="P2802" t="s">
        <v>76</v>
      </c>
      <c r="Q2802" t="s">
        <v>905</v>
      </c>
      <c r="R2802" t="s">
        <v>76</v>
      </c>
      <c r="S2802" t="s">
        <v>76</v>
      </c>
      <c r="T2802" t="s">
        <v>76</v>
      </c>
      <c r="U2802">
        <v>1</v>
      </c>
      <c r="V2802" s="13">
        <v>45175</v>
      </c>
      <c r="W2802">
        <v>1</v>
      </c>
      <c r="X2802">
        <v>1</v>
      </c>
      <c r="Y2802" t="s">
        <v>3720</v>
      </c>
      <c r="AC2802">
        <v>7457</v>
      </c>
      <c r="AD2802" t="e" vm="2792">
        <v>#VALUE!</v>
      </c>
    </row>
    <row r="2803" spans="2:30" x14ac:dyDescent="0.25">
      <c r="B2803">
        <v>7458</v>
      </c>
      <c r="C2803" t="s">
        <v>75</v>
      </c>
      <c r="D2803" t="s">
        <v>73</v>
      </c>
      <c r="E2803" t="s">
        <v>73</v>
      </c>
      <c r="F2803" t="s">
        <v>3816</v>
      </c>
      <c r="G2803" t="s">
        <v>3816</v>
      </c>
      <c r="H2803" t="s">
        <v>3913</v>
      </c>
      <c r="I2803" t="s">
        <v>3913</v>
      </c>
      <c r="J2803" t="s">
        <v>3917</v>
      </c>
      <c r="K2803" t="s">
        <v>905</v>
      </c>
      <c r="L2803" s="13">
        <v>401768</v>
      </c>
      <c r="N2803" t="s">
        <v>74</v>
      </c>
      <c r="O2803" t="s">
        <v>3933</v>
      </c>
      <c r="P2803" t="s">
        <v>76</v>
      </c>
      <c r="Q2803" t="s">
        <v>905</v>
      </c>
      <c r="R2803" t="s">
        <v>76</v>
      </c>
      <c r="S2803" t="s">
        <v>76</v>
      </c>
      <c r="T2803" t="s">
        <v>76</v>
      </c>
      <c r="U2803">
        <v>1</v>
      </c>
      <c r="V2803" s="13">
        <v>45175</v>
      </c>
      <c r="W2803">
        <v>1</v>
      </c>
      <c r="X2803">
        <v>1</v>
      </c>
      <c r="Y2803" t="s">
        <v>3720</v>
      </c>
      <c r="AC2803">
        <v>7458</v>
      </c>
      <c r="AD2803" t="e" vm="2793">
        <v>#VALUE!</v>
      </c>
    </row>
  </sheetData>
  <phoneticPr fontId="4"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72BE1-244E-4F7B-8B0B-E5AC0D7F3D70}">
  <sheetPr codeName="Sheet2"/>
  <dimension ref="B1:F42"/>
  <sheetViews>
    <sheetView topLeftCell="A4" workbookViewId="0">
      <selection activeCell="C22" sqref="C22"/>
    </sheetView>
  </sheetViews>
  <sheetFormatPr defaultRowHeight="15" customHeight="1" x14ac:dyDescent="0.25"/>
  <cols>
    <col min="2" max="2" width="9.140625" style="11"/>
    <col min="3" max="3" width="34.42578125" customWidth="1"/>
    <col min="4" max="4" width="159.28515625" customWidth="1"/>
    <col min="5" max="5" width="40.7109375" customWidth="1"/>
    <col min="6" max="6" width="14.7109375" customWidth="1"/>
  </cols>
  <sheetData>
    <row r="1" spans="2:6" x14ac:dyDescent="0.25">
      <c r="C1" t="e">
        <f>"Parameters!$D$"&amp;_xlfn.XMATCH("REFRESH_STATUS",C4:C207)+3</f>
        <v>#N/A</v>
      </c>
      <c r="E1" t="s">
        <v>0</v>
      </c>
    </row>
    <row r="2" spans="2:6" x14ac:dyDescent="0.25"/>
    <row r="3" spans="2:6" x14ac:dyDescent="0.25">
      <c r="B3" s="1" t="s">
        <v>1</v>
      </c>
      <c r="C3" t="str">
        <f>_xlfn.XLOOKUP("REFRESH_STATUS",Tab_Parameters[Parameter],Tab_Parameters[Value],"")</f>
        <v/>
      </c>
      <c r="D3" s="2"/>
    </row>
    <row r="4" spans="2:6" x14ac:dyDescent="0.25"/>
    <row r="5" spans="2:6" x14ac:dyDescent="0.25">
      <c r="C5" t="s">
        <v>2</v>
      </c>
      <c r="D5" t="s">
        <v>3</v>
      </c>
      <c r="E5" t="s">
        <v>4</v>
      </c>
      <c r="F5" s="3" t="s">
        <v>5</v>
      </c>
    </row>
    <row r="6" spans="2:6" x14ac:dyDescent="0.25">
      <c r="C6" t="s">
        <v>6</v>
      </c>
      <c r="D6" t="s">
        <v>7</v>
      </c>
      <c r="E6" s="4">
        <v>5</v>
      </c>
      <c r="F6" s="3"/>
    </row>
    <row r="7" spans="2:6" x14ac:dyDescent="0.25">
      <c r="C7" t="s">
        <v>8</v>
      </c>
      <c r="D7" t="s">
        <v>9</v>
      </c>
      <c r="E7" s="4">
        <v>10</v>
      </c>
      <c r="F7" s="3"/>
    </row>
    <row r="8" spans="2:6" x14ac:dyDescent="0.25">
      <c r="C8" t="s">
        <v>10</v>
      </c>
      <c r="D8" t="s">
        <v>11</v>
      </c>
      <c r="E8" s="4">
        <v>12</v>
      </c>
      <c r="F8" s="3"/>
    </row>
    <row r="9" spans="2:6" x14ac:dyDescent="0.25">
      <c r="C9" t="s">
        <v>12</v>
      </c>
      <c r="D9" t="s">
        <v>13</v>
      </c>
      <c r="E9" s="4">
        <v>14</v>
      </c>
      <c r="F9" s="3"/>
    </row>
    <row r="10" spans="2:6" x14ac:dyDescent="0.25">
      <c r="C10" t="s">
        <v>14</v>
      </c>
      <c r="D10" t="s">
        <v>15</v>
      </c>
      <c r="E10" s="4">
        <v>20</v>
      </c>
      <c r="F10" s="3"/>
    </row>
    <row r="11" spans="2:6" x14ac:dyDescent="0.25">
      <c r="C11" t="s">
        <v>16</v>
      </c>
      <c r="D11" t="s">
        <v>17</v>
      </c>
      <c r="E11" s="4">
        <v>30</v>
      </c>
      <c r="F11" s="3"/>
    </row>
    <row r="12" spans="2:6" x14ac:dyDescent="0.25">
      <c r="C12" t="s">
        <v>18</v>
      </c>
      <c r="D12" t="s">
        <v>19</v>
      </c>
      <c r="E12" s="4">
        <v>35</v>
      </c>
      <c r="F12" s="3"/>
    </row>
    <row r="13" spans="2:6" x14ac:dyDescent="0.25">
      <c r="C13" t="s">
        <v>20</v>
      </c>
      <c r="D13" t="s">
        <v>21</v>
      </c>
      <c r="E13" s="4">
        <v>40</v>
      </c>
      <c r="F13" s="3"/>
    </row>
    <row r="14" spans="2:6" x14ac:dyDescent="0.25">
      <c r="C14" t="s">
        <v>22</v>
      </c>
      <c r="D14" t="s">
        <v>21</v>
      </c>
      <c r="E14" s="4">
        <v>60</v>
      </c>
      <c r="F14" s="3"/>
    </row>
    <row r="15" spans="2:6" x14ac:dyDescent="0.25">
      <c r="C15" t="s">
        <v>23</v>
      </c>
      <c r="D15" t="s">
        <v>21</v>
      </c>
      <c r="E15" s="4">
        <v>70</v>
      </c>
      <c r="F15" s="3"/>
    </row>
    <row r="16" spans="2:6" hidden="1" x14ac:dyDescent="0.25">
      <c r="B16" s="11" t="s">
        <v>24</v>
      </c>
      <c r="C16" t="s">
        <v>25</v>
      </c>
      <c r="D16" t="s">
        <v>26</v>
      </c>
    </row>
    <row r="17" spans="2:5" hidden="1" x14ac:dyDescent="0.25">
      <c r="B17" s="3" t="str">
        <f>IF( Tabel_Local_Folders[[#This Row],[Local folder path]]=$E$2,1,"")</f>
        <v/>
      </c>
      <c r="C17" t="s">
        <v>27</v>
      </c>
      <c r="D17" t="s">
        <v>0</v>
      </c>
    </row>
    <row r="18" spans="2:5" hidden="1" x14ac:dyDescent="0.25">
      <c r="B18" s="3" t="str">
        <f>IF( Tabel_Local_Folders[[#This Row],[Local folder path]]=$E$2,1,"")</f>
        <v/>
      </c>
      <c r="C18" t="s">
        <v>28</v>
      </c>
      <c r="D18" t="s">
        <v>29</v>
      </c>
    </row>
    <row r="19" spans="2:5" x14ac:dyDescent="0.25"/>
    <row r="20" spans="2:5" x14ac:dyDescent="0.25"/>
    <row r="21" spans="2:5" x14ac:dyDescent="0.25">
      <c r="B21" s="11" t="s">
        <v>52</v>
      </c>
      <c r="C21" t="s">
        <v>30</v>
      </c>
      <c r="D21" t="s">
        <v>31</v>
      </c>
      <c r="E21" t="s">
        <v>32</v>
      </c>
    </row>
    <row r="22" spans="2:5" x14ac:dyDescent="0.25">
      <c r="B22" s="12" t="str">
        <f ca="1">IF(LEFT(Tab_Parameters[[#This Row],[Value]],4)="http",HYPERLINK(Tab_Parameters[[#This Row],[Value]],"L"),"")</f>
        <v/>
      </c>
      <c r="C22" t="s">
        <v>119</v>
      </c>
      <c r="D22" s="6">
        <f ca="1">TODAY()</f>
        <v>45196</v>
      </c>
    </row>
    <row r="23" spans="2:5" x14ac:dyDescent="0.25">
      <c r="B23" s="12" t="str">
        <f>IF(LEFT(Tab_Parameters[[#This Row],[Value]],4)="http",HYPERLINK(Tab_Parameters[[#This Row],[Value]],"L"),"")</f>
        <v/>
      </c>
    </row>
    <row r="24" spans="2:5" x14ac:dyDescent="0.25">
      <c r="B24" s="12" t="str">
        <f>IF(LEFT(Tab_Parameters[[#This Row],[Value]],4)="http",HYPERLINK(Tab_Parameters[[#This Row],[Value]],"L"),"")</f>
        <v/>
      </c>
    </row>
    <row r="25" spans="2:5" ht="18.75" x14ac:dyDescent="0.3">
      <c r="B25" s="8" t="str">
        <f>IF(LEFT(Tab_Parameters[[#This Row],[Value]],4)="http",HYPERLINK(Tab_Parameters[[#This Row],[Value]],"L"),"")</f>
        <v/>
      </c>
      <c r="C25" s="7" t="s">
        <v>53</v>
      </c>
      <c r="D25" s="8"/>
    </row>
    <row r="26" spans="2:5" x14ac:dyDescent="0.25">
      <c r="B26" s="11" t="str">
        <f>IF(LEFT(Tab_Parameters[[#This Row],[Value]],4)="http",HYPERLINK(Tab_Parameters[[#This Row],[Value]],"L"),"")</f>
        <v/>
      </c>
      <c r="C26" t="s">
        <v>33</v>
      </c>
      <c r="D26" t="str">
        <f>$E$1</f>
        <v>C:\Users\Gebruiker\OneDrive - DeLijn\</v>
      </c>
      <c r="E26" t="s">
        <v>34</v>
      </c>
    </row>
    <row r="27" spans="2:5" x14ac:dyDescent="0.25">
      <c r="B27" s="11" t="str">
        <f>IF(LEFT(Tab_Parameters[[#This Row],[Value]],4)="http",HYPERLINK(Tab_Parameters[[#This Row],[Value]],"L"),"")</f>
        <v>L</v>
      </c>
      <c r="C27" t="s">
        <v>40</v>
      </c>
      <c r="D27" t="s">
        <v>38</v>
      </c>
    </row>
    <row r="28" spans="2:5" x14ac:dyDescent="0.25">
      <c r="B28" s="11" t="str">
        <f>IF(LEFT(Tab_Parameters[[#This Row],[Value]],4)="http",HYPERLINK(Tab_Parameters[[#This Row],[Value]],"L"),"")</f>
        <v/>
      </c>
      <c r="D28" s="9"/>
    </row>
    <row r="29" spans="2:5" ht="18.75" x14ac:dyDescent="0.3">
      <c r="B29" s="8" t="str">
        <f>IF(LEFT(Tab_Parameters[[#This Row],[Value]],4)="http",HYPERLINK(Tab_Parameters[[#This Row],[Value]],"L"),"")</f>
        <v/>
      </c>
      <c r="C29" s="7" t="s">
        <v>41</v>
      </c>
      <c r="D29" s="8"/>
    </row>
    <row r="30" spans="2:5" x14ac:dyDescent="0.25">
      <c r="B30" s="11" t="str">
        <f>IF(LEFT(Tab_Parameters[[#This Row],[Value]],4)="http",HYPERLINK(Tab_Parameters[[#This Row],[Value]],"L"),"")</f>
        <v>L</v>
      </c>
      <c r="C30" t="s">
        <v>35</v>
      </c>
      <c r="D30" t="str">
        <f>_xlfn.XLOOKUP("BASE_WEB_FOLDER",Tab_Parameters[Parameter],Tab_Parameters[Value],"")</f>
        <v>https://delijn-my.sharepoint.com/personal/37494_delijn_be/Documents/Documents/VT_IPlan/</v>
      </c>
    </row>
    <row r="31" spans="2:5" x14ac:dyDescent="0.25">
      <c r="B31" s="11" t="str">
        <f>IF(LEFT(Tab_Parameters[[#This Row],[Value]],4)="http",HYPERLINK(Tab_Parameters[[#This Row],[Value]],"L"),"")</f>
        <v/>
      </c>
      <c r="C31" t="s">
        <v>36</v>
      </c>
      <c r="D31" t="s">
        <v>39</v>
      </c>
    </row>
    <row r="32" spans="2:5" x14ac:dyDescent="0.25">
      <c r="B32" s="11" t="str">
        <f>IF(LEFT(Tab_Parameters[[#This Row],[Value]],4)="http",HYPERLINK(Tab_Parameters[[#This Row],[Value]],"L"),"")</f>
        <v>L</v>
      </c>
      <c r="C32" t="s">
        <v>37</v>
      </c>
      <c r="D32" t="str">
        <f>_xlfn.XLOOKUP("CURRENT_FILE_FOLDER",Tab_Parameters[Parameter],Tab_Parameters[Value],"")&amp;_xlfn.XLOOKUP("CURRENT_FILE_NAME",Tab_Parameters[Parameter],Tab_Parameters[Value],"")</f>
        <v>https://delijn-my.sharepoint.com/personal/37494_delijn_be/Documents/Documents/VT_IPlan/VT_Iplanner.xlsm</v>
      </c>
    </row>
    <row r="33" spans="2:4" x14ac:dyDescent="0.25">
      <c r="B33" s="11" t="str">
        <f>IF(LEFT(Tab_Parameters[[#This Row],[Value]],4)="http",HYPERLINK(Tab_Parameters[[#This Row],[Value]],"L"),"")</f>
        <v/>
      </c>
    </row>
    <row r="34" spans="2:4" ht="18.75" x14ac:dyDescent="0.3">
      <c r="B34" s="8" t="str">
        <f>IF(LEFT(Tab_Parameters[[#This Row],[Value]],4)="http",HYPERLINK(Tab_Parameters[[#This Row],[Value]],"L"),"")</f>
        <v/>
      </c>
      <c r="C34" s="7" t="s">
        <v>42</v>
      </c>
      <c r="D34" s="8"/>
    </row>
    <row r="35" spans="2:4" x14ac:dyDescent="0.25">
      <c r="B35" s="11" t="str">
        <f>IF(LEFT(Tab_Parameters[[#This Row],[Value]],4)="http",HYPERLINK(Tab_Parameters[[#This Row],[Value]],"L"),"")</f>
        <v/>
      </c>
      <c r="C35" t="s">
        <v>43</v>
      </c>
      <c r="D35" t="s">
        <v>46</v>
      </c>
    </row>
    <row r="36" spans="2:4" x14ac:dyDescent="0.25">
      <c r="B36" s="11" t="str">
        <f>IF(LEFT(Tab_Parameters[[#This Row],[Value]],4)="http",HYPERLINK(Tab_Parameters[[#This Row],[Value]],"L"),"")</f>
        <v>L</v>
      </c>
      <c r="C36" t="s">
        <v>47</v>
      </c>
      <c r="D36" t="str">
        <f>_xlfn.XLOOKUP("BASE_WEB_FOLDER",Tab_Parameters[Parameter],Tab_Parameters[Value],"")&amp;_xlfn.XLOOKUP("INPUT_SUB_FOLDER",Tab_Parameters[Parameter],Tab_Parameters[Value],"")</f>
        <v>https://delijn-my.sharepoint.com/personal/37494_delijn_be/Documents/Documents/VT_IPlan/Input/</v>
      </c>
    </row>
    <row r="37" spans="2:4" x14ac:dyDescent="0.25">
      <c r="B37" s="11" t="str">
        <f>IF(LEFT(Tab_Parameters[[#This Row],[Value]],4)="http",HYPERLINK(Tab_Parameters[[#This Row],[Value]],"L"),"")</f>
        <v/>
      </c>
      <c r="C37" t="s">
        <v>44</v>
      </c>
      <c r="D37" s="5" t="s">
        <v>48</v>
      </c>
    </row>
    <row r="38" spans="2:4" x14ac:dyDescent="0.25">
      <c r="B38" s="11" t="str">
        <f>IF(LEFT(Tab_Parameters[[#This Row],[Value]],4)="http",HYPERLINK(Tab_Parameters[[#This Row],[Value]],"L"),"")</f>
        <v/>
      </c>
      <c r="C38" t="s">
        <v>45</v>
      </c>
      <c r="D38" s="5" t="s">
        <v>49</v>
      </c>
    </row>
    <row r="39" spans="2:4" x14ac:dyDescent="0.25">
      <c r="B39" s="11" t="str">
        <f>IF(LEFT(Tab_Parameters[[#This Row],[Value]],4)="http",HYPERLINK(Tab_Parameters[[#This Row],[Value]],"L"),"")</f>
        <v/>
      </c>
      <c r="D39" s="10"/>
    </row>
    <row r="40" spans="2:4" x14ac:dyDescent="0.25">
      <c r="B40" s="11" t="str">
        <f>IF(LEFT(Tab_Parameters[[#This Row],[Value]],4)="http",HYPERLINK(Tab_Parameters[[#This Row],[Value]],"L"),"")</f>
        <v>L</v>
      </c>
      <c r="C40" t="s">
        <v>50</v>
      </c>
      <c r="D40" s="6" t="str">
        <f>_xlfn.XLOOKUP("INPUT_SUB_FOLDER_PATH",Tab_Parameters[Parameter],Tab_Parameters[Value],"")&amp;_xlfn.XLOOKUP("INPUT_FILE_NAME_VTS_REGIE",Tab_Parameters[Parameter],Tab_Parameters[Value],"")</f>
        <v>https://delijn-my.sharepoint.com/personal/37494_delijn_be/Documents/Documents/VT_IPlan/Input/Voertuigen_Regie_06092023.xlsx</v>
      </c>
    </row>
    <row r="41" spans="2:4" x14ac:dyDescent="0.25">
      <c r="B41" s="11" t="str">
        <f>IF(LEFT(Tab_Parameters[[#This Row],[Value]],4)="http",HYPERLINK(Tab_Parameters[[#This Row],[Value]],"L"),"")</f>
        <v>L</v>
      </c>
      <c r="C41" t="s">
        <v>51</v>
      </c>
      <c r="D41" s="6" t="str">
        <f>_xlfn.XLOOKUP("INPUT_SUB_FOLDER_PATH",Tab_Parameters[Parameter],Tab_Parameters[Value],"")&amp;_xlfn.XLOOKUP("INPUT_FILE_NAME_VTS_EXPL",Tab_Parameters[Parameter],Tab_Parameters[Value],"")</f>
        <v>https://delijn-my.sharepoint.com/personal/37494_delijn_be/Documents/Documents/VT_IPlan/Input/Voertuigen_Exploitanten_06092023.xlsx</v>
      </c>
    </row>
    <row r="42" spans="2:4" x14ac:dyDescent="0.25">
      <c r="B42" s="11" t="str">
        <f>IF(LEFT(Tab_Parameters[[#This Row],[Value]],4)="http",HYPERLINK(Tab_Parameters[[#This Row],[Value]],"L"),"")</f>
        <v/>
      </c>
    </row>
  </sheetData>
  <hyperlinks>
    <hyperlink ref="F42" r:id="rId1" display="https://delijn.sharepoint.com/teams/PTM-Cameratellingen/Gedeelde%20documenten/300 VoertuigVerdeling/Oefening Mobiliteit/" xr:uid="{C8496F64-66E1-470F-945F-303C3D9FB68F}"/>
    <hyperlink ref="D35" r:id="rId2" display="https://delijn.sharepoint.com/:f:/r/teams/PTM-Cameratellingen/Gedeelde%20documenten/620%20Installatie/Jotforms/" xr:uid="{753ED7FD-7201-4E6E-9B83-A23DFF86E754}"/>
    <hyperlink ref="D27" r:id="rId3" xr:uid="{1AD73369-98B6-4FDA-906D-4B1FE3B811EE}"/>
  </hyperlinks>
  <pageMargins left="0.7" right="0.7" top="0.75" bottom="0.75" header="0.3" footer="0.3"/>
  <pageSetup paperSize="9" orientation="portrait" r:id="rId4"/>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CD63FA-97BA-480C-8149-E8AF98BAE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Reserveringslijst</vt:lpstr>
      <vt:lpstr>Sheet6</vt:lpstr>
      <vt:lpstr>INPUT_VTS_EXPL</vt:lpstr>
      <vt:lpstr>Cascading Filter</vt:lpstr>
      <vt:lpstr>Lookups</vt:lpstr>
      <vt:lpstr>Project_Medewerkers</vt:lpstr>
      <vt:lpstr>Stelplaats_Verantwoordelijken</vt:lpstr>
      <vt:lpstr>INPUT_VTS_REGIE</vt:lpstr>
      <vt:lpstr>Parameters</vt:lpstr>
      <vt:lpstr>Lijst_Cascade2_Projecten</vt:lpstr>
      <vt:lpstr>Lijst_DuurTijden</vt:lpstr>
      <vt:lpstr>Lijst_Reservatie_Status</vt:lpstr>
      <vt:lpstr>Lijst_Tijden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 Van Overveldt</dc:creator>
  <cp:lastModifiedBy>Luc Van Overveldt</cp:lastModifiedBy>
  <dcterms:created xsi:type="dcterms:W3CDTF">2023-09-15T08:44:01Z</dcterms:created>
  <dcterms:modified xsi:type="dcterms:W3CDTF">2023-09-27T14:50:25Z</dcterms:modified>
</cp:coreProperties>
</file>